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ABASTECIMENTO" sheetId="1" r:id="rId5"/>
    <sheet state="visible" name="DASH_DADOS" sheetId="2" r:id="rId6"/>
    <sheet state="visible" name="BASE_PLANEJADO" sheetId="3" r:id="rId7"/>
    <sheet state="visible" name="BASE_MOTORISTAS" sheetId="4" r:id="rId8"/>
    <sheet state="visible" name="BASE_VELOE" sheetId="5" r:id="rId9"/>
    <sheet state="visible" name="BASE_KM" sheetId="6" r:id="rId10"/>
    <sheet state="visible" name="BASE_VEICULOS" sheetId="7" r:id="rId11"/>
    <sheet state="hidden" name="DASHBOARD" sheetId="8" r:id="rId12"/>
    <sheet state="visible" name="BASE_MULTAS" sheetId="9" r:id="rId13"/>
    <sheet state="visible" name="AUX" sheetId="10" r:id="rId14"/>
    <sheet state="visible" name="MANUTENÇÃO PREVENTIVA" sheetId="11" r:id="rId15"/>
    <sheet state="visible" name="DESCONTO DE SINISTROS" sheetId="12" r:id="rId16"/>
    <sheet state="visible" name="CONTROLE DE VENC DE CNH" sheetId="13" r:id="rId17"/>
    <sheet state="visible" name="CONTROLE HIGIENIZAÇÃO" sheetId="14" r:id="rId18"/>
    <sheet state="visible" name="RATEIO" sheetId="15" r:id="rId19"/>
  </sheets>
  <definedNames>
    <definedName hidden="1" localSheetId="0" name="_xlnm._FilterDatabase">BASE_ABASTECIMENTO!$A$1:$I$1145</definedName>
    <definedName hidden="1" localSheetId="2" name="_xlnm._FilterDatabase">BASE_PLANEJADO!$A$1:$D$16</definedName>
    <definedName hidden="1" localSheetId="3" name="_xlnm._FilterDatabase">BASE_MOTORISTAS!$A$1:$D$25</definedName>
    <definedName hidden="1" localSheetId="4" name="_xlnm._FilterDatabase">BASE_VELOE!$A$1:$F$723</definedName>
    <definedName hidden="1" localSheetId="5" name="_xlnm._FilterDatabase">BASE_KM!$A$1:$E$1002</definedName>
    <definedName hidden="1" localSheetId="6" name="_xlnm._FilterDatabase">BASE_VEICULOS!$A$2:$R$29</definedName>
    <definedName hidden="1" localSheetId="8" name="_xlnm._FilterDatabase">BASE_MULTAS!$A$1:$K$116</definedName>
  </definedNames>
  <calcPr/>
  <pivotCaches>
    <pivotCache cacheId="0" r:id="rId20"/>
  </pivotCaches>
</workbook>
</file>

<file path=xl/sharedStrings.xml><?xml version="1.0" encoding="utf-8"?>
<sst xmlns="http://schemas.openxmlformats.org/spreadsheetml/2006/main" count="6852" uniqueCount="577">
  <si>
    <t>DATA</t>
  </si>
  <si>
    <t>SEMANA ANO</t>
  </si>
  <si>
    <t>PLATAFORMA</t>
  </si>
  <si>
    <t>VALOR</t>
  </si>
  <si>
    <t>EQUIPE</t>
  </si>
  <si>
    <t>CENTRO DE CUSTO</t>
  </si>
  <si>
    <t>PLACA</t>
  </si>
  <si>
    <t>OBS</t>
  </si>
  <si>
    <t>MÊS/ANO</t>
  </si>
  <si>
    <t>TICKETLOG</t>
  </si>
  <si>
    <t>MANFAC-1</t>
  </si>
  <si>
    <t>MANFAC-2</t>
  </si>
  <si>
    <t>MANFAC-3</t>
  </si>
  <si>
    <t>MANFAC-4</t>
  </si>
  <si>
    <t>MANFAC-5</t>
  </si>
  <si>
    <t>MANFAC-6</t>
  </si>
  <si>
    <t>MANFAC-7</t>
  </si>
  <si>
    <t>MANFAC-8</t>
  </si>
  <si>
    <t>MANFAC-9</t>
  </si>
  <si>
    <t>MANFAC-11</t>
  </si>
  <si>
    <t>MANFAC-12</t>
  </si>
  <si>
    <t>MANFAC-13</t>
  </si>
  <si>
    <t>MANFAC-18</t>
  </si>
  <si>
    <t>MANFAC-19</t>
  </si>
  <si>
    <t>MANFAC-21</t>
  </si>
  <si>
    <t>MANFAC-22</t>
  </si>
  <si>
    <t>REINALDO</t>
  </si>
  <si>
    <t>YURI</t>
  </si>
  <si>
    <t>MANFAC-23</t>
  </si>
  <si>
    <t>MANFAC-15</t>
  </si>
  <si>
    <t>MANFAC-20</t>
  </si>
  <si>
    <t>Incluso 100,00 dia 24/02/2026</t>
  </si>
  <si>
    <t>CAIXINHA</t>
  </si>
  <si>
    <t>MANFAC-10</t>
  </si>
  <si>
    <t>MANFAC-24</t>
  </si>
  <si>
    <t>GABRIEL</t>
  </si>
  <si>
    <t>T-ANDERSON</t>
  </si>
  <si>
    <t>Início mês</t>
  </si>
  <si>
    <t>TODOS</t>
  </si>
  <si>
    <t>Fim mês</t>
  </si>
  <si>
    <t>PROF - 07001 - MANUTENÇÃO PREDIAL- PROFARMA-2025</t>
  </si>
  <si>
    <t>Hoje</t>
  </si>
  <si>
    <t>CONSUMO x PLANEJADO</t>
  </si>
  <si>
    <t>Semana (início)</t>
  </si>
  <si>
    <t>Semana (fim)</t>
  </si>
  <si>
    <t>Consumo (R$)</t>
  </si>
  <si>
    <t>Planejado (R$)</t>
  </si>
  <si>
    <t>Desvio (R$)</t>
  </si>
  <si>
    <t>TOP 10 CONSUMO COMBUSTÍVEL (POR EQUIPE)</t>
  </si>
  <si>
    <t>COMBUSTÍVEL</t>
  </si>
  <si>
    <t>PEDAGIO</t>
  </si>
  <si>
    <t>ESTACIONAMENTO</t>
  </si>
  <si>
    <t>MULTA</t>
  </si>
  <si>
    <t>MANUTENÇÃO</t>
  </si>
  <si>
    <t>CUSTO TOTAL FROTA</t>
  </si>
  <si>
    <t>KM CONTRATUAL</t>
  </si>
  <si>
    <t>ULTIMO KM</t>
  </si>
  <si>
    <t>DESVIO KM</t>
  </si>
  <si>
    <t>#POS</t>
  </si>
  <si>
    <t>VALOR CONSUMIDO</t>
  </si>
  <si>
    <t>RANKING CONSUMO COMBUSTÍVEL (POR CC)</t>
  </si>
  <si>
    <t>MÊS COMPETÊNCIA</t>
  </si>
  <si>
    <t>VALOR PLANEJADO</t>
  </si>
  <si>
    <t>VALOR POR SEMANA</t>
  </si>
  <si>
    <t>FAC - 140004 - MANUTENÇÃO PREDIAL DPSP 2025</t>
  </si>
  <si>
    <t>PROF - 07002 - SPOT MANUTENÇÃO PROFARMA</t>
  </si>
  <si>
    <t>FAC - 140005 - SPOT MANUTENÇÃO DPSP 2025</t>
  </si>
  <si>
    <t>EC - ESCRITORIO CENTRAL</t>
  </si>
  <si>
    <t>STATUS</t>
  </si>
  <si>
    <t>COLABORADOR</t>
  </si>
  <si>
    <t>HABILITAÇÃO</t>
  </si>
  <si>
    <t xml:space="preserve">DATA EM QUE EXPIRA </t>
  </si>
  <si>
    <t>LIDER</t>
  </si>
  <si>
    <t>GABRIEL DE JESUS FIALHO MIRANDA</t>
  </si>
  <si>
    <t>NADSON SANTOS DE JESUS</t>
  </si>
  <si>
    <t>MARCELO LOPES VIEIRA</t>
  </si>
  <si>
    <t>ANDRE VINICIUS NAZARE ESCOBAR</t>
  </si>
  <si>
    <t>CARLOS HENRIQUE SILVA MENDES</t>
  </si>
  <si>
    <t>MANFAC-14</t>
  </si>
  <si>
    <t>ALDENIR TEIXIERA CARVALHO</t>
  </si>
  <si>
    <t>HELENO ROVANE DOS SANTOS</t>
  </si>
  <si>
    <t>MANFAC-17</t>
  </si>
  <si>
    <t>JORGE LUIZ DOS SANTOS VIEIRA</t>
  </si>
  <si>
    <t>CARLOS ARTHUR FERREIRA DE ANDRADE</t>
  </si>
  <si>
    <t>FABIO DA CONCEIÇÃO</t>
  </si>
  <si>
    <t>WEVERTON MIRANDA MATOS</t>
  </si>
  <si>
    <t>MULLER GOMES DOS SANTOS</t>
  </si>
  <si>
    <t>RICHARD GUIMARÃES FARIAS</t>
  </si>
  <si>
    <t>DOUGLAS SIQUEIRA DOS SANTOS</t>
  </si>
  <si>
    <t>TIAGO LOURENÇO DOS SANTOS CONCEIÇÃO NUNES</t>
  </si>
  <si>
    <t>AILTON HONORATO DOS SANTOS</t>
  </si>
  <si>
    <t>MICHEL DA SILVA PINHEIRO</t>
  </si>
  <si>
    <t>NÃO POSSUI</t>
  </si>
  <si>
    <t>RAFAEL SILVA DE OLIVEIRA</t>
  </si>
  <si>
    <t>DIEGO DA SILVA OLIVEIRA</t>
  </si>
  <si>
    <t>ALAN DAVID SILVA DOS SANTOS</t>
  </si>
  <si>
    <t>MARCELINO ALMEIDA DE CASTRO</t>
  </si>
  <si>
    <t>TIPO</t>
  </si>
  <si>
    <t>LOCAL</t>
  </si>
  <si>
    <t>CONCESSIONARIA ECORIOMINAS</t>
  </si>
  <si>
    <t>CONCESSIONARIA ROTA 116 S.A</t>
  </si>
  <si>
    <t>CONCESSIONARIA PONTE RIO NITEROI S.A</t>
  </si>
  <si>
    <t>CONCESSIONARIA DA RODOVIA DOS LAGOS S.A</t>
  </si>
  <si>
    <t>AUTOPISTA FLUMINENSE S.A</t>
  </si>
  <si>
    <t>LINHA AMARELA S.A</t>
  </si>
  <si>
    <t>MULTIPLAN ESTACIONAMENTO LTDA*</t>
  </si>
  <si>
    <t>CONCESSIONARIA VIARIO S.A</t>
  </si>
  <si>
    <t>GR PARKING ESTACIONAMENTO LTDA</t>
  </si>
  <si>
    <t>HORA PARK SISTEMA DE ESTACIONAMENTO ROTATIVO LTDAA</t>
  </si>
  <si>
    <t>MULTIPLAN ESTACIONAMENTO LTDA*.</t>
  </si>
  <si>
    <t>CONCESSIONÁRIA DO SISTEMA RODOVIÁRIO RIO SÃO PAULO S.A</t>
  </si>
  <si>
    <t>ELOVIAS S.A.</t>
  </si>
  <si>
    <t>ANCAR PARKING ESTACIONAMENTOS LTDA</t>
  </si>
  <si>
    <t>JOSÉ GUILHERME</t>
  </si>
  <si>
    <t>PB ADMINISTRADORA DE ESTACIONAMENTO</t>
  </si>
  <si>
    <t>AUTO BRASIL ESTACIONAMENTO E SERVICOS LTDA</t>
  </si>
  <si>
    <t>CONCESSIONARIA DO SISTEMA RODOVIARIO RIO SAO PAULO S.A</t>
  </si>
  <si>
    <t>TEW9A20</t>
  </si>
  <si>
    <t>ALLPARK EMPREENDIMENTO PARTICIPACOES E SERVICOS S/A</t>
  </si>
  <si>
    <t>PARK PLACE ADMINISTRADORA DE ESTACIONAMENTOS LTDA</t>
  </si>
  <si>
    <t>GABRIEL VIDAL</t>
  </si>
  <si>
    <t>CRP CONCESSIONARIA SPE LTDA.</t>
  </si>
  <si>
    <t>RNK</t>
  </si>
  <si>
    <t>CONSORCIO PARKING NORTESHOPPING</t>
  </si>
  <si>
    <t>CEZANNE EMPREENDIMENTOS E PARTICIPACOES LTDA</t>
  </si>
  <si>
    <t>MULTIPLAN ADMINISTRADORA DE SHOPPING CENTERS LTDA.</t>
  </si>
  <si>
    <t>PB ADMINISTRADORA DE ESTACIONAMENTOS EIRELI</t>
  </si>
  <si>
    <t>FILIPARK ESTACIONAMENTOS LTDA</t>
  </si>
  <si>
    <t>EDUARDO MAIA</t>
  </si>
  <si>
    <t>CONSORCIO ESTACIONAMENTO SHOPPING PARK LAGOS</t>
  </si>
  <si>
    <t>PB ADMINISTRADORA DE ESTACIONAMENTOS LTDA.</t>
  </si>
  <si>
    <t>NICOLE ROSENGBERG MENTLIK ADMINISTRACAO DE ESTACIONAMENTO</t>
  </si>
  <si>
    <t>KM</t>
  </si>
  <si>
    <t>KM RODADO</t>
  </si>
  <si>
    <t>SRN9C05</t>
  </si>
  <si>
    <t>MODELO</t>
  </si>
  <si>
    <t>RENAVAM</t>
  </si>
  <si>
    <t>CHASSI</t>
  </si>
  <si>
    <t>COR</t>
  </si>
  <si>
    <t>MOTORISTA</t>
  </si>
  <si>
    <t>TIPO DE LOCAÇÃO</t>
  </si>
  <si>
    <t>FORNECEDOR</t>
  </si>
  <si>
    <t>FRANQUIA DE KM</t>
  </si>
  <si>
    <t>VALOR DE LOCAÇÃO</t>
  </si>
  <si>
    <t>PRAZO CONTRATO (MESES)</t>
  </si>
  <si>
    <t>DATA DE INÍCIO DO CONTRATO</t>
  </si>
  <si>
    <t>DATA DO FIM DO CONTRATO</t>
  </si>
  <si>
    <t>CARTÃO TICKET LOG</t>
  </si>
  <si>
    <t>TAG VELOE</t>
  </si>
  <si>
    <t>FUR3I24</t>
  </si>
  <si>
    <t>HB20</t>
  </si>
  <si>
    <t>9BHCN51AARP481338</t>
  </si>
  <si>
    <t>BRANCO</t>
  </si>
  <si>
    <t>CONTRATO FROTAS</t>
  </si>
  <si>
    <t>MAESTRO</t>
  </si>
  <si>
    <t>EZX6C83</t>
  </si>
  <si>
    <t>9BHCN51AARP481339</t>
  </si>
  <si>
    <t>FIL8C14</t>
  </si>
  <si>
    <t>9BHCN51AARP481345</t>
  </si>
  <si>
    <t>FGO3C61</t>
  </si>
  <si>
    <t>9BHCN51AARP478669</t>
  </si>
  <si>
    <t>MICHEL PINHEIRO</t>
  </si>
  <si>
    <t>FOK8A73</t>
  </si>
  <si>
    <t>9BHCN51AARP481343</t>
  </si>
  <si>
    <t>EWH1B84</t>
  </si>
  <si>
    <t>9BHCN51AARP481286</t>
  </si>
  <si>
    <t>TCJ1G00</t>
  </si>
  <si>
    <t>VIRTUS</t>
  </si>
  <si>
    <t>PRETO</t>
  </si>
  <si>
    <t>TET5H37</t>
  </si>
  <si>
    <t>FIAT MOBI LIKE</t>
  </si>
  <si>
    <t>9BD341ACWSYA49652</t>
  </si>
  <si>
    <t>LOCAÇÃO MENSAL</t>
  </si>
  <si>
    <t>BRASIL LOCAFACIL</t>
  </si>
  <si>
    <t>TYK8C73</t>
  </si>
  <si>
    <t>TERA</t>
  </si>
  <si>
    <t>VERMELHO</t>
  </si>
  <si>
    <t>LOCALIZA</t>
  </si>
  <si>
    <t>TEW9A23</t>
  </si>
  <si>
    <t>ARGO DRIVE 1.0</t>
  </si>
  <si>
    <t>9BD358ATSTYP59767</t>
  </si>
  <si>
    <t>TEW9A24</t>
  </si>
  <si>
    <t>9BD358ATSTYP59797</t>
  </si>
  <si>
    <t>TEW9A25</t>
  </si>
  <si>
    <t>9BD358ATSTYP59821</t>
  </si>
  <si>
    <t>TEW9A26</t>
  </si>
  <si>
    <t>9BD358ATSTYP59826</t>
  </si>
  <si>
    <t>TEW9A34</t>
  </si>
  <si>
    <t>9BD358ATSTYP65474</t>
  </si>
  <si>
    <t>TEW9A27</t>
  </si>
  <si>
    <t>9BD358ATSTYP59841</t>
  </si>
  <si>
    <t>HELENO ROVANE DOS SANTOS MELO</t>
  </si>
  <si>
    <t>TEW9A28</t>
  </si>
  <si>
    <t>9BD358ATSTYP60025</t>
  </si>
  <si>
    <t>LUIZ RODRIGO</t>
  </si>
  <si>
    <t>TEW9A29</t>
  </si>
  <si>
    <t>9BD358ATSTYP65020</t>
  </si>
  <si>
    <t>TEW9A30</t>
  </si>
  <si>
    <t>9BD358ATSTYP65027</t>
  </si>
  <si>
    <t>TEW9A33</t>
  </si>
  <si>
    <t>9BD358ATSTYP65358</t>
  </si>
  <si>
    <t>ALEX</t>
  </si>
  <si>
    <t>TEP5C93</t>
  </si>
  <si>
    <t>ALEX ARAUJO</t>
  </si>
  <si>
    <t>UDA5B37</t>
  </si>
  <si>
    <t>9BD281AJHRYF17197</t>
  </si>
  <si>
    <t>CINZA</t>
  </si>
  <si>
    <t>FOCO</t>
  </si>
  <si>
    <t>TEQ2I74</t>
  </si>
  <si>
    <t>93YRBB004SJ933541</t>
  </si>
  <si>
    <t>SRK9F67</t>
  </si>
  <si>
    <t>KWID ZEN</t>
  </si>
  <si>
    <t>93YRBB004SJ933457</t>
  </si>
  <si>
    <t>TEH3I02</t>
  </si>
  <si>
    <t>CARLOS ANDRADE</t>
  </si>
  <si>
    <t>SRU8D16</t>
  </si>
  <si>
    <t>VAGNER OLIVEIRA DOS SANTOS</t>
  </si>
  <si>
    <t>ANDERSON CRUZ</t>
  </si>
  <si>
    <t>TEP5C33</t>
  </si>
  <si>
    <t>ANDERSON CRUZ DO AMARAL</t>
  </si>
  <si>
    <t>GABRUEL VIDAL</t>
  </si>
  <si>
    <t>SRI8F37</t>
  </si>
  <si>
    <t>OROCH</t>
  </si>
  <si>
    <t>DATA ATUAL</t>
  </si>
  <si>
    <t>SEMANA ATUAL</t>
  </si>
  <si>
    <t>GASTO X PLANEJADO - POR SEMANA</t>
  </si>
  <si>
    <t>VALOR COMBUSTIVEL</t>
  </si>
  <si>
    <t>RANKING POR EQUIPE</t>
  </si>
  <si>
    <t>CONSUMO</t>
  </si>
  <si>
    <t>QUAL CONSUMO POR VEICULO</t>
  </si>
  <si>
    <t>CONSUMO DE KM POR CONTRATO DE FROTAS</t>
  </si>
  <si>
    <t>DATA INFRAÇÃO</t>
  </si>
  <si>
    <t>AUTO DE INFRAÇÃO</t>
  </si>
  <si>
    <t>MOTIVO</t>
  </si>
  <si>
    <t>LOCALIDADE</t>
  </si>
  <si>
    <t>IDENTIFICAÇÃO</t>
  </si>
  <si>
    <t>ENVIO DOCUMENTO</t>
  </si>
  <si>
    <t>STATUS DESCONTO</t>
  </si>
  <si>
    <t>RVK9C09</t>
  </si>
  <si>
    <t>RA30206123</t>
  </si>
  <si>
    <t>AVANÇAR SINAL VERMELHO</t>
  </si>
  <si>
    <t>N/I</t>
  </si>
  <si>
    <t>SIM</t>
  </si>
  <si>
    <t>NÃO</t>
  </si>
  <si>
    <t>?</t>
  </si>
  <si>
    <t>RD31034942</t>
  </si>
  <si>
    <t>R$ 130,16</t>
  </si>
  <si>
    <t>DIRIGIR VEICULO UTILIZANDO TELEFONE CELULAR</t>
  </si>
  <si>
    <t>CAMPO DE SÃO CRISTOVÃO 246</t>
  </si>
  <si>
    <t>RD31054663</t>
  </si>
  <si>
    <t>ESTACIONAR EM DESACORDO COM A REGULAMENTAÇÃO</t>
  </si>
  <si>
    <t>J003271364</t>
  </si>
  <si>
    <t>TRANSITAR EM VELOCIDADE SUPERIOR A MAXIMA PERMITIDA EM ATE 20%</t>
  </si>
  <si>
    <t>TCR8G79</t>
  </si>
  <si>
    <t>RA40996281</t>
  </si>
  <si>
    <t>TRANSITAR EM VELOCIDADE SUPERIOR A MAXIMA PERMITIDA EM ATÉ 20%</t>
  </si>
  <si>
    <t>AV MENEZES CORTES, KM 5,4 ST JACAREPAGUA - RIO DE JANEIRO</t>
  </si>
  <si>
    <t>ENVIADO AO DP</t>
  </si>
  <si>
    <t>GTN3F40</t>
  </si>
  <si>
    <t>T29481238</t>
  </si>
  <si>
    <t>ESTACIONAR NO PASSEIO</t>
  </si>
  <si>
    <t>RUA MANOEL MADRUGA 4 - TERESOPOLIS</t>
  </si>
  <si>
    <t>J003505575</t>
  </si>
  <si>
    <t>TRANSITAR EM VELOCIDADE SUPERIOR A MAX PERMITIDA EM ATE 2</t>
  </si>
  <si>
    <t>RJ-BR 116 -KM 182.09 - D - NOVA IGUAÇU</t>
  </si>
  <si>
    <t>AGUARDANDO</t>
  </si>
  <si>
    <t>J003583055</t>
  </si>
  <si>
    <t>TRANSITAR EM VELOCIDADE SUPERIOR A MAXIMA PERMITIDA EM MAIS DE 20% ATÉ 50%</t>
  </si>
  <si>
    <t>BR116, KM 36, 52 DECRESCENTE TERESOPOLIS RJ</t>
  </si>
  <si>
    <t>RA20967826</t>
  </si>
  <si>
    <t>AVANÇAR O SINAL VERMELHO</t>
  </si>
  <si>
    <t>AV BRAZ PINA PX2019 - ST LARGO DO BICAO - RJ</t>
  </si>
  <si>
    <t>TDA2A99</t>
  </si>
  <si>
    <t>Y35165236</t>
  </si>
  <si>
    <t>TRANSITAR EM VELOCIDADE SUPERIOR A MAX. PERMITIDA</t>
  </si>
  <si>
    <t>RJ-104, KM 18,5 - ST ITABORAI - SÃO GONÇALO -RJ</t>
  </si>
  <si>
    <t>T29484689</t>
  </si>
  <si>
    <t>RD31101055</t>
  </si>
  <si>
    <t>ESTACIONAR EM DESACORDO CPM AS POSIÇÕES ESTABELECIDAS NO CTB</t>
  </si>
  <si>
    <t>RUA GENERAL OLIMPIO MOURÃO FILHO 10 - SÃO CONRADO</t>
  </si>
  <si>
    <t>RN00073334</t>
  </si>
  <si>
    <t>R$ 208,26</t>
  </si>
  <si>
    <t>MULTA POR NÃO IDENTIFCAR CONDUTOR</t>
  </si>
  <si>
    <t>TDC5I72</t>
  </si>
  <si>
    <t>RD30824669</t>
  </si>
  <si>
    <t>ESTACIONAR EM LOCAL PROIBIDO</t>
  </si>
  <si>
    <t>RUA SAO LEOBALDO 1 - SAO CONRADO</t>
  </si>
  <si>
    <t>N36080730</t>
  </si>
  <si>
    <t>RUA SANTA ROSA PROXIMO AO N28 - NITEROI</t>
  </si>
  <si>
    <t>ESTACIONAR EM DESACORDO COM REGULAMENTAÇÃO</t>
  </si>
  <si>
    <t>RUA SANTA ROSA, 28-NITERÓI RJ</t>
  </si>
  <si>
    <t>T29487832</t>
  </si>
  <si>
    <t>X42616856</t>
  </si>
  <si>
    <t>RJ-106, KM109 SENT NITEROI - ARARUAMA</t>
  </si>
  <si>
    <t>RJ 106-KM 79,5 ST NITEROI- ARARUAMA RJ</t>
  </si>
  <si>
    <t>J004683144</t>
  </si>
  <si>
    <t>TRANSITAR EM VELOCIDADE SUPERIOR A 20%</t>
  </si>
  <si>
    <t>BR465, KM21,22 - NOVA IGUAÇÚ RJ</t>
  </si>
  <si>
    <t>L30464155</t>
  </si>
  <si>
    <t>AV.CARDOSO MOREIRA, 946-ITAPERUNA RJ</t>
  </si>
  <si>
    <t>RD31131351</t>
  </si>
  <si>
    <t>L30517341</t>
  </si>
  <si>
    <t>RA41099745</t>
  </si>
  <si>
    <t>TN VICE PRES JOSE ALENCAR ST RECREIO</t>
  </si>
  <si>
    <t>TET 5H37</t>
  </si>
  <si>
    <t>N002538990</t>
  </si>
  <si>
    <t>TRANSITAR PELO ACOSTAMENTO</t>
  </si>
  <si>
    <t>RJ BR116- KM173-D</t>
  </si>
  <si>
    <t>N36105951</t>
  </si>
  <si>
    <t>RUA SAO JOAO PX AO 114</t>
  </si>
  <si>
    <t>RN 00082044</t>
  </si>
  <si>
    <t>RUA DOM MARCOS BARBOSA, CENTRO.</t>
  </si>
  <si>
    <t>RA41123782</t>
  </si>
  <si>
    <t>R$ 293,47</t>
  </si>
  <si>
    <t>AV MIN. EDGAR ROMERO PX VICENTE DE CARVALHO - IRAJA</t>
  </si>
  <si>
    <t>RD31195687</t>
  </si>
  <si>
    <t>RUA VISC DE PIRAJA 514 IPANEMA</t>
  </si>
  <si>
    <t>RD31215511</t>
  </si>
  <si>
    <t>AV NOSSA SENHORA DE COPACABANA 266</t>
  </si>
  <si>
    <t>RA41136772</t>
  </si>
  <si>
    <t>AV BRASIL KM 12,1 PCENTRAL - ST CENTRO</t>
  </si>
  <si>
    <t>RA21035720</t>
  </si>
  <si>
    <t>EST BARRA TIJUCA PX 436 SENT ITANHANGA</t>
  </si>
  <si>
    <t>N37498722</t>
  </si>
  <si>
    <t>AV MAL FLORIANO PEIXOTO NOVA IGUACU</t>
  </si>
  <si>
    <t>N36113306</t>
  </si>
  <si>
    <t>NITEROI</t>
  </si>
  <si>
    <t>RA30329800</t>
  </si>
  <si>
    <t>AVANCAR SINAL VERMELHO</t>
  </si>
  <si>
    <t>RJJ SEABRA PX21</t>
  </si>
  <si>
    <t>RD31241114</t>
  </si>
  <si>
    <t>EST PORTELA 205 - MADUREIRA</t>
  </si>
  <si>
    <t>X41542510</t>
  </si>
  <si>
    <t>RJ-106 KM 19,3 SENT MACAE</t>
  </si>
  <si>
    <t>RD31240845</t>
  </si>
  <si>
    <t>R$ 195,23</t>
  </si>
  <si>
    <t>ESTACIONAR AO LADO DE OUTRO VEICULO EM FILA DUPLA</t>
  </si>
  <si>
    <t>RUA GUSTAVO SAMPAIO - COPACABANA</t>
  </si>
  <si>
    <t>S31498137</t>
  </si>
  <si>
    <t>SAO GONÇALO</t>
  </si>
  <si>
    <t>RD30951763</t>
  </si>
  <si>
    <t>RUA MARIA QUITÉRIA, 83 - IPANEMA</t>
  </si>
  <si>
    <t>RN001420113</t>
  </si>
  <si>
    <t>R$ 469,55</t>
  </si>
  <si>
    <t>ESTACIONAR NAS VAGAS RES. A PESSOAS COM DEFICIÊNCIA</t>
  </si>
  <si>
    <t>RD31263002</t>
  </si>
  <si>
    <t>AV VISCONDE DE PIRAJA</t>
  </si>
  <si>
    <t>RA41182264</t>
  </si>
  <si>
    <t>AV. BRASIL KM 12.1</t>
  </si>
  <si>
    <t>J005947306</t>
  </si>
  <si>
    <t>R$ 156,19</t>
  </si>
  <si>
    <t>RJ - BR 101 - KM 298.30- C</t>
  </si>
  <si>
    <t>J005996520</t>
  </si>
  <si>
    <t>TRANSITAR EM VELOCIDADE SUPERIOR A 50%</t>
  </si>
  <si>
    <t>BR 493 KM 19.22 - MAGÉ</t>
  </si>
  <si>
    <t>RD31277938</t>
  </si>
  <si>
    <t>RUA HILÁRIO GOUVEIA 33 - COPACABANA</t>
  </si>
  <si>
    <t>X41544064</t>
  </si>
  <si>
    <t>RJ-106 KM 18,8 SENT NITEROI</t>
  </si>
  <si>
    <t>J006558382</t>
  </si>
  <si>
    <t>BR - 116 - KM 94.65</t>
  </si>
  <si>
    <t>J006612900</t>
  </si>
  <si>
    <t>BR 101 KM 415 - ITAGUAI</t>
  </si>
  <si>
    <t>N36141833</t>
  </si>
  <si>
    <t>AV. RUI BARBOSA 153</t>
  </si>
  <si>
    <t>RD31333218</t>
  </si>
  <si>
    <t>AV NOSSA SENHORA DE COPACABANA 876</t>
  </si>
  <si>
    <t>K30743603</t>
  </si>
  <si>
    <t>RODOVIA AMARAL PEIXOTO 4879</t>
  </si>
  <si>
    <t>N36146339</t>
  </si>
  <si>
    <t>RUA BELISARIO AUGUSTO PRÓXIMO AO 265 - NITERÓI</t>
  </si>
  <si>
    <t>L30574947</t>
  </si>
  <si>
    <t>RUA PAULO BARBOSA - 125 - PETRÓPOLIS</t>
  </si>
  <si>
    <t>RA21126436</t>
  </si>
  <si>
    <t>N36147921</t>
  </si>
  <si>
    <t>Z54288066</t>
  </si>
  <si>
    <t>RJ 216 SENTIDO CAMPOS DOS GOYTACAZES X FAROL DE SÃO THOME, KM08</t>
  </si>
  <si>
    <t>Z54288087</t>
  </si>
  <si>
    <t>R$ 1.056,49</t>
  </si>
  <si>
    <t>DIRIGIR VEÍCULO SEM POSSUIR CNH/PPD/ACC</t>
  </si>
  <si>
    <t>X41590241</t>
  </si>
  <si>
    <t>RJ 124, KM 1,2 ST BR -101. RIO BONITO</t>
  </si>
  <si>
    <t>N004337238</t>
  </si>
  <si>
    <t>RJ - BR 116 - KM 171.00</t>
  </si>
  <si>
    <t>N30845808</t>
  </si>
  <si>
    <t>LUIZ FELIPE DA COSTA BARBOSA</t>
  </si>
  <si>
    <t>RUA GAVIÃO PEIXOTO 123 - NITERÓI</t>
  </si>
  <si>
    <t>RA21146928</t>
  </si>
  <si>
    <t>R BARONESA PX185-ST BRT PCA SECA</t>
  </si>
  <si>
    <t>J007267668</t>
  </si>
  <si>
    <t>TRAN VELOC SUP MAX PERMITIDA EM MAIS DE 20% ATÉ 50%</t>
  </si>
  <si>
    <t>RJ - BR 116 - KM 108.17- C</t>
  </si>
  <si>
    <t>J007267561</t>
  </si>
  <si>
    <t>RJ - BR 116 - KM 98.33- C</t>
  </si>
  <si>
    <t>J007290141</t>
  </si>
  <si>
    <t>RJ - BR 101 - KM 332.32 - C</t>
  </si>
  <si>
    <t>RD31375531</t>
  </si>
  <si>
    <t>VEICULO ESTACIONADO EM VAGA DE DEFICIENTE SEM PORTAR O SELO CONDUTOR AUSENTE</t>
  </si>
  <si>
    <t>Rua voluntários da Pátria - Botafogo</t>
  </si>
  <si>
    <t>N36156647</t>
  </si>
  <si>
    <t>ESTACIONAR EM DESACORDO COM A REGULAMENTACAO - ESTACIONAMENTO ROTATIVO</t>
  </si>
  <si>
    <t>R. MARECHAL DEODORO PROXIMO AO 73</t>
  </si>
  <si>
    <t>RD31248545</t>
  </si>
  <si>
    <t>DOUGLAS SIQUEIRA</t>
  </si>
  <si>
    <t>ESTACIONAR EM LOCAL/HORARIO PROIBIDO ESPECIFICAMENTE PELA SINALIZACAO</t>
  </si>
  <si>
    <t>RUA SAO LEOBALDO 211, SÃO CONRADO</t>
  </si>
  <si>
    <t>RA21164869</t>
  </si>
  <si>
    <t>TN PREFMARCELOALENCAR PX PORTA05-STRODOVIARIA</t>
  </si>
  <si>
    <t>RA41264986</t>
  </si>
  <si>
    <t>AVANCAR O SINAL DE PARADA OBRIGATORIA</t>
  </si>
  <si>
    <t>Av Nelson Cardoso Px R Mal Bevilaqua - St Praca Seca</t>
  </si>
  <si>
    <t>J007401871</t>
  </si>
  <si>
    <t>RJ- BR 116- KM 173.46 - D</t>
  </si>
  <si>
    <t>N30849757</t>
  </si>
  <si>
    <t>R. DOMINGUES DE SA 246</t>
  </si>
  <si>
    <t>PVR9C55</t>
  </si>
  <si>
    <t>RD31381373</t>
  </si>
  <si>
    <t>EWERTON MIGUEL DA SILVA</t>
  </si>
  <si>
    <t>DIRIGIR VEÍCULO MANUSEANDO TELEFONE CELULAR</t>
  </si>
  <si>
    <t>N36159771</t>
  </si>
  <si>
    <t>AV. RUI BARBOSA PROXIMO AO 159</t>
  </si>
  <si>
    <t>Q29991307</t>
  </si>
  <si>
    <t>R$ 234,28</t>
  </si>
  <si>
    <t>ESTACIONAR O VEIC EM DESACORDO C AAS CONDIÇOES REGULAMENTADAS</t>
  </si>
  <si>
    <t xml:space="preserve">AV ASSUNÇÃO </t>
  </si>
  <si>
    <t>RA21168865</t>
  </si>
  <si>
    <t>VELOCIDADE SUPERIOR ATÉ 20% DA PERMITIDA</t>
  </si>
  <si>
    <t>TN MARCELO ALENCAR</t>
  </si>
  <si>
    <t>J007494807</t>
  </si>
  <si>
    <t>: RJ - BR 101 - KM 325.60 - D</t>
  </si>
  <si>
    <t>S31451696</t>
  </si>
  <si>
    <t>ESTACIONAR EM DESACORDO COM A REGULAMENTACAO - VAGA DE CARGA/DESCARGA</t>
  </si>
  <si>
    <t>RUA DOUTOR ANTONIO ALVES N:148 CENTRO - SÃO PEDRO DA ALDEIA</t>
  </si>
  <si>
    <t>N36161227</t>
  </si>
  <si>
    <t>R. JOSE CLEMENTE PROXIMO AO 17</t>
  </si>
  <si>
    <t>N36161406</t>
  </si>
  <si>
    <t>R. OTAVIO CARNEIRO PROXIMO AO 18</t>
  </si>
  <si>
    <t>N36162153</t>
  </si>
  <si>
    <t>R. ATOR PAULO GUSTAVO PROXIMO AО 371</t>
  </si>
  <si>
    <t>N36162192</t>
  </si>
  <si>
    <t>R. SAO JOAO PROXIMO AO 42</t>
  </si>
  <si>
    <t>N36161990</t>
  </si>
  <si>
    <t>R. AURELINO LEAL PROXIMO AO 2</t>
  </si>
  <si>
    <t>RA21164346</t>
  </si>
  <si>
    <t>R HERCULANO PENA PX R MUCIO TEIXEIRA-ST PILARES</t>
  </si>
  <si>
    <t>RA21169715</t>
  </si>
  <si>
    <t xml:space="preserve">: R FRANCISCO REAL PX1074- ST UNICO </t>
  </si>
  <si>
    <t>TET5I11</t>
  </si>
  <si>
    <t>L30467484</t>
  </si>
  <si>
    <t>AV. CARDOSO MORERA. 846</t>
  </si>
  <si>
    <t>RD31391427</t>
  </si>
  <si>
    <t>ESTACIONAR NAS RESERVADAS AS PESSOAS COM DEFICIENCIA, SEM CREDENCIAL</t>
  </si>
  <si>
    <t>ESTRADA ESTRADA DO PORTELA 51, - MADUREIRA</t>
  </si>
  <si>
    <t>J007683606</t>
  </si>
  <si>
    <t>RJ - BR 116 - KM 98.52 - D</t>
  </si>
  <si>
    <t>X41617639</t>
  </si>
  <si>
    <t>RJ-124, KM 1,2 -ST BR-101</t>
  </si>
  <si>
    <t>RD31410843</t>
  </si>
  <si>
    <t>RAFAEL SILVA</t>
  </si>
  <si>
    <t>ESTACIONAR EM DESACORDO COM A REGULAMENTACAO ESTACIONAMENTO ROTATIVo</t>
  </si>
  <si>
    <t>RD31374120</t>
  </si>
  <si>
    <t>ESTACIONAR EM DESACORDO COM AS POSICOES ESTABELECIDAS NO СТВ</t>
  </si>
  <si>
    <t>RUA AVENIDA LUIS DE VASCONCELOS 48, - CENTRO</t>
  </si>
  <si>
    <t>RD31415242</t>
  </si>
  <si>
    <t>Avenida Nossa senhora de Copacabana 552</t>
  </si>
  <si>
    <t>031074363</t>
  </si>
  <si>
    <t>AV. JOSE ALVES MACHADO (LINHA VERDE) PX AV. ALUIZIO SILVA</t>
  </si>
  <si>
    <t>TEQ2I90</t>
  </si>
  <si>
    <t>O30954962</t>
  </si>
  <si>
    <t>ESTACIONAR O VEICULO EM DESACORDO COM A REGULAMENTACAO VAGA DE CURTA DURACAO</t>
  </si>
  <si>
    <t>RF50230840</t>
  </si>
  <si>
    <t>EVADIR-SE DA COBRANCA PELO USO DE RODOVIAS E VIAS URBANAS PARA NAO EFETUAR SEU PAGAMENTO</t>
  </si>
  <si>
    <t>J008191491</t>
  </si>
  <si>
    <t>N36175235</t>
  </si>
  <si>
    <t>S31481092</t>
  </si>
  <si>
    <t>N36177144</t>
  </si>
  <si>
    <t>J008409168</t>
  </si>
  <si>
    <t>J008396833</t>
  </si>
  <si>
    <t>N36178158</t>
  </si>
  <si>
    <t>N38007305</t>
  </si>
  <si>
    <t>EM00012987</t>
  </si>
  <si>
    <t>WINSTON CEZAR</t>
  </si>
  <si>
    <t>Z56574753</t>
  </si>
  <si>
    <t xml:space="preserve">RJ122 KM 035.0 - CACHOEIRAS DE MACACU/RJ SENTIDO: GUAPIMIRIM
</t>
  </si>
  <si>
    <t>J008599789</t>
  </si>
  <si>
    <t>J008702980</t>
  </si>
  <si>
    <t>DANIEL PEREIRA</t>
  </si>
  <si>
    <t>J008753642</t>
  </si>
  <si>
    <t>O31114182</t>
  </si>
  <si>
    <t>RD31502323</t>
  </si>
  <si>
    <t>MANUTENÇÃO PREVENTIVA</t>
  </si>
  <si>
    <t>VEÍCULO</t>
  </si>
  <si>
    <t>KM DA REVISÃO</t>
  </si>
  <si>
    <t>DATA REVISÃO</t>
  </si>
  <si>
    <t>PROXIMA REVISÃO</t>
  </si>
  <si>
    <t>CUSTO DE REVISÃO</t>
  </si>
  <si>
    <t>MANUTENÇÃO DPSP</t>
  </si>
  <si>
    <t>já esta imbutido no valor da locação</t>
  </si>
  <si>
    <t>Realizada Dia 10/02/2026</t>
  </si>
  <si>
    <t>SPOT DPSP</t>
  </si>
  <si>
    <t>Realizada Dia 11/02/2026</t>
  </si>
  <si>
    <t>VENCIDA</t>
  </si>
  <si>
    <t>FIAT ARGO</t>
  </si>
  <si>
    <t>MANUTENÇÃO PROFARMA</t>
  </si>
  <si>
    <t>Realizada Dia 09/02/2026</t>
  </si>
  <si>
    <t>Realizada Dia 25/02/2026</t>
  </si>
  <si>
    <t>Realizada Dia 24/02/2026</t>
  </si>
  <si>
    <t>ADM CENTRAL</t>
  </si>
  <si>
    <t>RNK0B07</t>
  </si>
  <si>
    <t>FIAT CRONOS</t>
  </si>
  <si>
    <t>KWID</t>
  </si>
  <si>
    <t>DATA SINISTRO</t>
  </si>
  <si>
    <t>VALOR SINISTRO</t>
  </si>
  <si>
    <t>DESCONTO</t>
  </si>
  <si>
    <t>OBSERVAÇÃO</t>
  </si>
  <si>
    <t>ANDRE VINICIUS</t>
  </si>
  <si>
    <t>HELENO</t>
  </si>
  <si>
    <t>JÁ DESCONTADO EM 2X</t>
  </si>
  <si>
    <t>DIEGO</t>
  </si>
  <si>
    <t xml:space="preserve">R$  300,00 </t>
  </si>
  <si>
    <r>
      <rPr>
        <rFont val="Calibri"/>
        <b/>
        <color theme="1"/>
      </rPr>
      <t>PORTA</t>
    </r>
    <r>
      <rPr>
        <rFont val="Calibri"/>
        <b/>
        <color rgb="FF274E13"/>
      </rPr>
      <t xml:space="preserve"> </t>
    </r>
    <r>
      <rPr>
        <rFont val="Calibri"/>
        <b/>
        <color rgb="FF00FF00"/>
      </rPr>
      <t>PAGO</t>
    </r>
  </si>
  <si>
    <t xml:space="preserve">R$ 1.000 </t>
  </si>
  <si>
    <r>
      <rPr>
        <rFont val="Calibri"/>
        <b/>
        <color theme="1"/>
      </rPr>
      <t xml:space="preserve">TROCA DA PORTA  </t>
    </r>
    <r>
      <rPr>
        <rFont val="Calibri"/>
        <b/>
        <color rgb="FF00FF00"/>
      </rPr>
      <t>PAGO</t>
    </r>
  </si>
  <si>
    <t>RAFAEL</t>
  </si>
  <si>
    <t xml:space="preserve">R$ 1.200 </t>
  </si>
  <si>
    <r>
      <rPr>
        <rFont val="Calibri"/>
        <b/>
        <color theme="1"/>
      </rPr>
      <t xml:space="preserve">COMPRESSOR </t>
    </r>
    <r>
      <rPr>
        <rFont val="Calibri"/>
        <b/>
        <color rgb="FF00FF00"/>
      </rPr>
      <t>PAGO</t>
    </r>
  </si>
  <si>
    <t xml:space="preserve">R$ 742,84 </t>
  </si>
  <si>
    <r>
      <rPr>
        <rFont val="Calibri"/>
        <b/>
        <color theme="1"/>
      </rPr>
      <t xml:space="preserve">RETROVISOR </t>
    </r>
    <r>
      <rPr>
        <rFont val="Calibri"/>
        <b/>
        <color rgb="FF00FF00"/>
      </rPr>
      <t>PAGO</t>
    </r>
  </si>
  <si>
    <t>R$ 435,04</t>
  </si>
  <si>
    <r>
      <rPr>
        <rFont val="Calibri"/>
        <b/>
        <color theme="1"/>
      </rPr>
      <t xml:space="preserve">VIDRO DA PORTA </t>
    </r>
    <r>
      <rPr>
        <rFont val="Calibri"/>
        <b/>
        <color rgb="FF00FF00"/>
      </rPr>
      <t>PAGO</t>
    </r>
  </si>
  <si>
    <t xml:space="preserve">R$ 357,00 </t>
  </si>
  <si>
    <r>
      <rPr>
        <rFont val="Calibri"/>
        <b/>
        <color theme="1"/>
      </rPr>
      <t xml:space="preserve">PARA-CHOQUE </t>
    </r>
    <r>
      <rPr>
        <rFont val="Calibri"/>
        <b/>
        <color rgb="FF00FF00"/>
      </rPr>
      <t>PAGO</t>
    </r>
  </si>
  <si>
    <t xml:space="preserve">R$ 290,00 </t>
  </si>
  <si>
    <r>
      <rPr>
        <rFont val="Calibri"/>
        <b/>
        <color theme="1"/>
      </rPr>
      <t xml:space="preserve">GRADE PARA-CHOQUE </t>
    </r>
    <r>
      <rPr>
        <rFont val="Calibri"/>
        <b/>
        <color rgb="FF00FF00"/>
      </rPr>
      <t>PAGO</t>
    </r>
  </si>
  <si>
    <t>CONTROLE DE VENCIMENTO DE CNH</t>
  </si>
  <si>
    <t>DATA DE VENCIMENTO DA CNH</t>
  </si>
  <si>
    <t>PLACA DO VEÍCULO</t>
  </si>
  <si>
    <t>GABRIEL MIRANDA</t>
  </si>
  <si>
    <t>AILTON HONORATO</t>
  </si>
  <si>
    <t>NÃO HABILITADO</t>
  </si>
  <si>
    <t>DIEGO OLIVEIRA</t>
  </si>
  <si>
    <t>HELENO HOVANE</t>
  </si>
  <si>
    <t>WEVERTON MIRANDA</t>
  </si>
  <si>
    <t>RVK9B93</t>
  </si>
  <si>
    <t>SYD0J39</t>
  </si>
  <si>
    <t>ANDRÉ VINÍCIUS NAZARÉ ESCOBAR</t>
  </si>
  <si>
    <t>TCR8G41</t>
  </si>
  <si>
    <t>TCH0D80</t>
  </si>
  <si>
    <t>RICHARD GUIMARAES</t>
  </si>
  <si>
    <t>ALAN DAVI</t>
  </si>
  <si>
    <t>TEWA30</t>
  </si>
  <si>
    <t xml:space="preserve">MULLER </t>
  </si>
  <si>
    <t>DOUGLAS</t>
  </si>
  <si>
    <t xml:space="preserve">ANDERSON </t>
  </si>
  <si>
    <t>CONTROLE DE HIGIENIZAÇÃO</t>
  </si>
  <si>
    <t>DATA DA ÚLTIMA HIGIENIZAÇÃO</t>
  </si>
  <si>
    <t>DATA DA PRÓXIMA HIGIENIZAÇÃO</t>
  </si>
  <si>
    <t>FÁBIO DA CONCEIÇÃO</t>
  </si>
  <si>
    <t>DIEGO DA SILVA</t>
  </si>
  <si>
    <t>HELENO ROVANI</t>
  </si>
  <si>
    <t>MARCELINO ALMEIDA</t>
  </si>
  <si>
    <t>MARCELO LOPES</t>
  </si>
  <si>
    <t>ANDRÉ VINICIUS</t>
  </si>
  <si>
    <t>CARLOS MENDES</t>
  </si>
  <si>
    <t>JORGE LUIZ</t>
  </si>
  <si>
    <t>MILLER</t>
  </si>
  <si>
    <t>RICHARD GUIMARÃES</t>
  </si>
  <si>
    <t>ANDERSON</t>
  </si>
  <si>
    <t>RATEIO</t>
  </si>
  <si>
    <t>SPOT PROFARMA</t>
  </si>
  <si>
    <t>DATA DE VENCIMENTO</t>
  </si>
  <si>
    <t>NOTA DE DÉBITO</t>
  </si>
  <si>
    <t>VALOR E-MAIL</t>
  </si>
  <si>
    <t>LOCAÇÃO</t>
  </si>
  <si>
    <t>TAXA ADMINISTRATIVA</t>
  </si>
  <si>
    <t>JUROS DE PAGAMENTO</t>
  </si>
  <si>
    <t>MULTA DE PAGAMENTO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</si>
</sst>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dd/mm/yyyy"/>
    <numFmt numFmtId="166" formatCode="&quot;R$&quot; #,##0.00"/>
    <numFmt numFmtId="167" formatCode="[$R$ -416]#,##0.00"/>
    <numFmt numFmtId="168" formatCode="mmm/yyyy"/>
    <numFmt numFmtId="169" formatCode="d/m/yyyy"/>
    <numFmt numFmtId="170" formatCode="_-&quot;R$&quot;* #,##0.00_-;\-&quot;R$&quot;* #,##0.00_-;_-&quot;R$&quot;* &quot;-&quot;??_-;_-@"/>
    <numFmt numFmtId="171" formatCode="_([$R$ -416]* #,##0.00_);_([$R$ -416]* \(#,##0.00\);_([$R$ -416]* &quot;-&quot;??_);_(@_)"/>
  </numFmts>
  <fonts count="48">
    <font>
      <sz val="11.0"/>
      <color theme="1"/>
      <name val="Calibri"/>
      <scheme val="minor"/>
    </font>
    <font>
      <b/>
      <sz val="10.0"/>
      <color theme="1"/>
      <name val="Calibri"/>
      <scheme val="minor"/>
    </font>
    <font>
      <b/>
      <sz val="10.0"/>
      <color theme="1"/>
      <name val="Calibri"/>
    </font>
    <font>
      <color theme="1"/>
      <name val="Calibri"/>
      <scheme val="minor"/>
    </font>
    <font>
      <color rgb="FF000000"/>
      <name val="Calibri"/>
    </font>
    <font>
      <sz val="11.0"/>
      <color rgb="FF000000"/>
      <name val="Calibri"/>
    </font>
    <font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rgb="FFFFFFFF"/>
      <name val="Calibri"/>
    </font>
    <font>
      <b/>
      <sz val="11.0"/>
      <color rgb="FFFFFFFF"/>
      <name val="Calibri"/>
    </font>
    <font>
      <b/>
      <color theme="1"/>
      <name val="Calibri"/>
      <scheme val="minor"/>
    </font>
    <font>
      <b/>
      <sz val="9.0"/>
      <color rgb="FFFFFFFF"/>
      <name val="Arial"/>
    </font>
    <font>
      <color theme="1"/>
      <name val="Arial"/>
    </font>
    <font>
      <color theme="1"/>
      <name val="Aptos Narrow"/>
    </font>
    <font>
      <sz val="11.0"/>
      <color theme="1"/>
      <name val="Arial"/>
    </font>
    <font>
      <sz val="11.0"/>
      <color theme="1"/>
      <name val="Aptos Narrow"/>
    </font>
    <font>
      <sz val="10.0"/>
      <color theme="1"/>
      <name val="Roboto"/>
    </font>
    <font>
      <sz val="10.0"/>
      <color rgb="FF292929"/>
      <name val="Roboto"/>
    </font>
    <font>
      <sz val="10.0"/>
      <color rgb="FF000000"/>
      <name val="Roboto"/>
    </font>
    <font>
      <sz val="11.0"/>
      <color rgb="FF000000"/>
      <name val="Roboto"/>
    </font>
    <font>
      <sz val="11.0"/>
      <color rgb="FF000000"/>
      <name val="&quot;Aptos Narrow&quot;"/>
    </font>
    <font>
      <sz val="10.0"/>
      <color rgb="FF000000"/>
      <name val="Calibri"/>
    </font>
    <font>
      <b/>
      <sz val="14.0"/>
      <color rgb="FF002060"/>
      <name val="Calibri"/>
    </font>
    <font>
      <b/>
      <sz val="12.0"/>
      <color rgb="FF002060"/>
      <name val="Calibri"/>
    </font>
    <font>
      <b/>
      <sz val="11.0"/>
      <color rgb="FF002060"/>
      <name val="Calibri"/>
    </font>
    <font>
      <sz val="10.0"/>
      <color rgb="FF000000"/>
      <name val="Montserrat"/>
    </font>
    <font>
      <b/>
      <sz val="10.0"/>
      <color rgb="FF000000"/>
      <name val="Calibri"/>
    </font>
    <font>
      <sz val="12.0"/>
      <color theme="1"/>
      <name val="Calibri"/>
    </font>
    <font>
      <sz val="10.0"/>
      <color theme="1"/>
      <name val="Calibri"/>
      <scheme val="minor"/>
    </font>
    <font>
      <sz val="12.0"/>
      <color theme="1"/>
      <name val="&quot;Aptos&quot;"/>
    </font>
    <font>
      <sz val="11.0"/>
      <color theme="1"/>
      <name val="&quot;Calibri&quot;"/>
    </font>
    <font>
      <sz val="12.0"/>
      <color theme="1"/>
      <name val="Arial"/>
    </font>
    <font>
      <sz val="12.0"/>
      <color theme="1"/>
      <name val="&quot;Tahoma&quot;"/>
    </font>
    <font>
      <color rgb="FFFFFFFF"/>
      <name val="Calibri"/>
      <scheme val="minor"/>
    </font>
    <font>
      <b/>
      <sz val="11.0"/>
      <color theme="0"/>
      <name val="Calibri"/>
    </font>
    <font>
      <b/>
      <sz val="11.0"/>
      <color rgb="FF000000"/>
      <name val="Calibri"/>
    </font>
    <font>
      <b/>
      <sz val="11.0"/>
      <color rgb="FF38761D"/>
      <name val="Calibri"/>
    </font>
    <font>
      <b/>
      <sz val="11.0"/>
      <color rgb="FFFF0000"/>
      <name val="Calibri"/>
    </font>
    <font>
      <b/>
      <color rgb="FF000000"/>
      <name val="Calibri"/>
    </font>
    <font>
      <b/>
      <sz val="10.0"/>
      <color theme="0"/>
      <name val="Calibri"/>
    </font>
    <font>
      <b/>
      <sz val="11.0"/>
      <color rgb="FF000000"/>
      <name val="Aptos"/>
    </font>
    <font>
      <b/>
      <sz val="11.0"/>
      <color rgb="FFFF0000"/>
      <name val="Aptos"/>
    </font>
    <font>
      <b/>
      <sz val="11.0"/>
      <color rgb="FF000000"/>
      <name val="Arial"/>
    </font>
    <font>
      <b/>
      <sz val="11.0"/>
      <color rgb="FFFF0000"/>
      <name val="Arial"/>
    </font>
    <font>
      <b/>
      <sz val="14.0"/>
      <color rgb="FF000000"/>
      <name val="Calibri"/>
    </font>
    <font>
      <b/>
      <sz val="10.0"/>
      <color rgb="FFFFFFFF"/>
      <name val="Calibri"/>
    </font>
    <font>
      <i/>
      <color theme="1"/>
      <name val="Calibri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1F4E79"/>
        <bgColor rgb="FF1F4E79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F3F3F3"/>
        <bgColor rgb="FFF3F3F3"/>
      </patternFill>
    </fill>
    <fill>
      <patternFill patternType="solid">
        <fgColor theme="5"/>
        <bgColor theme="5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6F8F9"/>
        <bgColor rgb="FFF6F8F9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</fills>
  <borders count="10">
    <border/>
    <border>
      <left/>
      <right/>
      <top/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6F8F9"/>
      </left>
      <right style="thin">
        <color rgb="FFF6F8F9"/>
      </right>
      <bottom style="thin">
        <color rgb="FFF6F8F9"/>
      </bottom>
    </border>
    <border>
      <left style="thin">
        <color rgb="FFFFFFFF"/>
      </left>
      <right style="thin">
        <color rgb="FFFFFFFF"/>
      </right>
      <bottom style="thin">
        <color rgb="FF284E3F"/>
      </bottom>
    </border>
  </borders>
  <cellStyleXfs count="1">
    <xf borderId="0" fillId="0" fontId="0" numFmtId="0" applyAlignment="1" applyFont="1"/>
  </cellStyleXfs>
  <cellXfs count="3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4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4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14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1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vertical="bottom"/>
    </xf>
    <xf borderId="0" fillId="0" fontId="8" numFmtId="165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0" fillId="0" fontId="3" numFmtId="14" xfId="0" applyFont="1" applyNumberFormat="1"/>
    <xf borderId="0" fillId="0" fontId="8" numFmtId="165" xfId="0" applyAlignment="1" applyFont="1" applyNumberFormat="1">
      <alignment horizontal="right" vertical="bottom"/>
    </xf>
    <xf borderId="0" fillId="2" fontId="9" numFmtId="0" xfId="0" applyAlignment="1" applyFont="1">
      <alignment horizontal="left" readingOrder="0" shrinkToFit="0" wrapText="0"/>
    </xf>
    <xf borderId="1" fillId="3" fontId="10" numFmtId="0" xfId="0" applyAlignment="1" applyBorder="1" applyFill="1" applyFont="1">
      <alignment horizontal="center" shrinkToFit="0" wrapText="1"/>
    </xf>
    <xf borderId="1" fillId="3" fontId="10" numFmtId="0" xfId="0" applyAlignment="1" applyBorder="1" applyFont="1">
      <alignment horizontal="center" readingOrder="0" shrinkToFit="0" wrapText="1"/>
    </xf>
    <xf borderId="0" fillId="0" fontId="8" numFmtId="166" xfId="0" applyAlignment="1" applyFont="1" applyNumberFormat="1">
      <alignment horizontal="right" vertical="bottom"/>
    </xf>
    <xf borderId="0" fillId="0" fontId="3" numFmtId="0" xfId="0" applyFont="1"/>
    <xf borderId="0" fillId="0" fontId="3" numFmtId="167" xfId="0" applyFont="1" applyNumberFormat="1"/>
    <xf borderId="0" fillId="0" fontId="3" numFmtId="49" xfId="0" applyFont="1" applyNumberFormat="1"/>
    <xf borderId="0" fillId="0" fontId="3" numFmtId="0" xfId="0" applyAlignment="1" applyFont="1">
      <alignment horizontal="center"/>
    </xf>
    <xf borderId="0" fillId="0" fontId="3" numFmtId="167" xfId="0" applyAlignment="1" applyFont="1" applyNumberFormat="1">
      <alignment horizontal="center"/>
    </xf>
    <xf borderId="0" fillId="0" fontId="11" numFmtId="0" xfId="0" applyAlignment="1" applyFont="1">
      <alignment horizontal="center" readingOrder="0"/>
    </xf>
    <xf borderId="0" fillId="0" fontId="8" numFmtId="168" xfId="0" applyFont="1" applyNumberFormat="1"/>
    <xf borderId="0" fillId="0" fontId="3" numFmtId="167" xfId="0" applyAlignment="1" applyFont="1" applyNumberFormat="1">
      <alignment readingOrder="0"/>
    </xf>
    <xf borderId="0" fillId="0" fontId="8" numFmtId="168" xfId="0" applyAlignment="1" applyFont="1" applyNumberFormat="1">
      <alignment readingOrder="0"/>
    </xf>
    <xf borderId="2" fillId="4" fontId="12" numFmtId="0" xfId="0" applyAlignment="1" applyBorder="1" applyFill="1" applyFont="1">
      <alignment horizontal="center" readingOrder="0"/>
    </xf>
    <xf borderId="3" fillId="4" fontId="12" numFmtId="0" xfId="0" applyAlignment="1" applyBorder="1" applyFont="1">
      <alignment horizontal="center" readingOrder="0"/>
    </xf>
    <xf borderId="4" fillId="0" fontId="13" numFmtId="0" xfId="0" applyAlignment="1" applyBorder="1" applyFont="1">
      <alignment horizontal="center" readingOrder="0"/>
    </xf>
    <xf borderId="4" fillId="0" fontId="14" numFmtId="0" xfId="0" applyAlignment="1" applyBorder="1" applyFont="1">
      <alignment horizontal="center" readingOrder="0"/>
    </xf>
    <xf borderId="4" fillId="0" fontId="13" numFmtId="169" xfId="0" applyAlignment="1" applyBorder="1" applyFont="1" applyNumberFormat="1">
      <alignment horizontal="center" readingOrder="0"/>
    </xf>
    <xf borderId="4" fillId="5" fontId="15" numFmtId="0" xfId="0" applyAlignment="1" applyBorder="1" applyFill="1" applyFont="1">
      <alignment horizontal="center" readingOrder="0"/>
    </xf>
    <xf borderId="4" fillId="0" fontId="13" numFmtId="165" xfId="0" applyAlignment="1" applyBorder="1" applyFont="1" applyNumberFormat="1">
      <alignment horizontal="center" readingOrder="0"/>
    </xf>
    <xf borderId="4" fillId="5" fontId="14" numFmtId="0" xfId="0" applyAlignment="1" applyBorder="1" applyFont="1">
      <alignment horizontal="center" readingOrder="0"/>
    </xf>
    <xf borderId="4" fillId="0" fontId="16" numFmtId="0" xfId="0" applyBorder="1" applyFont="1"/>
    <xf borderId="4" fillId="0" fontId="16" numFmtId="0" xfId="0" applyAlignment="1" applyBorder="1" applyFont="1">
      <alignment horizontal="center" readingOrder="0"/>
    </xf>
    <xf borderId="4" fillId="0" fontId="13" numFmtId="0" xfId="0" applyAlignment="1" applyBorder="1" applyFont="1">
      <alignment horizontal="center"/>
    </xf>
    <xf borderId="4" fillId="5" fontId="13" numFmtId="0" xfId="0" applyAlignment="1" applyBorder="1" applyFont="1">
      <alignment horizontal="center" readingOrder="0"/>
    </xf>
    <xf borderId="0" fillId="0" fontId="17" numFmtId="164" xfId="0" applyAlignment="1" applyFont="1" applyNumberFormat="1">
      <alignment horizontal="center" readingOrder="0" shrinkToFit="0" vertical="center" wrapText="0"/>
    </xf>
    <xf borderId="0" fillId="0" fontId="17" numFmtId="49" xfId="0" applyAlignment="1" applyFont="1" applyNumberFormat="1">
      <alignment horizontal="center" readingOrder="0" shrinkToFit="0" vertical="center" wrapText="0"/>
    </xf>
    <xf borderId="0" fillId="0" fontId="17" numFmtId="49" xfId="0" applyAlignment="1" applyFont="1" applyNumberFormat="1">
      <alignment horizontal="center" readingOrder="0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17" numFmtId="167" xfId="0" applyAlignment="1" applyFont="1" applyNumberFormat="1">
      <alignment horizontal="center" readingOrder="0" shrinkToFit="0" vertical="center" wrapText="0"/>
    </xf>
    <xf borderId="0" fillId="0" fontId="17" numFmtId="164" xfId="0" applyAlignment="1" applyFont="1" applyNumberFormat="1">
      <alignment readingOrder="0" shrinkToFit="0" vertical="center" wrapText="0"/>
    </xf>
    <xf borderId="0" fillId="0" fontId="18" numFmtId="49" xfId="0" applyAlignment="1" applyFont="1" applyNumberForma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17" numFmtId="164" xfId="0" applyAlignment="1" applyFont="1" applyNumberFormat="1">
      <alignment shrinkToFit="0" vertical="center" wrapText="0"/>
    </xf>
    <xf borderId="0" fillId="0" fontId="17" numFmtId="0" xfId="0" applyAlignment="1" applyFont="1">
      <alignment shrinkToFit="0" vertical="center" wrapText="0"/>
    </xf>
    <xf borderId="0" fillId="0" fontId="17" numFmtId="0" xfId="0" applyAlignment="1" applyFont="1">
      <alignment horizontal="center" shrinkToFit="0" vertical="center" wrapText="0"/>
    </xf>
    <xf borderId="0" fillId="0" fontId="17" numFmtId="167" xfId="0" applyAlignment="1" applyFont="1" applyNumberFormat="1">
      <alignment horizontal="center" shrinkToFit="0" vertical="center" wrapText="0"/>
    </xf>
    <xf borderId="0" fillId="0" fontId="19" numFmtId="49" xfId="0" applyAlignment="1" applyFont="1" applyNumberFormat="1">
      <alignment readingOrder="0" shrinkToFit="0" vertical="bottom" wrapText="0"/>
    </xf>
    <xf borderId="0" fillId="0" fontId="17" numFmtId="0" xfId="0" applyAlignment="1" applyFont="1">
      <alignment readingOrder="0" shrinkToFit="0" vertical="center" wrapText="0"/>
    </xf>
    <xf borderId="0" fillId="0" fontId="20" numFmtId="0" xfId="0" applyAlignment="1" applyFont="1">
      <alignment horizontal="center" readingOrder="0" shrinkToFit="0" vertical="bottom" wrapText="0"/>
    </xf>
    <xf borderId="0" fillId="0" fontId="17" numFmtId="167" xfId="0" applyAlignment="1" applyFont="1" applyNumberFormat="1">
      <alignment horizontal="center" readingOrder="0" shrinkToFit="0" vertical="center" wrapText="0"/>
    </xf>
    <xf borderId="0" fillId="0" fontId="19" numFmtId="167" xfId="0" applyAlignment="1" applyFont="1" applyNumberFormat="1">
      <alignment horizontal="center" readingOrder="0" shrinkToFit="0" vertical="bottom" wrapText="0"/>
    </xf>
    <xf borderId="0" fillId="0" fontId="21" numFmtId="167" xfId="0" applyAlignment="1" applyFont="1" applyNumberFormat="1">
      <alignment horizontal="center" readingOrder="0" shrinkToFit="0" vertical="bottom" wrapText="0"/>
    </xf>
    <xf borderId="0" fillId="0" fontId="21" numFmtId="0" xfId="0" applyAlignment="1" applyFont="1">
      <alignment horizontal="center" readingOrder="0" shrinkToFit="0" vertical="bottom" wrapText="0"/>
    </xf>
    <xf borderId="0" fillId="0" fontId="21" numFmtId="167" xfId="0" applyAlignment="1" applyFont="1" applyNumberFormat="1">
      <alignment horizontal="right" readingOrder="0" shrinkToFit="0" vertical="bottom" wrapText="0"/>
    </xf>
    <xf borderId="0" fillId="0" fontId="22" numFmtId="0" xfId="0" applyAlignment="1" applyFont="1">
      <alignment horizontal="center" readingOrder="0" shrinkToFit="0" vertical="center" wrapText="0"/>
    </xf>
    <xf borderId="0" fillId="0" fontId="11" numFmtId="49" xfId="0" applyAlignment="1" applyFont="1" applyNumberFormat="1">
      <alignment horizontal="center" readingOrder="0" shrinkToFit="0" vertical="center" wrapText="1"/>
    </xf>
    <xf borderId="0" fillId="2" fontId="11" numFmtId="49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23" numFmtId="0" xfId="0" applyAlignment="1" applyFont="1">
      <alignment horizontal="center" vertical="center"/>
    </xf>
    <xf borderId="0" fillId="0" fontId="24" numFmtId="0" xfId="0" applyAlignment="1" applyFont="1">
      <alignment horizontal="center" vertical="center"/>
    </xf>
    <xf borderId="0" fillId="0" fontId="25" numFmtId="0" xfId="0" applyAlignment="1" applyFont="1">
      <alignment horizontal="center" vertical="center"/>
    </xf>
    <xf borderId="0" fillId="0" fontId="25" numFmtId="0" xfId="0" applyAlignment="1" applyFont="1">
      <alignment horizontal="right" vertical="center"/>
    </xf>
    <xf borderId="0" fillId="0" fontId="25" numFmtId="164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70" xfId="0" applyAlignment="1" applyFont="1" applyNumberFormat="1">
      <alignment horizontal="right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2" numFmtId="0" xfId="0" applyAlignment="1" applyFont="1">
      <alignment horizontal="center" readingOrder="0" shrinkToFit="0" vertical="center" wrapText="0"/>
    </xf>
    <xf borderId="0" fillId="0" fontId="22" numFmtId="49" xfId="0" applyAlignment="1" applyFont="1" applyNumberFormat="1">
      <alignment horizontal="center" readingOrder="0" shrinkToFit="0" vertical="center" wrapText="0"/>
    </xf>
    <xf borderId="0" fillId="0" fontId="22" numFmtId="0" xfId="0" applyAlignment="1" applyFont="1">
      <alignment readingOrder="0" shrinkToFit="0" vertical="center" wrapText="0"/>
    </xf>
    <xf borderId="0" fillId="0" fontId="22" numFmtId="170" xfId="0" applyAlignment="1" applyFont="1" applyNumberFormat="1">
      <alignment horizontal="center" readingOrder="0" shrinkToFit="0" vertical="center" wrapText="0"/>
    </xf>
    <xf borderId="0" fillId="0" fontId="22" numFmtId="0" xfId="0" applyAlignment="1" applyFont="1">
      <alignment horizontal="center" shrinkToFit="0" vertical="center" wrapText="0"/>
    </xf>
    <xf borderId="0" fillId="0" fontId="22" numFmtId="3" xfId="0" applyAlignment="1" applyFont="1" applyNumberFormat="1">
      <alignment horizontal="center" readingOrder="0" shrinkToFit="0" vertical="center" wrapText="0"/>
    </xf>
    <xf borderId="0" fillId="0" fontId="22" numFmtId="171" xfId="0" applyAlignment="1" applyFont="1" applyNumberFormat="1">
      <alignment horizontal="center" readingOrder="0" shrinkToFit="0" vertical="center" wrapText="0"/>
    </xf>
    <xf borderId="0" fillId="0" fontId="22" numFmtId="164" xfId="0" applyAlignment="1" applyFont="1" applyNumberFormat="1">
      <alignment readingOrder="0" shrinkToFit="0" vertical="center" wrapText="0"/>
    </xf>
    <xf borderId="0" fillId="0" fontId="22" numFmtId="0" xfId="0" applyAlignment="1" applyFont="1">
      <alignment horizontal="center" readingOrder="0" shrinkToFit="0" vertical="bottom" wrapText="0"/>
    </xf>
    <xf borderId="0" fillId="0" fontId="22" numFmtId="0" xfId="0" applyAlignment="1" applyFont="1">
      <alignment horizontal="center" readingOrder="0" shrinkToFit="0" vertical="center" wrapText="0"/>
    </xf>
    <xf borderId="0" fillId="0" fontId="22" numFmtId="49" xfId="0" applyAlignment="1" applyFont="1" applyNumberFormat="1">
      <alignment horizontal="center" readingOrder="0" shrinkToFit="0" vertical="center" wrapText="0"/>
    </xf>
    <xf borderId="0" fillId="0" fontId="22" numFmtId="0" xfId="0" applyAlignment="1" applyFont="1">
      <alignment horizontal="center" readingOrder="0" shrinkToFit="0" vertical="center" wrapText="0"/>
    </xf>
    <xf borderId="0" fillId="0" fontId="22" numFmtId="3" xfId="0" applyAlignment="1" applyFont="1" applyNumberFormat="1">
      <alignment horizontal="center" readingOrder="0" shrinkToFit="0" vertical="center" wrapText="0"/>
    </xf>
    <xf borderId="0" fillId="0" fontId="22" numFmtId="170" xfId="0" applyAlignment="1" applyFont="1" applyNumberFormat="1">
      <alignment horizontal="center" readingOrder="0" shrinkToFit="0" vertical="center" wrapText="0"/>
    </xf>
    <xf borderId="0" fillId="0" fontId="22" numFmtId="164" xfId="0" applyAlignment="1" applyFont="1" applyNumberFormat="1">
      <alignment readingOrder="0" shrinkToFit="0" vertical="center" wrapText="0"/>
    </xf>
    <xf borderId="0" fillId="0" fontId="22" numFmtId="49" xfId="0" applyAlignment="1" applyFont="1" applyNumberFormat="1">
      <alignment horizontal="center" readingOrder="0" shrinkToFit="0" vertical="center" wrapText="0"/>
    </xf>
    <xf borderId="0" fillId="0" fontId="22" numFmtId="164" xfId="0" applyAlignment="1" applyFont="1" applyNumberFormat="1">
      <alignment shrinkToFit="0" vertical="center" wrapText="0"/>
    </xf>
    <xf borderId="0" fillId="0" fontId="22" numFmtId="49" xfId="0" applyAlignment="1" applyFont="1" applyNumberFormat="1">
      <alignment horizontal="center" shrinkToFit="0" vertical="bottom" wrapText="0"/>
    </xf>
    <xf borderId="0" fillId="0" fontId="22" numFmtId="0" xfId="0" applyAlignment="1" applyFont="1">
      <alignment horizontal="center" shrinkToFit="0" vertical="center" wrapText="0"/>
    </xf>
    <xf borderId="0" fillId="0" fontId="22" numFmtId="170" xfId="0" applyAlignment="1" applyFont="1" applyNumberFormat="1">
      <alignment horizontal="center" shrinkToFit="0" vertical="bottom" wrapText="0"/>
    </xf>
    <xf borderId="0" fillId="0" fontId="22" numFmtId="0" xfId="0" applyAlignment="1" applyFont="1">
      <alignment horizontal="center"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0" fillId="0" fontId="26" numFmtId="0" xfId="0" applyAlignment="1" applyFont="1">
      <alignment horizontal="center" readingOrder="0" shrinkToFit="0" vertical="center" wrapText="0"/>
    </xf>
    <xf borderId="0" fillId="0" fontId="22" numFmtId="0" xfId="0" applyAlignment="1" applyFont="1">
      <alignment horizontal="center" readingOrder="0" shrinkToFit="0" vertical="center" wrapText="0"/>
    </xf>
    <xf borderId="0" fillId="0" fontId="22" numFmtId="0" xfId="0" applyAlignment="1" applyFont="1">
      <alignment horizontal="center" shrinkToFit="0" vertical="center" wrapText="0"/>
    </xf>
    <xf borderId="0" fillId="0" fontId="22" numFmtId="0" xfId="0" applyAlignment="1" applyFont="1">
      <alignment shrinkToFit="0" vertical="center" wrapText="0"/>
    </xf>
    <xf borderId="0" fillId="0" fontId="22" numFmtId="170" xfId="0" applyAlignment="1" applyFont="1" applyNumberFormat="1">
      <alignment horizontal="right" shrinkToFit="0" vertical="center" wrapText="0"/>
    </xf>
    <xf borderId="0" fillId="0" fontId="22" numFmtId="0" xfId="0" applyAlignment="1" applyFont="1">
      <alignment horizontal="center" shrinkToFit="0" vertical="center" wrapText="0"/>
    </xf>
    <xf borderId="0" fillId="0" fontId="22" numFmtId="164" xfId="0" applyAlignment="1" applyFont="1" applyNumberFormat="1">
      <alignment readingOrder="0" shrinkToFit="0" vertical="center" wrapText="0"/>
    </xf>
    <xf borderId="0" fillId="0" fontId="22" numFmtId="164" xfId="0" applyAlignment="1" applyFont="1" applyNumberFormat="1">
      <alignment shrinkToFit="0" vertical="center" wrapText="0"/>
    </xf>
    <xf borderId="0" fillId="0" fontId="27" numFmtId="0" xfId="0" applyAlignment="1" applyFont="1">
      <alignment horizontal="center" shrinkToFit="0" vertical="center" wrapText="0"/>
    </xf>
    <xf borderId="0" fillId="0" fontId="22" numFmtId="170" xfId="0" applyAlignment="1" applyFont="1" applyNumberFormat="1">
      <alignment horizontal="right" readingOrder="0" shrinkToFit="0" vertical="center" wrapText="0"/>
    </xf>
    <xf borderId="5" fillId="5" fontId="4" numFmtId="0" xfId="0" applyAlignment="1" applyBorder="1" applyFont="1">
      <alignment readingOrder="0" shrinkToFit="0" vertical="center" wrapText="0"/>
    </xf>
    <xf borderId="5" fillId="5" fontId="4" numFmtId="170" xfId="0" applyAlignment="1" applyBorder="1" applyFont="1" applyNumberFormat="1">
      <alignment horizontal="center" readingOrder="0" shrinkToFit="0" vertical="center" wrapText="0"/>
    </xf>
    <xf borderId="5" fillId="5" fontId="5" numFmtId="0" xfId="0" applyAlignment="1" applyBorder="1" applyFont="1">
      <alignment shrinkToFit="0" vertical="center" wrapText="0"/>
    </xf>
    <xf borderId="5" fillId="5" fontId="4" numFmtId="0" xfId="0" applyAlignment="1" applyBorder="1" applyFont="1">
      <alignment horizontal="center" readingOrder="0" shrinkToFit="0" vertical="center" wrapText="0"/>
    </xf>
    <xf borderId="5" fillId="5" fontId="4" numFmtId="164" xfId="0" applyAlignment="1" applyBorder="1" applyFont="1" applyNumberFormat="1">
      <alignment horizontal="right" shrinkToFit="0" vertical="center" wrapText="0"/>
    </xf>
    <xf borderId="5" fillId="5" fontId="4" numFmtId="0" xfId="0" applyAlignment="1" applyBorder="1" applyFont="1">
      <alignment horizontal="center" readingOrder="0" shrinkToFit="0" vertical="bottom" wrapText="0"/>
    </xf>
    <xf borderId="6" fillId="5" fontId="4" numFmtId="0" xfId="0" applyAlignment="1" applyBorder="1" applyFont="1">
      <alignment horizontal="center" shrinkToFit="0" vertical="bottom" wrapText="0"/>
    </xf>
    <xf borderId="0" fillId="0" fontId="27" numFmtId="0" xfId="0" applyAlignment="1" applyFont="1">
      <alignment horizontal="center" readingOrder="0" shrinkToFit="0" vertical="center" wrapText="0"/>
    </xf>
    <xf borderId="0" fillId="5" fontId="5" numFmtId="0" xfId="0" applyAlignment="1" applyFont="1">
      <alignment readingOrder="0" shrinkToFit="0" vertical="center" wrapText="0"/>
    </xf>
    <xf borderId="0" fillId="5" fontId="5" numFmtId="170" xfId="0" applyAlignment="1" applyFont="1" applyNumberFormat="1">
      <alignment horizontal="center" readingOrder="0" shrinkToFit="0" vertical="center" wrapText="0"/>
    </xf>
    <xf borderId="0" fillId="5" fontId="5" numFmtId="0" xfId="0" applyAlignment="1" applyFont="1">
      <alignment horizontal="center" shrinkToFit="0" vertical="center" wrapText="0"/>
    </xf>
    <xf borderId="0" fillId="5" fontId="5" numFmtId="0" xfId="0" applyAlignment="1" applyFont="1">
      <alignment horizontal="center" readingOrder="0" shrinkToFit="0" vertical="center" wrapText="0"/>
    </xf>
    <xf borderId="0" fillId="5" fontId="5" numFmtId="164" xfId="0" applyAlignment="1" applyFont="1" applyNumberFormat="1">
      <alignment shrinkToFit="0" vertical="center" wrapText="0"/>
    </xf>
    <xf borderId="0" fillId="5" fontId="5" numFmtId="0" xfId="0" applyAlignment="1" applyFont="1">
      <alignment horizontal="center" readingOrder="0" shrinkToFit="0" vertical="bottom" wrapText="0"/>
    </xf>
    <xf borderId="0" fillId="5" fontId="27" numFmtId="0" xfId="0" applyAlignment="1" applyFont="1">
      <alignment horizontal="center" shrinkToFit="0" vertical="bottom" wrapText="0"/>
    </xf>
    <xf borderId="0" fillId="0" fontId="28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170" xfId="0" applyAlignment="1" applyFont="1" applyNumberFormat="1">
      <alignment horizontal="right" vertical="center"/>
    </xf>
    <xf borderId="0" fillId="0" fontId="8" numFmtId="170" xfId="0" applyAlignment="1" applyFont="1" applyNumberForma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1" fillId="4" fontId="8" numFmtId="0" xfId="0" applyAlignment="1" applyBorder="1" applyFont="1">
      <alignment horizontal="center" vertical="center"/>
    </xf>
    <xf borderId="1" fillId="4" fontId="28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vertical="center"/>
    </xf>
    <xf borderId="1" fillId="4" fontId="8" numFmtId="170" xfId="0" applyAlignment="1" applyBorder="1" applyFont="1" applyNumberFormat="1">
      <alignment horizontal="right" vertical="center"/>
    </xf>
    <xf borderId="1" fillId="4" fontId="8" numFmtId="170" xfId="0" applyAlignment="1" applyBorder="1" applyFont="1" applyNumberFormat="1">
      <alignment horizontal="center" vertical="center"/>
    </xf>
    <xf borderId="1" fillId="4" fontId="8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readingOrder="0"/>
    </xf>
    <xf borderId="0" fillId="0" fontId="3" numFmtId="14" xfId="0" applyAlignment="1" applyFont="1" applyNumberFormat="1">
      <alignment horizontal="center"/>
    </xf>
    <xf borderId="0" fillId="0" fontId="29" numFmtId="0" xfId="0" applyAlignment="1" applyFont="1">
      <alignment horizontal="left" readingOrder="0"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left" readingOrder="0" shrinkToFit="0" vertical="center" wrapText="1"/>
    </xf>
    <xf borderId="0" fillId="0" fontId="29" numFmtId="0" xfId="0" applyFont="1"/>
    <xf borderId="0" fillId="6" fontId="29" numFmtId="164" xfId="0" applyAlignment="1" applyFill="1" applyFont="1" applyNumberFormat="1">
      <alignment readingOrder="0" shrinkToFit="0" vertical="center" wrapText="0"/>
    </xf>
    <xf borderId="0" fillId="6" fontId="29" numFmtId="0" xfId="0" applyAlignment="1" applyFont="1">
      <alignment shrinkToFit="0" vertical="center" wrapText="0"/>
    </xf>
    <xf borderId="0" fillId="6" fontId="29" numFmtId="0" xfId="0" applyAlignment="1" applyFont="1">
      <alignment readingOrder="0" shrinkToFit="0" vertical="center" wrapText="0"/>
    </xf>
    <xf borderId="0" fillId="6" fontId="29" numFmtId="49" xfId="0" applyAlignment="1" applyFont="1" applyNumberFormat="1">
      <alignment readingOrder="0" shrinkToFit="0" vertical="center" wrapText="0"/>
    </xf>
    <xf borderId="0" fillId="6" fontId="29" numFmtId="0" xfId="0" applyAlignment="1" applyFont="1">
      <alignment horizontal="center" shrinkToFit="0" vertical="center" wrapText="0"/>
    </xf>
    <xf borderId="0" fillId="6" fontId="29" numFmtId="167" xfId="0" applyAlignment="1" applyFont="1" applyNumberFormat="1">
      <alignment horizontal="center" readingOrder="0" shrinkToFit="0" vertical="center" wrapText="0"/>
    </xf>
    <xf borderId="0" fillId="6" fontId="29" numFmtId="170" xfId="0" applyAlignment="1" applyFont="1" applyNumberFormat="1">
      <alignment readingOrder="0" shrinkToFit="0" vertical="center" wrapText="0"/>
    </xf>
    <xf borderId="0" fillId="6" fontId="29" numFmtId="170" xfId="0" applyAlignment="1" applyFont="1" applyNumberFormat="1">
      <alignment shrinkToFit="0" vertical="center" wrapText="0"/>
    </xf>
    <xf borderId="0" fillId="6" fontId="29" numFmtId="167" xfId="0" applyAlignment="1" applyFont="1" applyNumberFormat="1">
      <alignment horizontal="center" shrinkToFit="0" vertical="center" wrapText="0"/>
    </xf>
    <xf borderId="0" fillId="6" fontId="29" numFmtId="169" xfId="0" applyAlignment="1" applyFont="1" applyNumberFormat="1">
      <alignment readingOrder="0" shrinkToFit="0" vertical="center" wrapText="0"/>
    </xf>
    <xf borderId="0" fillId="6" fontId="29" numFmtId="0" xfId="0" applyFont="1"/>
    <xf borderId="0" fillId="6" fontId="22" numFmtId="170" xfId="0" applyAlignment="1" applyFont="1" applyNumberFormat="1">
      <alignment horizontal="center" readingOrder="0" shrinkToFit="0" vertical="center" wrapText="0"/>
    </xf>
    <xf borderId="0" fillId="0" fontId="29" numFmtId="164" xfId="0" applyAlignment="1" applyFont="1" applyNumberFormat="1">
      <alignment readingOrder="0" shrinkToFit="0" vertical="center" wrapText="0"/>
    </xf>
    <xf borderId="0" fillId="0" fontId="29" numFmtId="0" xfId="0" applyAlignment="1" applyFont="1">
      <alignment shrinkToFit="0" vertical="center" wrapText="0"/>
    </xf>
    <xf borderId="0" fillId="0" fontId="29" numFmtId="0" xfId="0" applyAlignment="1" applyFont="1">
      <alignment readingOrder="0" shrinkToFit="0" vertical="center" wrapText="0"/>
    </xf>
    <xf borderId="0" fillId="0" fontId="29" numFmtId="49" xfId="0" applyAlignment="1" applyFont="1" applyNumberFormat="1">
      <alignment readingOrder="0" shrinkToFit="0" vertical="center" wrapText="0"/>
    </xf>
    <xf borderId="0" fillId="0" fontId="29" numFmtId="167" xfId="0" applyAlignment="1" applyFont="1" applyNumberFormat="1">
      <alignment horizontal="center" readingOrder="0" shrinkToFit="0" vertical="center" wrapText="0"/>
    </xf>
    <xf borderId="0" fillId="0" fontId="29" numFmtId="170" xfId="0" applyAlignment="1" applyFont="1" applyNumberFormat="1">
      <alignment readingOrder="0" shrinkToFit="0" vertical="center" wrapText="0"/>
    </xf>
    <xf borderId="0" fillId="0" fontId="29" numFmtId="170" xfId="0" applyAlignment="1" applyFont="1" applyNumberFormat="1">
      <alignment shrinkToFit="0" vertical="center" wrapText="0"/>
    </xf>
    <xf borderId="0" fillId="7" fontId="29" numFmtId="164" xfId="0" applyAlignment="1" applyFill="1" applyFont="1" applyNumberFormat="1">
      <alignment readingOrder="0" shrinkToFit="0" vertical="center" wrapText="0"/>
    </xf>
    <xf borderId="0" fillId="7" fontId="29" numFmtId="0" xfId="0" applyAlignment="1" applyFont="1">
      <alignment shrinkToFit="0" vertical="center" wrapText="0"/>
    </xf>
    <xf borderId="0" fillId="7" fontId="29" numFmtId="0" xfId="0" applyAlignment="1" applyFont="1">
      <alignment readingOrder="0" shrinkToFit="0" vertical="center" wrapText="0"/>
    </xf>
    <xf borderId="0" fillId="7" fontId="29" numFmtId="49" xfId="0" applyAlignment="1" applyFont="1" applyNumberFormat="1">
      <alignment readingOrder="0" shrinkToFit="0" vertical="center" wrapText="0"/>
    </xf>
    <xf borderId="0" fillId="7" fontId="22" numFmtId="170" xfId="0" applyAlignment="1" applyFont="1" applyNumberFormat="1">
      <alignment horizontal="center" readingOrder="0" shrinkToFit="0" vertical="center" wrapText="0"/>
    </xf>
    <xf borderId="0" fillId="7" fontId="29" numFmtId="167" xfId="0" applyAlignment="1" applyFont="1" applyNumberFormat="1">
      <alignment horizontal="center" readingOrder="0" shrinkToFit="0" vertical="center" wrapText="0"/>
    </xf>
    <xf borderId="0" fillId="7" fontId="29" numFmtId="170" xfId="0" applyAlignment="1" applyFont="1" applyNumberFormat="1">
      <alignment readingOrder="0" shrinkToFit="0" vertical="center" wrapText="0"/>
    </xf>
    <xf borderId="0" fillId="7" fontId="29" numFmtId="170" xfId="0" applyAlignment="1" applyFont="1" applyNumberFormat="1">
      <alignment shrinkToFit="0" vertical="center" wrapText="0"/>
    </xf>
    <xf borderId="0" fillId="7" fontId="29" numFmtId="0" xfId="0" applyFont="1"/>
    <xf borderId="0" fillId="8" fontId="29" numFmtId="164" xfId="0" applyAlignment="1" applyFill="1" applyFont="1" applyNumberFormat="1">
      <alignment readingOrder="0" shrinkToFit="0" vertical="center" wrapText="0"/>
    </xf>
    <xf borderId="0" fillId="8" fontId="29" numFmtId="0" xfId="0" applyAlignment="1" applyFont="1">
      <alignment shrinkToFit="0" vertical="center" wrapText="0"/>
    </xf>
    <xf borderId="0" fillId="8" fontId="29" numFmtId="0" xfId="0" applyAlignment="1" applyFont="1">
      <alignment readingOrder="0" shrinkToFit="0" vertical="center" wrapText="0"/>
    </xf>
    <xf borderId="0" fillId="8" fontId="29" numFmtId="49" xfId="0" applyAlignment="1" applyFont="1" applyNumberFormat="1">
      <alignment readingOrder="0" shrinkToFit="0" vertical="center" wrapText="0"/>
    </xf>
    <xf borderId="0" fillId="8" fontId="29" numFmtId="0" xfId="0" applyAlignment="1" applyFont="1">
      <alignment horizontal="center" shrinkToFit="0" vertical="center" wrapText="0"/>
    </xf>
    <xf borderId="0" fillId="8" fontId="29" numFmtId="167" xfId="0" applyAlignment="1" applyFont="1" applyNumberFormat="1">
      <alignment horizontal="center" readingOrder="0" shrinkToFit="0" vertical="center" wrapText="0"/>
    </xf>
    <xf borderId="0" fillId="8" fontId="29" numFmtId="170" xfId="0" applyAlignment="1" applyFont="1" applyNumberFormat="1">
      <alignment readingOrder="0" shrinkToFit="0" vertical="center" wrapText="0"/>
    </xf>
    <xf borderId="0" fillId="6" fontId="3" numFmtId="49" xfId="0" applyAlignment="1" applyFont="1" applyNumberFormat="1">
      <alignment readingOrder="0" shrinkToFit="0" vertical="center" wrapText="0"/>
    </xf>
    <xf borderId="0" fillId="6" fontId="3" numFmtId="0" xfId="0" applyAlignment="1" applyFont="1">
      <alignment readingOrder="0" shrinkToFit="0" vertical="center" wrapText="0"/>
    </xf>
    <xf borderId="0" fillId="6" fontId="3" numFmtId="170" xfId="0" applyAlignment="1" applyFont="1" applyNumberFormat="1">
      <alignment readingOrder="0" shrinkToFit="0" vertical="center" wrapText="0"/>
    </xf>
    <xf borderId="0" fillId="6" fontId="30" numFmtId="49" xfId="0" applyAlignment="1" applyFont="1" applyNumberFormat="1">
      <alignment readingOrder="0" shrinkToFit="0" vertical="center" wrapText="0"/>
    </xf>
    <xf borderId="0" fillId="6" fontId="3" numFmtId="164" xfId="0" applyAlignment="1" applyFont="1" applyNumberFormat="1">
      <alignment readingOrder="0" shrinkToFit="0" vertical="center" wrapText="0"/>
    </xf>
    <xf borderId="0" fillId="6" fontId="31" numFmtId="0" xfId="0" applyAlignment="1" applyFont="1">
      <alignment readingOrder="0" shrinkToFit="0" vertical="center" wrapText="0"/>
    </xf>
    <xf borderId="0" fillId="9" fontId="29" numFmtId="0" xfId="0" applyFill="1" applyFont="1"/>
    <xf borderId="0" fillId="6" fontId="29" numFmtId="0" xfId="0" applyAlignment="1" applyFont="1">
      <alignment horizontal="center" readingOrder="0" shrinkToFit="0" vertical="center" wrapText="0"/>
    </xf>
    <xf borderId="0" fillId="6" fontId="21" numFmtId="0" xfId="0" applyAlignment="1" applyFont="1">
      <alignment readingOrder="0" shrinkToFit="0" vertical="center" wrapText="0"/>
    </xf>
    <xf borderId="0" fillId="6" fontId="3" numFmtId="167" xfId="0" applyAlignment="1" applyFont="1" applyNumberFormat="1">
      <alignment readingOrder="0" shrinkToFit="0" vertical="center" wrapText="0"/>
    </xf>
    <xf borderId="0" fillId="6" fontId="22" numFmtId="0" xfId="0" applyAlignment="1" applyFont="1">
      <alignment horizontal="center" readingOrder="0" shrinkToFit="0" vertical="center" wrapText="0"/>
    </xf>
    <xf borderId="0" fillId="6" fontId="30" numFmtId="167" xfId="0" applyAlignment="1" applyFont="1" applyNumberFormat="1">
      <alignment readingOrder="0" shrinkToFit="0" vertical="center" wrapText="0"/>
    </xf>
    <xf borderId="0" fillId="6" fontId="32" numFmtId="170" xfId="0" applyAlignment="1" applyFont="1" applyNumberFormat="1">
      <alignment readingOrder="0" shrinkToFit="0" vertical="center" wrapText="0"/>
    </xf>
    <xf borderId="0" fillId="6" fontId="32" numFmtId="49" xfId="0" applyAlignment="1" applyFont="1" applyNumberFormat="1">
      <alignment readingOrder="0" shrinkToFit="0" vertical="center" wrapText="0"/>
    </xf>
    <xf borderId="0" fillId="6" fontId="31" numFmtId="49" xfId="0" applyAlignment="1" applyFont="1" applyNumberFormat="1">
      <alignment readingOrder="0" shrinkToFit="0" vertical="center" wrapText="0"/>
    </xf>
    <xf borderId="0" fillId="6" fontId="30" numFmtId="170" xfId="0" applyAlignment="1" applyFont="1" applyNumberFormat="1">
      <alignment readingOrder="0" shrinkToFit="0" vertical="center" wrapText="0"/>
    </xf>
    <xf borderId="0" fillId="6" fontId="30" numFmtId="164" xfId="0" applyAlignment="1" applyFont="1" applyNumberFormat="1">
      <alignment readingOrder="0" shrinkToFit="0" vertical="center" wrapText="0"/>
    </xf>
    <xf borderId="0" fillId="6" fontId="30" numFmtId="0" xfId="0" applyAlignment="1" applyFont="1">
      <alignment readingOrder="0" shrinkToFit="0" vertical="center" wrapText="0"/>
    </xf>
    <xf borderId="0" fillId="10" fontId="32" numFmtId="165" xfId="0" applyAlignment="1" applyFill="1" applyFont="1" applyNumberFormat="1">
      <alignment readingOrder="0" shrinkToFit="0" vertical="center" wrapText="0"/>
    </xf>
    <xf borderId="0" fillId="10" fontId="29" numFmtId="0" xfId="0" applyAlignment="1" applyFont="1">
      <alignment shrinkToFit="0" vertical="center" wrapText="0"/>
    </xf>
    <xf borderId="0" fillId="10" fontId="30" numFmtId="0" xfId="0" applyAlignment="1" applyFont="1">
      <alignment readingOrder="0" shrinkToFit="0" vertical="center" wrapText="0"/>
    </xf>
    <xf borderId="0" fillId="10" fontId="31" numFmtId="49" xfId="0" applyAlignment="1" applyFont="1" applyNumberFormat="1">
      <alignment readingOrder="0" shrinkToFit="0" vertical="center" wrapText="0"/>
    </xf>
    <xf borderId="0" fillId="10" fontId="29" numFmtId="0" xfId="0" applyAlignment="1" applyFont="1">
      <alignment horizontal="center" readingOrder="0" shrinkToFit="0" vertical="center" wrapText="0"/>
    </xf>
    <xf borderId="0" fillId="10" fontId="33" numFmtId="167" xfId="0" applyAlignment="1" applyFont="1" applyNumberFormat="1">
      <alignment readingOrder="0" shrinkToFit="0" vertical="center" wrapText="0"/>
    </xf>
    <xf borderId="0" fillId="10" fontId="3" numFmtId="170" xfId="0" applyAlignment="1" applyFont="1" applyNumberFormat="1">
      <alignment readingOrder="0" shrinkToFit="0" vertical="center" wrapText="0"/>
    </xf>
    <xf borderId="0" fillId="10" fontId="30" numFmtId="170" xfId="0" applyAlignment="1" applyFont="1" applyNumberFormat="1">
      <alignment readingOrder="0" shrinkToFit="0" vertical="center" wrapText="0"/>
    </xf>
    <xf borderId="0" fillId="10" fontId="29" numFmtId="170" xfId="0" applyAlignment="1" applyFont="1" applyNumberFormat="1">
      <alignment readingOrder="0" shrinkToFit="0" vertical="center" wrapText="0"/>
    </xf>
    <xf borderId="0" fillId="10" fontId="29" numFmtId="170" xfId="0" applyAlignment="1" applyFont="1" applyNumberFormat="1">
      <alignment shrinkToFit="0" vertical="center" wrapText="0"/>
    </xf>
    <xf borderId="0" fillId="10" fontId="29" numFmtId="0" xfId="0" applyFont="1"/>
    <xf borderId="0" fillId="2" fontId="0" numFmtId="164" xfId="0" applyAlignment="1" applyFont="1" applyNumberFormat="1">
      <alignment readingOrder="0" shrinkToFit="0" vertical="center" wrapText="0"/>
    </xf>
    <xf borderId="0" fillId="2" fontId="29" numFmtId="0" xfId="0" applyAlignment="1" applyFont="1">
      <alignment shrinkToFit="0" vertical="center" wrapText="0"/>
    </xf>
    <xf borderId="0" fillId="2" fontId="32" numFmtId="0" xfId="0" applyAlignment="1" applyFont="1">
      <alignment readingOrder="0" shrinkToFit="0" vertical="center" wrapText="0"/>
    </xf>
    <xf borderId="0" fillId="2" fontId="32" numFmtId="49" xfId="0" applyAlignment="1" applyFont="1" applyNumberFormat="1">
      <alignment readingOrder="0" shrinkToFit="0" vertical="center" wrapText="0"/>
    </xf>
    <xf borderId="0" fillId="2" fontId="29" numFmtId="0" xfId="0" applyAlignment="1" applyFont="1">
      <alignment horizontal="center" readingOrder="0" shrinkToFit="0" vertical="center" wrapText="0"/>
    </xf>
    <xf borderId="0" fillId="2" fontId="32" numFmtId="167" xfId="0" applyAlignment="1" applyFont="1" applyNumberFormat="1">
      <alignment readingOrder="0" shrinkToFit="0" vertical="center" wrapText="0"/>
    </xf>
    <xf borderId="0" fillId="10" fontId="6" numFmtId="170" xfId="0" applyAlignment="1" applyFont="1" applyNumberFormat="1">
      <alignment readingOrder="0" shrinkToFit="0" vertical="center" wrapText="0"/>
    </xf>
    <xf borderId="0" fillId="2" fontId="30" numFmtId="170" xfId="0" applyAlignment="1" applyFont="1" applyNumberFormat="1">
      <alignment readingOrder="0" shrinkToFit="0" vertical="center" wrapText="0"/>
    </xf>
    <xf borderId="0" fillId="2" fontId="29" numFmtId="170" xfId="0" applyAlignment="1" applyFont="1" applyNumberFormat="1">
      <alignment readingOrder="0" shrinkToFit="0" vertical="center" wrapText="0"/>
    </xf>
    <xf borderId="0" fillId="2" fontId="29" numFmtId="170" xfId="0" applyAlignment="1" applyFont="1" applyNumberFormat="1">
      <alignment shrinkToFit="0" vertical="center" wrapText="0"/>
    </xf>
    <xf borderId="0" fillId="6" fontId="21" numFmtId="49" xfId="0" applyAlignment="1" applyFont="1" applyNumberFormat="1">
      <alignment readingOrder="0" shrinkToFit="0" vertical="center" wrapText="0"/>
    </xf>
    <xf borderId="0" fillId="2" fontId="29" numFmtId="0" xfId="0" applyFont="1"/>
    <xf borderId="0" fillId="6" fontId="0" numFmtId="164" xfId="0" applyAlignment="1" applyFont="1" applyNumberFormat="1">
      <alignment readingOrder="0" shrinkToFit="0" vertical="center" wrapText="0"/>
    </xf>
    <xf borderId="0" fillId="6" fontId="0" numFmtId="0" xfId="0" applyAlignment="1" applyFont="1">
      <alignment readingOrder="0" shrinkToFit="0" vertical="center" wrapText="0"/>
    </xf>
    <xf borderId="0" fillId="6" fontId="0" numFmtId="49" xfId="0" applyAlignment="1" applyFont="1" applyNumberFormat="1">
      <alignment readingOrder="0" shrinkToFit="0" vertical="center" wrapText="0"/>
    </xf>
    <xf borderId="0" fillId="6" fontId="0" numFmtId="0" xfId="0" applyAlignment="1" applyFont="1">
      <alignment horizontal="center" readingOrder="0" shrinkToFit="0" vertical="center" wrapText="0"/>
    </xf>
    <xf borderId="0" fillId="6" fontId="34" numFmtId="170" xfId="0" applyAlignment="1" applyFont="1" applyNumberFormat="1">
      <alignment readingOrder="0" shrinkToFit="0" vertical="center" wrapText="0"/>
    </xf>
    <xf borderId="0" fillId="6" fontId="5" numFmtId="170" xfId="0" applyAlignment="1" applyFont="1" applyNumberFormat="1">
      <alignment horizontal="center" readingOrder="0" shrinkToFit="0" vertical="center" wrapText="0"/>
    </xf>
    <xf borderId="0" fillId="6" fontId="0" numFmtId="167" xfId="0" applyAlignment="1" applyFont="1" applyNumberFormat="1">
      <alignment horizontal="center" readingOrder="0" shrinkToFit="0" vertical="center" wrapText="0"/>
    </xf>
    <xf borderId="0" fillId="6" fontId="0" numFmtId="170" xfId="0" applyAlignment="1" applyFont="1" applyNumberFormat="1">
      <alignment readingOrder="0" shrinkToFit="0" vertical="center" wrapText="0"/>
    </xf>
    <xf borderId="0" fillId="6" fontId="21" numFmtId="164" xfId="0" applyAlignment="1" applyFont="1" applyNumberFormat="1">
      <alignment readingOrder="0" shrinkToFit="0" vertical="center" wrapText="0"/>
    </xf>
    <xf borderId="0" fillId="6" fontId="3" numFmtId="0" xfId="0" applyAlignment="1" applyFont="1">
      <alignment horizontal="center" readingOrder="0" shrinkToFit="0" vertical="center" wrapText="0"/>
    </xf>
    <xf borderId="0" fillId="6" fontId="20" numFmtId="0" xfId="0" applyAlignment="1" applyFont="1">
      <alignment horizontal="center" readingOrder="0" shrinkToFit="0" vertical="center" wrapText="0"/>
    </xf>
    <xf borderId="0" fillId="6" fontId="20" numFmtId="164" xfId="0" applyAlignment="1" applyFont="1" applyNumberFormat="1">
      <alignment readingOrder="0" shrinkToFit="0" vertical="center" wrapText="0"/>
    </xf>
    <xf borderId="0" fillId="6" fontId="20" numFmtId="170" xfId="0" applyAlignment="1" applyFont="1" applyNumberFormat="1">
      <alignment horizontal="center" readingOrder="0" shrinkToFit="0" vertical="center" wrapText="0"/>
    </xf>
    <xf borderId="0" fillId="0" fontId="20" numFmtId="164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49" xfId="0" applyAlignment="1" applyFont="1" applyNumberFormat="1">
      <alignment readingOrder="0" shrinkToFit="0" vertical="center" wrapText="0"/>
    </xf>
    <xf borderId="0" fillId="0" fontId="0" numFmtId="0" xfId="0" applyAlignment="1" applyFont="1">
      <alignment horizontal="center" readingOrder="0" shrinkToFit="0" vertical="center" wrapText="0"/>
    </xf>
    <xf borderId="0" fillId="5" fontId="3" numFmtId="167" xfId="0" applyAlignment="1" applyFont="1" applyNumberFormat="1">
      <alignment readingOrder="0" shrinkToFit="0" vertical="center" wrapText="0"/>
    </xf>
    <xf borderId="0" fillId="0" fontId="3" numFmtId="170" xfId="0" applyAlignment="1" applyFont="1" applyNumberFormat="1">
      <alignment readingOrder="0" shrinkToFit="0" vertical="center" wrapText="0"/>
    </xf>
    <xf borderId="0" fillId="0" fontId="0" numFmtId="167" xfId="0" applyAlignment="1" applyFont="1" applyNumberFormat="1">
      <alignment horizontal="center" readingOrder="0" shrinkToFit="0" vertical="center" wrapText="0"/>
    </xf>
    <xf borderId="0" fillId="0" fontId="29" numFmtId="0" xfId="0" applyAlignment="1" applyFont="1">
      <alignment horizontal="center" shrinkToFit="0" vertical="center" wrapText="0"/>
    </xf>
    <xf borderId="0" fillId="0" fontId="21" numFmtId="0" xfId="0" applyAlignment="1" applyFont="1">
      <alignment readingOrder="0" shrinkToFit="0" vertical="bottom" wrapText="0"/>
    </xf>
    <xf borderId="0" fillId="0" fontId="11" numFmtId="0" xfId="0" applyFont="1"/>
    <xf borderId="1" fillId="4" fontId="35" numFmtId="0" xfId="0" applyAlignment="1" applyBorder="1" applyFont="1">
      <alignment horizontal="center"/>
    </xf>
    <xf borderId="1" fillId="4" fontId="10" numFmtId="0" xfId="0" applyAlignment="1" applyBorder="1" applyFont="1">
      <alignment horizontal="center" readingOrder="0"/>
    </xf>
    <xf borderId="4" fillId="11" fontId="5" numFmtId="170" xfId="0" applyAlignment="1" applyBorder="1" applyFill="1" applyFont="1" applyNumberFormat="1">
      <alignment horizontal="center" readingOrder="0" shrinkToFit="0" wrapText="0"/>
    </xf>
    <xf borderId="4" fillId="11" fontId="5" numFmtId="3" xfId="0" applyAlignment="1" applyBorder="1" applyFont="1" applyNumberFormat="1">
      <alignment horizontal="center" readingOrder="0" shrinkToFit="0" wrapText="0"/>
    </xf>
    <xf borderId="4" fillId="11" fontId="5" numFmtId="14" xfId="0" applyAlignment="1" applyBorder="1" applyFont="1" applyNumberFormat="1">
      <alignment horizontal="center" readingOrder="0" shrinkToFit="0" wrapText="0"/>
    </xf>
    <xf borderId="4" fillId="11" fontId="36" numFmtId="3" xfId="0" applyAlignment="1" applyBorder="1" applyFont="1" applyNumberFormat="1">
      <alignment horizontal="center" readingOrder="0" shrinkToFit="0" wrapText="0"/>
    </xf>
    <xf borderId="4" fillId="11" fontId="5" numFmtId="0" xfId="0" applyAlignment="1" applyBorder="1" applyFont="1">
      <alignment horizontal="center" readingOrder="0" vertical="bottom"/>
    </xf>
    <xf borderId="4" fillId="11" fontId="37" numFmtId="0" xfId="0" applyAlignment="1" applyBorder="1" applyFont="1">
      <alignment horizontal="center" readingOrder="0"/>
    </xf>
    <xf borderId="4" fillId="11" fontId="37" numFmtId="49" xfId="0" applyAlignment="1" applyBorder="1" applyFont="1" applyNumberFormat="1">
      <alignment horizontal="center" readingOrder="0"/>
    </xf>
    <xf borderId="4" fillId="12" fontId="5" numFmtId="170" xfId="0" applyAlignment="1" applyBorder="1" applyFill="1" applyFont="1" applyNumberFormat="1">
      <alignment horizontal="center" readingOrder="0" shrinkToFit="0" wrapText="0"/>
    </xf>
    <xf borderId="4" fillId="12" fontId="5" numFmtId="3" xfId="0" applyAlignment="1" applyBorder="1" applyFont="1" applyNumberFormat="1">
      <alignment horizontal="center" readingOrder="0" shrinkToFit="0" wrapText="0"/>
    </xf>
    <xf borderId="4" fillId="12" fontId="5" numFmtId="165" xfId="0" applyAlignment="1" applyBorder="1" applyFont="1" applyNumberFormat="1">
      <alignment horizontal="center" readingOrder="0" shrinkToFit="0" wrapText="0"/>
    </xf>
    <xf borderId="4" fillId="12" fontId="36" numFmtId="3" xfId="0" applyAlignment="1" applyBorder="1" applyFont="1" applyNumberFormat="1">
      <alignment horizontal="center" readingOrder="0" shrinkToFit="0" wrapText="0"/>
    </xf>
    <xf borderId="4" fillId="12" fontId="5" numFmtId="0" xfId="0" applyAlignment="1" applyBorder="1" applyFont="1">
      <alignment horizontal="center" readingOrder="0" vertical="bottom"/>
    </xf>
    <xf borderId="4" fillId="12" fontId="37" numFmtId="0" xfId="0" applyAlignment="1" applyBorder="1" applyFont="1">
      <alignment horizontal="center" readingOrder="0" shrinkToFit="0" wrapText="0"/>
    </xf>
    <xf borderId="4" fillId="11" fontId="38" numFmtId="0" xfId="0" applyAlignment="1" applyBorder="1" applyFont="1">
      <alignment horizontal="center" readingOrder="0" shrinkToFit="0" wrapText="0"/>
    </xf>
    <xf borderId="4" fillId="12" fontId="5" numFmtId="14" xfId="0" applyAlignment="1" applyBorder="1" applyFont="1" applyNumberFormat="1">
      <alignment horizontal="center" readingOrder="0" shrinkToFit="0" wrapText="0"/>
    </xf>
    <xf borderId="4" fillId="11" fontId="5" numFmtId="0" xfId="0" applyAlignment="1" applyBorder="1" applyFont="1">
      <alignment horizontal="center" readingOrder="0" shrinkToFit="0" wrapText="0"/>
    </xf>
    <xf borderId="4" fillId="11" fontId="5" numFmtId="0" xfId="0" applyAlignment="1" applyBorder="1" applyFont="1">
      <alignment horizontal="center" readingOrder="0" shrinkToFit="0" wrapText="0"/>
    </xf>
    <xf borderId="4" fillId="11" fontId="38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4" fillId="12" fontId="5" numFmtId="0" xfId="0" applyAlignment="1" applyBorder="1" applyFont="1">
      <alignment horizontal="center" readingOrder="0" shrinkToFit="0" wrapText="0"/>
    </xf>
    <xf borderId="4" fillId="11" fontId="5" numFmtId="165" xfId="0" applyAlignment="1" applyBorder="1" applyFont="1" applyNumberFormat="1">
      <alignment horizontal="center" readingOrder="0" shrinkToFit="0" wrapText="0"/>
    </xf>
    <xf borderId="7" fillId="12" fontId="5" numFmtId="3" xfId="0" applyAlignment="1" applyBorder="1" applyFont="1" applyNumberFormat="1">
      <alignment horizontal="center" readingOrder="0" shrinkToFit="0" wrapText="0"/>
    </xf>
    <xf borderId="7" fillId="12" fontId="5" numFmtId="165" xfId="0" applyAlignment="1" applyBorder="1" applyFont="1" applyNumberFormat="1">
      <alignment horizontal="center" readingOrder="0" shrinkToFit="0" wrapText="0"/>
    </xf>
    <xf borderId="7" fillId="12" fontId="5" numFmtId="0" xfId="0" applyAlignment="1" applyBorder="1" applyFont="1">
      <alignment horizontal="center" readingOrder="0" shrinkToFit="0" wrapText="0"/>
    </xf>
    <xf borderId="0" fillId="13" fontId="36" numFmtId="0" xfId="0" applyAlignment="1" applyFill="1" applyFont="1">
      <alignment horizontal="center" readingOrder="0" vertical="center"/>
    </xf>
    <xf borderId="4" fillId="13" fontId="5" numFmtId="0" xfId="0" applyAlignment="1" applyBorder="1" applyFont="1">
      <alignment horizontal="center" readingOrder="0" shrinkToFit="0" wrapText="0"/>
    </xf>
    <xf borderId="4" fillId="11" fontId="8" numFmtId="3" xfId="0" applyAlignment="1" applyBorder="1" applyFont="1" applyNumberFormat="1">
      <alignment horizontal="center" readingOrder="0" vertical="center"/>
    </xf>
    <xf borderId="4" fillId="13" fontId="5" numFmtId="0" xfId="0" applyAlignment="1" applyBorder="1" applyFont="1">
      <alignment horizontal="center" readingOrder="0" shrinkToFit="0" wrapText="0"/>
    </xf>
    <xf borderId="4" fillId="13" fontId="36" numFmtId="3" xfId="0" applyAlignment="1" applyBorder="1" applyFont="1" applyNumberFormat="1">
      <alignment horizontal="center" readingOrder="0" shrinkToFit="0" wrapText="0"/>
    </xf>
    <xf borderId="4" fillId="13" fontId="38" numFmtId="0" xfId="0" applyAlignment="1" applyBorder="1" applyFont="1">
      <alignment horizontal="center" readingOrder="0"/>
    </xf>
    <xf borderId="0" fillId="14" fontId="36" numFmtId="0" xfId="0" applyAlignment="1" applyFill="1" applyFont="1">
      <alignment horizontal="center" readingOrder="0" vertical="center"/>
    </xf>
    <xf borderId="4" fillId="0" fontId="28" numFmtId="49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0"/>
    </xf>
    <xf borderId="0" fillId="11" fontId="5" numFmtId="0" xfId="0" applyAlignment="1" applyFont="1">
      <alignment horizontal="center" readingOrder="0" shrinkToFit="0" wrapText="0"/>
    </xf>
    <xf borderId="0" fillId="11" fontId="36" numFmtId="3" xfId="0" applyAlignment="1" applyFont="1" applyNumberFormat="1">
      <alignment horizontal="center" readingOrder="0" shrinkToFit="0" wrapText="0"/>
    </xf>
    <xf borderId="4" fillId="11" fontId="7" numFmtId="0" xfId="0" applyAlignment="1" applyBorder="1" applyFont="1">
      <alignment horizontal="center" readingOrder="0" vertical="center"/>
    </xf>
    <xf borderId="8" fillId="15" fontId="5" numFmtId="0" xfId="0" applyAlignment="1" applyBorder="1" applyFill="1" applyFont="1">
      <alignment horizontal="center" readingOrder="0"/>
    </xf>
    <xf borderId="9" fillId="5" fontId="5" numFmtId="0" xfId="0" applyAlignment="1" applyBorder="1" applyFont="1">
      <alignment horizontal="center" readingOrder="0"/>
    </xf>
    <xf borderId="0" fillId="0" fontId="11" numFmtId="49" xfId="0" applyFont="1" applyNumberFormat="1"/>
    <xf borderId="0" fillId="16" fontId="11" numFmtId="0" xfId="0" applyAlignment="1" applyFill="1" applyFont="1">
      <alignment readingOrder="0"/>
    </xf>
    <xf borderId="0" fillId="16" fontId="11" numFmtId="167" xfId="0" applyAlignment="1" applyFont="1" applyNumberFormat="1">
      <alignment horizontal="center" readingOrder="0"/>
    </xf>
    <xf borderId="0" fillId="16" fontId="11" numFmtId="0" xfId="0" applyAlignment="1" applyFont="1">
      <alignment horizontal="center" readingOrder="0"/>
    </xf>
    <xf borderId="0" fillId="0" fontId="11" numFmtId="0" xfId="0" applyFont="1"/>
    <xf borderId="0" fillId="0" fontId="11" numFmtId="0" xfId="0" applyAlignment="1" applyFont="1">
      <alignment readingOrder="0"/>
    </xf>
    <xf borderId="0" fillId="0" fontId="11" numFmtId="167" xfId="0" applyAlignment="1" applyFont="1" applyNumberFormat="1">
      <alignment horizontal="center" readingOrder="0"/>
    </xf>
    <xf borderId="0" fillId="0" fontId="11" numFmtId="0" xfId="0" applyAlignment="1" applyFont="1">
      <alignment horizontal="center"/>
    </xf>
    <xf borderId="0" fillId="0" fontId="39" numFmtId="0" xfId="0" applyAlignment="1" applyFont="1">
      <alignment horizontal="center" readingOrder="0"/>
    </xf>
    <xf borderId="0" fillId="0" fontId="39" numFmtId="0" xfId="0" applyAlignment="1" applyFont="1">
      <alignment horizontal="center" readingOrder="0" shrinkToFit="0" wrapText="0"/>
    </xf>
    <xf borderId="0" fillId="0" fontId="11" numFmtId="167" xfId="0" applyAlignment="1" applyFont="1" applyNumberFormat="1">
      <alignment horizontal="center"/>
    </xf>
    <xf borderId="0" fillId="0" fontId="23" numFmtId="0" xfId="0" applyAlignment="1" applyFont="1">
      <alignment vertical="center"/>
    </xf>
    <xf borderId="1" fillId="4" fontId="40" numFmtId="0" xfId="0" applyAlignment="1" applyBorder="1" applyFont="1">
      <alignment horizontal="center" vertical="center"/>
    </xf>
    <xf borderId="4" fillId="11" fontId="36" numFmtId="0" xfId="0" applyAlignment="1" applyBorder="1" applyFont="1">
      <alignment horizontal="center" readingOrder="0" shrinkToFit="0" wrapText="0"/>
    </xf>
    <xf borderId="4" fillId="11" fontId="38" numFmtId="169" xfId="0" applyAlignment="1" applyBorder="1" applyFont="1" applyNumberFormat="1">
      <alignment horizontal="center" readingOrder="0" shrinkToFit="0" vertical="bottom" wrapText="0"/>
    </xf>
    <xf borderId="4" fillId="11" fontId="39" numFmtId="0" xfId="0" applyAlignment="1" applyBorder="1" applyFont="1">
      <alignment horizontal="center" shrinkToFit="0" wrapText="0"/>
    </xf>
    <xf borderId="0" fillId="12" fontId="36" numFmtId="0" xfId="0" applyAlignment="1" applyFont="1">
      <alignment horizontal="center" shrinkToFit="0" wrapText="0"/>
    </xf>
    <xf borderId="0" fillId="12" fontId="39" numFmtId="14" xfId="0" applyAlignment="1" applyFont="1" applyNumberFormat="1">
      <alignment horizontal="center" shrinkToFit="0" wrapText="0"/>
    </xf>
    <xf borderId="4" fillId="11" fontId="38" numFmtId="165" xfId="0" applyAlignment="1" applyBorder="1" applyFont="1" applyNumberFormat="1">
      <alignment horizontal="center" readingOrder="0" shrinkToFit="0" vertical="bottom" wrapText="0"/>
    </xf>
    <xf borderId="4" fillId="11" fontId="41" numFmtId="0" xfId="0" applyAlignment="1" applyBorder="1" applyFont="1">
      <alignment horizontal="center" readingOrder="0" shrinkToFit="0" wrapText="0"/>
    </xf>
    <xf borderId="4" fillId="11" fontId="39" numFmtId="14" xfId="0" applyAlignment="1" applyBorder="1" applyFont="1" applyNumberFormat="1">
      <alignment horizontal="center" shrinkToFit="0" wrapText="0"/>
    </xf>
    <xf borderId="4" fillId="11" fontId="42" numFmtId="165" xfId="0" applyAlignment="1" applyBorder="1" applyFont="1" applyNumberFormat="1">
      <alignment horizontal="center" readingOrder="0" shrinkToFit="0" wrapText="0"/>
    </xf>
    <xf borderId="4" fillId="17" fontId="38" numFmtId="0" xfId="0" applyAlignment="1" applyBorder="1" applyFill="1" applyFont="1">
      <alignment horizontal="center" readingOrder="0" shrinkToFit="0" wrapText="0"/>
    </xf>
    <xf borderId="4" fillId="11" fontId="42" numFmtId="165" xfId="0" applyAlignment="1" applyBorder="1" applyFont="1" applyNumberFormat="1">
      <alignment horizontal="center" readingOrder="0" shrinkToFit="0" vertical="bottom" wrapText="0"/>
    </xf>
    <xf borderId="4" fillId="17" fontId="38" numFmtId="165" xfId="0" applyAlignment="1" applyBorder="1" applyFont="1" applyNumberFormat="1">
      <alignment horizontal="center" readingOrder="0" shrinkToFit="0" vertical="bottom" wrapText="0"/>
    </xf>
    <xf borderId="4" fillId="11" fontId="43" numFmtId="0" xfId="0" applyAlignment="1" applyBorder="1" applyFont="1">
      <alignment horizontal="center" readingOrder="0" shrinkToFit="0" wrapText="0"/>
    </xf>
    <xf borderId="4" fillId="11" fontId="7" numFmtId="170" xfId="0" applyAlignment="1" applyBorder="1" applyFont="1" applyNumberFormat="1">
      <alignment horizontal="center" readingOrder="0" vertical="center"/>
    </xf>
    <xf borderId="4" fillId="11" fontId="44" numFmtId="165" xfId="0" applyAlignment="1" applyBorder="1" applyFont="1" applyNumberFormat="1">
      <alignment horizontal="center" readingOrder="0" shrinkToFit="0" wrapText="0"/>
    </xf>
    <xf borderId="4" fillId="18" fontId="38" numFmtId="169" xfId="0" applyAlignment="1" applyBorder="1" applyFill="1" applyFont="1" applyNumberFormat="1">
      <alignment horizontal="center" readingOrder="0" shrinkToFit="0" vertical="bottom" wrapText="0"/>
    </xf>
    <xf borderId="4" fillId="11" fontId="36" numFmtId="0" xfId="0" applyAlignment="1" applyBorder="1" applyFont="1">
      <alignment horizontal="center" readingOrder="0" shrinkToFit="0" vertical="bottom" wrapText="0"/>
    </xf>
    <xf borderId="4" fillId="11" fontId="5" numFmtId="170" xfId="0" applyAlignment="1" applyBorder="1" applyFont="1" applyNumberFormat="1">
      <alignment horizontal="center" shrinkToFit="0" wrapText="0"/>
    </xf>
    <xf borderId="0" fillId="12" fontId="5" numFmtId="0" xfId="0" applyAlignment="1" applyFont="1">
      <alignment horizontal="center" shrinkToFit="0" wrapText="0"/>
    </xf>
    <xf borderId="0" fillId="12" fontId="5" numFmtId="170" xfId="0" applyAlignment="1" applyFont="1" applyNumberFormat="1">
      <alignment horizontal="center" shrinkToFit="0" wrapText="0"/>
    </xf>
    <xf borderId="4" fillId="11" fontId="38" numFmtId="165" xfId="0" applyAlignment="1" applyBorder="1" applyFont="1" applyNumberFormat="1">
      <alignment horizontal="center" readingOrder="0" shrinkToFit="0" wrapText="0"/>
    </xf>
    <xf borderId="4" fillId="11" fontId="38" numFmtId="169" xfId="0" applyAlignment="1" applyBorder="1" applyFont="1" applyNumberFormat="1">
      <alignment horizontal="center" readingOrder="0" shrinkToFit="0" wrapText="0"/>
    </xf>
    <xf borderId="0" fillId="0" fontId="45" numFmtId="0" xfId="0" applyAlignment="1" applyFont="1">
      <alignment vertical="center"/>
    </xf>
    <xf borderId="0" fillId="0" fontId="45" numFmtId="0" xfId="0" applyAlignment="1" applyFont="1">
      <alignment horizontal="center" vertical="center"/>
    </xf>
    <xf borderId="1" fillId="4" fontId="46" numFmtId="0" xfId="0" applyAlignment="1" applyBorder="1" applyFont="1">
      <alignment horizontal="center" readingOrder="0" vertical="center"/>
    </xf>
    <xf borderId="1" fillId="4" fontId="46" numFmtId="0" xfId="0" applyAlignment="1" applyBorder="1" applyFont="1">
      <alignment horizontal="center" vertical="center"/>
    </xf>
    <xf borderId="0" fillId="11" fontId="7" numFmtId="0" xfId="0" applyAlignment="1" applyFont="1">
      <alignment horizontal="center"/>
    </xf>
    <xf borderId="4" fillId="11" fontId="39" numFmtId="165" xfId="0" applyAlignment="1" applyBorder="1" applyFont="1" applyNumberFormat="1">
      <alignment horizontal="center" readingOrder="0" shrinkToFit="0" wrapText="0"/>
    </xf>
    <xf borderId="4" fillId="11" fontId="39" numFmtId="170" xfId="0" applyAlignment="1" applyBorder="1" applyFont="1" applyNumberFormat="1">
      <alignment horizontal="center" shrinkToFit="0" wrapText="0"/>
    </xf>
    <xf borderId="4" fillId="11" fontId="39" numFmtId="170" xfId="0" applyAlignment="1" applyBorder="1" applyFont="1" applyNumberFormat="1">
      <alignment horizontal="center" readingOrder="0" shrinkToFit="0" wrapText="0"/>
    </xf>
    <xf borderId="0" fillId="19" fontId="7" numFmtId="0" xfId="0" applyAlignment="1" applyFill="1" applyFont="1">
      <alignment horizontal="center" vertical="center"/>
    </xf>
    <xf borderId="0" fillId="19" fontId="7" numFmtId="0" xfId="0" applyAlignment="1" applyFont="1">
      <alignment horizontal="center"/>
    </xf>
    <xf borderId="4" fillId="19" fontId="39" numFmtId="165" xfId="0" applyAlignment="1" applyBorder="1" applyFont="1" applyNumberFormat="1">
      <alignment horizontal="center" readingOrder="0" shrinkToFit="0" wrapText="0"/>
    </xf>
    <xf borderId="4" fillId="19" fontId="39" numFmtId="170" xfId="0" applyAlignment="1" applyBorder="1" applyFont="1" applyNumberFormat="1">
      <alignment horizontal="center" shrinkToFit="0" wrapText="0"/>
    </xf>
    <xf borderId="4" fillId="19" fontId="39" numFmtId="170" xfId="0" applyAlignment="1" applyBorder="1" applyFont="1" applyNumberFormat="1">
      <alignment horizontal="center" readingOrder="0" shrinkToFit="0" wrapText="0"/>
    </xf>
    <xf borderId="4" fillId="19" fontId="39" numFmtId="0" xfId="0" applyAlignment="1" applyBorder="1" applyFont="1">
      <alignment horizontal="center" shrinkToFit="0" wrapText="0"/>
    </xf>
    <xf borderId="4" fillId="11" fontId="39" numFmtId="0" xfId="0" applyAlignment="1" applyBorder="1" applyFont="1">
      <alignment horizontal="center" readingOrder="0" shrinkToFit="0" wrapText="0"/>
    </xf>
    <xf borderId="4" fillId="19" fontId="39" numFmtId="0" xfId="0" applyAlignment="1" applyBorder="1" applyFont="1">
      <alignment horizontal="center" readingOrder="0"/>
    </xf>
    <xf borderId="4" fillId="11" fontId="39" numFmtId="0" xfId="0" applyAlignment="1" applyBorder="1" applyFont="1">
      <alignment horizontal="center" readingOrder="0"/>
    </xf>
    <xf borderId="0" fillId="19" fontId="7" numFmtId="0" xfId="0" applyAlignment="1" applyFont="1">
      <alignment horizontal="center"/>
    </xf>
    <xf borderId="0" fillId="11" fontId="7" numFmtId="0" xfId="0" applyAlignment="1" applyFont="1">
      <alignment horizontal="center"/>
    </xf>
    <xf borderId="0" fillId="19" fontId="8" numFmtId="0" xfId="0" applyAlignment="1" applyFont="1">
      <alignment horizontal="center" vertical="center"/>
    </xf>
    <xf borderId="0" fillId="0" fontId="5" numFmtId="170" xfId="0" applyAlignment="1" applyFont="1" applyNumberFormat="1">
      <alignment horizontal="center" vertical="center"/>
    </xf>
    <xf borderId="1" fillId="4" fontId="5" numFmtId="170" xfId="0" applyAlignment="1" applyBorder="1" applyFont="1" applyNumberFormat="1">
      <alignment horizontal="center" vertical="center"/>
    </xf>
    <xf borderId="0" fillId="0" fontId="47" numFmtId="0" xfId="0" applyFont="1"/>
    <xf borderId="0" fillId="0" fontId="23" numFmtId="0" xfId="0" applyAlignment="1" applyFont="1">
      <alignment horizontal="center"/>
    </xf>
    <xf borderId="1" fillId="4" fontId="40" numFmtId="14" xfId="0" applyAlignment="1" applyBorder="1" applyFont="1" applyNumberFormat="1">
      <alignment horizontal="center" vertical="center"/>
    </xf>
    <xf borderId="4" fillId="0" fontId="8" numFmtId="0" xfId="0" applyBorder="1" applyFon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8C8C8"/>
          <bgColor rgb="FFC8C8C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8">
    <tableStyle count="4" pivot="0" name="BASE_ABASTECIMEN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SE_VELO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SE_K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SE_VEICUL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SE_MUL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MANUTENÇÃO PREVENTIVA-style">
      <tableStyleElement dxfId="7" type="headerRow"/>
      <tableStyleElement dxfId="8" type="firstRowStripe"/>
      <tableStyleElement dxfId="9" type="secondRowStripe"/>
    </tableStyle>
    <tableStyle count="3" pivot="0" name="CONTROLE DE VENC DE CNH-style">
      <tableStyleElement dxfId="7" type="headerRow"/>
      <tableStyleElement dxfId="8" type="firstRowStripe"/>
      <tableStyleElement dxfId="9" type="secondRowStripe"/>
    </tableStyle>
    <tableStyle count="3" pivot="0" name="CONTROLE HIGIENIZAÇÃO-style">
      <tableStyleElement dxfId="7" type="headerRow"/>
      <tableStyleElement dxfId="8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1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0</xdr:row>
      <xdr:rowOff>0</xdr:rowOff>
    </xdr:from>
    <xdr:ext cx="1152525" cy="695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0</xdr:rowOff>
    </xdr:from>
    <xdr:ext cx="1133475" cy="8096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1238250" cy="781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</xdr:row>
      <xdr:rowOff>66675</xdr:rowOff>
    </xdr:from>
    <xdr:ext cx="1209675" cy="8001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145" sheet="BASE_ABASTECIMENTO"/>
  </cacheSource>
  <cacheFields>
    <cacheField name="DATA" numFmtId="164">
      <sharedItems containsDate="1" containsString="0" containsBlank="1">
        <d v="2026-02-23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4T00:00:00Z"/>
        <d v="2026-04-03T00:00:00Z"/>
        <d v="2026-04-05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18T00:00:00Z"/>
        <d v="2026-04-19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4-30T00:00:00Z"/>
        <d v="2026-05-01T00:00:00Z"/>
        <d v="2026-05-02T00:00:00Z"/>
        <d v="2026-05-03T00:00:00Z"/>
        <d v="2026-05-04T00:00:00Z"/>
        <d v="2026-05-05T00:00:00Z"/>
        <d v="2026-05-06T00:00:00Z"/>
        <d v="2026-05-07T00:00:00Z"/>
        <d v="2026-05-08T00:00:00Z"/>
        <d v="2026-05-09T00:00:00Z"/>
        <d v="2026-05-10T00:00:00Z"/>
        <d v="2026-05-11T00:00:00Z"/>
        <d v="2026-05-12T00:00:00Z"/>
        <d v="2026-05-13T00:00:00Z"/>
        <d v="2026-05-14T00:00:00Z"/>
        <d v="2026-05-15T00:00:00Z"/>
        <m/>
      </sharedItems>
    </cacheField>
    <cacheField name="SEMANA ANO" numFmtId="0">
      <sharedItems containsSemiMixedTypes="0" containsString="0" containsNumber="1" containsInteger="1">
        <n v="9.0"/>
        <n v="10.0"/>
        <n v="11.0"/>
        <n v="12.0"/>
        <n v="13.0"/>
        <n v="14.0"/>
        <n v="15.0"/>
        <n v="16.0"/>
        <n v="17.0"/>
        <n v="18.0"/>
        <n v="19.0"/>
        <n v="20.0"/>
        <n v="52.0"/>
      </sharedItems>
    </cacheField>
    <cacheField name="PLATAFORMA" numFmtId="0">
      <sharedItems containsBlank="1">
        <s v="TICKETLOG"/>
        <s v="CAIXINHA"/>
        <m/>
      </sharedItems>
    </cacheField>
    <cacheField name="VALOR" numFmtId="0">
      <sharedItems containsString="0" containsBlank="1" containsNumber="1">
        <n v="80.0"/>
        <n v="150.0"/>
        <n v="79.98"/>
        <n v="90.0"/>
        <n v="70.0"/>
        <n v="119.97"/>
        <n v="200.0"/>
        <n v="160.0"/>
        <n v="100.0"/>
        <n v="180.0"/>
        <n v="179.97"/>
        <n v="130.0"/>
        <n v="99.97"/>
        <n v="99.99"/>
        <n v="69.99"/>
        <n v="219.95"/>
        <n v="120.0"/>
        <n v="79.96"/>
        <n v="30.0"/>
        <n v="50.0"/>
        <n v="140.0"/>
        <n v="150.08"/>
        <n v="119.98"/>
        <n v="79.97"/>
        <n v="120.03"/>
        <n v="170.01"/>
        <n v="69.96"/>
        <n v="109.98"/>
        <n v="230.0"/>
        <n v="156.59"/>
        <n v="170.02"/>
        <n v="69.97"/>
        <n v="159.98"/>
        <n v="69.95"/>
        <n v="286.49"/>
        <n v="99.98"/>
        <n v="100.01"/>
        <n v="80.01"/>
        <n v="69.41"/>
        <n v="90.02"/>
        <n v="75.0"/>
        <n v="215.0"/>
        <n v="60.0"/>
        <n v="110.0"/>
        <n v="165.0"/>
        <n v="83.38"/>
        <n v="40.0"/>
        <n v="35.0"/>
        <n v="85.0"/>
        <n v="94.0"/>
        <n v="205.0"/>
        <n v="45.0"/>
        <n v="55.0"/>
        <n v="90.26"/>
        <n v="70.03"/>
        <n v="170.0"/>
        <n v="50.02"/>
        <n v="190.0"/>
        <m/>
        <n v="20.0"/>
        <n v="48.92"/>
        <n v="95.0"/>
        <n v="134.68"/>
        <n v="119.96"/>
        <n v="98.05"/>
        <n v="139.99"/>
        <n v="94.09"/>
        <n v="79.99"/>
        <n v="220.0"/>
        <n v="149.97"/>
        <n v="89.99"/>
        <n v="84.96"/>
        <n v="94.99"/>
        <n v="104.96"/>
        <n v="59.96"/>
        <n v="69.94"/>
        <n v="49.98"/>
        <n v="54.96"/>
        <n v="59.99"/>
        <n v="99.96"/>
        <n v="89.04"/>
        <n v="79.64"/>
        <n v="54.95"/>
        <n v="55.02"/>
        <n v="25.0"/>
        <n v="105.0"/>
        <n v="65.0"/>
        <n v="59.0"/>
        <n v="254.97"/>
        <n v="96.15"/>
        <n v="94.86"/>
        <n v="51.0"/>
        <n v="39.99"/>
        <n v="75.31"/>
        <n v="49.02"/>
        <n v="217.22"/>
        <n v="202.07"/>
        <n v="191.74"/>
        <n v="221.42"/>
        <n v="217.27"/>
        <n v="214.35"/>
        <n v="124.03"/>
        <n v="220.23"/>
        <n v="260.0"/>
        <n v="125.86"/>
        <n v="224.83"/>
        <n v="201.01"/>
        <n v="209.29"/>
        <n v="92.51"/>
        <n v="191.77"/>
        <n v="142.11"/>
        <n v="97.98"/>
        <n v="99.63"/>
        <n v="77.0"/>
        <n v="145.0"/>
        <n v="119.0"/>
        <n v="102.0"/>
        <n v="146.0"/>
        <n v="44.96"/>
        <n v="64.96"/>
        <n v="252.0"/>
        <n v="40.02"/>
        <n v="77.99"/>
        <n v="69.02"/>
        <n v="65.01"/>
        <n v="210.0"/>
        <n v="132.24"/>
        <n v="129.95"/>
        <n v="74.97"/>
        <n v="67.0"/>
        <n v="174.0"/>
        <n v="129.0"/>
        <n v="195.98"/>
        <n v="211.49"/>
        <n v="127.0"/>
        <n v="69.0"/>
        <n v="49.95"/>
        <n v="114.0"/>
        <n v="148.98"/>
        <n v="169.0"/>
        <n v="192.87"/>
        <n v="199.99"/>
        <n v="199.97"/>
        <n v="163.42"/>
        <n v="185.0"/>
        <n v="134.69"/>
        <n v="114.97"/>
        <n v="140.02"/>
        <n v="149.95"/>
        <n v="119.99"/>
        <n v="249.98"/>
        <n v="197.97"/>
        <n v="43.41"/>
        <n v="49.99"/>
        <n v="149.99"/>
        <n v="200.02"/>
        <n v="155.0"/>
        <n v="200.01"/>
        <n v="149.15"/>
        <n v="58.7"/>
        <n v="149.82"/>
        <n v="78.94"/>
        <n v="129.96"/>
        <n v="99.91"/>
        <n v="169.97"/>
        <n v="29.99"/>
        <n v="70.01"/>
        <n v="59.88"/>
        <n v="59.98"/>
        <n v="69.98"/>
        <n v="69.9"/>
        <n v="109.99"/>
        <n v="140.01"/>
        <n v="159.99"/>
        <n v="52.96"/>
        <n v="59.95"/>
        <n v="114.93"/>
        <n v="119.94"/>
      </sharedItems>
    </cacheField>
    <cacheField name="EQUIPE" numFmtId="0">
      <sharedItems containsBlank="1">
        <s v="MANFAC-1"/>
        <s v="MANFAC-2"/>
        <s v="MANFAC-3"/>
        <s v="MANFAC-4"/>
        <s v="MANFAC-5"/>
        <s v="MANFAC-6"/>
        <s v="MANFAC-7"/>
        <s v="MANFAC-8"/>
        <s v="MANFAC-9"/>
        <s v="MANFAC-11"/>
        <s v="MANFAC-12"/>
        <s v="MANFAC-13"/>
        <s v="MANFAC-18"/>
        <s v="MANFAC-19"/>
        <s v="MANFAC-21"/>
        <s v="MANFAC-22"/>
        <s v="REINALDO"/>
        <s v="YURI"/>
        <s v="MANFAC-23"/>
        <s v="MANFAC-15"/>
        <s v="MANFAC-20"/>
        <s v="MANFAC-10"/>
        <s v="MANFAC-24"/>
        <s v="GABRIEL"/>
        <s v="T-ANDERSON"/>
        <m/>
      </sharedItems>
    </cacheField>
    <cacheField name="CENTRO DE CUSTO" numFmtId="0">
      <sharedItems>
        <s v="FAC - 140004 - MANUTENÇÃO PREDIAL DPSP 2025"/>
        <s v="PROF - 07001 - MANUTENÇÃO PREDIAL- PROFARMA-2025"/>
        <s v="FAC - 140005 - SPOT MANUTENÇÃO DPSP 2025"/>
        <e v="#N/A"/>
      </sharedItems>
    </cacheField>
    <cacheField name="PLACA" numFmtId="0">
      <sharedItems>
        <s v="TEW9A25"/>
        <s v="TEW9A28"/>
        <s v="FIL8C14"/>
        <s v="FGO3C61"/>
        <s v="FOK8A73"/>
        <s v="EWH1B84"/>
        <s v="TEW9A27"/>
        <s v=""/>
        <s v="TEW9A29"/>
        <s v="TEW9A24"/>
        <s v="TEW9A34"/>
        <s v="TEW9A33"/>
        <s v="TET5H37"/>
        <s v="TEH3I02"/>
        <s v="TEW9A23"/>
        <s v="TEW9A26"/>
        <s v="UDA5B37"/>
        <s v="TEQ2I74"/>
        <s v="TEW9A30"/>
        <s v="SRU8D16"/>
      </sharedItems>
    </cacheField>
    <cacheField name="OBS" numFmtId="0">
      <sharedItems containsBlank="1">
        <m/>
        <s v="Incluso 100,00 dia 24/02/2026"/>
      </sharedItems>
    </cacheField>
    <cacheField name="MÊS/ANO" numFmtId="14">
      <sharedItems containsSemiMixedTypes="0" containsDate="1" containsString="0">
        <d v="2026-02-01T00:00:00Z"/>
        <d v="2026-03-01T00:00:00Z"/>
        <d v="2026-04-01T00:00:00Z"/>
        <d v="2026-05-01T00:00:00Z"/>
        <d v="3799-12-01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A5:G5" firstHeaderRow="0" firstDataRow="2" firstDataCol="1"/>
  <pivotFields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SEMANA A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LATAFORMA" compact="0" outline="0" multipleItemSelectionAllowed="1" showAll="0">
      <items>
        <item x="0"/>
        <item x="1"/>
        <item x="2"/>
        <item t="default"/>
      </items>
    </pivotField>
    <pivotField name="VALO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EQUIPE" axis="axisRow" compact="0" outline="0" multipleItemSelectionAllowed="1" showAll="0" sortType="ascending">
      <items>
        <item x="25"/>
        <item x="23"/>
        <item x="0"/>
        <item x="21"/>
        <item x="9"/>
        <item x="10"/>
        <item x="11"/>
        <item x="19"/>
        <item x="12"/>
        <item x="13"/>
        <item x="1"/>
        <item x="20"/>
        <item x="14"/>
        <item x="15"/>
        <item x="18"/>
        <item x="22"/>
        <item x="2"/>
        <item x="3"/>
        <item x="4"/>
        <item x="5"/>
        <item x="6"/>
        <item x="7"/>
        <item x="8"/>
        <item x="16"/>
        <item x="24"/>
        <item x="17"/>
        <item t="default"/>
      </items>
    </pivotField>
    <pivotField name="CENTRO DE CUSTO" axis="axisRow" compact="0" outline="0" multipleItemSelectionAllowed="1" showAll="0" sortType="ascending">
      <items>
        <item x="0"/>
        <item x="2"/>
        <item x="1"/>
        <item x="3"/>
        <item t="default"/>
      </items>
    </pivotField>
    <pivotField name="PLAC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BS" compact="0" outline="0" multipleItemSelectionAllowed="1" showAll="0">
      <items>
        <item x="0"/>
        <item x="1"/>
        <item t="default"/>
      </items>
    </pivotField>
    <pivotField name="MÊS/ANO" axis="axisCol" compact="0" numFmtId="14" outline="0" multipleItemSelectionAllowed="1" showAll="0" sortType="ascending">
      <items>
        <item x="0"/>
        <item x="1"/>
        <item x="2"/>
        <item x="3"/>
        <item x="4"/>
        <item t="default"/>
      </items>
    </pivotField>
  </pivotFields>
  <rowFields>
    <field x="5"/>
    <field x="4"/>
  </rowFields>
  <colFields>
    <field x="8"/>
  </colFields>
  <dataFields>
    <dataField name="SUM of VALOR" fld="3" baseField="0"/>
  </dataFields>
</pivotTableDefinition>
</file>

<file path=xl/tables/table1.xml><?xml version="1.0" encoding="utf-8"?>
<table xmlns="http://schemas.openxmlformats.org/spreadsheetml/2006/main" ref="A1:I1145" displayName="CONTROLE_ABASTECIMENTO" name="CONTROLE_ABASTECIMENTO" id="1">
  <autoFilter ref="$A$1:$I$1145">
    <filterColumn colId="2">
      <filters blank="1">
        <filter val="TICKETLOG"/>
      </filters>
    </filterColumn>
  </autoFilter>
  <tableColumns count="9">
    <tableColumn name="DATA" id="1"/>
    <tableColumn name="SEMANA ANO" id="2"/>
    <tableColumn name="PLATAFORMA" id="3"/>
    <tableColumn name="VALOR" id="4"/>
    <tableColumn name="EQUIPE" id="5"/>
    <tableColumn name="CENTRO DE CUSTO" id="6"/>
    <tableColumn name="PLACA" id="7"/>
    <tableColumn name="OBS" id="8"/>
    <tableColumn name="MÊS/ANO" id="9"/>
  </tableColumns>
  <tableStyleInfo name="BASE_ABASTECIMENTO-style" showColumnStripes="0" showFirstColumn="1" showLastColumn="1" showRowStripes="1"/>
</table>
</file>

<file path=xl/tables/table2.xml><?xml version="1.0" encoding="utf-8"?>
<table xmlns="http://schemas.openxmlformats.org/spreadsheetml/2006/main" ref="A1:F723" displayName="CUSTOS_VELOE" name="CUSTOS_VELOE" id="2">
  <autoFilter ref="$A$1:$F$723"/>
  <tableColumns count="6">
    <tableColumn name="DATA" id="1"/>
    <tableColumn name="EQUIPE" id="2"/>
    <tableColumn name="PLACA" id="3"/>
    <tableColumn name="TIPO" id="4"/>
    <tableColumn name="LOCAL" id="5"/>
    <tableColumn name="VALOR" id="6"/>
  </tableColumns>
  <tableStyleInfo name="BASE_VELOE-style" showColumnStripes="0" showFirstColumn="1" showLastColumn="1" showRowStripes="1"/>
</table>
</file>

<file path=xl/tables/table3.xml><?xml version="1.0" encoding="utf-8"?>
<table xmlns="http://schemas.openxmlformats.org/spreadsheetml/2006/main" ref="A1:E1002" displayName="CONTROLE_KM" name="CONTROLE_KM" id="3">
  <autoFilter ref="$A$1:$E$1002"/>
  <tableColumns count="5">
    <tableColumn name="DATA" id="1"/>
    <tableColumn name="EQUIPE" id="2"/>
    <tableColumn name="KM" id="3"/>
    <tableColumn name="PLACA" id="4"/>
    <tableColumn name="KM RODADO" id="5"/>
  </tableColumns>
  <tableStyleInfo name="BASE_KM-style" showColumnStripes="0" showFirstColumn="1" showLastColumn="1" showRowStripes="1"/>
</table>
</file>

<file path=xl/tables/table4.xml><?xml version="1.0" encoding="utf-8"?>
<table xmlns="http://schemas.openxmlformats.org/spreadsheetml/2006/main" ref="A2:R29" displayName="BASE_DE_VEÍCULOS" name="BASE_DE_VEÍCULOS" id="4">
  <autoFilter ref="$A$2:$R$29"/>
  <tableColumns count="18">
    <tableColumn name="EQUIPE" id="1"/>
    <tableColumn name="PLACA" id="2"/>
    <tableColumn name="MODELO" id="3"/>
    <tableColumn name="RENAVAM" id="4"/>
    <tableColumn name="CHASSI" id="5"/>
    <tableColumn name="COR" id="6"/>
    <tableColumn name="CENTRO DE CUSTO" id="7"/>
    <tableColumn name="MOTORISTA" id="8"/>
    <tableColumn name="OBS" id="9"/>
    <tableColumn name="TIPO DE LOCAÇÃO" id="10"/>
    <tableColumn name="FORNECEDOR" id="11"/>
    <tableColumn name="FRANQUIA DE KM" id="12"/>
    <tableColumn name="VALOR DE LOCAÇÃO" id="13"/>
    <tableColumn name="PRAZO CONTRATO (MESES)" id="14"/>
    <tableColumn name="DATA DE INÍCIO DO CONTRATO" id="15"/>
    <tableColumn name="DATA DO FIM DO CONTRATO" id="16"/>
    <tableColumn name="CARTÃO TICKET LOG" id="17"/>
    <tableColumn name="TAG VELOE" id="18"/>
  </tableColumns>
  <tableStyleInfo name="BASE_VEICULOS-style" showColumnStripes="0" showFirstColumn="1" showLastColumn="1" showRowStripes="1"/>
</table>
</file>

<file path=xl/tables/table5.xml><?xml version="1.0" encoding="utf-8"?>
<table xmlns="http://schemas.openxmlformats.org/spreadsheetml/2006/main" ref="A1:K116" displayName="MULTAS" name="MULTAS" id="5">
  <autoFilter ref="$A$1:$K$116"/>
  <tableColumns count="11">
    <tableColumn name="DATA INFRAÇÃO" id="1"/>
    <tableColumn name="EQUIPE" id="2"/>
    <tableColumn name="PLACA" id="3"/>
    <tableColumn name="AUTO DE INFRAÇÃO" id="4"/>
    <tableColumn name="MOTORISTA" id="5"/>
    <tableColumn name="VALOR" id="6"/>
    <tableColumn name="MOTIVO" id="7"/>
    <tableColumn name="LOCALIDADE" id="8"/>
    <tableColumn name="IDENTIFICAÇÃO" id="9"/>
    <tableColumn name="ENVIO DOCUMENTO" id="10"/>
    <tableColumn name="STATUS DESCONTO" id="11"/>
  </tableColumns>
  <tableStyleInfo name="BASE_MULTAS-style" showColumnStripes="0" showFirstColumn="1" showLastColumn="1" showRowStripes="1"/>
</table>
</file>

<file path=xl/tables/table6.xml><?xml version="1.0" encoding="utf-8"?>
<table xmlns="http://schemas.openxmlformats.org/spreadsheetml/2006/main" ref="B5:J30" displayName="Table_1" name="Table_1" id="6">
  <tableColumns count="9">
    <tableColumn name="PLACA" id="1"/>
    <tableColumn name="VEÍCULO" id="2"/>
    <tableColumn name="CENTRO DE CUSTO" id="3"/>
    <tableColumn name="KM DA REVISÃO" id="4"/>
    <tableColumn name="DATA REVISÃO" id="5"/>
    <tableColumn name="PROXIMA REVISÃO" id="6"/>
    <tableColumn name="CUSTO DE REVISÃO" id="7"/>
    <tableColumn name="OBS" id="8"/>
    <tableColumn name="STATUS" id="9"/>
  </tableColumns>
  <tableStyleInfo name="MANUTENÇÃO PREVENTIVA-style" showColumnStripes="0" showFirstColumn="1" showLastColumn="1" showRowStripes="1"/>
</table>
</file>

<file path=xl/tables/table7.xml><?xml version="1.0" encoding="utf-8"?>
<table xmlns="http://schemas.openxmlformats.org/spreadsheetml/2006/main" ref="B5:E34" displayName="Table_2" name="Table_2" id="7">
  <tableColumns count="4">
    <tableColumn name="COLABORADOR" id="1"/>
    <tableColumn name="DATA DE VENCIMENTO DA CNH" id="2"/>
    <tableColumn name="PLACA DO VEÍCULO" id="3"/>
    <tableColumn name="OBS" id="4"/>
  </tableColumns>
  <tableStyleInfo name="CONTROLE DE VENC DE CNH-style" showColumnStripes="0" showFirstColumn="1" showLastColumn="1" showRowStripes="1"/>
</table>
</file>

<file path=xl/tables/table8.xml><?xml version="1.0" encoding="utf-8"?>
<table xmlns="http://schemas.openxmlformats.org/spreadsheetml/2006/main" ref="B5:F24" displayName="Table_3" name="Table_3" id="8">
  <tableColumns count="5">
    <tableColumn name="PLACA" id="1"/>
    <tableColumn name="DATA DA ÚLTIMA HIGIENIZAÇÃO" id="2"/>
    <tableColumn name="DATA DA PRÓXIMA HIGIENIZAÇÃO" id="3"/>
    <tableColumn name="COLABORADOR" id="4"/>
    <tableColumn name="OBS" id="5"/>
  </tableColumns>
  <tableStyleInfo name="CONTROLE HIGIENIZAÇÃ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8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18.57"/>
    <col customWidth="1" min="3" max="4" width="25.86"/>
    <col customWidth="1" min="5" max="5" width="18.14"/>
    <col customWidth="1" min="6" max="6" width="51.71"/>
    <col customWidth="1" min="7" max="7" width="25.86"/>
    <col customWidth="1" min="8" max="8" width="28.57"/>
    <col customWidth="1" min="9" max="9" width="18.29"/>
  </cols>
  <sheetData>
    <row r="1" ht="22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4" t="s">
        <v>7</v>
      </c>
      <c r="I1" s="4" t="s">
        <v>8</v>
      </c>
    </row>
    <row r="2" ht="22.5" customHeight="1">
      <c r="A2" s="5">
        <v>46076.0</v>
      </c>
      <c r="B2" s="6">
        <f t="shared" ref="B2:B1145" si="1">WEEKNUM(A2,21)</f>
        <v>9</v>
      </c>
      <c r="C2" s="7" t="s">
        <v>9</v>
      </c>
      <c r="D2" s="8">
        <v>80.0</v>
      </c>
      <c r="E2" s="9" t="s">
        <v>10</v>
      </c>
      <c r="F2" s="10" t="str">
        <f>VLOOKUP(E2,BASE_VEICULOS!A:G,7,0)</f>
        <v>FAC - 140004 - MANUTENÇÃO PREDIAL DPSP 2025</v>
      </c>
      <c r="G2" s="11" t="str">
        <f>IFERROR(VLOOKUP(E2,BASE_VEICULOS!$A:$B,2,0),"")</f>
        <v>TEW9A25</v>
      </c>
      <c r="H2" s="12"/>
      <c r="I2" s="13">
        <f t="shared" ref="I2:I1145" si="2">DATE(YEAR(A2),MONTH(A2),1)</f>
        <v>46054</v>
      </c>
    </row>
    <row r="3" ht="22.5" customHeight="1">
      <c r="A3" s="5">
        <v>46076.0</v>
      </c>
      <c r="B3" s="6">
        <f t="shared" si="1"/>
        <v>9</v>
      </c>
      <c r="C3" s="7" t="s">
        <v>9</v>
      </c>
      <c r="D3" s="8">
        <v>150.0</v>
      </c>
      <c r="E3" s="9" t="s">
        <v>11</v>
      </c>
      <c r="F3" s="10" t="str">
        <f>VLOOKUP(E3,BASE_VEICULOS!A:G,7,0)</f>
        <v>PROF - 07001 - MANUTENÇÃO PREDIAL- PROFARMA-2025</v>
      </c>
      <c r="G3" s="11" t="str">
        <f>IFERROR(VLOOKUP(E3,BASE_VEICULOS!$A:$B,2,0),"")</f>
        <v>TEW9A28</v>
      </c>
      <c r="H3" s="14"/>
      <c r="I3" s="15">
        <f t="shared" si="2"/>
        <v>46054</v>
      </c>
    </row>
    <row r="4" ht="22.5" customHeight="1">
      <c r="A4" s="5">
        <v>46076.0</v>
      </c>
      <c r="B4" s="6">
        <f t="shared" si="1"/>
        <v>9</v>
      </c>
      <c r="C4" s="7" t="s">
        <v>9</v>
      </c>
      <c r="D4" s="8">
        <v>79.98</v>
      </c>
      <c r="E4" s="9" t="s">
        <v>12</v>
      </c>
      <c r="F4" s="10" t="str">
        <f>VLOOKUP(E4,BASE_VEICULOS!A:G,7,0)</f>
        <v>FAC - 140004 - MANUTENÇÃO PREDIAL DPSP 2025</v>
      </c>
      <c r="G4" s="11" t="str">
        <f>IFERROR(VLOOKUP(E4,BASE_VEICULOS!$A:$B,2,0),"")</f>
        <v>FIL8C14</v>
      </c>
      <c r="H4" s="14"/>
      <c r="I4" s="15">
        <f t="shared" si="2"/>
        <v>46054</v>
      </c>
    </row>
    <row r="5" ht="22.5" customHeight="1">
      <c r="A5" s="5">
        <v>46076.0</v>
      </c>
      <c r="B5" s="6">
        <f t="shared" si="1"/>
        <v>9</v>
      </c>
      <c r="C5" s="7" t="s">
        <v>9</v>
      </c>
      <c r="D5" s="8">
        <v>79.98</v>
      </c>
      <c r="E5" s="9" t="s">
        <v>13</v>
      </c>
      <c r="F5" s="10" t="str">
        <f>VLOOKUP(E5,BASE_VEICULOS!A:G,7,0)</f>
        <v>FAC - 140005 - SPOT MANUTENÇÃO DPSP 2025</v>
      </c>
      <c r="G5" s="11" t="str">
        <f>IFERROR(VLOOKUP(E5,BASE_VEICULOS!$A:$B,2,0),"")</f>
        <v>FGO3C61</v>
      </c>
      <c r="H5" s="14"/>
      <c r="I5" s="15">
        <f t="shared" si="2"/>
        <v>46054</v>
      </c>
    </row>
    <row r="6" ht="22.5" customHeight="1">
      <c r="A6" s="5">
        <v>46076.0</v>
      </c>
      <c r="B6" s="6">
        <f t="shared" si="1"/>
        <v>9</v>
      </c>
      <c r="C6" s="7" t="s">
        <v>9</v>
      </c>
      <c r="D6" s="8">
        <v>90.0</v>
      </c>
      <c r="E6" s="9" t="s">
        <v>14</v>
      </c>
      <c r="F6" s="10" t="str">
        <f>VLOOKUP(E6,BASE_VEICULOS!A:G,7,0)</f>
        <v>FAC - 140004 - MANUTENÇÃO PREDIAL DPSP 2025</v>
      </c>
      <c r="G6" s="11" t="str">
        <f>IFERROR(VLOOKUP(E6,BASE_VEICULOS!$A:$B,2,0),"")</f>
        <v>FOK8A73</v>
      </c>
      <c r="H6" s="14"/>
      <c r="I6" s="15">
        <f t="shared" si="2"/>
        <v>46054</v>
      </c>
    </row>
    <row r="7" ht="22.5" customHeight="1">
      <c r="A7" s="5">
        <v>46076.0</v>
      </c>
      <c r="B7" s="6">
        <f t="shared" si="1"/>
        <v>9</v>
      </c>
      <c r="C7" s="7" t="s">
        <v>9</v>
      </c>
      <c r="D7" s="8">
        <v>70.0</v>
      </c>
      <c r="E7" s="9" t="s">
        <v>15</v>
      </c>
      <c r="F7" s="10" t="str">
        <f>VLOOKUP(E7,BASE_VEICULOS!A:G,7,0)</f>
        <v>FAC - 140005 - SPOT MANUTENÇÃO DPSP 2025</v>
      </c>
      <c r="G7" s="11" t="str">
        <f>IFERROR(VLOOKUP(E7,BASE_VEICULOS!$A:$B,2,0),"")</f>
        <v>EWH1B84</v>
      </c>
      <c r="H7" s="14"/>
      <c r="I7" s="15">
        <f t="shared" si="2"/>
        <v>46054</v>
      </c>
    </row>
    <row r="8" ht="22.5" customHeight="1">
      <c r="A8" s="5">
        <v>46076.0</v>
      </c>
      <c r="B8" s="6">
        <f t="shared" si="1"/>
        <v>9</v>
      </c>
      <c r="C8" s="7" t="s">
        <v>9</v>
      </c>
      <c r="D8" s="8">
        <v>80.0</v>
      </c>
      <c r="E8" s="9" t="s">
        <v>16</v>
      </c>
      <c r="F8" s="10" t="str">
        <f>VLOOKUP(E8,BASE_VEICULOS!A:G,7,0)</f>
        <v>FAC - 140005 - SPOT MANUTENÇÃO DPSP 2025</v>
      </c>
      <c r="G8" s="11" t="str">
        <f>IFERROR(VLOOKUP(E8,BASE_VEICULOS!$A:$B,2,0),"")</f>
        <v>TEW9A27</v>
      </c>
      <c r="H8" s="12"/>
      <c r="I8" s="13">
        <f t="shared" si="2"/>
        <v>46054</v>
      </c>
    </row>
    <row r="9" ht="22.5" customHeight="1">
      <c r="A9" s="5">
        <v>46076.0</v>
      </c>
      <c r="B9" s="6">
        <f t="shared" si="1"/>
        <v>9</v>
      </c>
      <c r="C9" s="7" t="s">
        <v>9</v>
      </c>
      <c r="D9" s="8">
        <v>119.97</v>
      </c>
      <c r="E9" s="9" t="s">
        <v>17</v>
      </c>
      <c r="F9" s="10" t="str">
        <f>VLOOKUP(E9,BASE_VEICULOS!A:G,7,0)</f>
        <v>#N/A</v>
      </c>
      <c r="G9" s="11" t="str">
        <f>IFERROR(VLOOKUP(E9,BASE_VEICULOS!$A:$B,2,0),"")</f>
        <v/>
      </c>
      <c r="H9" s="12"/>
      <c r="I9" s="13">
        <f t="shared" si="2"/>
        <v>46054</v>
      </c>
    </row>
    <row r="10" ht="22.5" customHeight="1">
      <c r="A10" s="5">
        <v>46076.0</v>
      </c>
      <c r="B10" s="6">
        <f t="shared" si="1"/>
        <v>9</v>
      </c>
      <c r="C10" s="7" t="s">
        <v>9</v>
      </c>
      <c r="D10" s="8">
        <v>200.0</v>
      </c>
      <c r="E10" s="9" t="s">
        <v>18</v>
      </c>
      <c r="F10" s="10" t="str">
        <f>VLOOKUP(E10,BASE_VEICULOS!A:G,7,0)</f>
        <v>FAC - 140004 - MANUTENÇÃO PREDIAL DPSP 2025</v>
      </c>
      <c r="G10" s="11" t="str">
        <f>IFERROR(VLOOKUP(E10,BASE_VEICULOS!$A:$B,2,0),"")</f>
        <v>TEW9A29</v>
      </c>
      <c r="H10" s="12"/>
      <c r="I10" s="13">
        <f t="shared" si="2"/>
        <v>46054</v>
      </c>
    </row>
    <row r="11" ht="22.5" customHeight="1">
      <c r="A11" s="5">
        <v>46076.0</v>
      </c>
      <c r="B11" s="6">
        <f t="shared" si="1"/>
        <v>9</v>
      </c>
      <c r="C11" s="7" t="s">
        <v>9</v>
      </c>
      <c r="D11" s="8">
        <v>160.0</v>
      </c>
      <c r="E11" s="9" t="s">
        <v>19</v>
      </c>
      <c r="F11" s="10" t="str">
        <f>VLOOKUP(E11,BASE_VEICULOS!A:G,7,0)</f>
        <v>PROF - 07001 - MANUTENÇÃO PREDIAL- PROFARMA-2025</v>
      </c>
      <c r="G11" s="11" t="str">
        <f>IFERROR(VLOOKUP(E11,BASE_VEICULOS!$A:$B,2,0),"")</f>
        <v>TEW9A24</v>
      </c>
      <c r="H11" s="12"/>
      <c r="I11" s="13">
        <f t="shared" si="2"/>
        <v>46054</v>
      </c>
    </row>
    <row r="12" ht="22.5" customHeight="1">
      <c r="A12" s="5">
        <v>46076.0</v>
      </c>
      <c r="B12" s="6">
        <f t="shared" si="1"/>
        <v>9</v>
      </c>
      <c r="C12" s="7" t="s">
        <v>9</v>
      </c>
      <c r="D12" s="8">
        <v>80.0</v>
      </c>
      <c r="E12" s="9" t="s">
        <v>20</v>
      </c>
      <c r="F12" s="10" t="str">
        <f>VLOOKUP(E12,BASE_VEICULOS!A:G,7,0)</f>
        <v>PROF - 07001 - MANUTENÇÃO PREDIAL- PROFARMA-2025</v>
      </c>
      <c r="G12" s="11" t="str">
        <f>IFERROR(VLOOKUP(E12,BASE_VEICULOS!$A:$B,2,0),"")</f>
        <v>TEW9A34</v>
      </c>
      <c r="H12" s="12"/>
      <c r="I12" s="13">
        <f t="shared" si="2"/>
        <v>46054</v>
      </c>
    </row>
    <row r="13" ht="22.5" customHeight="1">
      <c r="A13" s="5">
        <v>46076.0</v>
      </c>
      <c r="B13" s="6">
        <f t="shared" si="1"/>
        <v>9</v>
      </c>
      <c r="C13" s="7" t="s">
        <v>9</v>
      </c>
      <c r="D13" s="8">
        <v>80.0</v>
      </c>
      <c r="E13" s="9" t="s">
        <v>21</v>
      </c>
      <c r="F13" s="10" t="str">
        <f>VLOOKUP(E13,BASE_VEICULOS!A:G,7,0)</f>
        <v>PROF - 07001 - MANUTENÇÃO PREDIAL- PROFARMA-2025</v>
      </c>
      <c r="G13" s="11" t="str">
        <f>IFERROR(VLOOKUP(E13,BASE_VEICULOS!$A:$B,2,0),"")</f>
        <v>TEW9A33</v>
      </c>
      <c r="H13" s="12"/>
      <c r="I13" s="13">
        <f t="shared" si="2"/>
        <v>46054</v>
      </c>
    </row>
    <row r="14" ht="22.5" customHeight="1">
      <c r="A14" s="5">
        <v>46076.0</v>
      </c>
      <c r="B14" s="6">
        <f t="shared" si="1"/>
        <v>9</v>
      </c>
      <c r="C14" s="7" t="s">
        <v>9</v>
      </c>
      <c r="D14" s="8">
        <v>100.0</v>
      </c>
      <c r="E14" s="9" t="s">
        <v>22</v>
      </c>
      <c r="F14" s="10" t="str">
        <f>VLOOKUP(E14,BASE_VEICULOS!A:G,7,0)</f>
        <v>PROF - 07001 - MANUTENÇÃO PREDIAL- PROFARMA-2025</v>
      </c>
      <c r="G14" s="11" t="str">
        <f>IFERROR(VLOOKUP(E14,BASE_VEICULOS!$A:$B,2,0),"")</f>
        <v>TET5H37</v>
      </c>
      <c r="H14" s="14"/>
      <c r="I14" s="15">
        <f t="shared" si="2"/>
        <v>46054</v>
      </c>
    </row>
    <row r="15" ht="22.5" customHeight="1">
      <c r="A15" s="5">
        <v>46076.0</v>
      </c>
      <c r="B15" s="6">
        <f t="shared" si="1"/>
        <v>9</v>
      </c>
      <c r="C15" s="7" t="s">
        <v>9</v>
      </c>
      <c r="D15" s="8">
        <v>180.0</v>
      </c>
      <c r="E15" s="9" t="s">
        <v>23</v>
      </c>
      <c r="F15" s="10" t="str">
        <f>VLOOKUP(E15,BASE_VEICULOS!A:G,7,0)</f>
        <v>PROF - 07001 - MANUTENÇÃO PREDIAL- PROFARMA-2025</v>
      </c>
      <c r="G15" s="11" t="str">
        <f>IFERROR(VLOOKUP(E15,BASE_VEICULOS!$A:$B,2,0),"")</f>
        <v>TEH3I02</v>
      </c>
      <c r="H15" s="16"/>
      <c r="I15" s="17">
        <f t="shared" si="2"/>
        <v>46054</v>
      </c>
    </row>
    <row r="16" ht="22.5" customHeight="1">
      <c r="A16" s="5">
        <v>46076.0</v>
      </c>
      <c r="B16" s="6">
        <f t="shared" si="1"/>
        <v>9</v>
      </c>
      <c r="C16" s="7" t="s">
        <v>9</v>
      </c>
      <c r="D16" s="8">
        <v>179.97</v>
      </c>
      <c r="E16" s="9" t="s">
        <v>24</v>
      </c>
      <c r="F16" s="10" t="str">
        <f>VLOOKUP(E16,BASE_VEICULOS!A:G,7,0)</f>
        <v>PROF - 07001 - MANUTENÇÃO PREDIAL- PROFARMA-2025</v>
      </c>
      <c r="G16" s="11" t="str">
        <f>IFERROR(VLOOKUP(E16,BASE_VEICULOS!$A:$B,2,0),"")</f>
        <v>TEW9A23</v>
      </c>
      <c r="H16" s="14"/>
      <c r="I16" s="15">
        <f t="shared" si="2"/>
        <v>46054</v>
      </c>
    </row>
    <row r="17" ht="22.5" customHeight="1">
      <c r="A17" s="5">
        <v>46076.0</v>
      </c>
      <c r="B17" s="6">
        <f t="shared" si="1"/>
        <v>9</v>
      </c>
      <c r="C17" s="7" t="s">
        <v>9</v>
      </c>
      <c r="D17" s="8">
        <v>130.0</v>
      </c>
      <c r="E17" s="9" t="s">
        <v>25</v>
      </c>
      <c r="F17" s="10" t="str">
        <f>VLOOKUP(E17,BASE_VEICULOS!A:G,7,0)</f>
        <v>PROF - 07001 - MANUTENÇÃO PREDIAL- PROFARMA-2025</v>
      </c>
      <c r="G17" s="11" t="str">
        <f>IFERROR(VLOOKUP(E17,BASE_VEICULOS!$A:$B,2,0),"")</f>
        <v>TEW9A26</v>
      </c>
      <c r="H17" s="12"/>
      <c r="I17" s="13">
        <f t="shared" si="2"/>
        <v>46054</v>
      </c>
    </row>
    <row r="18" ht="22.5" customHeight="1">
      <c r="A18" s="5">
        <v>46076.0</v>
      </c>
      <c r="B18" s="6">
        <f t="shared" si="1"/>
        <v>9</v>
      </c>
      <c r="C18" s="7" t="s">
        <v>9</v>
      </c>
      <c r="D18" s="8">
        <v>99.97</v>
      </c>
      <c r="E18" s="9" t="s">
        <v>26</v>
      </c>
      <c r="F18" s="10" t="str">
        <f>VLOOKUP(E18,BASE_VEICULOS!A:G,7,0)</f>
        <v>#N/A</v>
      </c>
      <c r="G18" s="11" t="str">
        <f>IFERROR(VLOOKUP(E18,BASE_VEICULOS!$A:$B,2,0),"")</f>
        <v/>
      </c>
      <c r="H18" s="12"/>
      <c r="I18" s="13">
        <f t="shared" si="2"/>
        <v>46054</v>
      </c>
    </row>
    <row r="19" ht="22.5" customHeight="1">
      <c r="A19" s="5">
        <v>46076.0</v>
      </c>
      <c r="B19" s="6">
        <f t="shared" si="1"/>
        <v>9</v>
      </c>
      <c r="C19" s="7" t="s">
        <v>9</v>
      </c>
      <c r="D19" s="8">
        <v>99.99</v>
      </c>
      <c r="E19" s="9" t="s">
        <v>27</v>
      </c>
      <c r="F19" s="10" t="str">
        <f>VLOOKUP(E19,BASE_VEICULOS!A:G,7,0)</f>
        <v>FAC - 140005 - SPOT MANUTENÇÃO DPSP 2025</v>
      </c>
      <c r="G19" s="11" t="str">
        <f>IFERROR(VLOOKUP(E19,BASE_VEICULOS!$A:$B,2,0),"")</f>
        <v>UDA5B37</v>
      </c>
      <c r="H19" s="16"/>
      <c r="I19" s="17">
        <f t="shared" si="2"/>
        <v>46054</v>
      </c>
    </row>
    <row r="20" ht="22.5" customHeight="1">
      <c r="A20" s="5">
        <v>46077.0</v>
      </c>
      <c r="B20" s="6">
        <f t="shared" si="1"/>
        <v>9</v>
      </c>
      <c r="C20" s="7" t="s">
        <v>9</v>
      </c>
      <c r="D20" s="8">
        <v>70.0</v>
      </c>
      <c r="E20" s="9" t="s">
        <v>10</v>
      </c>
      <c r="F20" s="10" t="str">
        <f>VLOOKUP(E20,BASE_VEICULOS!A:G,7,0)</f>
        <v>FAC - 140004 - MANUTENÇÃO PREDIAL DPSP 2025</v>
      </c>
      <c r="G20" s="11" t="str">
        <f>IFERROR(VLOOKUP(E20,BASE_VEICULOS!$A:$B,2,0),"")</f>
        <v>TEW9A25</v>
      </c>
      <c r="H20" s="12"/>
      <c r="I20" s="13">
        <f t="shared" si="2"/>
        <v>46054</v>
      </c>
    </row>
    <row r="21" ht="22.5" customHeight="1">
      <c r="A21" s="5">
        <v>46077.0</v>
      </c>
      <c r="B21" s="6">
        <f t="shared" si="1"/>
        <v>9</v>
      </c>
      <c r="C21" s="7" t="s">
        <v>9</v>
      </c>
      <c r="D21" s="8">
        <v>69.99</v>
      </c>
      <c r="E21" s="9" t="s">
        <v>11</v>
      </c>
      <c r="F21" s="10" t="str">
        <f>VLOOKUP(E21,BASE_VEICULOS!A:G,7,0)</f>
        <v>PROF - 07001 - MANUTENÇÃO PREDIAL- PROFARMA-2025</v>
      </c>
      <c r="G21" s="11" t="str">
        <f>IFERROR(VLOOKUP(E21,BASE_VEICULOS!$A:$B,2,0),"")</f>
        <v>TEW9A28</v>
      </c>
      <c r="H21" s="14"/>
      <c r="I21" s="15">
        <f t="shared" si="2"/>
        <v>46054</v>
      </c>
    </row>
    <row r="22" ht="22.5" customHeight="1">
      <c r="A22" s="5">
        <v>46077.0</v>
      </c>
      <c r="B22" s="6">
        <f t="shared" si="1"/>
        <v>9</v>
      </c>
      <c r="C22" s="7" t="s">
        <v>9</v>
      </c>
      <c r="D22" s="8">
        <v>70.0</v>
      </c>
      <c r="E22" s="9" t="s">
        <v>12</v>
      </c>
      <c r="F22" s="10" t="str">
        <f>VLOOKUP(E22,BASE_VEICULOS!A:G,7,0)</f>
        <v>FAC - 140004 - MANUTENÇÃO PREDIAL DPSP 2025</v>
      </c>
      <c r="G22" s="11" t="str">
        <f>IFERROR(VLOOKUP(E22,BASE_VEICULOS!$A:$B,2,0),"")</f>
        <v>FIL8C14</v>
      </c>
      <c r="H22" s="14"/>
      <c r="I22" s="15">
        <f t="shared" si="2"/>
        <v>46054</v>
      </c>
    </row>
    <row r="23" ht="22.5" customHeight="1">
      <c r="A23" s="5">
        <v>46077.0</v>
      </c>
      <c r="B23" s="6">
        <f t="shared" si="1"/>
        <v>9</v>
      </c>
      <c r="C23" s="7" t="s">
        <v>9</v>
      </c>
      <c r="D23" s="8">
        <v>79.98</v>
      </c>
      <c r="E23" s="9" t="s">
        <v>13</v>
      </c>
      <c r="F23" s="10" t="str">
        <f>VLOOKUP(E23,BASE_VEICULOS!A:G,7,0)</f>
        <v>FAC - 140005 - SPOT MANUTENÇÃO DPSP 2025</v>
      </c>
      <c r="G23" s="11" t="str">
        <f>IFERROR(VLOOKUP(E23,BASE_VEICULOS!$A:$B,2,0),"")</f>
        <v>FGO3C61</v>
      </c>
      <c r="H23" s="14"/>
      <c r="I23" s="15">
        <f t="shared" si="2"/>
        <v>46054</v>
      </c>
    </row>
    <row r="24" ht="22.5" customHeight="1">
      <c r="A24" s="5">
        <v>46077.0</v>
      </c>
      <c r="B24" s="6">
        <f t="shared" si="1"/>
        <v>9</v>
      </c>
      <c r="C24" s="7" t="s">
        <v>9</v>
      </c>
      <c r="D24" s="8">
        <v>80.0</v>
      </c>
      <c r="E24" s="9" t="s">
        <v>14</v>
      </c>
      <c r="F24" s="10" t="str">
        <f>VLOOKUP(E24,BASE_VEICULOS!A:G,7,0)</f>
        <v>FAC - 140004 - MANUTENÇÃO PREDIAL DPSP 2025</v>
      </c>
      <c r="G24" s="11" t="str">
        <f>IFERROR(VLOOKUP(E24,BASE_VEICULOS!$A:$B,2,0),"")</f>
        <v>FOK8A73</v>
      </c>
      <c r="H24" s="14"/>
      <c r="I24" s="15">
        <f t="shared" si="2"/>
        <v>46054</v>
      </c>
    </row>
    <row r="25" ht="22.5" customHeight="1">
      <c r="A25" s="5">
        <v>46077.0</v>
      </c>
      <c r="B25" s="6">
        <f t="shared" si="1"/>
        <v>9</v>
      </c>
      <c r="C25" s="7" t="s">
        <v>9</v>
      </c>
      <c r="D25" s="8">
        <v>70.0</v>
      </c>
      <c r="E25" s="9" t="s">
        <v>15</v>
      </c>
      <c r="F25" s="10" t="str">
        <f>VLOOKUP(E25,BASE_VEICULOS!A:G,7,0)</f>
        <v>FAC - 140005 - SPOT MANUTENÇÃO DPSP 2025</v>
      </c>
      <c r="G25" s="11" t="str">
        <f>IFERROR(VLOOKUP(E25,BASE_VEICULOS!$A:$B,2,0),"")</f>
        <v>EWH1B84</v>
      </c>
      <c r="H25" s="14"/>
      <c r="I25" s="15">
        <f t="shared" si="2"/>
        <v>46054</v>
      </c>
    </row>
    <row r="26" ht="22.5" customHeight="1">
      <c r="A26" s="5">
        <v>46077.0</v>
      </c>
      <c r="B26" s="6">
        <f t="shared" si="1"/>
        <v>9</v>
      </c>
      <c r="C26" s="7" t="s">
        <v>9</v>
      </c>
      <c r="D26" s="8">
        <v>219.95</v>
      </c>
      <c r="E26" s="9" t="s">
        <v>16</v>
      </c>
      <c r="F26" s="10" t="str">
        <f>VLOOKUP(E26,BASE_VEICULOS!A:G,7,0)</f>
        <v>FAC - 140005 - SPOT MANUTENÇÃO DPSP 2025</v>
      </c>
      <c r="G26" s="11" t="str">
        <f>IFERROR(VLOOKUP(E26,BASE_VEICULOS!$A:$B,2,0),"")</f>
        <v>TEW9A27</v>
      </c>
      <c r="H26" s="12"/>
      <c r="I26" s="13">
        <f t="shared" si="2"/>
        <v>46054</v>
      </c>
    </row>
    <row r="27" ht="22.5" customHeight="1">
      <c r="A27" s="5">
        <v>46077.0</v>
      </c>
      <c r="B27" s="6">
        <f t="shared" si="1"/>
        <v>9</v>
      </c>
      <c r="C27" s="7" t="s">
        <v>9</v>
      </c>
      <c r="D27" s="8">
        <v>120.0</v>
      </c>
      <c r="E27" s="9" t="s">
        <v>17</v>
      </c>
      <c r="F27" s="10" t="str">
        <f>VLOOKUP(E27,BASE_VEICULOS!A:G,7,0)</f>
        <v>#N/A</v>
      </c>
      <c r="G27" s="11" t="str">
        <f>IFERROR(VLOOKUP(E27,BASE_VEICULOS!$A:$B,2,0),"")</f>
        <v/>
      </c>
      <c r="H27" s="12"/>
      <c r="I27" s="13">
        <f t="shared" si="2"/>
        <v>46054</v>
      </c>
    </row>
    <row r="28" ht="22.5" customHeight="1">
      <c r="A28" s="5">
        <v>46077.0</v>
      </c>
      <c r="B28" s="6">
        <f t="shared" si="1"/>
        <v>9</v>
      </c>
      <c r="C28" s="7" t="s">
        <v>9</v>
      </c>
      <c r="D28" s="8">
        <v>200.0</v>
      </c>
      <c r="E28" s="9" t="s">
        <v>18</v>
      </c>
      <c r="F28" s="10" t="str">
        <f>VLOOKUP(E28,BASE_VEICULOS!A:G,7,0)</f>
        <v>FAC - 140004 - MANUTENÇÃO PREDIAL DPSP 2025</v>
      </c>
      <c r="G28" s="11" t="str">
        <f>IFERROR(VLOOKUP(E28,BASE_VEICULOS!$A:$B,2,0),"")</f>
        <v>TEW9A29</v>
      </c>
      <c r="H28" s="12"/>
      <c r="I28" s="13">
        <f t="shared" si="2"/>
        <v>46054</v>
      </c>
    </row>
    <row r="29" ht="22.5" customHeight="1">
      <c r="A29" s="5">
        <v>46077.0</v>
      </c>
      <c r="B29" s="6">
        <f t="shared" si="1"/>
        <v>9</v>
      </c>
      <c r="C29" s="7" t="s">
        <v>9</v>
      </c>
      <c r="D29" s="8">
        <v>80.0</v>
      </c>
      <c r="E29" s="9" t="s">
        <v>19</v>
      </c>
      <c r="F29" s="10" t="str">
        <f>VLOOKUP(E29,BASE_VEICULOS!A:G,7,0)</f>
        <v>PROF - 07001 - MANUTENÇÃO PREDIAL- PROFARMA-2025</v>
      </c>
      <c r="G29" s="11" t="str">
        <f>IFERROR(VLOOKUP(E29,BASE_VEICULOS!$A:$B,2,0),"")</f>
        <v>TEW9A24</v>
      </c>
      <c r="H29" s="12"/>
      <c r="I29" s="13">
        <f t="shared" si="2"/>
        <v>46054</v>
      </c>
    </row>
    <row r="30" ht="22.5" customHeight="1">
      <c r="A30" s="5">
        <v>46077.0</v>
      </c>
      <c r="B30" s="6">
        <f t="shared" si="1"/>
        <v>9</v>
      </c>
      <c r="C30" s="7" t="s">
        <v>9</v>
      </c>
      <c r="D30" s="8">
        <v>79.96</v>
      </c>
      <c r="E30" s="9" t="s">
        <v>20</v>
      </c>
      <c r="F30" s="10" t="str">
        <f>VLOOKUP(E30,BASE_VEICULOS!A:G,7,0)</f>
        <v>PROF - 07001 - MANUTENÇÃO PREDIAL- PROFARMA-2025</v>
      </c>
      <c r="G30" s="11" t="str">
        <f>IFERROR(VLOOKUP(E30,BASE_VEICULOS!$A:$B,2,0),"")</f>
        <v>TEW9A34</v>
      </c>
      <c r="H30" s="12"/>
      <c r="I30" s="13">
        <f t="shared" si="2"/>
        <v>46054</v>
      </c>
    </row>
    <row r="31" ht="22.5" customHeight="1">
      <c r="A31" s="5">
        <v>46077.0</v>
      </c>
      <c r="B31" s="6">
        <f t="shared" si="1"/>
        <v>9</v>
      </c>
      <c r="C31" s="7" t="s">
        <v>9</v>
      </c>
      <c r="D31" s="8">
        <v>80.0</v>
      </c>
      <c r="E31" s="9" t="s">
        <v>21</v>
      </c>
      <c r="F31" s="10" t="str">
        <f>VLOOKUP(E31,BASE_VEICULOS!A:G,7,0)</f>
        <v>PROF - 07001 - MANUTENÇÃO PREDIAL- PROFARMA-2025</v>
      </c>
      <c r="G31" s="11" t="str">
        <f>IFERROR(VLOOKUP(E31,BASE_VEICULOS!$A:$B,2,0),"")</f>
        <v>TEW9A33</v>
      </c>
      <c r="H31" s="12"/>
      <c r="I31" s="13">
        <f t="shared" si="2"/>
        <v>46054</v>
      </c>
    </row>
    <row r="32" ht="22.5" customHeight="1">
      <c r="A32" s="5">
        <v>46077.0</v>
      </c>
      <c r="B32" s="6">
        <f t="shared" si="1"/>
        <v>9</v>
      </c>
      <c r="C32" s="7" t="s">
        <v>9</v>
      </c>
      <c r="D32" s="8">
        <v>80.0</v>
      </c>
      <c r="E32" s="9" t="s">
        <v>23</v>
      </c>
      <c r="F32" s="10" t="str">
        <f>VLOOKUP(E32,BASE_VEICULOS!A:G,7,0)</f>
        <v>PROF - 07001 - MANUTENÇÃO PREDIAL- PROFARMA-2025</v>
      </c>
      <c r="G32" s="11" t="str">
        <f>IFERROR(VLOOKUP(E32,BASE_VEICULOS!$A:$B,2,0),"")</f>
        <v>TEH3I02</v>
      </c>
      <c r="H32" s="16"/>
      <c r="I32" s="17">
        <f t="shared" si="2"/>
        <v>46054</v>
      </c>
    </row>
    <row r="33" ht="22.5" customHeight="1">
      <c r="A33" s="5">
        <v>46077.0</v>
      </c>
      <c r="B33" s="6">
        <f t="shared" si="1"/>
        <v>9</v>
      </c>
      <c r="C33" s="7" t="s">
        <v>9</v>
      </c>
      <c r="D33" s="8">
        <v>120.0</v>
      </c>
      <c r="E33" s="9" t="s">
        <v>24</v>
      </c>
      <c r="F33" s="10" t="str">
        <f>VLOOKUP(E33,BASE_VEICULOS!A:G,7,0)</f>
        <v>PROF - 07001 - MANUTENÇÃO PREDIAL- PROFARMA-2025</v>
      </c>
      <c r="G33" s="11" t="str">
        <f>IFERROR(VLOOKUP(E33,BASE_VEICULOS!$A:$B,2,0),"")</f>
        <v>TEW9A23</v>
      </c>
      <c r="H33" s="14"/>
      <c r="I33" s="15">
        <f t="shared" si="2"/>
        <v>46054</v>
      </c>
    </row>
    <row r="34" ht="22.5" customHeight="1">
      <c r="A34" s="5">
        <v>46077.0</v>
      </c>
      <c r="B34" s="6">
        <f t="shared" si="1"/>
        <v>9</v>
      </c>
      <c r="C34" s="7" t="s">
        <v>9</v>
      </c>
      <c r="D34" s="8">
        <v>100.0</v>
      </c>
      <c r="E34" s="9" t="s">
        <v>25</v>
      </c>
      <c r="F34" s="10" t="str">
        <f>VLOOKUP(E34,BASE_VEICULOS!A:G,7,0)</f>
        <v>PROF - 07001 - MANUTENÇÃO PREDIAL- PROFARMA-2025</v>
      </c>
      <c r="G34" s="11" t="str">
        <f>IFERROR(VLOOKUP(E34,BASE_VEICULOS!$A:$B,2,0),"")</f>
        <v>TEW9A26</v>
      </c>
      <c r="H34" s="12"/>
      <c r="I34" s="13">
        <f t="shared" si="2"/>
        <v>46054</v>
      </c>
    </row>
    <row r="35" ht="22.5" customHeight="1">
      <c r="A35" s="5">
        <v>46077.0</v>
      </c>
      <c r="B35" s="6">
        <f t="shared" si="1"/>
        <v>9</v>
      </c>
      <c r="C35" s="7" t="s">
        <v>9</v>
      </c>
      <c r="D35" s="8">
        <v>30.0</v>
      </c>
      <c r="E35" s="9" t="s">
        <v>26</v>
      </c>
      <c r="F35" s="10" t="str">
        <f>VLOOKUP(E35,BASE_VEICULOS!A:G,7,0)</f>
        <v>#N/A</v>
      </c>
      <c r="G35" s="11" t="str">
        <f>IFERROR(VLOOKUP(E35,BASE_VEICULOS!$A:$B,2,0),"")</f>
        <v/>
      </c>
      <c r="H35" s="12"/>
      <c r="I35" s="13">
        <f t="shared" si="2"/>
        <v>46054</v>
      </c>
    </row>
    <row r="36" ht="22.5" customHeight="1">
      <c r="A36" s="5">
        <v>46077.0</v>
      </c>
      <c r="B36" s="6">
        <f t="shared" si="1"/>
        <v>9</v>
      </c>
      <c r="C36" s="7" t="s">
        <v>9</v>
      </c>
      <c r="D36" s="8">
        <v>100.0</v>
      </c>
      <c r="E36" s="9" t="s">
        <v>28</v>
      </c>
      <c r="F36" s="10" t="str">
        <f>VLOOKUP(E36,BASE_VEICULOS!A:G,7,0)</f>
        <v>#N/A</v>
      </c>
      <c r="G36" s="11" t="str">
        <f>IFERROR(VLOOKUP(E36,BASE_VEICULOS!$A:$B,2,0),"")</f>
        <v/>
      </c>
      <c r="H36" s="14"/>
      <c r="I36" s="15">
        <f t="shared" si="2"/>
        <v>46054</v>
      </c>
    </row>
    <row r="37" ht="22.5" customHeight="1">
      <c r="A37" s="5">
        <v>46077.0</v>
      </c>
      <c r="B37" s="6">
        <f t="shared" si="1"/>
        <v>9</v>
      </c>
      <c r="C37" s="7" t="s">
        <v>9</v>
      </c>
      <c r="D37" s="8">
        <v>50.0</v>
      </c>
      <c r="E37" s="7" t="s">
        <v>29</v>
      </c>
      <c r="F37" s="10" t="str">
        <f>VLOOKUP(E37,BASE_VEICULOS!A:G,7,0)</f>
        <v>PROF - 07001 - MANUTENÇÃO PREDIAL- PROFARMA-2025</v>
      </c>
      <c r="G37" s="11" t="str">
        <f>IFERROR(VLOOKUP(E37,BASE_VEICULOS!$A:$B,2,0),"")</f>
        <v>TEQ2I74</v>
      </c>
      <c r="H37" s="16"/>
      <c r="I37" s="17">
        <f t="shared" si="2"/>
        <v>46054</v>
      </c>
    </row>
    <row r="38" ht="22.5" customHeight="1">
      <c r="A38" s="5">
        <v>46077.0</v>
      </c>
      <c r="B38" s="6">
        <f t="shared" si="1"/>
        <v>9</v>
      </c>
      <c r="C38" s="7" t="s">
        <v>9</v>
      </c>
      <c r="D38" s="8">
        <v>80.0</v>
      </c>
      <c r="E38" s="9" t="s">
        <v>30</v>
      </c>
      <c r="F38" s="10" t="str">
        <f>VLOOKUP(E38,BASE_VEICULOS!A:G,7,0)</f>
        <v>#N/A</v>
      </c>
      <c r="G38" s="11" t="str">
        <f>IFERROR(VLOOKUP(E38,BASE_VEICULOS!$A:$B,2,0),"")</f>
        <v/>
      </c>
      <c r="H38" s="18" t="s">
        <v>31</v>
      </c>
      <c r="I38" s="13">
        <f t="shared" si="2"/>
        <v>46054</v>
      </c>
    </row>
    <row r="39" ht="22.5" customHeight="1">
      <c r="A39" s="5">
        <v>46078.0</v>
      </c>
      <c r="B39" s="6">
        <f t="shared" si="1"/>
        <v>9</v>
      </c>
      <c r="C39" s="7" t="s">
        <v>9</v>
      </c>
      <c r="D39" s="8">
        <v>140.0</v>
      </c>
      <c r="E39" s="9" t="s">
        <v>10</v>
      </c>
      <c r="F39" s="10" t="str">
        <f>VLOOKUP(E39,BASE_VEICULOS!A:G,7,0)</f>
        <v>FAC - 140004 - MANUTENÇÃO PREDIAL DPSP 2025</v>
      </c>
      <c r="G39" s="11" t="str">
        <f>IFERROR(VLOOKUP(E39,BASE_VEICULOS!$A:$B,2,0),"")</f>
        <v>TEW9A25</v>
      </c>
      <c r="H39" s="12"/>
      <c r="I39" s="13">
        <f t="shared" si="2"/>
        <v>46054</v>
      </c>
    </row>
    <row r="40" ht="22.5" customHeight="1">
      <c r="A40" s="5">
        <v>46078.0</v>
      </c>
      <c r="B40" s="6">
        <f t="shared" si="1"/>
        <v>9</v>
      </c>
      <c r="C40" s="7" t="s">
        <v>9</v>
      </c>
      <c r="D40" s="8">
        <v>150.08</v>
      </c>
      <c r="E40" s="9" t="s">
        <v>11</v>
      </c>
      <c r="F40" s="10" t="str">
        <f>VLOOKUP(E40,BASE_VEICULOS!A:G,7,0)</f>
        <v>PROF - 07001 - MANUTENÇÃO PREDIAL- PROFARMA-2025</v>
      </c>
      <c r="G40" s="11" t="str">
        <f>IFERROR(VLOOKUP(E40,BASE_VEICULOS!$A:$B,2,0),"")</f>
        <v>TEW9A28</v>
      </c>
      <c r="H40" s="14"/>
      <c r="I40" s="15">
        <f t="shared" si="2"/>
        <v>46054</v>
      </c>
    </row>
    <row r="41" ht="22.5" customHeight="1">
      <c r="A41" s="5">
        <v>46078.0</v>
      </c>
      <c r="B41" s="6">
        <f t="shared" si="1"/>
        <v>9</v>
      </c>
      <c r="C41" s="7" t="s">
        <v>9</v>
      </c>
      <c r="D41" s="8">
        <v>119.98</v>
      </c>
      <c r="E41" s="9" t="s">
        <v>12</v>
      </c>
      <c r="F41" s="10" t="str">
        <f>VLOOKUP(E41,BASE_VEICULOS!A:G,7,0)</f>
        <v>FAC - 140004 - MANUTENÇÃO PREDIAL DPSP 2025</v>
      </c>
      <c r="G41" s="11" t="str">
        <f>IFERROR(VLOOKUP(E41,BASE_VEICULOS!$A:$B,2,0),"")</f>
        <v>FIL8C14</v>
      </c>
      <c r="H41" s="14"/>
      <c r="I41" s="15">
        <f t="shared" si="2"/>
        <v>46054</v>
      </c>
    </row>
    <row r="42" ht="22.5" customHeight="1">
      <c r="A42" s="5">
        <v>46078.0</v>
      </c>
      <c r="B42" s="6">
        <f t="shared" si="1"/>
        <v>9</v>
      </c>
      <c r="C42" s="7" t="s">
        <v>9</v>
      </c>
      <c r="D42" s="8">
        <v>79.97</v>
      </c>
      <c r="E42" s="9" t="s">
        <v>13</v>
      </c>
      <c r="F42" s="10" t="str">
        <f>VLOOKUP(E42,BASE_VEICULOS!A:G,7,0)</f>
        <v>FAC - 140005 - SPOT MANUTENÇÃO DPSP 2025</v>
      </c>
      <c r="G42" s="11" t="str">
        <f>IFERROR(VLOOKUP(E42,BASE_VEICULOS!$A:$B,2,0),"")</f>
        <v>FGO3C61</v>
      </c>
      <c r="H42" s="14"/>
      <c r="I42" s="15">
        <f t="shared" si="2"/>
        <v>46054</v>
      </c>
    </row>
    <row r="43" ht="22.5" customHeight="1">
      <c r="A43" s="5">
        <v>46078.0</v>
      </c>
      <c r="B43" s="6">
        <f t="shared" si="1"/>
        <v>9</v>
      </c>
      <c r="C43" s="7" t="s">
        <v>9</v>
      </c>
      <c r="D43" s="8">
        <v>80.0</v>
      </c>
      <c r="E43" s="9" t="s">
        <v>14</v>
      </c>
      <c r="F43" s="10" t="str">
        <f>VLOOKUP(E43,BASE_VEICULOS!A:G,7,0)</f>
        <v>FAC - 140004 - MANUTENÇÃO PREDIAL DPSP 2025</v>
      </c>
      <c r="G43" s="11" t="str">
        <f>IFERROR(VLOOKUP(E43,BASE_VEICULOS!$A:$B,2,0),"")</f>
        <v>FOK8A73</v>
      </c>
      <c r="H43" s="14"/>
      <c r="I43" s="15">
        <f t="shared" si="2"/>
        <v>46054</v>
      </c>
    </row>
    <row r="44" ht="22.5" customHeight="1">
      <c r="A44" s="5">
        <v>46078.0</v>
      </c>
      <c r="B44" s="6">
        <f t="shared" si="1"/>
        <v>9</v>
      </c>
      <c r="C44" s="7" t="s">
        <v>9</v>
      </c>
      <c r="D44" s="8">
        <v>70.0</v>
      </c>
      <c r="E44" s="9" t="s">
        <v>15</v>
      </c>
      <c r="F44" s="10" t="str">
        <f>VLOOKUP(E44,BASE_VEICULOS!A:G,7,0)</f>
        <v>FAC - 140005 - SPOT MANUTENÇÃO DPSP 2025</v>
      </c>
      <c r="G44" s="11" t="str">
        <f>IFERROR(VLOOKUP(E44,BASE_VEICULOS!$A:$B,2,0),"")</f>
        <v>EWH1B84</v>
      </c>
      <c r="H44" s="14"/>
      <c r="I44" s="15">
        <f t="shared" si="2"/>
        <v>46054</v>
      </c>
    </row>
    <row r="45" ht="22.5" customHeight="1">
      <c r="A45" s="5">
        <v>46078.0</v>
      </c>
      <c r="B45" s="6">
        <f t="shared" si="1"/>
        <v>9</v>
      </c>
      <c r="C45" s="7" t="s">
        <v>9</v>
      </c>
      <c r="D45" s="8">
        <v>50.0</v>
      </c>
      <c r="E45" s="9" t="s">
        <v>16</v>
      </c>
      <c r="F45" s="10" t="str">
        <f>VLOOKUP(E45,BASE_VEICULOS!A:G,7,0)</f>
        <v>FAC - 140005 - SPOT MANUTENÇÃO DPSP 2025</v>
      </c>
      <c r="G45" s="11" t="str">
        <f>IFERROR(VLOOKUP(E45,BASE_VEICULOS!$A:$B,2,0),"")</f>
        <v>TEW9A27</v>
      </c>
      <c r="H45" s="12"/>
      <c r="I45" s="13">
        <f t="shared" si="2"/>
        <v>46054</v>
      </c>
    </row>
    <row r="46" ht="22.5" customHeight="1">
      <c r="A46" s="5">
        <v>46078.0</v>
      </c>
      <c r="B46" s="6">
        <f t="shared" si="1"/>
        <v>9</v>
      </c>
      <c r="C46" s="7" t="s">
        <v>9</v>
      </c>
      <c r="D46" s="8">
        <v>120.03</v>
      </c>
      <c r="E46" s="9" t="s">
        <v>17</v>
      </c>
      <c r="F46" s="10" t="str">
        <f>VLOOKUP(E46,BASE_VEICULOS!A:G,7,0)</f>
        <v>#N/A</v>
      </c>
      <c r="G46" s="11" t="str">
        <f>IFERROR(VLOOKUP(E46,BASE_VEICULOS!$A:$B,2,0),"")</f>
        <v/>
      </c>
      <c r="H46" s="12"/>
      <c r="I46" s="13">
        <f t="shared" si="2"/>
        <v>46054</v>
      </c>
    </row>
    <row r="47" ht="22.5" customHeight="1">
      <c r="A47" s="5">
        <v>46078.0</v>
      </c>
      <c r="B47" s="6">
        <f t="shared" si="1"/>
        <v>9</v>
      </c>
      <c r="C47" s="7" t="s">
        <v>9</v>
      </c>
      <c r="D47" s="8">
        <v>80.0</v>
      </c>
      <c r="E47" s="9" t="s">
        <v>18</v>
      </c>
      <c r="F47" s="10" t="str">
        <f>VLOOKUP(E47,BASE_VEICULOS!A:G,7,0)</f>
        <v>FAC - 140004 - MANUTENÇÃO PREDIAL DPSP 2025</v>
      </c>
      <c r="G47" s="11" t="str">
        <f>IFERROR(VLOOKUP(E47,BASE_VEICULOS!$A:$B,2,0),"")</f>
        <v>TEW9A29</v>
      </c>
      <c r="H47" s="12"/>
      <c r="I47" s="13">
        <f t="shared" si="2"/>
        <v>46054</v>
      </c>
    </row>
    <row r="48" ht="22.5" customHeight="1">
      <c r="A48" s="5">
        <v>46078.0</v>
      </c>
      <c r="B48" s="6">
        <f t="shared" si="1"/>
        <v>9</v>
      </c>
      <c r="C48" s="7" t="s">
        <v>9</v>
      </c>
      <c r="D48" s="8">
        <v>100.0</v>
      </c>
      <c r="E48" s="9" t="s">
        <v>19</v>
      </c>
      <c r="F48" s="10" t="str">
        <f>VLOOKUP(E48,BASE_VEICULOS!A:G,7,0)</f>
        <v>PROF - 07001 - MANUTENÇÃO PREDIAL- PROFARMA-2025</v>
      </c>
      <c r="G48" s="11" t="str">
        <f>IFERROR(VLOOKUP(E48,BASE_VEICULOS!$A:$B,2,0),"")</f>
        <v>TEW9A24</v>
      </c>
      <c r="H48" s="12"/>
      <c r="I48" s="13">
        <f t="shared" si="2"/>
        <v>46054</v>
      </c>
    </row>
    <row r="49" ht="22.5" customHeight="1">
      <c r="A49" s="5">
        <v>46078.0</v>
      </c>
      <c r="B49" s="6">
        <f t="shared" si="1"/>
        <v>9</v>
      </c>
      <c r="C49" s="7" t="s">
        <v>9</v>
      </c>
      <c r="D49" s="8">
        <v>80.0</v>
      </c>
      <c r="E49" s="9" t="s">
        <v>20</v>
      </c>
      <c r="F49" s="10" t="str">
        <f>VLOOKUP(E49,BASE_VEICULOS!A:G,7,0)</f>
        <v>PROF - 07001 - MANUTENÇÃO PREDIAL- PROFARMA-2025</v>
      </c>
      <c r="G49" s="11" t="str">
        <f>IFERROR(VLOOKUP(E49,BASE_VEICULOS!$A:$B,2,0),"")</f>
        <v>TEW9A34</v>
      </c>
      <c r="H49" s="12"/>
      <c r="I49" s="13">
        <f t="shared" si="2"/>
        <v>46054</v>
      </c>
    </row>
    <row r="50" ht="22.5" customHeight="1">
      <c r="A50" s="5">
        <v>46078.0</v>
      </c>
      <c r="B50" s="6">
        <f t="shared" si="1"/>
        <v>9</v>
      </c>
      <c r="C50" s="7" t="s">
        <v>9</v>
      </c>
      <c r="D50" s="8">
        <v>100.0</v>
      </c>
      <c r="E50" s="9" t="s">
        <v>21</v>
      </c>
      <c r="F50" s="10" t="str">
        <f>VLOOKUP(E50,BASE_VEICULOS!A:G,7,0)</f>
        <v>PROF - 07001 - MANUTENÇÃO PREDIAL- PROFARMA-2025</v>
      </c>
      <c r="G50" s="11" t="str">
        <f>IFERROR(VLOOKUP(E50,BASE_VEICULOS!$A:$B,2,0),"")</f>
        <v>TEW9A33</v>
      </c>
      <c r="H50" s="12"/>
      <c r="I50" s="13">
        <f t="shared" si="2"/>
        <v>46054</v>
      </c>
    </row>
    <row r="51" ht="22.5" customHeight="1">
      <c r="A51" s="5">
        <v>46078.0</v>
      </c>
      <c r="B51" s="6">
        <f t="shared" si="1"/>
        <v>9</v>
      </c>
      <c r="C51" s="7" t="s">
        <v>9</v>
      </c>
      <c r="D51" s="8">
        <v>80.0</v>
      </c>
      <c r="E51" s="9" t="s">
        <v>22</v>
      </c>
      <c r="F51" s="10" t="str">
        <f>VLOOKUP(E51,BASE_VEICULOS!A:G,7,0)</f>
        <v>PROF - 07001 - MANUTENÇÃO PREDIAL- PROFARMA-2025</v>
      </c>
      <c r="G51" s="11" t="str">
        <f>IFERROR(VLOOKUP(E51,BASE_VEICULOS!$A:$B,2,0),"")</f>
        <v>TET5H37</v>
      </c>
      <c r="H51" s="14"/>
      <c r="I51" s="15">
        <f t="shared" si="2"/>
        <v>46054</v>
      </c>
    </row>
    <row r="52" ht="22.5" customHeight="1">
      <c r="A52" s="5">
        <v>46078.0</v>
      </c>
      <c r="B52" s="6">
        <f t="shared" si="1"/>
        <v>9</v>
      </c>
      <c r="C52" s="7" t="s">
        <v>9</v>
      </c>
      <c r="D52" s="8">
        <v>100.0</v>
      </c>
      <c r="E52" s="9" t="s">
        <v>23</v>
      </c>
      <c r="F52" s="10" t="str">
        <f>VLOOKUP(E52,BASE_VEICULOS!A:G,7,0)</f>
        <v>PROF - 07001 - MANUTENÇÃO PREDIAL- PROFARMA-2025</v>
      </c>
      <c r="G52" s="11" t="str">
        <f>IFERROR(VLOOKUP(E52,BASE_VEICULOS!$A:$B,2,0),"")</f>
        <v>TEH3I02</v>
      </c>
      <c r="H52" s="16"/>
      <c r="I52" s="17">
        <f t="shared" si="2"/>
        <v>46054</v>
      </c>
    </row>
    <row r="53" ht="22.5" customHeight="1">
      <c r="A53" s="5">
        <v>46078.0</v>
      </c>
      <c r="B53" s="6">
        <f t="shared" si="1"/>
        <v>9</v>
      </c>
      <c r="C53" s="7" t="s">
        <v>9</v>
      </c>
      <c r="D53" s="8">
        <v>170.01</v>
      </c>
      <c r="E53" s="9" t="s">
        <v>24</v>
      </c>
      <c r="F53" s="10" t="str">
        <f>VLOOKUP(E53,BASE_VEICULOS!A:G,7,0)</f>
        <v>PROF - 07001 - MANUTENÇÃO PREDIAL- PROFARMA-2025</v>
      </c>
      <c r="G53" s="11" t="str">
        <f>IFERROR(VLOOKUP(E53,BASE_VEICULOS!$A:$B,2,0),"")</f>
        <v>TEW9A23</v>
      </c>
      <c r="H53" s="14"/>
      <c r="I53" s="15">
        <f t="shared" si="2"/>
        <v>46054</v>
      </c>
    </row>
    <row r="54" ht="22.5" customHeight="1">
      <c r="A54" s="5">
        <v>46078.0</v>
      </c>
      <c r="B54" s="6">
        <f t="shared" si="1"/>
        <v>9</v>
      </c>
      <c r="C54" s="7" t="s">
        <v>9</v>
      </c>
      <c r="D54" s="8">
        <v>80.0</v>
      </c>
      <c r="E54" s="9" t="s">
        <v>25</v>
      </c>
      <c r="F54" s="10" t="str">
        <f>VLOOKUP(E54,BASE_VEICULOS!A:G,7,0)</f>
        <v>PROF - 07001 - MANUTENÇÃO PREDIAL- PROFARMA-2025</v>
      </c>
      <c r="G54" s="11" t="str">
        <f>IFERROR(VLOOKUP(E54,BASE_VEICULOS!$A:$B,2,0),"")</f>
        <v>TEW9A26</v>
      </c>
      <c r="H54" s="12"/>
      <c r="I54" s="13">
        <f t="shared" si="2"/>
        <v>46054</v>
      </c>
    </row>
    <row r="55" ht="22.5" customHeight="1">
      <c r="A55" s="5">
        <v>46078.0</v>
      </c>
      <c r="B55" s="6">
        <f t="shared" si="1"/>
        <v>9</v>
      </c>
      <c r="C55" s="7" t="s">
        <v>9</v>
      </c>
      <c r="D55" s="8">
        <v>100.0</v>
      </c>
      <c r="E55" s="9" t="s">
        <v>28</v>
      </c>
      <c r="F55" s="10" t="str">
        <f>VLOOKUP(E55,BASE_VEICULOS!A:G,7,0)</f>
        <v>#N/A</v>
      </c>
      <c r="G55" s="11" t="str">
        <f>IFERROR(VLOOKUP(E55,BASE_VEICULOS!$A:$B,2,0),"")</f>
        <v/>
      </c>
      <c r="H55" s="14"/>
      <c r="I55" s="15">
        <f t="shared" si="2"/>
        <v>46054</v>
      </c>
    </row>
    <row r="56" ht="22.5" customHeight="1">
      <c r="A56" s="5">
        <v>46078.0</v>
      </c>
      <c r="B56" s="6">
        <f t="shared" si="1"/>
        <v>9</v>
      </c>
      <c r="C56" s="7" t="s">
        <v>9</v>
      </c>
      <c r="D56" s="8">
        <v>50.0</v>
      </c>
      <c r="E56" s="9" t="s">
        <v>27</v>
      </c>
      <c r="F56" s="10" t="str">
        <f>VLOOKUP(E56,BASE_VEICULOS!A:G,7,0)</f>
        <v>FAC - 140005 - SPOT MANUTENÇÃO DPSP 2025</v>
      </c>
      <c r="G56" s="11" t="str">
        <f>IFERROR(VLOOKUP(E56,BASE_VEICULOS!$A:$B,2,0),"")</f>
        <v>UDA5B37</v>
      </c>
      <c r="H56" s="16"/>
      <c r="I56" s="17">
        <f t="shared" si="2"/>
        <v>46054</v>
      </c>
    </row>
    <row r="57" ht="22.5" customHeight="1">
      <c r="A57" s="5">
        <v>46078.0</v>
      </c>
      <c r="B57" s="6">
        <f t="shared" si="1"/>
        <v>9</v>
      </c>
      <c r="C57" s="7" t="s">
        <v>9</v>
      </c>
      <c r="D57" s="8">
        <v>50.0</v>
      </c>
      <c r="E57" s="7" t="s">
        <v>29</v>
      </c>
      <c r="F57" s="10" t="str">
        <f>VLOOKUP(E57,BASE_VEICULOS!A:G,7,0)</f>
        <v>PROF - 07001 - MANUTENÇÃO PREDIAL- PROFARMA-2025</v>
      </c>
      <c r="G57" s="11" t="str">
        <f>IFERROR(VLOOKUP(E57,BASE_VEICULOS!$A:$B,2,0),"")</f>
        <v>TEQ2I74</v>
      </c>
      <c r="H57" s="12"/>
      <c r="I57" s="13">
        <f t="shared" si="2"/>
        <v>46054</v>
      </c>
    </row>
    <row r="58" ht="22.5" customHeight="1">
      <c r="A58" s="5">
        <v>46078.0</v>
      </c>
      <c r="B58" s="6">
        <f t="shared" si="1"/>
        <v>9</v>
      </c>
      <c r="C58" s="7" t="s">
        <v>9</v>
      </c>
      <c r="D58" s="8">
        <v>90.0</v>
      </c>
      <c r="E58" s="7" t="s">
        <v>30</v>
      </c>
      <c r="F58" s="10" t="str">
        <f>VLOOKUP(E58,BASE_VEICULOS!A:G,7,0)</f>
        <v>#N/A</v>
      </c>
      <c r="G58" s="11" t="str">
        <f>IFERROR(VLOOKUP(E58,BASE_VEICULOS!$A:$B,2,0),"")</f>
        <v/>
      </c>
      <c r="H58" s="18"/>
      <c r="I58" s="13">
        <f t="shared" si="2"/>
        <v>46054</v>
      </c>
    </row>
    <row r="59" ht="22.5" customHeight="1">
      <c r="A59" s="5">
        <v>46079.0</v>
      </c>
      <c r="B59" s="6">
        <f t="shared" si="1"/>
        <v>9</v>
      </c>
      <c r="C59" s="7" t="s">
        <v>9</v>
      </c>
      <c r="D59" s="8">
        <v>90.0</v>
      </c>
      <c r="E59" s="9" t="s">
        <v>10</v>
      </c>
      <c r="F59" s="10" t="str">
        <f>VLOOKUP(E59,BASE_VEICULOS!A:G,7,0)</f>
        <v>FAC - 140004 - MANUTENÇÃO PREDIAL DPSP 2025</v>
      </c>
      <c r="G59" s="11" t="str">
        <f>IFERROR(VLOOKUP(E59,BASE_VEICULOS!$A:$B,2,0),"")</f>
        <v>TEW9A25</v>
      </c>
      <c r="H59" s="14"/>
      <c r="I59" s="15">
        <f t="shared" si="2"/>
        <v>46054</v>
      </c>
    </row>
    <row r="60" ht="22.5" customHeight="1">
      <c r="A60" s="5">
        <v>46079.0</v>
      </c>
      <c r="B60" s="6">
        <f t="shared" si="1"/>
        <v>9</v>
      </c>
      <c r="C60" s="7" t="s">
        <v>9</v>
      </c>
      <c r="D60" s="8">
        <v>80.0</v>
      </c>
      <c r="E60" s="9" t="s">
        <v>11</v>
      </c>
      <c r="F60" s="10" t="str">
        <f>VLOOKUP(E60,BASE_VEICULOS!A:G,7,0)</f>
        <v>PROF - 07001 - MANUTENÇÃO PREDIAL- PROFARMA-2025</v>
      </c>
      <c r="G60" s="11" t="str">
        <f>IFERROR(VLOOKUP(E60,BASE_VEICULOS!$A:$B,2,0),"")</f>
        <v>TEW9A28</v>
      </c>
      <c r="H60" s="14"/>
      <c r="I60" s="15">
        <f t="shared" si="2"/>
        <v>46054</v>
      </c>
    </row>
    <row r="61" ht="22.5" customHeight="1">
      <c r="A61" s="5">
        <v>46079.0</v>
      </c>
      <c r="B61" s="6">
        <f t="shared" si="1"/>
        <v>9</v>
      </c>
      <c r="C61" s="7" t="s">
        <v>9</v>
      </c>
      <c r="D61" s="8">
        <v>69.96</v>
      </c>
      <c r="E61" s="9" t="s">
        <v>13</v>
      </c>
      <c r="F61" s="10" t="str">
        <f>VLOOKUP(E61,BASE_VEICULOS!A:G,7,0)</f>
        <v>FAC - 140005 - SPOT MANUTENÇÃO DPSP 2025</v>
      </c>
      <c r="G61" s="11" t="str">
        <f>IFERROR(VLOOKUP(E61,BASE_VEICULOS!$A:$B,2,0),"")</f>
        <v>FGO3C61</v>
      </c>
      <c r="H61" s="14"/>
      <c r="I61" s="15">
        <f t="shared" si="2"/>
        <v>46054</v>
      </c>
    </row>
    <row r="62" ht="22.5" customHeight="1">
      <c r="A62" s="5">
        <v>46079.0</v>
      </c>
      <c r="B62" s="6">
        <f t="shared" si="1"/>
        <v>9</v>
      </c>
      <c r="C62" s="7" t="s">
        <v>9</v>
      </c>
      <c r="D62" s="8">
        <v>90.0</v>
      </c>
      <c r="E62" s="9" t="s">
        <v>14</v>
      </c>
      <c r="F62" s="10" t="str">
        <f>VLOOKUP(E62,BASE_VEICULOS!A:G,7,0)</f>
        <v>FAC - 140004 - MANUTENÇÃO PREDIAL DPSP 2025</v>
      </c>
      <c r="G62" s="11" t="str">
        <f>IFERROR(VLOOKUP(E62,BASE_VEICULOS!$A:$B,2,0),"")</f>
        <v>FOK8A73</v>
      </c>
      <c r="H62" s="12"/>
      <c r="I62" s="13">
        <f t="shared" si="2"/>
        <v>46054</v>
      </c>
    </row>
    <row r="63" ht="22.5" customHeight="1">
      <c r="A63" s="5">
        <v>46079.0</v>
      </c>
      <c r="B63" s="6">
        <f t="shared" si="1"/>
        <v>9</v>
      </c>
      <c r="C63" s="7" t="s">
        <v>9</v>
      </c>
      <c r="D63" s="8">
        <v>90.0</v>
      </c>
      <c r="E63" s="9" t="s">
        <v>15</v>
      </c>
      <c r="F63" s="10" t="str">
        <f>VLOOKUP(E63,BASE_VEICULOS!A:G,7,0)</f>
        <v>FAC - 140005 - SPOT MANUTENÇÃO DPSP 2025</v>
      </c>
      <c r="G63" s="11" t="str">
        <f>IFERROR(VLOOKUP(E63,BASE_VEICULOS!$A:$B,2,0),"")</f>
        <v>EWH1B84</v>
      </c>
      <c r="H63" s="12"/>
      <c r="I63" s="13">
        <f t="shared" si="2"/>
        <v>46054</v>
      </c>
    </row>
    <row r="64" ht="22.5" customHeight="1">
      <c r="A64" s="5">
        <v>46079.0</v>
      </c>
      <c r="B64" s="6">
        <f t="shared" si="1"/>
        <v>9</v>
      </c>
      <c r="C64" s="7" t="s">
        <v>9</v>
      </c>
      <c r="D64" s="8">
        <v>150.0</v>
      </c>
      <c r="E64" s="9" t="s">
        <v>16</v>
      </c>
      <c r="F64" s="10" t="str">
        <f>VLOOKUP(E64,BASE_VEICULOS!A:G,7,0)</f>
        <v>FAC - 140005 - SPOT MANUTENÇÃO DPSP 2025</v>
      </c>
      <c r="G64" s="11" t="str">
        <f>IFERROR(VLOOKUP(E64,BASE_VEICULOS!$A:$B,2,0),"")</f>
        <v>TEW9A27</v>
      </c>
      <c r="H64" s="12"/>
      <c r="I64" s="13">
        <f t="shared" si="2"/>
        <v>46054</v>
      </c>
    </row>
    <row r="65" ht="22.5" customHeight="1">
      <c r="A65" s="5">
        <v>46079.0</v>
      </c>
      <c r="B65" s="6">
        <f t="shared" si="1"/>
        <v>9</v>
      </c>
      <c r="C65" s="7" t="s">
        <v>9</v>
      </c>
      <c r="D65" s="8">
        <v>100.0</v>
      </c>
      <c r="E65" s="9" t="s">
        <v>17</v>
      </c>
      <c r="F65" s="10" t="str">
        <f>VLOOKUP(E65,BASE_VEICULOS!A:G,7,0)</f>
        <v>#N/A</v>
      </c>
      <c r="G65" s="11" t="str">
        <f>IFERROR(VLOOKUP(E65,BASE_VEICULOS!$A:$B,2,0),"")</f>
        <v/>
      </c>
      <c r="H65" s="12"/>
      <c r="I65" s="13">
        <f t="shared" si="2"/>
        <v>46054</v>
      </c>
    </row>
    <row r="66" ht="22.5" customHeight="1">
      <c r="A66" s="5">
        <v>46079.0</v>
      </c>
      <c r="B66" s="6">
        <f t="shared" si="1"/>
        <v>9</v>
      </c>
      <c r="C66" s="7" t="s">
        <v>9</v>
      </c>
      <c r="D66" s="8">
        <v>90.0</v>
      </c>
      <c r="E66" s="9" t="s">
        <v>18</v>
      </c>
      <c r="F66" s="10" t="str">
        <f>VLOOKUP(E66,BASE_VEICULOS!A:G,7,0)</f>
        <v>FAC - 140004 - MANUTENÇÃO PREDIAL DPSP 2025</v>
      </c>
      <c r="G66" s="11" t="str">
        <f>IFERROR(VLOOKUP(E66,BASE_VEICULOS!$A:$B,2,0),"")</f>
        <v>TEW9A29</v>
      </c>
      <c r="H66" s="12"/>
      <c r="I66" s="13">
        <f t="shared" si="2"/>
        <v>46054</v>
      </c>
    </row>
    <row r="67" ht="22.5" customHeight="1">
      <c r="A67" s="5">
        <v>46079.0</v>
      </c>
      <c r="B67" s="6">
        <f t="shared" si="1"/>
        <v>9</v>
      </c>
      <c r="C67" s="7" t="s">
        <v>9</v>
      </c>
      <c r="D67" s="8">
        <v>109.98</v>
      </c>
      <c r="E67" s="9" t="s">
        <v>19</v>
      </c>
      <c r="F67" s="10" t="str">
        <f>VLOOKUP(E67,BASE_VEICULOS!A:G,7,0)</f>
        <v>PROF - 07001 - MANUTENÇÃO PREDIAL- PROFARMA-2025</v>
      </c>
      <c r="G67" s="11" t="str">
        <f>IFERROR(VLOOKUP(E67,BASE_VEICULOS!$A:$B,2,0),"")</f>
        <v>TEW9A24</v>
      </c>
      <c r="H67" s="12"/>
      <c r="I67" s="13">
        <f t="shared" si="2"/>
        <v>46054</v>
      </c>
    </row>
    <row r="68" ht="22.5" customHeight="1">
      <c r="A68" s="5">
        <v>46079.0</v>
      </c>
      <c r="B68" s="6">
        <f t="shared" si="1"/>
        <v>9</v>
      </c>
      <c r="C68" s="7" t="s">
        <v>9</v>
      </c>
      <c r="D68" s="8">
        <v>80.0</v>
      </c>
      <c r="E68" s="9" t="s">
        <v>20</v>
      </c>
      <c r="F68" s="10" t="str">
        <f>VLOOKUP(E68,BASE_VEICULOS!A:G,7,0)</f>
        <v>PROF - 07001 - MANUTENÇÃO PREDIAL- PROFARMA-2025</v>
      </c>
      <c r="G68" s="11" t="str">
        <f>IFERROR(VLOOKUP(E68,BASE_VEICULOS!$A:$B,2,0),"")</f>
        <v>TEW9A34</v>
      </c>
      <c r="H68" s="14"/>
      <c r="I68" s="15">
        <f t="shared" si="2"/>
        <v>46054</v>
      </c>
    </row>
    <row r="69" ht="22.5" customHeight="1">
      <c r="A69" s="5">
        <v>46079.0</v>
      </c>
      <c r="B69" s="6">
        <f t="shared" si="1"/>
        <v>9</v>
      </c>
      <c r="C69" s="7" t="s">
        <v>9</v>
      </c>
      <c r="D69" s="8">
        <v>80.0</v>
      </c>
      <c r="E69" s="9" t="s">
        <v>21</v>
      </c>
      <c r="F69" s="10" t="str">
        <f>VLOOKUP(E69,BASE_VEICULOS!A:G,7,0)</f>
        <v>PROF - 07001 - MANUTENÇÃO PREDIAL- PROFARMA-2025</v>
      </c>
      <c r="G69" s="11" t="str">
        <f>IFERROR(VLOOKUP(E69,BASE_VEICULOS!$A:$B,2,0),"")</f>
        <v>TEW9A33</v>
      </c>
      <c r="H69" s="16"/>
      <c r="I69" s="17">
        <f t="shared" si="2"/>
        <v>46054</v>
      </c>
    </row>
    <row r="70" ht="22.5" customHeight="1">
      <c r="A70" s="5">
        <v>46079.0</v>
      </c>
      <c r="B70" s="6">
        <f t="shared" si="1"/>
        <v>9</v>
      </c>
      <c r="C70" s="7" t="s">
        <v>9</v>
      </c>
      <c r="D70" s="8">
        <v>230.0</v>
      </c>
      <c r="E70" s="9" t="s">
        <v>22</v>
      </c>
      <c r="F70" s="10" t="str">
        <f>VLOOKUP(E70,BASE_VEICULOS!A:G,7,0)</f>
        <v>PROF - 07001 - MANUTENÇÃO PREDIAL- PROFARMA-2025</v>
      </c>
      <c r="G70" s="11" t="str">
        <f>IFERROR(VLOOKUP(E70,BASE_VEICULOS!$A:$B,2,0),"")</f>
        <v>TET5H37</v>
      </c>
      <c r="H70" s="14"/>
      <c r="I70" s="15">
        <f t="shared" si="2"/>
        <v>46054</v>
      </c>
    </row>
    <row r="71" ht="22.5" customHeight="1">
      <c r="A71" s="5">
        <v>46079.0</v>
      </c>
      <c r="B71" s="6">
        <f t="shared" si="1"/>
        <v>9</v>
      </c>
      <c r="C71" s="7" t="s">
        <v>9</v>
      </c>
      <c r="D71" s="8">
        <v>156.59</v>
      </c>
      <c r="E71" s="9" t="s">
        <v>23</v>
      </c>
      <c r="F71" s="10" t="str">
        <f>VLOOKUP(E71,BASE_VEICULOS!A:G,7,0)</f>
        <v>PROF - 07001 - MANUTENÇÃO PREDIAL- PROFARMA-2025</v>
      </c>
      <c r="G71" s="11" t="str">
        <f>IFERROR(VLOOKUP(E71,BASE_VEICULOS!$A:$B,2,0),"")</f>
        <v>TEH3I02</v>
      </c>
      <c r="H71" s="12"/>
      <c r="I71" s="13">
        <f t="shared" si="2"/>
        <v>46054</v>
      </c>
    </row>
    <row r="72" ht="22.5" customHeight="1">
      <c r="A72" s="5">
        <v>46079.0</v>
      </c>
      <c r="B72" s="6">
        <f t="shared" si="1"/>
        <v>9</v>
      </c>
      <c r="C72" s="7" t="s">
        <v>9</v>
      </c>
      <c r="D72" s="8">
        <v>170.02</v>
      </c>
      <c r="E72" s="9" t="s">
        <v>24</v>
      </c>
      <c r="F72" s="10" t="str">
        <f>VLOOKUP(E72,BASE_VEICULOS!A:G,7,0)</f>
        <v>PROF - 07001 - MANUTENÇÃO PREDIAL- PROFARMA-2025</v>
      </c>
      <c r="G72" s="11" t="str">
        <f>IFERROR(VLOOKUP(E72,BASE_VEICULOS!$A:$B,2,0),"")</f>
        <v>TEW9A23</v>
      </c>
      <c r="H72" s="12"/>
      <c r="I72" s="13">
        <f t="shared" si="2"/>
        <v>46054</v>
      </c>
    </row>
    <row r="73" ht="22.5" customHeight="1">
      <c r="A73" s="5">
        <v>46079.0</v>
      </c>
      <c r="B73" s="6">
        <f t="shared" si="1"/>
        <v>9</v>
      </c>
      <c r="C73" s="7" t="s">
        <v>9</v>
      </c>
      <c r="D73" s="8">
        <v>80.0</v>
      </c>
      <c r="E73" s="9" t="s">
        <v>25</v>
      </c>
      <c r="F73" s="10" t="str">
        <f>VLOOKUP(E73,BASE_VEICULOS!A:G,7,0)</f>
        <v>PROF - 07001 - MANUTENÇÃO PREDIAL- PROFARMA-2025</v>
      </c>
      <c r="G73" s="11" t="str">
        <f>IFERROR(VLOOKUP(E73,BASE_VEICULOS!$A:$B,2,0),"")</f>
        <v>TEW9A26</v>
      </c>
      <c r="H73" s="14"/>
      <c r="I73" s="15">
        <f t="shared" si="2"/>
        <v>46054</v>
      </c>
    </row>
    <row r="74" ht="22.5" customHeight="1">
      <c r="A74" s="5">
        <v>46079.0</v>
      </c>
      <c r="B74" s="6">
        <f t="shared" si="1"/>
        <v>9</v>
      </c>
      <c r="C74" s="7" t="s">
        <v>9</v>
      </c>
      <c r="D74" s="8">
        <v>100.0</v>
      </c>
      <c r="E74" s="9" t="s">
        <v>27</v>
      </c>
      <c r="F74" s="10" t="str">
        <f>VLOOKUP(E74,BASE_VEICULOS!A:G,7,0)</f>
        <v>FAC - 140005 - SPOT MANUTENÇÃO DPSP 2025</v>
      </c>
      <c r="G74" s="11" t="str">
        <f>IFERROR(VLOOKUP(E74,BASE_VEICULOS!$A:$B,2,0),"")</f>
        <v>UDA5B37</v>
      </c>
      <c r="H74" s="19"/>
      <c r="I74" s="20">
        <f t="shared" si="2"/>
        <v>46054</v>
      </c>
    </row>
    <row r="75" ht="22.5" customHeight="1">
      <c r="A75" s="5">
        <v>46079.0</v>
      </c>
      <c r="B75" s="6">
        <f t="shared" si="1"/>
        <v>9</v>
      </c>
      <c r="C75" s="7" t="s">
        <v>9</v>
      </c>
      <c r="D75" s="8">
        <v>69.97</v>
      </c>
      <c r="E75" s="7" t="s">
        <v>29</v>
      </c>
      <c r="F75" s="10" t="str">
        <f>VLOOKUP(E75,BASE_VEICULOS!A:G,7,0)</f>
        <v>PROF - 07001 - MANUTENÇÃO PREDIAL- PROFARMA-2025</v>
      </c>
      <c r="G75" s="11" t="str">
        <f>IFERROR(VLOOKUP(E75,BASE_VEICULOS!$A:$B,2,0),"")</f>
        <v>TEQ2I74</v>
      </c>
      <c r="H75" s="19"/>
      <c r="I75" s="20">
        <f t="shared" si="2"/>
        <v>46054</v>
      </c>
    </row>
    <row r="76" ht="22.5" customHeight="1">
      <c r="A76" s="5">
        <v>46079.0</v>
      </c>
      <c r="B76" s="6">
        <f t="shared" si="1"/>
        <v>9</v>
      </c>
      <c r="C76" s="7" t="s">
        <v>9</v>
      </c>
      <c r="D76" s="8">
        <v>80.0</v>
      </c>
      <c r="E76" s="9" t="s">
        <v>30</v>
      </c>
      <c r="F76" s="10" t="str">
        <f>VLOOKUP(E76,BASE_VEICULOS!A:G,7,0)</f>
        <v>#N/A</v>
      </c>
      <c r="G76" s="11" t="str">
        <f>IFERROR(VLOOKUP(E76,BASE_VEICULOS!$A:$B,2,0),"")</f>
        <v/>
      </c>
      <c r="H76" s="19"/>
      <c r="I76" s="20">
        <f t="shared" si="2"/>
        <v>46054</v>
      </c>
    </row>
    <row r="77" ht="22.5" customHeight="1">
      <c r="A77" s="5">
        <v>46080.0</v>
      </c>
      <c r="B77" s="6">
        <f t="shared" si="1"/>
        <v>9</v>
      </c>
      <c r="C77" s="7" t="s">
        <v>9</v>
      </c>
      <c r="D77" s="8">
        <v>159.98</v>
      </c>
      <c r="E77" s="9" t="s">
        <v>10</v>
      </c>
      <c r="F77" s="10" t="str">
        <f>VLOOKUP(E77,BASE_VEICULOS!A:G,7,0)</f>
        <v>FAC - 140004 - MANUTENÇÃO PREDIAL DPSP 2025</v>
      </c>
      <c r="G77" s="11" t="str">
        <f>IFERROR(VLOOKUP(E77,BASE_VEICULOS!$A:$B,2,0),"")</f>
        <v>TEW9A25</v>
      </c>
      <c r="H77" s="19"/>
      <c r="I77" s="20">
        <f t="shared" si="2"/>
        <v>46054</v>
      </c>
    </row>
    <row r="78" ht="22.5" customHeight="1">
      <c r="A78" s="5">
        <v>46080.0</v>
      </c>
      <c r="B78" s="6">
        <f t="shared" si="1"/>
        <v>9</v>
      </c>
      <c r="C78" s="7" t="s">
        <v>9</v>
      </c>
      <c r="D78" s="8">
        <v>80.0</v>
      </c>
      <c r="E78" s="9" t="s">
        <v>11</v>
      </c>
      <c r="F78" s="10" t="str">
        <f>VLOOKUP(E78,BASE_VEICULOS!A:G,7,0)</f>
        <v>PROF - 07001 - MANUTENÇÃO PREDIAL- PROFARMA-2025</v>
      </c>
      <c r="G78" s="11" t="str">
        <f>IFERROR(VLOOKUP(E78,BASE_VEICULOS!$A:$B,2,0),"")</f>
        <v>TEW9A28</v>
      </c>
      <c r="H78" s="19"/>
      <c r="I78" s="20">
        <f t="shared" si="2"/>
        <v>46054</v>
      </c>
    </row>
    <row r="79" ht="22.5" customHeight="1">
      <c r="A79" s="5">
        <v>46080.0</v>
      </c>
      <c r="B79" s="6">
        <f t="shared" si="1"/>
        <v>9</v>
      </c>
      <c r="C79" s="7" t="s">
        <v>9</v>
      </c>
      <c r="D79" s="8">
        <v>69.95</v>
      </c>
      <c r="E79" s="9" t="s">
        <v>12</v>
      </c>
      <c r="F79" s="10" t="str">
        <f>VLOOKUP(E79,BASE_VEICULOS!A:G,7,0)</f>
        <v>FAC - 140004 - MANUTENÇÃO PREDIAL DPSP 2025</v>
      </c>
      <c r="G79" s="11" t="str">
        <f>IFERROR(VLOOKUP(E79,BASE_VEICULOS!$A:$B,2,0),"")</f>
        <v>FIL8C14</v>
      </c>
      <c r="H79" s="19"/>
      <c r="I79" s="20">
        <f t="shared" si="2"/>
        <v>46054</v>
      </c>
    </row>
    <row r="80" ht="22.5" customHeight="1">
      <c r="A80" s="5">
        <v>46080.0</v>
      </c>
      <c r="B80" s="6">
        <f t="shared" si="1"/>
        <v>9</v>
      </c>
      <c r="C80" s="7" t="s">
        <v>9</v>
      </c>
      <c r="D80" s="8">
        <v>90.0</v>
      </c>
      <c r="E80" s="9" t="s">
        <v>14</v>
      </c>
      <c r="F80" s="10" t="str">
        <f>VLOOKUP(E80,BASE_VEICULOS!A:G,7,0)</f>
        <v>FAC - 140004 - MANUTENÇÃO PREDIAL DPSP 2025</v>
      </c>
      <c r="G80" s="11" t="str">
        <f>IFERROR(VLOOKUP(E80,BASE_VEICULOS!$A:$B,2,0),"")</f>
        <v>FOK8A73</v>
      </c>
      <c r="H80" s="19"/>
      <c r="I80" s="20">
        <f t="shared" si="2"/>
        <v>46054</v>
      </c>
    </row>
    <row r="81" ht="22.5" customHeight="1">
      <c r="A81" s="5">
        <v>46080.0</v>
      </c>
      <c r="B81" s="6">
        <f t="shared" si="1"/>
        <v>9</v>
      </c>
      <c r="C81" s="7" t="s">
        <v>9</v>
      </c>
      <c r="D81" s="8">
        <v>120.0</v>
      </c>
      <c r="E81" s="9" t="s">
        <v>15</v>
      </c>
      <c r="F81" s="10" t="str">
        <f>VLOOKUP(E81,BASE_VEICULOS!A:G,7,0)</f>
        <v>FAC - 140005 - SPOT MANUTENÇÃO DPSP 2025</v>
      </c>
      <c r="G81" s="11" t="str">
        <f>IFERROR(VLOOKUP(E81,BASE_VEICULOS!$A:$B,2,0),"")</f>
        <v>EWH1B84</v>
      </c>
      <c r="H81" s="19"/>
      <c r="I81" s="20">
        <f t="shared" si="2"/>
        <v>46054</v>
      </c>
    </row>
    <row r="82" ht="22.5" customHeight="1">
      <c r="A82" s="5">
        <v>46080.0</v>
      </c>
      <c r="B82" s="6">
        <f t="shared" si="1"/>
        <v>9</v>
      </c>
      <c r="C82" s="7" t="s">
        <v>9</v>
      </c>
      <c r="D82" s="8">
        <v>150.0</v>
      </c>
      <c r="E82" s="9" t="s">
        <v>16</v>
      </c>
      <c r="F82" s="10" t="str">
        <f>VLOOKUP(E82,BASE_VEICULOS!A:G,7,0)</f>
        <v>FAC - 140005 - SPOT MANUTENÇÃO DPSP 2025</v>
      </c>
      <c r="G82" s="11" t="str">
        <f>IFERROR(VLOOKUP(E82,BASE_VEICULOS!$A:$B,2,0),"")</f>
        <v>TEW9A27</v>
      </c>
      <c r="H82" s="19"/>
      <c r="I82" s="20">
        <f t="shared" si="2"/>
        <v>46054</v>
      </c>
    </row>
    <row r="83" ht="22.5" customHeight="1">
      <c r="A83" s="5">
        <v>46080.0</v>
      </c>
      <c r="B83" s="6">
        <f t="shared" si="1"/>
        <v>9</v>
      </c>
      <c r="C83" s="7" t="s">
        <v>9</v>
      </c>
      <c r="D83" s="8">
        <v>100.0</v>
      </c>
      <c r="E83" s="9" t="s">
        <v>17</v>
      </c>
      <c r="F83" s="10" t="str">
        <f>VLOOKUP(E83,BASE_VEICULOS!A:G,7,0)</f>
        <v>#N/A</v>
      </c>
      <c r="G83" s="11" t="str">
        <f>IFERROR(VLOOKUP(E83,BASE_VEICULOS!$A:$B,2,0),"")</f>
        <v/>
      </c>
      <c r="H83" s="19"/>
      <c r="I83" s="20">
        <f t="shared" si="2"/>
        <v>46054</v>
      </c>
    </row>
    <row r="84" ht="22.5" customHeight="1">
      <c r="A84" s="5">
        <v>46080.0</v>
      </c>
      <c r="B84" s="6">
        <f t="shared" si="1"/>
        <v>9</v>
      </c>
      <c r="C84" s="7" t="s">
        <v>9</v>
      </c>
      <c r="D84" s="8">
        <v>150.0</v>
      </c>
      <c r="E84" s="9" t="s">
        <v>18</v>
      </c>
      <c r="F84" s="10" t="str">
        <f>VLOOKUP(E84,BASE_VEICULOS!A:G,7,0)</f>
        <v>FAC - 140004 - MANUTENÇÃO PREDIAL DPSP 2025</v>
      </c>
      <c r="G84" s="11" t="str">
        <f>IFERROR(VLOOKUP(E84,BASE_VEICULOS!$A:$B,2,0),"")</f>
        <v>TEW9A29</v>
      </c>
      <c r="H84" s="19"/>
      <c r="I84" s="20">
        <f t="shared" si="2"/>
        <v>46054</v>
      </c>
    </row>
    <row r="85" ht="22.5" customHeight="1">
      <c r="A85" s="5">
        <v>46080.0</v>
      </c>
      <c r="B85" s="6">
        <f t="shared" si="1"/>
        <v>9</v>
      </c>
      <c r="C85" s="7" t="s">
        <v>9</v>
      </c>
      <c r="D85" s="8">
        <v>286.49</v>
      </c>
      <c r="E85" s="9" t="s">
        <v>19</v>
      </c>
      <c r="F85" s="10" t="str">
        <f>VLOOKUP(E85,BASE_VEICULOS!A:G,7,0)</f>
        <v>PROF - 07001 - MANUTENÇÃO PREDIAL- PROFARMA-2025</v>
      </c>
      <c r="G85" s="11" t="str">
        <f>IFERROR(VLOOKUP(E85,BASE_VEICULOS!$A:$B,2,0),"")</f>
        <v>TEW9A24</v>
      </c>
      <c r="H85" s="19"/>
      <c r="I85" s="20">
        <f t="shared" si="2"/>
        <v>46054</v>
      </c>
    </row>
    <row r="86" ht="22.5" customHeight="1">
      <c r="A86" s="5">
        <v>46080.0</v>
      </c>
      <c r="B86" s="6">
        <f t="shared" si="1"/>
        <v>9</v>
      </c>
      <c r="C86" s="7" t="s">
        <v>9</v>
      </c>
      <c r="D86" s="8">
        <v>99.97</v>
      </c>
      <c r="E86" s="9" t="s">
        <v>20</v>
      </c>
      <c r="F86" s="10" t="str">
        <f>VLOOKUP(E86,BASE_VEICULOS!A:G,7,0)</f>
        <v>PROF - 07001 - MANUTENÇÃO PREDIAL- PROFARMA-2025</v>
      </c>
      <c r="G86" s="11" t="str">
        <f>IFERROR(VLOOKUP(E86,BASE_VEICULOS!$A:$B,2,0),"")</f>
        <v>TEW9A34</v>
      </c>
      <c r="H86" s="19"/>
      <c r="I86" s="20">
        <f t="shared" si="2"/>
        <v>46054</v>
      </c>
    </row>
    <row r="87" ht="22.5" customHeight="1">
      <c r="A87" s="5">
        <v>46080.0</v>
      </c>
      <c r="B87" s="6">
        <f t="shared" si="1"/>
        <v>9</v>
      </c>
      <c r="C87" s="7" t="s">
        <v>9</v>
      </c>
      <c r="D87" s="8">
        <v>80.0</v>
      </c>
      <c r="E87" s="9" t="s">
        <v>21</v>
      </c>
      <c r="F87" s="10" t="str">
        <f>VLOOKUP(E87,BASE_VEICULOS!A:G,7,0)</f>
        <v>PROF - 07001 - MANUTENÇÃO PREDIAL- PROFARMA-2025</v>
      </c>
      <c r="G87" s="11" t="str">
        <f>IFERROR(VLOOKUP(E87,BASE_VEICULOS!$A:$B,2,0),"")</f>
        <v>TEW9A33</v>
      </c>
      <c r="H87" s="19"/>
      <c r="I87" s="20">
        <f t="shared" si="2"/>
        <v>46054</v>
      </c>
    </row>
    <row r="88" ht="22.5" customHeight="1">
      <c r="A88" s="5">
        <v>46080.0</v>
      </c>
      <c r="B88" s="6">
        <f t="shared" si="1"/>
        <v>9</v>
      </c>
      <c r="C88" s="7" t="s">
        <v>9</v>
      </c>
      <c r="D88" s="8">
        <v>100.0</v>
      </c>
      <c r="E88" s="9" t="s">
        <v>22</v>
      </c>
      <c r="F88" s="10" t="str">
        <f>VLOOKUP(E88,BASE_VEICULOS!A:G,7,0)</f>
        <v>PROF - 07001 - MANUTENÇÃO PREDIAL- PROFARMA-2025</v>
      </c>
      <c r="G88" s="11" t="str">
        <f>IFERROR(VLOOKUP(E88,BASE_VEICULOS!$A:$B,2,0),"")</f>
        <v>TET5H37</v>
      </c>
      <c r="H88" s="19"/>
      <c r="I88" s="20">
        <f t="shared" si="2"/>
        <v>46054</v>
      </c>
    </row>
    <row r="89" ht="22.5" customHeight="1">
      <c r="A89" s="5">
        <v>46080.0</v>
      </c>
      <c r="B89" s="6">
        <f t="shared" si="1"/>
        <v>9</v>
      </c>
      <c r="C89" s="7" t="s">
        <v>9</v>
      </c>
      <c r="D89" s="8">
        <v>70.0</v>
      </c>
      <c r="E89" s="9" t="s">
        <v>23</v>
      </c>
      <c r="F89" s="10" t="str">
        <f>VLOOKUP(E89,BASE_VEICULOS!A:G,7,0)</f>
        <v>PROF - 07001 - MANUTENÇÃO PREDIAL- PROFARMA-2025</v>
      </c>
      <c r="G89" s="11" t="str">
        <f>IFERROR(VLOOKUP(E89,BASE_VEICULOS!$A:$B,2,0),"")</f>
        <v>TEH3I02</v>
      </c>
      <c r="H89" s="19"/>
      <c r="I89" s="20">
        <f t="shared" si="2"/>
        <v>46054</v>
      </c>
    </row>
    <row r="90" ht="22.5" customHeight="1">
      <c r="A90" s="5">
        <v>46080.0</v>
      </c>
      <c r="B90" s="6">
        <f t="shared" si="1"/>
        <v>9</v>
      </c>
      <c r="C90" s="7" t="s">
        <v>9</v>
      </c>
      <c r="D90" s="8">
        <v>99.98</v>
      </c>
      <c r="E90" s="9" t="s">
        <v>24</v>
      </c>
      <c r="F90" s="10" t="str">
        <f>VLOOKUP(E90,BASE_VEICULOS!A:G,7,0)</f>
        <v>PROF - 07001 - MANUTENÇÃO PREDIAL- PROFARMA-2025</v>
      </c>
      <c r="G90" s="11" t="str">
        <f>IFERROR(VLOOKUP(E90,BASE_VEICULOS!$A:$B,2,0),"")</f>
        <v>TEW9A23</v>
      </c>
      <c r="H90" s="19"/>
      <c r="I90" s="20">
        <f t="shared" si="2"/>
        <v>46054</v>
      </c>
    </row>
    <row r="91" ht="22.5" customHeight="1">
      <c r="A91" s="5">
        <v>46080.0</v>
      </c>
      <c r="B91" s="6">
        <f t="shared" si="1"/>
        <v>9</v>
      </c>
      <c r="C91" s="7" t="s">
        <v>9</v>
      </c>
      <c r="D91" s="8">
        <v>80.0</v>
      </c>
      <c r="E91" s="9" t="s">
        <v>25</v>
      </c>
      <c r="F91" s="10" t="str">
        <f>VLOOKUP(E91,BASE_VEICULOS!A:G,7,0)</f>
        <v>PROF - 07001 - MANUTENÇÃO PREDIAL- PROFARMA-2025</v>
      </c>
      <c r="G91" s="11" t="str">
        <f>IFERROR(VLOOKUP(E91,BASE_VEICULOS!$A:$B,2,0),"")</f>
        <v>TEW9A26</v>
      </c>
      <c r="H91" s="19"/>
      <c r="I91" s="20">
        <f t="shared" si="2"/>
        <v>46054</v>
      </c>
    </row>
    <row r="92" ht="22.5" customHeight="1">
      <c r="A92" s="5">
        <v>46080.0</v>
      </c>
      <c r="B92" s="6">
        <f t="shared" si="1"/>
        <v>9</v>
      </c>
      <c r="C92" s="7" t="s">
        <v>9</v>
      </c>
      <c r="D92" s="8">
        <v>100.01</v>
      </c>
      <c r="E92" s="9" t="s">
        <v>26</v>
      </c>
      <c r="F92" s="10" t="str">
        <f>VLOOKUP(E92,BASE_VEICULOS!A:G,7,0)</f>
        <v>#N/A</v>
      </c>
      <c r="G92" s="11" t="str">
        <f>IFERROR(VLOOKUP(E92,BASE_VEICULOS!$A:$B,2,0),"")</f>
        <v/>
      </c>
      <c r="H92" s="19"/>
      <c r="I92" s="20">
        <f t="shared" si="2"/>
        <v>46054</v>
      </c>
    </row>
    <row r="93" ht="22.5" customHeight="1">
      <c r="A93" s="5">
        <v>46080.0</v>
      </c>
      <c r="B93" s="6">
        <f t="shared" si="1"/>
        <v>9</v>
      </c>
      <c r="C93" s="7" t="s">
        <v>9</v>
      </c>
      <c r="D93" s="8">
        <v>100.0</v>
      </c>
      <c r="E93" s="9" t="s">
        <v>28</v>
      </c>
      <c r="F93" s="10" t="str">
        <f>VLOOKUP(E93,BASE_VEICULOS!A:G,7,0)</f>
        <v>#N/A</v>
      </c>
      <c r="G93" s="11" t="str">
        <f>IFERROR(VLOOKUP(E93,BASE_VEICULOS!$A:$B,2,0),"")</f>
        <v/>
      </c>
      <c r="H93" s="19"/>
      <c r="I93" s="20">
        <f t="shared" si="2"/>
        <v>46054</v>
      </c>
    </row>
    <row r="94" ht="22.5" customHeight="1">
      <c r="A94" s="5">
        <v>46080.0</v>
      </c>
      <c r="B94" s="6">
        <f t="shared" si="1"/>
        <v>9</v>
      </c>
      <c r="C94" s="7" t="s">
        <v>9</v>
      </c>
      <c r="D94" s="8">
        <v>100.0</v>
      </c>
      <c r="E94" s="9" t="s">
        <v>27</v>
      </c>
      <c r="F94" s="10" t="str">
        <f>VLOOKUP(E94,BASE_VEICULOS!A:G,7,0)</f>
        <v>FAC - 140005 - SPOT MANUTENÇÃO DPSP 2025</v>
      </c>
      <c r="G94" s="11" t="str">
        <f>IFERROR(VLOOKUP(E94,BASE_VEICULOS!$A:$B,2,0),"")</f>
        <v>UDA5B37</v>
      </c>
      <c r="H94" s="19"/>
      <c r="I94" s="20">
        <f t="shared" si="2"/>
        <v>46054</v>
      </c>
    </row>
    <row r="95" ht="22.5" customHeight="1">
      <c r="A95" s="5">
        <v>46080.0</v>
      </c>
      <c r="B95" s="6">
        <f t="shared" si="1"/>
        <v>9</v>
      </c>
      <c r="C95" s="7" t="s">
        <v>9</v>
      </c>
      <c r="D95" s="8">
        <v>100.0</v>
      </c>
      <c r="E95" s="7" t="s">
        <v>29</v>
      </c>
      <c r="F95" s="10" t="str">
        <f>VLOOKUP(E95,BASE_VEICULOS!A:G,7,0)</f>
        <v>PROF - 07001 - MANUTENÇÃO PREDIAL- PROFARMA-2025</v>
      </c>
      <c r="G95" s="11" t="str">
        <f>IFERROR(VLOOKUP(E95,BASE_VEICULOS!$A:$B,2,0),"")</f>
        <v>TEQ2I74</v>
      </c>
      <c r="H95" s="19"/>
      <c r="I95" s="20">
        <f t="shared" si="2"/>
        <v>46054</v>
      </c>
    </row>
    <row r="96" ht="22.5" customHeight="1">
      <c r="A96" s="5">
        <v>46080.0</v>
      </c>
      <c r="B96" s="6">
        <f t="shared" si="1"/>
        <v>9</v>
      </c>
      <c r="C96" s="7" t="s">
        <v>9</v>
      </c>
      <c r="D96" s="8">
        <v>80.0</v>
      </c>
      <c r="E96" s="9" t="s">
        <v>30</v>
      </c>
      <c r="F96" s="10" t="str">
        <f>VLOOKUP(E96,BASE_VEICULOS!A:G,7,0)</f>
        <v>#N/A</v>
      </c>
      <c r="G96" s="11" t="str">
        <f>IFERROR(VLOOKUP(E96,BASE_VEICULOS!$A:$B,2,0),"")</f>
        <v/>
      </c>
      <c r="H96" s="19"/>
      <c r="I96" s="20">
        <f t="shared" si="2"/>
        <v>46054</v>
      </c>
    </row>
    <row r="97" ht="22.5" hidden="1" customHeight="1">
      <c r="A97" s="5">
        <v>46081.0</v>
      </c>
      <c r="B97" s="6">
        <f t="shared" si="1"/>
        <v>9</v>
      </c>
      <c r="C97" s="7" t="s">
        <v>32</v>
      </c>
      <c r="D97" s="8">
        <v>90.0</v>
      </c>
      <c r="E97" s="9" t="s">
        <v>14</v>
      </c>
      <c r="F97" s="10" t="str">
        <f>VLOOKUP(E97,BASE_VEICULOS!A:G,7,0)</f>
        <v>FAC - 140004 - MANUTENÇÃO PREDIAL DPSP 2025</v>
      </c>
      <c r="G97" s="11" t="str">
        <f>IFERROR(VLOOKUP(E97,BASE_VEICULOS!$A:$B,2,0),"")</f>
        <v>FOK8A73</v>
      </c>
      <c r="H97" s="19"/>
      <c r="I97" s="20">
        <f t="shared" si="2"/>
        <v>46054</v>
      </c>
    </row>
    <row r="98" ht="22.5" customHeight="1">
      <c r="A98" s="5">
        <v>46081.0</v>
      </c>
      <c r="B98" s="6">
        <f t="shared" si="1"/>
        <v>9</v>
      </c>
      <c r="C98" s="7" t="s">
        <v>9</v>
      </c>
      <c r="D98" s="8">
        <v>80.01</v>
      </c>
      <c r="E98" s="9" t="s">
        <v>23</v>
      </c>
      <c r="F98" s="10" t="str">
        <f>VLOOKUP(E98,BASE_VEICULOS!A:G,7,0)</f>
        <v>PROF - 07001 - MANUTENÇÃO PREDIAL- PROFARMA-2025</v>
      </c>
      <c r="G98" s="11" t="str">
        <f>IFERROR(VLOOKUP(E98,BASE_VEICULOS!$A:$B,2,0),"")</f>
        <v>TEH3I02</v>
      </c>
      <c r="H98" s="19"/>
      <c r="I98" s="20">
        <f t="shared" si="2"/>
        <v>46054</v>
      </c>
    </row>
    <row r="99" ht="22.5" customHeight="1">
      <c r="A99" s="5">
        <v>46081.0</v>
      </c>
      <c r="B99" s="6">
        <f t="shared" si="1"/>
        <v>9</v>
      </c>
      <c r="C99" s="7" t="s">
        <v>9</v>
      </c>
      <c r="D99" s="8">
        <v>70.0</v>
      </c>
      <c r="E99" s="9" t="s">
        <v>16</v>
      </c>
      <c r="F99" s="10" t="str">
        <f>VLOOKUP(E99,BASE_VEICULOS!A:G,7,0)</f>
        <v>FAC - 140005 - SPOT MANUTENÇÃO DPSP 2025</v>
      </c>
      <c r="G99" s="11" t="str">
        <f>IFERROR(VLOOKUP(E99,BASE_VEICULOS!$A:$B,2,0),"")</f>
        <v>TEW9A27</v>
      </c>
      <c r="H99" s="19"/>
      <c r="I99" s="20">
        <f t="shared" si="2"/>
        <v>46054</v>
      </c>
    </row>
    <row r="100" ht="22.5" customHeight="1">
      <c r="A100" s="5">
        <v>46081.0</v>
      </c>
      <c r="B100" s="6">
        <f t="shared" si="1"/>
        <v>9</v>
      </c>
      <c r="C100" s="7" t="s">
        <v>9</v>
      </c>
      <c r="D100" s="8">
        <v>200.0</v>
      </c>
      <c r="E100" s="9" t="s">
        <v>30</v>
      </c>
      <c r="F100" s="10" t="str">
        <f>VLOOKUP(E100,BASE_VEICULOS!A:G,7,0)</f>
        <v>#N/A</v>
      </c>
      <c r="G100" s="11" t="str">
        <f>IFERROR(VLOOKUP(E100,BASE_VEICULOS!$A:$B,2,0),"")</f>
        <v/>
      </c>
      <c r="H100" s="19"/>
      <c r="I100" s="20">
        <f t="shared" si="2"/>
        <v>46054</v>
      </c>
    </row>
    <row r="101" ht="22.5" customHeight="1">
      <c r="A101" s="5">
        <v>46081.0</v>
      </c>
      <c r="B101" s="6">
        <f t="shared" si="1"/>
        <v>9</v>
      </c>
      <c r="C101" s="7" t="s">
        <v>9</v>
      </c>
      <c r="D101" s="8">
        <v>109.98</v>
      </c>
      <c r="E101" s="9" t="s">
        <v>24</v>
      </c>
      <c r="F101" s="10" t="str">
        <f>VLOOKUP(E101,BASE_VEICULOS!A:G,7,0)</f>
        <v>PROF - 07001 - MANUTENÇÃO PREDIAL- PROFARMA-2025</v>
      </c>
      <c r="G101" s="11" t="str">
        <f>IFERROR(VLOOKUP(E101,BASE_VEICULOS!$A:$B,2,0),"")</f>
        <v>TEW9A23</v>
      </c>
      <c r="H101" s="19"/>
      <c r="I101" s="20">
        <f t="shared" si="2"/>
        <v>46054</v>
      </c>
    </row>
    <row r="102" ht="22.5" customHeight="1">
      <c r="A102" s="5">
        <v>46082.0</v>
      </c>
      <c r="B102" s="6">
        <f t="shared" si="1"/>
        <v>9</v>
      </c>
      <c r="C102" s="7" t="s">
        <v>9</v>
      </c>
      <c r="D102" s="8">
        <v>79.96</v>
      </c>
      <c r="E102" s="9" t="s">
        <v>30</v>
      </c>
      <c r="F102" s="10" t="str">
        <f>VLOOKUP(E102,BASE_VEICULOS!A:G,7,0)</f>
        <v>#N/A</v>
      </c>
      <c r="G102" s="11" t="str">
        <f>IFERROR(VLOOKUP(E102,BASE_VEICULOS!$A:$B,2,0),"")</f>
        <v/>
      </c>
      <c r="H102" s="19"/>
      <c r="I102" s="20">
        <f t="shared" si="2"/>
        <v>46082</v>
      </c>
    </row>
    <row r="103" ht="22.5" customHeight="1">
      <c r="A103" s="5">
        <v>46082.0</v>
      </c>
      <c r="B103" s="6">
        <f t="shared" si="1"/>
        <v>9</v>
      </c>
      <c r="C103" s="7" t="s">
        <v>9</v>
      </c>
      <c r="D103" s="8">
        <v>70.0</v>
      </c>
      <c r="E103" s="9" t="s">
        <v>24</v>
      </c>
      <c r="F103" s="10" t="str">
        <f>VLOOKUP(E103,BASE_VEICULOS!A:G,7,0)</f>
        <v>PROF - 07001 - MANUTENÇÃO PREDIAL- PROFARMA-2025</v>
      </c>
      <c r="G103" s="11" t="str">
        <f>IFERROR(VLOOKUP(E103,BASE_VEICULOS!$A:$B,2,0),"")</f>
        <v>TEW9A23</v>
      </c>
      <c r="H103" s="19"/>
      <c r="I103" s="20">
        <f t="shared" si="2"/>
        <v>46082</v>
      </c>
    </row>
    <row r="104" ht="22.5" customHeight="1">
      <c r="A104" s="5">
        <v>46083.0</v>
      </c>
      <c r="B104" s="6">
        <f t="shared" si="1"/>
        <v>10</v>
      </c>
      <c r="C104" s="7" t="s">
        <v>9</v>
      </c>
      <c r="D104" s="8">
        <v>70.0</v>
      </c>
      <c r="E104" s="9" t="s">
        <v>10</v>
      </c>
      <c r="F104" s="10" t="str">
        <f>VLOOKUP(E104,BASE_VEICULOS!A:G,7,0)</f>
        <v>FAC - 140004 - MANUTENÇÃO PREDIAL DPSP 2025</v>
      </c>
      <c r="G104" s="11" t="str">
        <f>IFERROR(VLOOKUP(E104,BASE_VEICULOS!$A:$B,2,0),"")</f>
        <v>TEW9A25</v>
      </c>
      <c r="H104" s="19"/>
      <c r="I104" s="20">
        <f t="shared" si="2"/>
        <v>46082</v>
      </c>
    </row>
    <row r="105" ht="22.5" customHeight="1">
      <c r="A105" s="5">
        <v>46083.0</v>
      </c>
      <c r="B105" s="21">
        <f t="shared" si="1"/>
        <v>10</v>
      </c>
      <c r="C105" s="7" t="s">
        <v>9</v>
      </c>
      <c r="D105" s="8">
        <v>70.0</v>
      </c>
      <c r="E105" s="9" t="s">
        <v>12</v>
      </c>
      <c r="F105" s="10" t="str">
        <f>VLOOKUP(E105,BASE_VEICULOS!A:G,7,0)</f>
        <v>FAC - 140004 - MANUTENÇÃO PREDIAL DPSP 2025</v>
      </c>
      <c r="G105" s="11" t="str">
        <f>IFERROR(VLOOKUP(E105,BASE_VEICULOS!$A:$B,2,0),"")</f>
        <v>FIL8C14</v>
      </c>
      <c r="H105" s="19"/>
      <c r="I105" s="20">
        <f t="shared" si="2"/>
        <v>46082</v>
      </c>
    </row>
    <row r="106" ht="22.5" customHeight="1">
      <c r="A106" s="5">
        <v>46083.0</v>
      </c>
      <c r="B106" s="6">
        <f t="shared" si="1"/>
        <v>10</v>
      </c>
      <c r="C106" s="7" t="s">
        <v>9</v>
      </c>
      <c r="D106" s="8">
        <v>100.0</v>
      </c>
      <c r="E106" s="9" t="s">
        <v>13</v>
      </c>
      <c r="F106" s="10" t="str">
        <f>VLOOKUP(E106,BASE_VEICULOS!A:G,7,0)</f>
        <v>FAC - 140005 - SPOT MANUTENÇÃO DPSP 2025</v>
      </c>
      <c r="G106" s="11" t="str">
        <f>IFERROR(VLOOKUP(E106,BASE_VEICULOS!$A:$B,2,0),"")</f>
        <v>FGO3C61</v>
      </c>
      <c r="H106" s="19"/>
      <c r="I106" s="20">
        <f t="shared" si="2"/>
        <v>46082</v>
      </c>
    </row>
    <row r="107" ht="22.5" customHeight="1">
      <c r="A107" s="5">
        <v>46083.0</v>
      </c>
      <c r="B107" s="6">
        <f t="shared" si="1"/>
        <v>10</v>
      </c>
      <c r="C107" s="7" t="s">
        <v>9</v>
      </c>
      <c r="D107" s="8">
        <v>80.0</v>
      </c>
      <c r="E107" s="9" t="s">
        <v>14</v>
      </c>
      <c r="F107" s="10" t="str">
        <f>VLOOKUP(E107,BASE_VEICULOS!A:G,7,0)</f>
        <v>FAC - 140004 - MANUTENÇÃO PREDIAL DPSP 2025</v>
      </c>
      <c r="G107" s="11" t="str">
        <f>IFERROR(VLOOKUP(E107,BASE_VEICULOS!$A:$B,2,0),"")</f>
        <v>FOK8A73</v>
      </c>
      <c r="H107" s="19"/>
      <c r="I107" s="20">
        <f t="shared" si="2"/>
        <v>46082</v>
      </c>
    </row>
    <row r="108" ht="22.5" customHeight="1">
      <c r="A108" s="5">
        <v>46083.0</v>
      </c>
      <c r="B108" s="6">
        <f t="shared" si="1"/>
        <v>10</v>
      </c>
      <c r="C108" s="7" t="s">
        <v>9</v>
      </c>
      <c r="D108" s="8">
        <v>69.41</v>
      </c>
      <c r="E108" s="9" t="s">
        <v>15</v>
      </c>
      <c r="F108" s="10" t="str">
        <f>VLOOKUP(E108,BASE_VEICULOS!A:G,7,0)</f>
        <v>FAC - 140005 - SPOT MANUTENÇÃO DPSP 2025</v>
      </c>
      <c r="G108" s="11" t="str">
        <f>IFERROR(VLOOKUP(E108,BASE_VEICULOS!$A:$B,2,0),"")</f>
        <v>EWH1B84</v>
      </c>
      <c r="H108" s="19"/>
      <c r="I108" s="20">
        <f t="shared" si="2"/>
        <v>46082</v>
      </c>
    </row>
    <row r="109" ht="22.5" customHeight="1">
      <c r="A109" s="5">
        <v>46083.0</v>
      </c>
      <c r="B109" s="6">
        <f t="shared" si="1"/>
        <v>10</v>
      </c>
      <c r="C109" s="7" t="s">
        <v>9</v>
      </c>
      <c r="D109" s="8">
        <v>90.02</v>
      </c>
      <c r="E109" s="9" t="s">
        <v>17</v>
      </c>
      <c r="F109" s="10" t="str">
        <f>VLOOKUP(E109,BASE_VEICULOS!A:G,7,0)</f>
        <v>#N/A</v>
      </c>
      <c r="G109" s="11" t="str">
        <f>IFERROR(VLOOKUP(E109,BASE_VEICULOS!$A:$B,2,0),"")</f>
        <v/>
      </c>
      <c r="H109" s="19"/>
      <c r="I109" s="20">
        <f t="shared" si="2"/>
        <v>46082</v>
      </c>
    </row>
    <row r="110" ht="22.5" customHeight="1">
      <c r="A110" s="5">
        <v>46083.0</v>
      </c>
      <c r="B110" s="6">
        <f t="shared" si="1"/>
        <v>10</v>
      </c>
      <c r="C110" s="7" t="s">
        <v>9</v>
      </c>
      <c r="D110" s="8">
        <v>50.0</v>
      </c>
      <c r="E110" s="9" t="s">
        <v>18</v>
      </c>
      <c r="F110" s="10" t="str">
        <f>VLOOKUP(E110,BASE_VEICULOS!A:G,7,0)</f>
        <v>FAC - 140004 - MANUTENÇÃO PREDIAL DPSP 2025</v>
      </c>
      <c r="G110" s="11" t="str">
        <f>IFERROR(VLOOKUP(E110,BASE_VEICULOS!$A:$B,2,0),"")</f>
        <v>TEW9A29</v>
      </c>
      <c r="H110" s="19"/>
      <c r="I110" s="20">
        <f t="shared" si="2"/>
        <v>46082</v>
      </c>
    </row>
    <row r="111" ht="22.5" customHeight="1">
      <c r="A111" s="5">
        <v>46083.0</v>
      </c>
      <c r="B111" s="6">
        <f t="shared" si="1"/>
        <v>10</v>
      </c>
      <c r="C111" s="7" t="s">
        <v>9</v>
      </c>
      <c r="D111" s="8">
        <v>50.0</v>
      </c>
      <c r="E111" s="9" t="s">
        <v>19</v>
      </c>
      <c r="F111" s="10" t="str">
        <f>VLOOKUP(E111,BASE_VEICULOS!A:G,7,0)</f>
        <v>PROF - 07001 - MANUTENÇÃO PREDIAL- PROFARMA-2025</v>
      </c>
      <c r="G111" s="11" t="str">
        <f>IFERROR(VLOOKUP(E111,BASE_VEICULOS!$A:$B,2,0),"")</f>
        <v>TEW9A24</v>
      </c>
      <c r="H111" s="19"/>
      <c r="I111" s="20">
        <f t="shared" si="2"/>
        <v>46082</v>
      </c>
    </row>
    <row r="112" ht="22.5" customHeight="1">
      <c r="A112" s="5">
        <v>46083.0</v>
      </c>
      <c r="B112" s="6">
        <f t="shared" si="1"/>
        <v>10</v>
      </c>
      <c r="C112" s="7" t="s">
        <v>9</v>
      </c>
      <c r="D112" s="8">
        <v>50.0</v>
      </c>
      <c r="E112" s="9" t="s">
        <v>20</v>
      </c>
      <c r="F112" s="10" t="str">
        <f>VLOOKUP(E112,BASE_VEICULOS!A:G,7,0)</f>
        <v>PROF - 07001 - MANUTENÇÃO PREDIAL- PROFARMA-2025</v>
      </c>
      <c r="G112" s="11" t="str">
        <f>IFERROR(VLOOKUP(E112,BASE_VEICULOS!$A:$B,2,0),"")</f>
        <v>TEW9A34</v>
      </c>
      <c r="H112" s="19"/>
      <c r="I112" s="20">
        <f t="shared" si="2"/>
        <v>46082</v>
      </c>
    </row>
    <row r="113" ht="22.5" customHeight="1">
      <c r="A113" s="5">
        <v>46083.0</v>
      </c>
      <c r="B113" s="6">
        <f t="shared" si="1"/>
        <v>10</v>
      </c>
      <c r="C113" s="7" t="s">
        <v>9</v>
      </c>
      <c r="D113" s="8">
        <v>50.0</v>
      </c>
      <c r="E113" s="9" t="s">
        <v>21</v>
      </c>
      <c r="F113" s="10" t="str">
        <f>VLOOKUP(E113,BASE_VEICULOS!A:G,7,0)</f>
        <v>PROF - 07001 - MANUTENÇÃO PREDIAL- PROFARMA-2025</v>
      </c>
      <c r="G113" s="11" t="str">
        <f>IFERROR(VLOOKUP(E113,BASE_VEICULOS!$A:$B,2,0),"")</f>
        <v>TEW9A33</v>
      </c>
      <c r="H113" s="19"/>
      <c r="I113" s="20">
        <f t="shared" si="2"/>
        <v>46082</v>
      </c>
    </row>
    <row r="114" ht="22.5" customHeight="1">
      <c r="A114" s="5">
        <v>46083.0</v>
      </c>
      <c r="B114" s="6">
        <f t="shared" si="1"/>
        <v>10</v>
      </c>
      <c r="C114" s="7" t="s">
        <v>9</v>
      </c>
      <c r="D114" s="8">
        <v>50.0</v>
      </c>
      <c r="E114" s="9" t="s">
        <v>22</v>
      </c>
      <c r="F114" s="10" t="str">
        <f>VLOOKUP(E114,BASE_VEICULOS!A:G,7,0)</f>
        <v>PROF - 07001 - MANUTENÇÃO PREDIAL- PROFARMA-2025</v>
      </c>
      <c r="G114" s="11" t="str">
        <f>IFERROR(VLOOKUP(E114,BASE_VEICULOS!$A:$B,2,0),"")</f>
        <v>TET5H37</v>
      </c>
      <c r="H114" s="19"/>
      <c r="I114" s="20">
        <f t="shared" si="2"/>
        <v>46082</v>
      </c>
    </row>
    <row r="115" ht="22.5" customHeight="1">
      <c r="A115" s="5">
        <v>46083.0</v>
      </c>
      <c r="B115" s="6">
        <f t="shared" si="1"/>
        <v>10</v>
      </c>
      <c r="C115" s="7" t="s">
        <v>9</v>
      </c>
      <c r="D115" s="8">
        <v>50.0</v>
      </c>
      <c r="E115" s="9" t="s">
        <v>23</v>
      </c>
      <c r="F115" s="10" t="str">
        <f>VLOOKUP(E115,BASE_VEICULOS!A:G,7,0)</f>
        <v>PROF - 07001 - MANUTENÇÃO PREDIAL- PROFARMA-2025</v>
      </c>
      <c r="G115" s="11" t="str">
        <f>IFERROR(VLOOKUP(E115,BASE_VEICULOS!$A:$B,2,0),"")</f>
        <v>TEH3I02</v>
      </c>
      <c r="H115" s="19"/>
      <c r="I115" s="20">
        <f t="shared" si="2"/>
        <v>46082</v>
      </c>
    </row>
    <row r="116" ht="22.5" customHeight="1">
      <c r="A116" s="5">
        <v>46083.0</v>
      </c>
      <c r="B116" s="6">
        <f t="shared" si="1"/>
        <v>10</v>
      </c>
      <c r="C116" s="7" t="s">
        <v>9</v>
      </c>
      <c r="D116" s="8">
        <v>50.0</v>
      </c>
      <c r="E116" s="9" t="s">
        <v>24</v>
      </c>
      <c r="F116" s="10" t="str">
        <f>VLOOKUP(E116,BASE_VEICULOS!A:G,7,0)</f>
        <v>PROF - 07001 - MANUTENÇÃO PREDIAL- PROFARMA-2025</v>
      </c>
      <c r="G116" s="11" t="str">
        <f>IFERROR(VLOOKUP(E116,BASE_VEICULOS!$A:$B,2,0),"")</f>
        <v>TEW9A23</v>
      </c>
      <c r="H116" s="19"/>
      <c r="I116" s="20">
        <f t="shared" si="2"/>
        <v>46082</v>
      </c>
    </row>
    <row r="117" ht="22.5" customHeight="1">
      <c r="A117" s="5">
        <v>46083.0</v>
      </c>
      <c r="B117" s="6">
        <f t="shared" si="1"/>
        <v>10</v>
      </c>
      <c r="C117" s="7" t="s">
        <v>9</v>
      </c>
      <c r="D117" s="8">
        <v>50.0</v>
      </c>
      <c r="E117" s="9" t="s">
        <v>25</v>
      </c>
      <c r="F117" s="10" t="str">
        <f>VLOOKUP(E117,BASE_VEICULOS!A:G,7,0)</f>
        <v>PROF - 07001 - MANUTENÇÃO PREDIAL- PROFARMA-2025</v>
      </c>
      <c r="G117" s="11" t="str">
        <f>IFERROR(VLOOKUP(E117,BASE_VEICULOS!$A:$B,2,0),"")</f>
        <v>TEW9A26</v>
      </c>
      <c r="H117" s="19"/>
      <c r="I117" s="20">
        <f t="shared" si="2"/>
        <v>46082</v>
      </c>
    </row>
    <row r="118" ht="22.5" customHeight="1">
      <c r="A118" s="5">
        <v>46083.0</v>
      </c>
      <c r="B118" s="6">
        <f t="shared" si="1"/>
        <v>10</v>
      </c>
      <c r="C118" s="7" t="s">
        <v>9</v>
      </c>
      <c r="D118" s="8">
        <v>50.0</v>
      </c>
      <c r="E118" s="9" t="s">
        <v>28</v>
      </c>
      <c r="F118" s="10" t="str">
        <f>VLOOKUP(E118,BASE_VEICULOS!A:G,7,0)</f>
        <v>#N/A</v>
      </c>
      <c r="G118" s="11" t="str">
        <f>IFERROR(VLOOKUP(E118,BASE_VEICULOS!$A:$B,2,0),"")</f>
        <v/>
      </c>
      <c r="H118" s="19"/>
      <c r="I118" s="20">
        <f t="shared" si="2"/>
        <v>46082</v>
      </c>
    </row>
    <row r="119" ht="22.5" customHeight="1">
      <c r="A119" s="5">
        <v>46083.0</v>
      </c>
      <c r="B119" s="6">
        <f t="shared" si="1"/>
        <v>10</v>
      </c>
      <c r="C119" s="7" t="s">
        <v>9</v>
      </c>
      <c r="D119" s="8">
        <v>100.0</v>
      </c>
      <c r="E119" s="9" t="s">
        <v>27</v>
      </c>
      <c r="F119" s="10" t="str">
        <f>VLOOKUP(E119,BASE_VEICULOS!A:G,7,0)</f>
        <v>FAC - 140005 - SPOT MANUTENÇÃO DPSP 2025</v>
      </c>
      <c r="G119" s="11" t="str">
        <f>IFERROR(VLOOKUP(E119,BASE_VEICULOS!$A:$B,2,0),"")</f>
        <v>UDA5B37</v>
      </c>
      <c r="H119" s="19"/>
      <c r="I119" s="20">
        <f t="shared" si="2"/>
        <v>46082</v>
      </c>
    </row>
    <row r="120" ht="22.5" customHeight="1">
      <c r="A120" s="5">
        <v>46083.0</v>
      </c>
      <c r="B120" s="6">
        <f t="shared" si="1"/>
        <v>10</v>
      </c>
      <c r="C120" s="7" t="s">
        <v>9</v>
      </c>
      <c r="D120" s="8">
        <v>50.0</v>
      </c>
      <c r="E120" s="7" t="s">
        <v>29</v>
      </c>
      <c r="F120" s="10" t="str">
        <f>VLOOKUP(E120,BASE_VEICULOS!A:G,7,0)</f>
        <v>PROF - 07001 - MANUTENÇÃO PREDIAL- PROFARMA-2025</v>
      </c>
      <c r="G120" s="11" t="str">
        <f>IFERROR(VLOOKUP(E120,BASE_VEICULOS!$A:$B,2,0),"")</f>
        <v>TEQ2I74</v>
      </c>
      <c r="H120" s="19"/>
      <c r="I120" s="20">
        <f t="shared" si="2"/>
        <v>46082</v>
      </c>
    </row>
    <row r="121" ht="22.5" customHeight="1">
      <c r="A121" s="5">
        <v>46083.0</v>
      </c>
      <c r="B121" s="6">
        <f t="shared" si="1"/>
        <v>10</v>
      </c>
      <c r="C121" s="7" t="s">
        <v>9</v>
      </c>
      <c r="D121" s="8">
        <v>50.0</v>
      </c>
      <c r="E121" s="9" t="s">
        <v>30</v>
      </c>
      <c r="F121" s="10" t="str">
        <f>VLOOKUP(E121,BASE_VEICULOS!A:G,7,0)</f>
        <v>#N/A</v>
      </c>
      <c r="G121" s="11" t="str">
        <f>IFERROR(VLOOKUP(E121,BASE_VEICULOS!$A:$B,2,0),"")</f>
        <v/>
      </c>
      <c r="H121" s="19"/>
      <c r="I121" s="20">
        <f t="shared" si="2"/>
        <v>46082</v>
      </c>
    </row>
    <row r="122" ht="22.5" customHeight="1">
      <c r="A122" s="5">
        <v>46084.0</v>
      </c>
      <c r="B122" s="6">
        <f t="shared" si="1"/>
        <v>10</v>
      </c>
      <c r="C122" s="7" t="s">
        <v>9</v>
      </c>
      <c r="D122" s="8">
        <v>50.0</v>
      </c>
      <c r="E122" s="9" t="s">
        <v>10</v>
      </c>
      <c r="F122" s="10" t="str">
        <f>VLOOKUP(E122,BASE_VEICULOS!A:G,7,0)</f>
        <v>FAC - 140004 - MANUTENÇÃO PREDIAL DPSP 2025</v>
      </c>
      <c r="G122" s="11" t="str">
        <f>IFERROR(VLOOKUP(E122,BASE_VEICULOS!$A:$B,2,0),"")</f>
        <v>TEW9A25</v>
      </c>
      <c r="H122" s="19"/>
      <c r="I122" s="20">
        <f t="shared" si="2"/>
        <v>46082</v>
      </c>
    </row>
    <row r="123" ht="22.5" customHeight="1">
      <c r="A123" s="5">
        <v>46084.0</v>
      </c>
      <c r="B123" s="6">
        <f t="shared" si="1"/>
        <v>10</v>
      </c>
      <c r="C123" s="7" t="s">
        <v>9</v>
      </c>
      <c r="D123" s="8">
        <v>50.0</v>
      </c>
      <c r="E123" s="9" t="s">
        <v>12</v>
      </c>
      <c r="F123" s="10" t="str">
        <f>VLOOKUP(E123,BASE_VEICULOS!A:G,7,0)</f>
        <v>FAC - 140004 - MANUTENÇÃO PREDIAL DPSP 2025</v>
      </c>
      <c r="G123" s="11" t="str">
        <f>IFERROR(VLOOKUP(E123,BASE_VEICULOS!$A:$B,2,0),"")</f>
        <v>FIL8C14</v>
      </c>
      <c r="H123" s="19"/>
      <c r="I123" s="20">
        <f t="shared" si="2"/>
        <v>46082</v>
      </c>
    </row>
    <row r="124" ht="22.5" customHeight="1">
      <c r="A124" s="5">
        <v>46084.0</v>
      </c>
      <c r="B124" s="6">
        <f t="shared" si="1"/>
        <v>10</v>
      </c>
      <c r="C124" s="7" t="s">
        <v>9</v>
      </c>
      <c r="D124" s="8">
        <v>50.0</v>
      </c>
      <c r="E124" s="9" t="s">
        <v>13</v>
      </c>
      <c r="F124" s="10" t="str">
        <f>VLOOKUP(E124,BASE_VEICULOS!A:G,7,0)</f>
        <v>FAC - 140005 - SPOT MANUTENÇÃO DPSP 2025</v>
      </c>
      <c r="G124" s="11" t="str">
        <f>IFERROR(VLOOKUP(E124,BASE_VEICULOS!$A:$B,2,0),"")</f>
        <v>FGO3C61</v>
      </c>
      <c r="H124" s="19"/>
      <c r="I124" s="20">
        <f t="shared" si="2"/>
        <v>46082</v>
      </c>
    </row>
    <row r="125" ht="22.5" customHeight="1">
      <c r="A125" s="5">
        <v>46084.0</v>
      </c>
      <c r="B125" s="6">
        <f t="shared" si="1"/>
        <v>10</v>
      </c>
      <c r="C125" s="7" t="s">
        <v>9</v>
      </c>
      <c r="D125" s="8">
        <v>50.0</v>
      </c>
      <c r="E125" s="9" t="s">
        <v>14</v>
      </c>
      <c r="F125" s="10" t="str">
        <f>VLOOKUP(E125,BASE_VEICULOS!A:G,7,0)</f>
        <v>FAC - 140004 - MANUTENÇÃO PREDIAL DPSP 2025</v>
      </c>
      <c r="G125" s="11" t="str">
        <f>IFERROR(VLOOKUP(E125,BASE_VEICULOS!$A:$B,2,0),"")</f>
        <v>FOK8A73</v>
      </c>
      <c r="H125" s="19"/>
      <c r="I125" s="20">
        <f t="shared" si="2"/>
        <v>46082</v>
      </c>
    </row>
    <row r="126" ht="22.5" customHeight="1">
      <c r="A126" s="5">
        <v>46084.0</v>
      </c>
      <c r="B126" s="6">
        <f t="shared" si="1"/>
        <v>10</v>
      </c>
      <c r="C126" s="7" t="s">
        <v>9</v>
      </c>
      <c r="D126" s="8">
        <v>50.0</v>
      </c>
      <c r="E126" s="9" t="s">
        <v>16</v>
      </c>
      <c r="F126" s="10" t="str">
        <f>VLOOKUP(E126,BASE_VEICULOS!A:G,7,0)</f>
        <v>FAC - 140005 - SPOT MANUTENÇÃO DPSP 2025</v>
      </c>
      <c r="G126" s="11" t="str">
        <f>IFERROR(VLOOKUP(E126,BASE_VEICULOS!$A:$B,2,0),"")</f>
        <v>TEW9A27</v>
      </c>
      <c r="H126" s="19"/>
      <c r="I126" s="20">
        <f t="shared" si="2"/>
        <v>46082</v>
      </c>
    </row>
    <row r="127" ht="22.5" customHeight="1">
      <c r="A127" s="5">
        <v>46084.0</v>
      </c>
      <c r="B127" s="6">
        <f t="shared" si="1"/>
        <v>10</v>
      </c>
      <c r="C127" s="7" t="s">
        <v>9</v>
      </c>
      <c r="D127" s="8">
        <v>70.0</v>
      </c>
      <c r="E127" s="9" t="s">
        <v>17</v>
      </c>
      <c r="F127" s="10" t="str">
        <f>VLOOKUP(E127,BASE_VEICULOS!A:G,7,0)</f>
        <v>#N/A</v>
      </c>
      <c r="G127" s="11" t="str">
        <f>IFERROR(VLOOKUP(E127,BASE_VEICULOS!$A:$B,2,0),"")</f>
        <v/>
      </c>
      <c r="H127" s="19"/>
      <c r="I127" s="20">
        <f t="shared" si="2"/>
        <v>46082</v>
      </c>
    </row>
    <row r="128" ht="22.5" customHeight="1">
      <c r="A128" s="5">
        <v>46084.0</v>
      </c>
      <c r="B128" s="6">
        <f t="shared" si="1"/>
        <v>10</v>
      </c>
      <c r="C128" s="7" t="s">
        <v>9</v>
      </c>
      <c r="D128" s="8">
        <v>100.0</v>
      </c>
      <c r="E128" s="9" t="s">
        <v>18</v>
      </c>
      <c r="F128" s="10" t="str">
        <f>VLOOKUP(E128,BASE_VEICULOS!A:G,7,0)</f>
        <v>FAC - 140004 - MANUTENÇÃO PREDIAL DPSP 2025</v>
      </c>
      <c r="G128" s="11" t="str">
        <f>IFERROR(VLOOKUP(E128,BASE_VEICULOS!$A:$B,2,0),"")</f>
        <v>TEW9A29</v>
      </c>
      <c r="H128" s="19"/>
      <c r="I128" s="20">
        <f t="shared" si="2"/>
        <v>46082</v>
      </c>
    </row>
    <row r="129" ht="22.5" customHeight="1">
      <c r="A129" s="5">
        <v>46084.0</v>
      </c>
      <c r="B129" s="6">
        <f t="shared" si="1"/>
        <v>10</v>
      </c>
      <c r="C129" s="7" t="s">
        <v>9</v>
      </c>
      <c r="D129" s="8">
        <v>70.0</v>
      </c>
      <c r="E129" s="9" t="s">
        <v>19</v>
      </c>
      <c r="F129" s="10" t="str">
        <f>VLOOKUP(E129,BASE_VEICULOS!A:G,7,0)</f>
        <v>PROF - 07001 - MANUTENÇÃO PREDIAL- PROFARMA-2025</v>
      </c>
      <c r="G129" s="11" t="str">
        <f>IFERROR(VLOOKUP(E129,BASE_VEICULOS!$A:$B,2,0),"")</f>
        <v>TEW9A24</v>
      </c>
      <c r="H129" s="19"/>
      <c r="I129" s="20">
        <f t="shared" si="2"/>
        <v>46082</v>
      </c>
    </row>
    <row r="130" ht="22.5" customHeight="1">
      <c r="A130" s="5">
        <v>46084.0</v>
      </c>
      <c r="B130" s="6">
        <f t="shared" si="1"/>
        <v>10</v>
      </c>
      <c r="C130" s="7" t="s">
        <v>9</v>
      </c>
      <c r="D130" s="8">
        <v>100.0</v>
      </c>
      <c r="E130" s="7" t="s">
        <v>19</v>
      </c>
      <c r="F130" s="10" t="str">
        <f>VLOOKUP(E130,BASE_VEICULOS!A:G,7,0)</f>
        <v>PROF - 07001 - MANUTENÇÃO PREDIAL- PROFARMA-2025</v>
      </c>
      <c r="G130" s="11" t="str">
        <f>IFERROR(VLOOKUP(E130,BASE_VEICULOS!$A:$B,2,0),"")</f>
        <v>TEW9A24</v>
      </c>
      <c r="H130" s="19"/>
      <c r="I130" s="20">
        <f t="shared" si="2"/>
        <v>46082</v>
      </c>
    </row>
    <row r="131" ht="22.5" customHeight="1">
      <c r="A131" s="5">
        <v>46084.0</v>
      </c>
      <c r="B131" s="6">
        <f t="shared" si="1"/>
        <v>10</v>
      </c>
      <c r="C131" s="7" t="s">
        <v>9</v>
      </c>
      <c r="D131" s="8">
        <v>50.0</v>
      </c>
      <c r="E131" s="9" t="s">
        <v>20</v>
      </c>
      <c r="F131" s="10" t="str">
        <f>VLOOKUP(E131,BASE_VEICULOS!A:G,7,0)</f>
        <v>PROF - 07001 - MANUTENÇÃO PREDIAL- PROFARMA-2025</v>
      </c>
      <c r="G131" s="11" t="str">
        <f>IFERROR(VLOOKUP(E131,BASE_VEICULOS!$A:$B,2,0),"")</f>
        <v>TEW9A34</v>
      </c>
      <c r="H131" s="19"/>
      <c r="I131" s="20">
        <f t="shared" si="2"/>
        <v>46082</v>
      </c>
    </row>
    <row r="132" ht="22.5" customHeight="1">
      <c r="A132" s="5">
        <v>46084.0</v>
      </c>
      <c r="B132" s="6">
        <f t="shared" si="1"/>
        <v>10</v>
      </c>
      <c r="C132" s="7" t="s">
        <v>9</v>
      </c>
      <c r="D132" s="8">
        <v>50.0</v>
      </c>
      <c r="E132" s="7" t="s">
        <v>20</v>
      </c>
      <c r="F132" s="10" t="str">
        <f>VLOOKUP(E132,BASE_VEICULOS!A:G,7,0)</f>
        <v>PROF - 07001 - MANUTENÇÃO PREDIAL- PROFARMA-2025</v>
      </c>
      <c r="G132" s="11" t="str">
        <f>IFERROR(VLOOKUP(E132,BASE_VEICULOS!$A:$B,2,0),"")</f>
        <v>TEW9A34</v>
      </c>
      <c r="H132" s="19"/>
      <c r="I132" s="20">
        <f t="shared" si="2"/>
        <v>46082</v>
      </c>
    </row>
    <row r="133" ht="22.5" customHeight="1">
      <c r="A133" s="5">
        <v>46084.0</v>
      </c>
      <c r="B133" s="6">
        <f t="shared" si="1"/>
        <v>10</v>
      </c>
      <c r="C133" s="7" t="s">
        <v>9</v>
      </c>
      <c r="D133" s="8">
        <v>50.0</v>
      </c>
      <c r="E133" s="9" t="s">
        <v>21</v>
      </c>
      <c r="F133" s="10" t="str">
        <f>VLOOKUP(E133,BASE_VEICULOS!A:G,7,0)</f>
        <v>PROF - 07001 - MANUTENÇÃO PREDIAL- PROFARMA-2025</v>
      </c>
      <c r="G133" s="11" t="str">
        <f>IFERROR(VLOOKUP(E133,BASE_VEICULOS!$A:$B,2,0),"")</f>
        <v>TEW9A33</v>
      </c>
      <c r="H133" s="19"/>
      <c r="I133" s="20">
        <f t="shared" si="2"/>
        <v>46082</v>
      </c>
    </row>
    <row r="134" ht="22.5" customHeight="1">
      <c r="A134" s="5">
        <v>46084.0</v>
      </c>
      <c r="B134" s="6">
        <f t="shared" si="1"/>
        <v>10</v>
      </c>
      <c r="C134" s="7" t="s">
        <v>9</v>
      </c>
      <c r="D134" s="8">
        <v>80.0</v>
      </c>
      <c r="E134" s="9" t="s">
        <v>22</v>
      </c>
      <c r="F134" s="10" t="str">
        <f>VLOOKUP(E134,BASE_VEICULOS!A:G,7,0)</f>
        <v>PROF - 07001 - MANUTENÇÃO PREDIAL- PROFARMA-2025</v>
      </c>
      <c r="G134" s="11" t="str">
        <f>IFERROR(VLOOKUP(E134,BASE_VEICULOS!$A:$B,2,0),"")</f>
        <v>TET5H37</v>
      </c>
      <c r="H134" s="19"/>
      <c r="I134" s="20">
        <f t="shared" si="2"/>
        <v>46082</v>
      </c>
    </row>
    <row r="135" ht="22.5" customHeight="1">
      <c r="A135" s="5">
        <v>46084.0</v>
      </c>
      <c r="B135" s="6">
        <f t="shared" si="1"/>
        <v>10</v>
      </c>
      <c r="C135" s="7" t="s">
        <v>9</v>
      </c>
      <c r="D135" s="8">
        <v>120.0</v>
      </c>
      <c r="E135" s="9" t="s">
        <v>23</v>
      </c>
      <c r="F135" s="10" t="str">
        <f>VLOOKUP(E135,BASE_VEICULOS!A:G,7,0)</f>
        <v>PROF - 07001 - MANUTENÇÃO PREDIAL- PROFARMA-2025</v>
      </c>
      <c r="G135" s="11" t="str">
        <f>IFERROR(VLOOKUP(E135,BASE_VEICULOS!$A:$B,2,0),"")</f>
        <v>TEH3I02</v>
      </c>
      <c r="H135" s="19"/>
      <c r="I135" s="20">
        <f t="shared" si="2"/>
        <v>46082</v>
      </c>
    </row>
    <row r="136" ht="22.5" customHeight="1">
      <c r="A136" s="5">
        <v>46084.0</v>
      </c>
      <c r="B136" s="6">
        <f t="shared" si="1"/>
        <v>10</v>
      </c>
      <c r="C136" s="7" t="s">
        <v>9</v>
      </c>
      <c r="D136" s="8">
        <v>50.0</v>
      </c>
      <c r="E136" s="9" t="s">
        <v>24</v>
      </c>
      <c r="F136" s="10" t="str">
        <f>VLOOKUP(E136,BASE_VEICULOS!A:G,7,0)</f>
        <v>PROF - 07001 - MANUTENÇÃO PREDIAL- PROFARMA-2025</v>
      </c>
      <c r="G136" s="11" t="str">
        <f>IFERROR(VLOOKUP(E136,BASE_VEICULOS!$A:$B,2,0),"")</f>
        <v>TEW9A23</v>
      </c>
      <c r="H136" s="19"/>
      <c r="I136" s="20">
        <f t="shared" si="2"/>
        <v>46082</v>
      </c>
    </row>
    <row r="137" ht="22.5" customHeight="1">
      <c r="A137" s="5">
        <v>46084.0</v>
      </c>
      <c r="B137" s="6">
        <f t="shared" si="1"/>
        <v>10</v>
      </c>
      <c r="C137" s="7" t="s">
        <v>9</v>
      </c>
      <c r="D137" s="8">
        <v>100.0</v>
      </c>
      <c r="E137" s="9" t="s">
        <v>25</v>
      </c>
      <c r="F137" s="10" t="str">
        <f>VLOOKUP(E137,BASE_VEICULOS!A:G,7,0)</f>
        <v>PROF - 07001 - MANUTENÇÃO PREDIAL- PROFARMA-2025</v>
      </c>
      <c r="G137" s="11" t="str">
        <f>IFERROR(VLOOKUP(E137,BASE_VEICULOS!$A:$B,2,0),"")</f>
        <v>TEW9A26</v>
      </c>
      <c r="H137" s="19"/>
      <c r="I137" s="20">
        <f t="shared" si="2"/>
        <v>46082</v>
      </c>
    </row>
    <row r="138" ht="22.5" customHeight="1">
      <c r="A138" s="5">
        <v>46084.0</v>
      </c>
      <c r="B138" s="6">
        <f t="shared" si="1"/>
        <v>10</v>
      </c>
      <c r="C138" s="7" t="s">
        <v>9</v>
      </c>
      <c r="D138" s="8">
        <v>80.0</v>
      </c>
      <c r="E138" s="9" t="s">
        <v>27</v>
      </c>
      <c r="F138" s="10" t="str">
        <f>VLOOKUP(E138,BASE_VEICULOS!A:G,7,0)</f>
        <v>FAC - 140005 - SPOT MANUTENÇÃO DPSP 2025</v>
      </c>
      <c r="G138" s="11" t="str">
        <f>IFERROR(VLOOKUP(E138,BASE_VEICULOS!$A:$B,2,0),"")</f>
        <v>UDA5B37</v>
      </c>
      <c r="H138" s="19"/>
      <c r="I138" s="20">
        <f t="shared" si="2"/>
        <v>46082</v>
      </c>
    </row>
    <row r="139" ht="22.5" customHeight="1">
      <c r="A139" s="5">
        <v>46084.0</v>
      </c>
      <c r="B139" s="6">
        <f t="shared" si="1"/>
        <v>10</v>
      </c>
      <c r="C139" s="7" t="s">
        <v>9</v>
      </c>
      <c r="D139" s="8">
        <v>50.0</v>
      </c>
      <c r="E139" s="7" t="s">
        <v>29</v>
      </c>
      <c r="F139" s="10" t="str">
        <f>VLOOKUP(E139,BASE_VEICULOS!A:G,7,0)</f>
        <v>PROF - 07001 - MANUTENÇÃO PREDIAL- PROFARMA-2025</v>
      </c>
      <c r="G139" s="11" t="str">
        <f>IFERROR(VLOOKUP(E139,BASE_VEICULOS!$A:$B,2,0),"")</f>
        <v>TEQ2I74</v>
      </c>
      <c r="H139" s="19"/>
      <c r="I139" s="20">
        <f t="shared" si="2"/>
        <v>46082</v>
      </c>
    </row>
    <row r="140" ht="22.5" customHeight="1">
      <c r="A140" s="5">
        <v>46084.0</v>
      </c>
      <c r="B140" s="6">
        <f t="shared" si="1"/>
        <v>10</v>
      </c>
      <c r="C140" s="7" t="s">
        <v>9</v>
      </c>
      <c r="D140" s="8">
        <v>100.0</v>
      </c>
      <c r="E140" s="9" t="s">
        <v>30</v>
      </c>
      <c r="F140" s="10" t="str">
        <f>VLOOKUP(E140,BASE_VEICULOS!A:G,7,0)</f>
        <v>#N/A</v>
      </c>
      <c r="G140" s="11" t="str">
        <f>IFERROR(VLOOKUP(E140,BASE_VEICULOS!$A:$B,2,0),"")</f>
        <v/>
      </c>
      <c r="H140" s="19"/>
      <c r="I140" s="20">
        <f t="shared" si="2"/>
        <v>46082</v>
      </c>
    </row>
    <row r="141" ht="22.5" customHeight="1">
      <c r="A141" s="5">
        <v>46085.0</v>
      </c>
      <c r="B141" s="6">
        <f t="shared" si="1"/>
        <v>10</v>
      </c>
      <c r="C141" s="7" t="s">
        <v>9</v>
      </c>
      <c r="D141" s="8">
        <v>50.0</v>
      </c>
      <c r="E141" s="7" t="s">
        <v>10</v>
      </c>
      <c r="F141" s="10" t="str">
        <f>VLOOKUP(E141,BASE_VEICULOS!A:G,7,0)</f>
        <v>FAC - 140004 - MANUTENÇÃO PREDIAL DPSP 2025</v>
      </c>
      <c r="G141" s="11" t="str">
        <f>IFERROR(VLOOKUP(E141,BASE_VEICULOS!$A:$B,2,0),"")</f>
        <v>TEW9A25</v>
      </c>
      <c r="H141" s="19"/>
      <c r="I141" s="20">
        <f t="shared" si="2"/>
        <v>46082</v>
      </c>
    </row>
    <row r="142" ht="22.5" customHeight="1">
      <c r="A142" s="5">
        <v>46085.0</v>
      </c>
      <c r="B142" s="6">
        <f t="shared" si="1"/>
        <v>10</v>
      </c>
      <c r="C142" s="7" t="s">
        <v>9</v>
      </c>
      <c r="D142" s="8">
        <v>100.0</v>
      </c>
      <c r="E142" s="7" t="s">
        <v>21</v>
      </c>
      <c r="F142" s="10" t="str">
        <f>VLOOKUP(E142,BASE_VEICULOS!A:G,7,0)</f>
        <v>PROF - 07001 - MANUTENÇÃO PREDIAL- PROFARMA-2025</v>
      </c>
      <c r="G142" s="11" t="str">
        <f>IFERROR(VLOOKUP(E142,BASE_VEICULOS!$A:$B,2,0),"")</f>
        <v>TEW9A33</v>
      </c>
      <c r="H142" s="19"/>
      <c r="I142" s="20">
        <f t="shared" si="2"/>
        <v>46082</v>
      </c>
    </row>
    <row r="143" ht="22.5" customHeight="1">
      <c r="A143" s="5">
        <v>46085.0</v>
      </c>
      <c r="B143" s="6">
        <f t="shared" si="1"/>
        <v>10</v>
      </c>
      <c r="C143" s="7" t="s">
        <v>9</v>
      </c>
      <c r="D143" s="8">
        <v>50.0</v>
      </c>
      <c r="E143" s="7" t="s">
        <v>23</v>
      </c>
      <c r="F143" s="10" t="str">
        <f>VLOOKUP(E143,BASE_VEICULOS!A:G,7,0)</f>
        <v>PROF - 07001 - MANUTENÇÃO PREDIAL- PROFARMA-2025</v>
      </c>
      <c r="G143" s="11" t="str">
        <f>IFERROR(VLOOKUP(E143,BASE_VEICULOS!$A:$B,2,0),"")</f>
        <v>TEH3I02</v>
      </c>
      <c r="H143" s="19"/>
      <c r="I143" s="20">
        <f t="shared" si="2"/>
        <v>46082</v>
      </c>
    </row>
    <row r="144" ht="22.5" customHeight="1">
      <c r="A144" s="5">
        <v>46085.0</v>
      </c>
      <c r="B144" s="6">
        <f t="shared" si="1"/>
        <v>10</v>
      </c>
      <c r="C144" s="7" t="s">
        <v>9</v>
      </c>
      <c r="D144" s="8">
        <v>50.0</v>
      </c>
      <c r="E144" s="7" t="s">
        <v>24</v>
      </c>
      <c r="F144" s="10" t="str">
        <f>VLOOKUP(E144,BASE_VEICULOS!A:G,7,0)</f>
        <v>PROF - 07001 - MANUTENÇÃO PREDIAL- PROFARMA-2025</v>
      </c>
      <c r="G144" s="11" t="str">
        <f>IFERROR(VLOOKUP(E144,BASE_VEICULOS!$A:$B,2,0),"")</f>
        <v>TEW9A23</v>
      </c>
      <c r="H144" s="19"/>
      <c r="I144" s="20">
        <f t="shared" si="2"/>
        <v>46082</v>
      </c>
    </row>
    <row r="145" ht="22.5" customHeight="1">
      <c r="A145" s="5">
        <v>46085.0</v>
      </c>
      <c r="B145" s="6">
        <f t="shared" si="1"/>
        <v>10</v>
      </c>
      <c r="C145" s="7" t="s">
        <v>9</v>
      </c>
      <c r="D145" s="8">
        <v>100.0</v>
      </c>
      <c r="E145" s="7" t="s">
        <v>29</v>
      </c>
      <c r="F145" s="10" t="str">
        <f>VLOOKUP(E145,BASE_VEICULOS!A:G,7,0)</f>
        <v>PROF - 07001 - MANUTENÇÃO PREDIAL- PROFARMA-2025</v>
      </c>
      <c r="G145" s="11" t="str">
        <f>IFERROR(VLOOKUP(E145,BASE_VEICULOS!$A:$B,2,0),"")</f>
        <v>TEQ2I74</v>
      </c>
      <c r="H145" s="19"/>
      <c r="I145" s="20">
        <f t="shared" si="2"/>
        <v>46082</v>
      </c>
    </row>
    <row r="146" ht="22.5" customHeight="1">
      <c r="A146" s="5">
        <v>46085.0</v>
      </c>
      <c r="B146" s="6">
        <f t="shared" si="1"/>
        <v>10</v>
      </c>
      <c r="C146" s="7" t="s">
        <v>9</v>
      </c>
      <c r="D146" s="8">
        <v>50.0</v>
      </c>
      <c r="E146" s="7" t="s">
        <v>26</v>
      </c>
      <c r="F146" s="10" t="str">
        <f>VLOOKUP(E146,BASE_VEICULOS!A:G,7,0)</f>
        <v>#N/A</v>
      </c>
      <c r="G146" s="11" t="str">
        <f>IFERROR(VLOOKUP(E146,BASE_VEICULOS!$A:$B,2,0),"")</f>
        <v/>
      </c>
      <c r="H146" s="19"/>
      <c r="I146" s="20">
        <f t="shared" si="2"/>
        <v>46082</v>
      </c>
    </row>
    <row r="147" ht="22.5" customHeight="1">
      <c r="A147" s="5">
        <v>46085.0</v>
      </c>
      <c r="B147" s="6">
        <f t="shared" si="1"/>
        <v>10</v>
      </c>
      <c r="C147" s="7" t="s">
        <v>9</v>
      </c>
      <c r="D147" s="8">
        <v>90.0</v>
      </c>
      <c r="E147" s="7" t="s">
        <v>16</v>
      </c>
      <c r="F147" s="10" t="str">
        <f>VLOOKUP(E147,BASE_VEICULOS!A:G,7,0)</f>
        <v>FAC - 140005 - SPOT MANUTENÇÃO DPSP 2025</v>
      </c>
      <c r="G147" s="11" t="str">
        <f>IFERROR(VLOOKUP(E147,BASE_VEICULOS!$A:$B,2,0),"")</f>
        <v>TEW9A27</v>
      </c>
      <c r="H147" s="19"/>
      <c r="I147" s="20">
        <f t="shared" si="2"/>
        <v>46082</v>
      </c>
    </row>
    <row r="148" ht="22.5" customHeight="1">
      <c r="A148" s="5">
        <v>46085.0</v>
      </c>
      <c r="B148" s="6">
        <f t="shared" si="1"/>
        <v>10</v>
      </c>
      <c r="C148" s="7" t="s">
        <v>9</v>
      </c>
      <c r="D148" s="8">
        <v>80.0</v>
      </c>
      <c r="E148" s="7" t="s">
        <v>30</v>
      </c>
      <c r="F148" s="10" t="str">
        <f>VLOOKUP(E148,BASE_VEICULOS!A:G,7,0)</f>
        <v>#N/A</v>
      </c>
      <c r="G148" s="11" t="str">
        <f>IFERROR(VLOOKUP(E148,BASE_VEICULOS!$A:$B,2,0),"")</f>
        <v/>
      </c>
      <c r="H148" s="19"/>
      <c r="I148" s="20">
        <f t="shared" si="2"/>
        <v>46082</v>
      </c>
    </row>
    <row r="149" ht="22.5" customHeight="1">
      <c r="A149" s="5">
        <v>46085.0</v>
      </c>
      <c r="B149" s="6">
        <f t="shared" si="1"/>
        <v>10</v>
      </c>
      <c r="C149" s="7" t="s">
        <v>9</v>
      </c>
      <c r="D149" s="8">
        <v>50.0</v>
      </c>
      <c r="E149" s="7" t="s">
        <v>33</v>
      </c>
      <c r="F149" s="10" t="str">
        <f>VLOOKUP(E149,BASE_VEICULOS!A:G,7,0)</f>
        <v>PROF - 07001 - MANUTENÇÃO PREDIAL- PROFARMA-2025</v>
      </c>
      <c r="G149" s="11" t="str">
        <f>IFERROR(VLOOKUP(E149,BASE_VEICULOS!$A:$B,2,0),"")</f>
        <v>TEW9A30</v>
      </c>
      <c r="H149" s="19"/>
      <c r="I149" s="20">
        <f t="shared" si="2"/>
        <v>46082</v>
      </c>
    </row>
    <row r="150" ht="22.5" customHeight="1">
      <c r="A150" s="5">
        <v>46085.0</v>
      </c>
      <c r="B150" s="6">
        <f t="shared" si="1"/>
        <v>10</v>
      </c>
      <c r="C150" s="7" t="s">
        <v>9</v>
      </c>
      <c r="D150" s="8">
        <v>75.0</v>
      </c>
      <c r="E150" s="7" t="s">
        <v>22</v>
      </c>
      <c r="F150" s="10" t="str">
        <f>VLOOKUP(E150,BASE_VEICULOS!A:G,7,0)</f>
        <v>PROF - 07001 - MANUTENÇÃO PREDIAL- PROFARMA-2025</v>
      </c>
      <c r="G150" s="11" t="str">
        <f>IFERROR(VLOOKUP(E150,BASE_VEICULOS!$A:$B,2,0),"")</f>
        <v>TET5H37</v>
      </c>
      <c r="H150" s="19"/>
      <c r="I150" s="20">
        <f t="shared" si="2"/>
        <v>46082</v>
      </c>
    </row>
    <row r="151" ht="22.5" customHeight="1">
      <c r="A151" s="5">
        <v>46085.0</v>
      </c>
      <c r="B151" s="6">
        <f t="shared" si="1"/>
        <v>10</v>
      </c>
      <c r="C151" s="7" t="s">
        <v>9</v>
      </c>
      <c r="D151" s="8">
        <v>50.0</v>
      </c>
      <c r="E151" s="7" t="s">
        <v>18</v>
      </c>
      <c r="F151" s="10" t="str">
        <f>VLOOKUP(E151,BASE_VEICULOS!A:G,7,0)</f>
        <v>FAC - 140004 - MANUTENÇÃO PREDIAL DPSP 2025</v>
      </c>
      <c r="G151" s="11" t="str">
        <f>IFERROR(VLOOKUP(E151,BASE_VEICULOS!$A:$B,2,0),"")</f>
        <v>TEW9A29</v>
      </c>
      <c r="H151" s="19"/>
      <c r="I151" s="20">
        <f t="shared" si="2"/>
        <v>46082</v>
      </c>
    </row>
    <row r="152" ht="22.5" customHeight="1">
      <c r="A152" s="5">
        <v>46085.0</v>
      </c>
      <c r="B152" s="6">
        <f t="shared" si="1"/>
        <v>10</v>
      </c>
      <c r="C152" s="7" t="s">
        <v>9</v>
      </c>
      <c r="D152" s="8">
        <v>200.0</v>
      </c>
      <c r="E152" s="7" t="s">
        <v>15</v>
      </c>
      <c r="F152" s="10" t="str">
        <f>VLOOKUP(E152,BASE_VEICULOS!A:G,7,0)</f>
        <v>FAC - 140005 - SPOT MANUTENÇÃO DPSP 2025</v>
      </c>
      <c r="G152" s="11" t="str">
        <f>IFERROR(VLOOKUP(E152,BASE_VEICULOS!$A:$B,2,0),"")</f>
        <v>EWH1B84</v>
      </c>
      <c r="H152" s="19"/>
      <c r="I152" s="20">
        <f t="shared" si="2"/>
        <v>46082</v>
      </c>
    </row>
    <row r="153" ht="22.5" customHeight="1">
      <c r="A153" s="5">
        <v>46085.0</v>
      </c>
      <c r="B153" s="6">
        <f t="shared" si="1"/>
        <v>10</v>
      </c>
      <c r="C153" s="7" t="s">
        <v>9</v>
      </c>
      <c r="D153" s="8">
        <v>200.0</v>
      </c>
      <c r="E153" s="7" t="s">
        <v>28</v>
      </c>
      <c r="F153" s="10" t="str">
        <f>VLOOKUP(E153,BASE_VEICULOS!A:G,7,0)</f>
        <v>#N/A</v>
      </c>
      <c r="G153" s="11" t="str">
        <f>IFERROR(VLOOKUP(E153,BASE_VEICULOS!$A:$B,2,0),"")</f>
        <v/>
      </c>
      <c r="H153" s="19"/>
      <c r="I153" s="20">
        <f t="shared" si="2"/>
        <v>46082</v>
      </c>
    </row>
    <row r="154" ht="22.5" customHeight="1">
      <c r="A154" s="5">
        <v>46085.0</v>
      </c>
      <c r="B154" s="6">
        <f t="shared" si="1"/>
        <v>10</v>
      </c>
      <c r="C154" s="7" t="s">
        <v>9</v>
      </c>
      <c r="D154" s="8">
        <v>215.0</v>
      </c>
      <c r="E154" s="7" t="s">
        <v>12</v>
      </c>
      <c r="F154" s="10" t="str">
        <f>VLOOKUP(E154,BASE_VEICULOS!A:G,7,0)</f>
        <v>FAC - 140004 - MANUTENÇÃO PREDIAL DPSP 2025</v>
      </c>
      <c r="G154" s="11" t="str">
        <f>IFERROR(VLOOKUP(E154,BASE_VEICULOS!$A:$B,2,0),"")</f>
        <v>FIL8C14</v>
      </c>
      <c r="H154" s="19"/>
      <c r="I154" s="20">
        <f t="shared" si="2"/>
        <v>46082</v>
      </c>
    </row>
    <row r="155" ht="22.5" customHeight="1">
      <c r="A155" s="5">
        <v>46085.0</v>
      </c>
      <c r="B155" s="6">
        <f t="shared" si="1"/>
        <v>10</v>
      </c>
      <c r="C155" s="7" t="s">
        <v>9</v>
      </c>
      <c r="D155" s="8">
        <v>100.0</v>
      </c>
      <c r="E155" s="7" t="s">
        <v>13</v>
      </c>
      <c r="F155" s="10" t="str">
        <f>VLOOKUP(E155,BASE_VEICULOS!A:G,7,0)</f>
        <v>FAC - 140005 - SPOT MANUTENÇÃO DPSP 2025</v>
      </c>
      <c r="G155" s="11" t="str">
        <f>IFERROR(VLOOKUP(E155,BASE_VEICULOS!$A:$B,2,0),"")</f>
        <v>FGO3C61</v>
      </c>
      <c r="H155" s="19"/>
      <c r="I155" s="20">
        <f t="shared" si="2"/>
        <v>46082</v>
      </c>
    </row>
    <row r="156" ht="22.5" customHeight="1">
      <c r="A156" s="5">
        <v>46085.0</v>
      </c>
      <c r="B156" s="6">
        <f t="shared" si="1"/>
        <v>10</v>
      </c>
      <c r="C156" s="7" t="s">
        <v>9</v>
      </c>
      <c r="D156" s="8">
        <v>50.0</v>
      </c>
      <c r="E156" s="7" t="s">
        <v>14</v>
      </c>
      <c r="F156" s="10" t="str">
        <f>VLOOKUP(E156,BASE_VEICULOS!A:G,7,0)</f>
        <v>FAC - 140004 - MANUTENÇÃO PREDIAL DPSP 2025</v>
      </c>
      <c r="G156" s="11" t="str">
        <f>IFERROR(VLOOKUP(E156,BASE_VEICULOS!$A:$B,2,0),"")</f>
        <v>FOK8A73</v>
      </c>
      <c r="H156" s="19"/>
      <c r="I156" s="20">
        <f t="shared" si="2"/>
        <v>46082</v>
      </c>
    </row>
    <row r="157" ht="22.5" customHeight="1">
      <c r="A157" s="5">
        <v>46085.0</v>
      </c>
      <c r="B157" s="6">
        <f t="shared" si="1"/>
        <v>10</v>
      </c>
      <c r="C157" s="7" t="s">
        <v>9</v>
      </c>
      <c r="D157" s="8">
        <v>60.0</v>
      </c>
      <c r="E157" s="7" t="s">
        <v>19</v>
      </c>
      <c r="F157" s="10" t="str">
        <f>VLOOKUP(E157,BASE_VEICULOS!A:G,7,0)</f>
        <v>PROF - 07001 - MANUTENÇÃO PREDIAL- PROFARMA-2025</v>
      </c>
      <c r="G157" s="11" t="str">
        <f>IFERROR(VLOOKUP(E157,BASE_VEICULOS!$A:$B,2,0),"")</f>
        <v>TEW9A24</v>
      </c>
      <c r="H157" s="19"/>
      <c r="I157" s="20">
        <f t="shared" si="2"/>
        <v>46082</v>
      </c>
    </row>
    <row r="158" ht="22.5" customHeight="1">
      <c r="A158" s="5">
        <v>46085.0</v>
      </c>
      <c r="B158" s="6">
        <f t="shared" si="1"/>
        <v>10</v>
      </c>
      <c r="C158" s="7" t="s">
        <v>9</v>
      </c>
      <c r="D158" s="8">
        <v>120.0</v>
      </c>
      <c r="E158" s="7" t="s">
        <v>25</v>
      </c>
      <c r="F158" s="10" t="str">
        <f>VLOOKUP(E158,BASE_VEICULOS!A:G,7,0)</f>
        <v>PROF - 07001 - MANUTENÇÃO PREDIAL- PROFARMA-2025</v>
      </c>
      <c r="G158" s="11" t="str">
        <f>IFERROR(VLOOKUP(E158,BASE_VEICULOS!$A:$B,2,0),"")</f>
        <v>TEW9A26</v>
      </c>
      <c r="H158" s="19"/>
      <c r="I158" s="20">
        <f t="shared" si="2"/>
        <v>46082</v>
      </c>
    </row>
    <row r="159" ht="22.5" customHeight="1">
      <c r="A159" s="5">
        <v>46085.0</v>
      </c>
      <c r="B159" s="6">
        <f t="shared" si="1"/>
        <v>10</v>
      </c>
      <c r="C159" s="7" t="s">
        <v>9</v>
      </c>
      <c r="D159" s="8">
        <v>100.0</v>
      </c>
      <c r="E159" s="7" t="s">
        <v>20</v>
      </c>
      <c r="F159" s="10" t="str">
        <f>VLOOKUP(E159,BASE_VEICULOS!A:G,7,0)</f>
        <v>PROF - 07001 - MANUTENÇÃO PREDIAL- PROFARMA-2025</v>
      </c>
      <c r="G159" s="11" t="str">
        <f>IFERROR(VLOOKUP(E159,BASE_VEICULOS!$A:$B,2,0),"")</f>
        <v>TEW9A34</v>
      </c>
      <c r="H159" s="19"/>
      <c r="I159" s="20">
        <f t="shared" si="2"/>
        <v>46082</v>
      </c>
    </row>
    <row r="160" ht="22.5" customHeight="1">
      <c r="A160" s="5">
        <v>46085.0</v>
      </c>
      <c r="B160" s="6">
        <f t="shared" si="1"/>
        <v>10</v>
      </c>
      <c r="C160" s="7" t="s">
        <v>9</v>
      </c>
      <c r="D160" s="8">
        <v>90.0</v>
      </c>
      <c r="E160" s="7" t="s">
        <v>17</v>
      </c>
      <c r="F160" s="10" t="str">
        <f>VLOOKUP(E160,BASE_VEICULOS!A:G,7,0)</f>
        <v>#N/A</v>
      </c>
      <c r="G160" s="11" t="str">
        <f>IFERROR(VLOOKUP(E160,BASE_VEICULOS!$A:$B,2,0),"")</f>
        <v/>
      </c>
      <c r="H160" s="19"/>
      <c r="I160" s="20">
        <f t="shared" si="2"/>
        <v>46082</v>
      </c>
    </row>
    <row r="161" ht="22.5" customHeight="1">
      <c r="A161" s="5">
        <v>46086.0</v>
      </c>
      <c r="B161" s="6">
        <f t="shared" si="1"/>
        <v>10</v>
      </c>
      <c r="C161" s="7" t="s">
        <v>9</v>
      </c>
      <c r="D161" s="8">
        <v>100.0</v>
      </c>
      <c r="E161" s="7" t="s">
        <v>11</v>
      </c>
      <c r="F161" s="10" t="str">
        <f>VLOOKUP(E161,BASE_VEICULOS!A:G,7,0)</f>
        <v>PROF - 07001 - MANUTENÇÃO PREDIAL- PROFARMA-2025</v>
      </c>
      <c r="G161" s="11" t="str">
        <f>IFERROR(VLOOKUP(E161,BASE_VEICULOS!$A:$B,2,0),"")</f>
        <v>TEW9A28</v>
      </c>
      <c r="H161" s="19"/>
      <c r="I161" s="20">
        <f t="shared" si="2"/>
        <v>46082</v>
      </c>
    </row>
    <row r="162" ht="22.5" customHeight="1">
      <c r="A162" s="5">
        <v>46086.0</v>
      </c>
      <c r="B162" s="6">
        <f t="shared" si="1"/>
        <v>10</v>
      </c>
      <c r="C162" s="7" t="s">
        <v>9</v>
      </c>
      <c r="D162" s="8">
        <v>70.0</v>
      </c>
      <c r="E162" s="7" t="s">
        <v>13</v>
      </c>
      <c r="F162" s="10" t="str">
        <f>VLOOKUP(E162,BASE_VEICULOS!A:G,7,0)</f>
        <v>FAC - 140005 - SPOT MANUTENÇÃO DPSP 2025</v>
      </c>
      <c r="G162" s="11" t="str">
        <f>IFERROR(VLOOKUP(E162,BASE_VEICULOS!$A:$B,2,0),"")</f>
        <v>FGO3C61</v>
      </c>
      <c r="H162" s="19"/>
      <c r="I162" s="20">
        <f t="shared" si="2"/>
        <v>46082</v>
      </c>
    </row>
    <row r="163" ht="22.5" customHeight="1">
      <c r="A163" s="5">
        <v>46086.0</v>
      </c>
      <c r="B163" s="6">
        <f t="shared" si="1"/>
        <v>10</v>
      </c>
      <c r="C163" s="7" t="s">
        <v>9</v>
      </c>
      <c r="D163" s="8">
        <v>70.0</v>
      </c>
      <c r="E163" s="7" t="s">
        <v>14</v>
      </c>
      <c r="F163" s="10" t="str">
        <f>VLOOKUP(E163,BASE_VEICULOS!A:G,7,0)</f>
        <v>FAC - 140004 - MANUTENÇÃO PREDIAL DPSP 2025</v>
      </c>
      <c r="G163" s="11" t="str">
        <f>IFERROR(VLOOKUP(E163,BASE_VEICULOS!$A:$B,2,0),"")</f>
        <v>FOK8A73</v>
      </c>
      <c r="H163" s="19"/>
      <c r="I163" s="20">
        <f t="shared" si="2"/>
        <v>46082</v>
      </c>
    </row>
    <row r="164" ht="22.5" customHeight="1">
      <c r="A164" s="5">
        <v>46086.0</v>
      </c>
      <c r="B164" s="6">
        <f t="shared" si="1"/>
        <v>10</v>
      </c>
      <c r="C164" s="7" t="s">
        <v>9</v>
      </c>
      <c r="D164" s="8">
        <v>70.0</v>
      </c>
      <c r="E164" s="7" t="s">
        <v>22</v>
      </c>
      <c r="F164" s="10" t="str">
        <f>VLOOKUP(E164,BASE_VEICULOS!A:G,7,0)</f>
        <v>PROF - 07001 - MANUTENÇÃO PREDIAL- PROFARMA-2025</v>
      </c>
      <c r="G164" s="11" t="str">
        <f>IFERROR(VLOOKUP(E164,BASE_VEICULOS!$A:$B,2,0),"")</f>
        <v>TET5H37</v>
      </c>
      <c r="H164" s="19"/>
      <c r="I164" s="20">
        <f t="shared" si="2"/>
        <v>46082</v>
      </c>
    </row>
    <row r="165" ht="22.5" customHeight="1">
      <c r="A165" s="5">
        <v>46086.0</v>
      </c>
      <c r="B165" s="6">
        <f t="shared" si="1"/>
        <v>10</v>
      </c>
      <c r="C165" s="7" t="s">
        <v>9</v>
      </c>
      <c r="D165" s="8">
        <v>100.0</v>
      </c>
      <c r="E165" s="7" t="s">
        <v>24</v>
      </c>
      <c r="F165" s="10" t="str">
        <f>VLOOKUP(E165,BASE_VEICULOS!A:G,7,0)</f>
        <v>PROF - 07001 - MANUTENÇÃO PREDIAL- PROFARMA-2025</v>
      </c>
      <c r="G165" s="11" t="str">
        <f>IFERROR(VLOOKUP(E165,BASE_VEICULOS!$A:$B,2,0),"")</f>
        <v>TEW9A23</v>
      </c>
      <c r="H165" s="19"/>
      <c r="I165" s="20">
        <f t="shared" si="2"/>
        <v>46082</v>
      </c>
    </row>
    <row r="166" ht="22.5" customHeight="1">
      <c r="A166" s="5">
        <v>46086.0</v>
      </c>
      <c r="B166" s="6">
        <f t="shared" si="1"/>
        <v>10</v>
      </c>
      <c r="C166" s="7" t="s">
        <v>9</v>
      </c>
      <c r="D166" s="8">
        <v>50.0</v>
      </c>
      <c r="E166" s="7" t="s">
        <v>19</v>
      </c>
      <c r="F166" s="10" t="str">
        <f>VLOOKUP(E166,BASE_VEICULOS!A:G,7,0)</f>
        <v>PROF - 07001 - MANUTENÇÃO PREDIAL- PROFARMA-2025</v>
      </c>
      <c r="G166" s="11" t="str">
        <f>IFERROR(VLOOKUP(E166,BASE_VEICULOS!$A:$B,2,0),"")</f>
        <v>TEW9A24</v>
      </c>
      <c r="H166" s="19"/>
      <c r="I166" s="20">
        <f t="shared" si="2"/>
        <v>46082</v>
      </c>
    </row>
    <row r="167" ht="22.5" customHeight="1">
      <c r="A167" s="5">
        <v>46086.0</v>
      </c>
      <c r="B167" s="6">
        <f t="shared" si="1"/>
        <v>10</v>
      </c>
      <c r="C167" s="7" t="s">
        <v>9</v>
      </c>
      <c r="D167" s="8">
        <v>110.0</v>
      </c>
      <c r="E167" s="7" t="s">
        <v>10</v>
      </c>
      <c r="F167" s="10" t="str">
        <f>VLOOKUP(E167,BASE_VEICULOS!A:G,7,0)</f>
        <v>FAC - 140004 - MANUTENÇÃO PREDIAL DPSP 2025</v>
      </c>
      <c r="G167" s="11" t="str">
        <f>IFERROR(VLOOKUP(E167,BASE_VEICULOS!$A:$B,2,0),"")</f>
        <v>TEW9A25</v>
      </c>
      <c r="H167" s="19"/>
      <c r="I167" s="20">
        <f t="shared" si="2"/>
        <v>46082</v>
      </c>
    </row>
    <row r="168" ht="22.5" customHeight="1">
      <c r="A168" s="5">
        <v>46086.0</v>
      </c>
      <c r="B168" s="6">
        <f t="shared" si="1"/>
        <v>10</v>
      </c>
      <c r="C168" s="7" t="s">
        <v>9</v>
      </c>
      <c r="D168" s="8">
        <v>80.0</v>
      </c>
      <c r="E168" s="7" t="s">
        <v>25</v>
      </c>
      <c r="F168" s="10" t="str">
        <f>VLOOKUP(E168,BASE_VEICULOS!A:G,7,0)</f>
        <v>PROF - 07001 - MANUTENÇÃO PREDIAL- PROFARMA-2025</v>
      </c>
      <c r="G168" s="11" t="str">
        <f>IFERROR(VLOOKUP(E168,BASE_VEICULOS!$A:$B,2,0),"")</f>
        <v>TEW9A26</v>
      </c>
      <c r="H168" s="19"/>
      <c r="I168" s="20">
        <f t="shared" si="2"/>
        <v>46082</v>
      </c>
    </row>
    <row r="169" ht="22.5" customHeight="1">
      <c r="A169" s="5">
        <v>46086.0</v>
      </c>
      <c r="B169" s="6">
        <f t="shared" si="1"/>
        <v>10</v>
      </c>
      <c r="C169" s="7" t="s">
        <v>9</v>
      </c>
      <c r="D169" s="8">
        <v>70.0</v>
      </c>
      <c r="E169" s="7" t="s">
        <v>20</v>
      </c>
      <c r="F169" s="10" t="str">
        <f>VLOOKUP(E169,BASE_VEICULOS!A:G,7,0)</f>
        <v>PROF - 07001 - MANUTENÇÃO PREDIAL- PROFARMA-2025</v>
      </c>
      <c r="G169" s="11" t="str">
        <f>IFERROR(VLOOKUP(E169,BASE_VEICULOS!$A:$B,2,0),"")</f>
        <v>TEW9A34</v>
      </c>
      <c r="H169" s="19"/>
      <c r="I169" s="20">
        <f t="shared" si="2"/>
        <v>46082</v>
      </c>
    </row>
    <row r="170" ht="22.5" customHeight="1">
      <c r="A170" s="5">
        <v>46086.0</v>
      </c>
      <c r="B170" s="6">
        <f t="shared" si="1"/>
        <v>10</v>
      </c>
      <c r="C170" s="7" t="s">
        <v>9</v>
      </c>
      <c r="D170" s="8">
        <v>50.0</v>
      </c>
      <c r="E170" s="7" t="s">
        <v>16</v>
      </c>
      <c r="F170" s="10" t="str">
        <f>VLOOKUP(E170,BASE_VEICULOS!A:G,7,0)</f>
        <v>FAC - 140005 - SPOT MANUTENÇÃO DPSP 2025</v>
      </c>
      <c r="G170" s="11" t="str">
        <f>IFERROR(VLOOKUP(E170,BASE_VEICULOS!$A:$B,2,0),"")</f>
        <v>TEW9A27</v>
      </c>
      <c r="H170" s="19"/>
      <c r="I170" s="20">
        <f t="shared" si="2"/>
        <v>46082</v>
      </c>
    </row>
    <row r="171" ht="22.5" customHeight="1">
      <c r="A171" s="5">
        <v>46086.0</v>
      </c>
      <c r="B171" s="6">
        <f t="shared" si="1"/>
        <v>10</v>
      </c>
      <c r="C171" s="7" t="s">
        <v>9</v>
      </c>
      <c r="D171" s="8">
        <v>50.0</v>
      </c>
      <c r="E171" s="7" t="s">
        <v>30</v>
      </c>
      <c r="F171" s="10" t="str">
        <f>VLOOKUP(E171,BASE_VEICULOS!A:G,7,0)</f>
        <v>#N/A</v>
      </c>
      <c r="G171" s="11" t="str">
        <f>IFERROR(VLOOKUP(E171,BASE_VEICULOS!$A:$B,2,0),"")</f>
        <v/>
      </c>
      <c r="H171" s="19"/>
      <c r="I171" s="20">
        <f t="shared" si="2"/>
        <v>46082</v>
      </c>
    </row>
    <row r="172" ht="22.5" customHeight="1">
      <c r="A172" s="5">
        <v>46086.0</v>
      </c>
      <c r="B172" s="6">
        <f t="shared" si="1"/>
        <v>10</v>
      </c>
      <c r="C172" s="7" t="s">
        <v>9</v>
      </c>
      <c r="D172" s="8">
        <v>80.0</v>
      </c>
      <c r="E172" s="7" t="s">
        <v>17</v>
      </c>
      <c r="F172" s="10" t="str">
        <f>VLOOKUP(E172,BASE_VEICULOS!A:G,7,0)</f>
        <v>#N/A</v>
      </c>
      <c r="G172" s="11" t="str">
        <f>IFERROR(VLOOKUP(E172,BASE_VEICULOS!$A:$B,2,0),"")</f>
        <v/>
      </c>
      <c r="H172" s="19"/>
      <c r="I172" s="20">
        <f t="shared" si="2"/>
        <v>46082</v>
      </c>
    </row>
    <row r="173" ht="22.5" customHeight="1">
      <c r="A173" s="5">
        <v>46086.0</v>
      </c>
      <c r="B173" s="6">
        <f t="shared" si="1"/>
        <v>10</v>
      </c>
      <c r="C173" s="7" t="s">
        <v>9</v>
      </c>
      <c r="D173" s="8">
        <v>80.0</v>
      </c>
      <c r="E173" s="7" t="s">
        <v>27</v>
      </c>
      <c r="F173" s="10" t="str">
        <f>VLOOKUP(E173,BASE_VEICULOS!A:G,7,0)</f>
        <v>FAC - 140005 - SPOT MANUTENÇÃO DPSP 2025</v>
      </c>
      <c r="G173" s="11" t="str">
        <f>IFERROR(VLOOKUP(E173,BASE_VEICULOS!$A:$B,2,0),"")</f>
        <v>UDA5B37</v>
      </c>
      <c r="H173" s="19"/>
      <c r="I173" s="20">
        <f t="shared" si="2"/>
        <v>46082</v>
      </c>
    </row>
    <row r="174" ht="22.5" customHeight="1">
      <c r="A174" s="5">
        <v>46086.0</v>
      </c>
      <c r="B174" s="6">
        <f t="shared" si="1"/>
        <v>10</v>
      </c>
      <c r="C174" s="7" t="s">
        <v>9</v>
      </c>
      <c r="D174" s="8">
        <v>60.0</v>
      </c>
      <c r="E174" s="7" t="s">
        <v>23</v>
      </c>
      <c r="F174" s="10" t="str">
        <f>VLOOKUP(E174,BASE_VEICULOS!A:G,7,0)</f>
        <v>PROF - 07001 - MANUTENÇÃO PREDIAL- PROFARMA-2025</v>
      </c>
      <c r="G174" s="11" t="str">
        <f>IFERROR(VLOOKUP(E174,BASE_VEICULOS!$A:$B,2,0),"")</f>
        <v>TEH3I02</v>
      </c>
      <c r="H174" s="19"/>
      <c r="I174" s="20">
        <f t="shared" si="2"/>
        <v>46082</v>
      </c>
    </row>
    <row r="175" ht="22.5" customHeight="1">
      <c r="A175" s="5">
        <v>46086.0</v>
      </c>
      <c r="B175" s="6">
        <f t="shared" si="1"/>
        <v>10</v>
      </c>
      <c r="C175" s="7" t="s">
        <v>9</v>
      </c>
      <c r="D175" s="8">
        <v>150.0</v>
      </c>
      <c r="E175" s="7" t="s">
        <v>29</v>
      </c>
      <c r="F175" s="10" t="str">
        <f>VLOOKUP(E175,BASE_VEICULOS!A:G,7,0)</f>
        <v>PROF - 07001 - MANUTENÇÃO PREDIAL- PROFARMA-2025</v>
      </c>
      <c r="G175" s="11" t="str">
        <f>IFERROR(VLOOKUP(E175,BASE_VEICULOS!$A:$B,2,0),"")</f>
        <v>TEQ2I74</v>
      </c>
      <c r="H175" s="19"/>
      <c r="I175" s="20">
        <f t="shared" si="2"/>
        <v>46082</v>
      </c>
    </row>
    <row r="176" ht="22.5" customHeight="1">
      <c r="A176" s="5">
        <v>46086.0</v>
      </c>
      <c r="B176" s="6">
        <f t="shared" si="1"/>
        <v>10</v>
      </c>
      <c r="C176" s="7" t="s">
        <v>9</v>
      </c>
      <c r="D176" s="8">
        <v>120.0</v>
      </c>
      <c r="E176" s="7" t="s">
        <v>33</v>
      </c>
      <c r="F176" s="10" t="str">
        <f>VLOOKUP(E176,BASE_VEICULOS!A:G,7,0)</f>
        <v>PROF - 07001 - MANUTENÇÃO PREDIAL- PROFARMA-2025</v>
      </c>
      <c r="G176" s="11" t="str">
        <f>IFERROR(VLOOKUP(E176,BASE_VEICULOS!$A:$B,2,0),"")</f>
        <v>TEW9A30</v>
      </c>
      <c r="H176" s="19"/>
      <c r="I176" s="20">
        <f t="shared" si="2"/>
        <v>46082</v>
      </c>
    </row>
    <row r="177" ht="22.5" customHeight="1">
      <c r="A177" s="5">
        <v>46087.0</v>
      </c>
      <c r="B177" s="6">
        <f t="shared" si="1"/>
        <v>10</v>
      </c>
      <c r="C177" s="7" t="s">
        <v>9</v>
      </c>
      <c r="D177" s="8">
        <v>150.0</v>
      </c>
      <c r="E177" s="7" t="s">
        <v>28</v>
      </c>
      <c r="F177" s="10" t="str">
        <f>VLOOKUP(E177,BASE_VEICULOS!A:G,7,0)</f>
        <v>#N/A</v>
      </c>
      <c r="G177" s="11" t="str">
        <f>IFERROR(VLOOKUP(E177,BASE_VEICULOS!$A:$B,2,0),"")</f>
        <v/>
      </c>
      <c r="H177" s="19"/>
      <c r="I177" s="20">
        <f t="shared" si="2"/>
        <v>46082</v>
      </c>
    </row>
    <row r="178" ht="22.5" customHeight="1">
      <c r="A178" s="5">
        <v>46087.0</v>
      </c>
      <c r="B178" s="6">
        <f t="shared" si="1"/>
        <v>10</v>
      </c>
      <c r="C178" s="7" t="s">
        <v>9</v>
      </c>
      <c r="D178" s="8">
        <v>120.0</v>
      </c>
      <c r="E178" s="7" t="s">
        <v>12</v>
      </c>
      <c r="F178" s="10" t="str">
        <f>VLOOKUP(E178,BASE_VEICULOS!A:G,7,0)</f>
        <v>FAC - 140004 - MANUTENÇÃO PREDIAL DPSP 2025</v>
      </c>
      <c r="G178" s="11" t="str">
        <f>IFERROR(VLOOKUP(E178,BASE_VEICULOS!$A:$B,2,0),"")</f>
        <v>FIL8C14</v>
      </c>
      <c r="H178" s="19"/>
      <c r="I178" s="20">
        <f t="shared" si="2"/>
        <v>46082</v>
      </c>
    </row>
    <row r="179" ht="22.5" customHeight="1">
      <c r="A179" s="5">
        <v>46087.0</v>
      </c>
      <c r="B179" s="6">
        <f t="shared" si="1"/>
        <v>10</v>
      </c>
      <c r="C179" s="7" t="s">
        <v>9</v>
      </c>
      <c r="D179" s="8">
        <v>50.0</v>
      </c>
      <c r="E179" s="7" t="s">
        <v>13</v>
      </c>
      <c r="F179" s="10" t="str">
        <f>VLOOKUP(E179,BASE_VEICULOS!A:G,7,0)</f>
        <v>FAC - 140005 - SPOT MANUTENÇÃO DPSP 2025</v>
      </c>
      <c r="G179" s="11" t="str">
        <f>IFERROR(VLOOKUP(E179,BASE_VEICULOS!$A:$B,2,0),"")</f>
        <v>FGO3C61</v>
      </c>
      <c r="H179" s="19"/>
      <c r="I179" s="20">
        <f t="shared" si="2"/>
        <v>46082</v>
      </c>
    </row>
    <row r="180" ht="22.5" customHeight="1">
      <c r="A180" s="5">
        <v>46087.0</v>
      </c>
      <c r="B180" s="6">
        <f t="shared" si="1"/>
        <v>10</v>
      </c>
      <c r="C180" s="7" t="s">
        <v>9</v>
      </c>
      <c r="D180" s="8">
        <v>70.0</v>
      </c>
      <c r="E180" s="7" t="s">
        <v>14</v>
      </c>
      <c r="F180" s="10" t="str">
        <f>VLOOKUP(E180,BASE_VEICULOS!A:G,7,0)</f>
        <v>FAC - 140004 - MANUTENÇÃO PREDIAL DPSP 2025</v>
      </c>
      <c r="G180" s="11" t="str">
        <f>IFERROR(VLOOKUP(E180,BASE_VEICULOS!$A:$B,2,0),"")</f>
        <v>FOK8A73</v>
      </c>
      <c r="H180" s="19"/>
      <c r="I180" s="20">
        <f t="shared" si="2"/>
        <v>46082</v>
      </c>
    </row>
    <row r="181" ht="22.5" customHeight="1">
      <c r="A181" s="5">
        <v>46087.0</v>
      </c>
      <c r="B181" s="6">
        <f t="shared" si="1"/>
        <v>10</v>
      </c>
      <c r="C181" s="7" t="s">
        <v>9</v>
      </c>
      <c r="D181" s="8">
        <v>180.0</v>
      </c>
      <c r="E181" s="7" t="s">
        <v>15</v>
      </c>
      <c r="F181" s="10" t="str">
        <f>VLOOKUP(E181,BASE_VEICULOS!A:G,7,0)</f>
        <v>FAC - 140005 - SPOT MANUTENÇÃO DPSP 2025</v>
      </c>
      <c r="G181" s="11" t="str">
        <f>IFERROR(VLOOKUP(E181,BASE_VEICULOS!$A:$B,2,0),"")</f>
        <v>EWH1B84</v>
      </c>
      <c r="H181" s="19"/>
      <c r="I181" s="20">
        <f t="shared" si="2"/>
        <v>46082</v>
      </c>
    </row>
    <row r="182" ht="22.5" customHeight="1">
      <c r="A182" s="5">
        <v>46087.0</v>
      </c>
      <c r="B182" s="6">
        <f t="shared" si="1"/>
        <v>10</v>
      </c>
      <c r="C182" s="7" t="s">
        <v>9</v>
      </c>
      <c r="D182" s="8">
        <v>150.0</v>
      </c>
      <c r="E182" s="7" t="s">
        <v>22</v>
      </c>
      <c r="F182" s="10" t="str">
        <f>VLOOKUP(E182,BASE_VEICULOS!A:G,7,0)</f>
        <v>PROF - 07001 - MANUTENÇÃO PREDIAL- PROFARMA-2025</v>
      </c>
      <c r="G182" s="11" t="str">
        <f>IFERROR(VLOOKUP(E182,BASE_VEICULOS!$A:$B,2,0),"")</f>
        <v>TET5H37</v>
      </c>
      <c r="H182" s="19"/>
      <c r="I182" s="20">
        <f t="shared" si="2"/>
        <v>46082</v>
      </c>
    </row>
    <row r="183" ht="22.5" customHeight="1">
      <c r="A183" s="5">
        <v>46087.0</v>
      </c>
      <c r="B183" s="6">
        <f t="shared" si="1"/>
        <v>10</v>
      </c>
      <c r="C183" s="7" t="s">
        <v>9</v>
      </c>
      <c r="D183" s="8">
        <v>90.0</v>
      </c>
      <c r="E183" s="7" t="s">
        <v>24</v>
      </c>
      <c r="F183" s="10" t="str">
        <f>VLOOKUP(E183,BASE_VEICULOS!A:G,7,0)</f>
        <v>PROF - 07001 - MANUTENÇÃO PREDIAL- PROFARMA-2025</v>
      </c>
      <c r="G183" s="11" t="str">
        <f>IFERROR(VLOOKUP(E183,BASE_VEICULOS!$A:$B,2,0),"")</f>
        <v>TEW9A23</v>
      </c>
      <c r="H183" s="19"/>
      <c r="I183" s="20">
        <f t="shared" si="2"/>
        <v>46082</v>
      </c>
    </row>
    <row r="184" ht="22.5" customHeight="1">
      <c r="A184" s="5">
        <v>46087.0</v>
      </c>
      <c r="B184" s="6">
        <f t="shared" si="1"/>
        <v>10</v>
      </c>
      <c r="C184" s="7" t="s">
        <v>9</v>
      </c>
      <c r="D184" s="8">
        <v>165.0</v>
      </c>
      <c r="E184" s="7" t="s">
        <v>19</v>
      </c>
      <c r="F184" s="10" t="str">
        <f>VLOOKUP(E184,BASE_VEICULOS!A:G,7,0)</f>
        <v>PROF - 07001 - MANUTENÇÃO PREDIAL- PROFARMA-2025</v>
      </c>
      <c r="G184" s="11" t="str">
        <f>IFERROR(VLOOKUP(E184,BASE_VEICULOS!$A:$B,2,0),"")</f>
        <v>TEW9A24</v>
      </c>
      <c r="H184" s="19"/>
      <c r="I184" s="20">
        <f t="shared" si="2"/>
        <v>46082</v>
      </c>
    </row>
    <row r="185" ht="22.5" customHeight="1">
      <c r="A185" s="5">
        <v>46087.0</v>
      </c>
      <c r="B185" s="6">
        <f t="shared" si="1"/>
        <v>10</v>
      </c>
      <c r="C185" s="7" t="s">
        <v>9</v>
      </c>
      <c r="D185" s="8">
        <v>100.0</v>
      </c>
      <c r="E185" s="7" t="s">
        <v>10</v>
      </c>
      <c r="F185" s="10" t="str">
        <f>VLOOKUP(E185,BASE_VEICULOS!A:G,7,0)</f>
        <v>FAC - 140004 - MANUTENÇÃO PREDIAL DPSP 2025</v>
      </c>
      <c r="G185" s="11" t="str">
        <f>IFERROR(VLOOKUP(E185,BASE_VEICULOS!$A:$B,2,0),"")</f>
        <v>TEW9A25</v>
      </c>
      <c r="H185" s="19"/>
      <c r="I185" s="20">
        <f t="shared" si="2"/>
        <v>46082</v>
      </c>
    </row>
    <row r="186" ht="22.5" customHeight="1">
      <c r="A186" s="5">
        <v>46087.0</v>
      </c>
      <c r="B186" s="6">
        <f t="shared" si="1"/>
        <v>10</v>
      </c>
      <c r="C186" s="7" t="s">
        <v>9</v>
      </c>
      <c r="D186" s="8">
        <v>100.0</v>
      </c>
      <c r="E186" s="7" t="s">
        <v>25</v>
      </c>
      <c r="F186" s="10" t="str">
        <f>VLOOKUP(E186,BASE_VEICULOS!A:G,7,0)</f>
        <v>PROF - 07001 - MANUTENÇÃO PREDIAL- PROFARMA-2025</v>
      </c>
      <c r="G186" s="11" t="str">
        <f>IFERROR(VLOOKUP(E186,BASE_VEICULOS!$A:$B,2,0),"")</f>
        <v>TEW9A26</v>
      </c>
      <c r="H186" s="19"/>
      <c r="I186" s="20">
        <f t="shared" si="2"/>
        <v>46082</v>
      </c>
    </row>
    <row r="187" ht="22.5" customHeight="1">
      <c r="A187" s="5">
        <v>46087.0</v>
      </c>
      <c r="B187" s="6">
        <f t="shared" si="1"/>
        <v>10</v>
      </c>
      <c r="C187" s="7" t="s">
        <v>9</v>
      </c>
      <c r="D187" s="8">
        <v>83.38</v>
      </c>
      <c r="E187" s="7" t="s">
        <v>20</v>
      </c>
      <c r="F187" s="10" t="str">
        <f>VLOOKUP(E187,BASE_VEICULOS!A:G,7,0)</f>
        <v>PROF - 07001 - MANUTENÇÃO PREDIAL- PROFARMA-2025</v>
      </c>
      <c r="G187" s="11" t="str">
        <f>IFERROR(VLOOKUP(E187,BASE_VEICULOS!$A:$B,2,0),"")</f>
        <v>TEW9A34</v>
      </c>
      <c r="H187" s="19"/>
      <c r="I187" s="20">
        <f t="shared" si="2"/>
        <v>46082</v>
      </c>
    </row>
    <row r="188" ht="22.5" customHeight="1">
      <c r="A188" s="5">
        <v>46087.0</v>
      </c>
      <c r="B188" s="6">
        <f t="shared" si="1"/>
        <v>10</v>
      </c>
      <c r="C188" s="7" t="s">
        <v>9</v>
      </c>
      <c r="D188" s="8">
        <v>200.0</v>
      </c>
      <c r="E188" s="7" t="s">
        <v>16</v>
      </c>
      <c r="F188" s="10" t="str">
        <f>VLOOKUP(E188,BASE_VEICULOS!A:G,7,0)</f>
        <v>FAC - 140005 - SPOT MANUTENÇÃO DPSP 2025</v>
      </c>
      <c r="G188" s="11" t="str">
        <f>IFERROR(VLOOKUP(E188,BASE_VEICULOS!$A:$B,2,0),"")</f>
        <v>TEW9A27</v>
      </c>
      <c r="H188" s="19"/>
      <c r="I188" s="20">
        <f t="shared" si="2"/>
        <v>46082</v>
      </c>
    </row>
    <row r="189" ht="22.5" customHeight="1">
      <c r="A189" s="5">
        <v>46087.0</v>
      </c>
      <c r="B189" s="6">
        <f t="shared" si="1"/>
        <v>10</v>
      </c>
      <c r="C189" s="7" t="s">
        <v>9</v>
      </c>
      <c r="D189" s="8">
        <v>50.0</v>
      </c>
      <c r="E189" s="7" t="s">
        <v>30</v>
      </c>
      <c r="F189" s="10" t="str">
        <f>VLOOKUP(E189,BASE_VEICULOS!A:G,7,0)</f>
        <v>#N/A</v>
      </c>
      <c r="G189" s="11" t="str">
        <f>IFERROR(VLOOKUP(E189,BASE_VEICULOS!$A:$B,2,0),"")</f>
        <v/>
      </c>
      <c r="H189" s="19"/>
      <c r="I189" s="20">
        <f t="shared" si="2"/>
        <v>46082</v>
      </c>
    </row>
    <row r="190" ht="22.5" customHeight="1">
      <c r="A190" s="5">
        <v>46087.0</v>
      </c>
      <c r="B190" s="6">
        <f t="shared" si="1"/>
        <v>10</v>
      </c>
      <c r="C190" s="7" t="s">
        <v>9</v>
      </c>
      <c r="D190" s="8">
        <v>80.0</v>
      </c>
      <c r="E190" s="7" t="s">
        <v>18</v>
      </c>
      <c r="F190" s="10" t="str">
        <f>VLOOKUP(E190,BASE_VEICULOS!A:G,7,0)</f>
        <v>FAC - 140004 - MANUTENÇÃO PREDIAL DPSP 2025</v>
      </c>
      <c r="G190" s="11" t="str">
        <f>IFERROR(VLOOKUP(E190,BASE_VEICULOS!$A:$B,2,0),"")</f>
        <v>TEW9A29</v>
      </c>
      <c r="H190" s="19"/>
      <c r="I190" s="20">
        <f t="shared" si="2"/>
        <v>46082</v>
      </c>
    </row>
    <row r="191" ht="22.5" customHeight="1">
      <c r="A191" s="5">
        <v>46087.0</v>
      </c>
      <c r="B191" s="6">
        <f t="shared" si="1"/>
        <v>10</v>
      </c>
      <c r="C191" s="7" t="s">
        <v>9</v>
      </c>
      <c r="D191" s="8">
        <v>50.0</v>
      </c>
      <c r="E191" s="7" t="s">
        <v>17</v>
      </c>
      <c r="F191" s="10" t="str">
        <f>VLOOKUP(E191,BASE_VEICULOS!A:G,7,0)</f>
        <v>#N/A</v>
      </c>
      <c r="G191" s="11" t="str">
        <f>IFERROR(VLOOKUP(E191,BASE_VEICULOS!$A:$B,2,0),"")</f>
        <v/>
      </c>
      <c r="H191" s="19"/>
      <c r="I191" s="20">
        <f t="shared" si="2"/>
        <v>46082</v>
      </c>
    </row>
    <row r="192" ht="22.5" customHeight="1">
      <c r="A192" s="5">
        <v>46087.0</v>
      </c>
      <c r="B192" s="6">
        <f t="shared" si="1"/>
        <v>10</v>
      </c>
      <c r="C192" s="7" t="s">
        <v>9</v>
      </c>
      <c r="D192" s="8">
        <v>80.0</v>
      </c>
      <c r="E192" s="7" t="s">
        <v>21</v>
      </c>
      <c r="F192" s="10" t="str">
        <f>VLOOKUP(E192,BASE_VEICULOS!A:G,7,0)</f>
        <v>PROF - 07001 - MANUTENÇÃO PREDIAL- PROFARMA-2025</v>
      </c>
      <c r="G192" s="11" t="str">
        <f>IFERROR(VLOOKUP(E192,BASE_VEICULOS!$A:$B,2,0),"")</f>
        <v>TEW9A33</v>
      </c>
      <c r="H192" s="19"/>
      <c r="I192" s="20">
        <f t="shared" si="2"/>
        <v>46082</v>
      </c>
    </row>
    <row r="193" ht="22.5" customHeight="1">
      <c r="A193" s="5">
        <v>46087.0</v>
      </c>
      <c r="B193" s="6">
        <f t="shared" si="1"/>
        <v>10</v>
      </c>
      <c r="C193" s="7" t="s">
        <v>9</v>
      </c>
      <c r="D193" s="8">
        <v>60.0</v>
      </c>
      <c r="E193" s="7" t="s">
        <v>26</v>
      </c>
      <c r="F193" s="10" t="str">
        <f>VLOOKUP(E193,BASE_VEICULOS!A:G,7,0)</f>
        <v>#N/A</v>
      </c>
      <c r="G193" s="11" t="str">
        <f>IFERROR(VLOOKUP(E193,BASE_VEICULOS!$A:$B,2,0),"")</f>
        <v/>
      </c>
      <c r="H193" s="19"/>
      <c r="I193" s="20">
        <f t="shared" si="2"/>
        <v>46082</v>
      </c>
    </row>
    <row r="194" ht="22.5" customHeight="1">
      <c r="A194" s="5">
        <v>46087.0</v>
      </c>
      <c r="B194" s="6">
        <f t="shared" si="1"/>
        <v>10</v>
      </c>
      <c r="C194" s="7" t="s">
        <v>9</v>
      </c>
      <c r="D194" s="8">
        <v>80.0</v>
      </c>
      <c r="E194" s="7" t="s">
        <v>27</v>
      </c>
      <c r="F194" s="10" t="str">
        <f>VLOOKUP(E194,BASE_VEICULOS!A:G,7,0)</f>
        <v>FAC - 140005 - SPOT MANUTENÇÃO DPSP 2025</v>
      </c>
      <c r="G194" s="11" t="str">
        <f>IFERROR(VLOOKUP(E194,BASE_VEICULOS!$A:$B,2,0),"")</f>
        <v>UDA5B37</v>
      </c>
      <c r="H194" s="19"/>
      <c r="I194" s="20">
        <f t="shared" si="2"/>
        <v>46082</v>
      </c>
    </row>
    <row r="195" ht="22.5" customHeight="1">
      <c r="A195" s="5">
        <v>46087.0</v>
      </c>
      <c r="B195" s="6">
        <f t="shared" si="1"/>
        <v>10</v>
      </c>
      <c r="C195" s="7" t="s">
        <v>9</v>
      </c>
      <c r="D195" s="8">
        <v>40.0</v>
      </c>
      <c r="E195" s="7" t="s">
        <v>23</v>
      </c>
      <c r="F195" s="10" t="str">
        <f>VLOOKUP(E195,BASE_VEICULOS!A:G,7,0)</f>
        <v>PROF - 07001 - MANUTENÇÃO PREDIAL- PROFARMA-2025</v>
      </c>
      <c r="G195" s="11" t="str">
        <f>IFERROR(VLOOKUP(E195,BASE_VEICULOS!$A:$B,2,0),"")</f>
        <v>TEH3I02</v>
      </c>
      <c r="H195" s="19"/>
      <c r="I195" s="20">
        <f t="shared" si="2"/>
        <v>46082</v>
      </c>
    </row>
    <row r="196" ht="22.5" customHeight="1">
      <c r="A196" s="5">
        <v>46087.0</v>
      </c>
      <c r="B196" s="6">
        <f t="shared" si="1"/>
        <v>10</v>
      </c>
      <c r="C196" s="7" t="s">
        <v>9</v>
      </c>
      <c r="D196" s="8">
        <v>70.0</v>
      </c>
      <c r="E196" s="7" t="s">
        <v>33</v>
      </c>
      <c r="F196" s="10" t="str">
        <f>VLOOKUP(E196,BASE_VEICULOS!A:G,7,0)</f>
        <v>PROF - 07001 - MANUTENÇÃO PREDIAL- PROFARMA-2025</v>
      </c>
      <c r="G196" s="11" t="str">
        <f>IFERROR(VLOOKUP(E196,BASE_VEICULOS!$A:$B,2,0),"")</f>
        <v>TEW9A30</v>
      </c>
      <c r="H196" s="19"/>
      <c r="I196" s="20">
        <f t="shared" si="2"/>
        <v>46082</v>
      </c>
    </row>
    <row r="197" ht="22.5" customHeight="1">
      <c r="A197" s="5">
        <v>46088.0</v>
      </c>
      <c r="B197" s="6">
        <f t="shared" si="1"/>
        <v>10</v>
      </c>
      <c r="C197" s="7" t="s">
        <v>9</v>
      </c>
      <c r="D197" s="8">
        <v>100.0</v>
      </c>
      <c r="E197" s="7" t="s">
        <v>22</v>
      </c>
      <c r="F197" s="10" t="str">
        <f>VLOOKUP(E197,BASE_VEICULOS!A:G,7,0)</f>
        <v>PROF - 07001 - MANUTENÇÃO PREDIAL- PROFARMA-2025</v>
      </c>
      <c r="G197" s="11" t="str">
        <f>IFERROR(VLOOKUP(E197,BASE_VEICULOS!$A:$B,2,0),"")</f>
        <v>TET5H37</v>
      </c>
      <c r="H197" s="19"/>
      <c r="I197" s="20">
        <f t="shared" si="2"/>
        <v>46082</v>
      </c>
    </row>
    <row r="198" ht="22.5" customHeight="1">
      <c r="A198" s="5">
        <v>46088.0</v>
      </c>
      <c r="B198" s="6">
        <f t="shared" si="1"/>
        <v>10</v>
      </c>
      <c r="C198" s="7" t="s">
        <v>9</v>
      </c>
      <c r="D198" s="8">
        <v>50.0</v>
      </c>
      <c r="E198" s="7" t="s">
        <v>19</v>
      </c>
      <c r="F198" s="10" t="str">
        <f>VLOOKUP(E198,BASE_VEICULOS!A:G,7,0)</f>
        <v>PROF - 07001 - MANUTENÇÃO PREDIAL- PROFARMA-2025</v>
      </c>
      <c r="G198" s="11" t="str">
        <f>IFERROR(VLOOKUP(E198,BASE_VEICULOS!$A:$B,2,0),"")</f>
        <v>TEW9A24</v>
      </c>
      <c r="H198" s="19"/>
      <c r="I198" s="20">
        <f t="shared" si="2"/>
        <v>46082</v>
      </c>
    </row>
    <row r="199" ht="22.5" customHeight="1">
      <c r="A199" s="5">
        <v>46088.0</v>
      </c>
      <c r="B199" s="6">
        <f t="shared" si="1"/>
        <v>10</v>
      </c>
      <c r="C199" s="7" t="s">
        <v>9</v>
      </c>
      <c r="D199" s="8">
        <v>35.0</v>
      </c>
      <c r="E199" s="7" t="s">
        <v>11</v>
      </c>
      <c r="F199" s="10" t="str">
        <f>VLOOKUP(E199,BASE_VEICULOS!A:G,7,0)</f>
        <v>PROF - 07001 - MANUTENÇÃO PREDIAL- PROFARMA-2025</v>
      </c>
      <c r="G199" s="11" t="str">
        <f>IFERROR(VLOOKUP(E199,BASE_VEICULOS!$A:$B,2,0),"")</f>
        <v>TEW9A28</v>
      </c>
      <c r="H199" s="19"/>
      <c r="I199" s="20">
        <f t="shared" si="2"/>
        <v>46082</v>
      </c>
    </row>
    <row r="200" ht="22.5" customHeight="1">
      <c r="A200" s="5">
        <v>46088.0</v>
      </c>
      <c r="B200" s="6">
        <f t="shared" si="1"/>
        <v>10</v>
      </c>
      <c r="C200" s="7" t="s">
        <v>9</v>
      </c>
      <c r="D200" s="8">
        <v>200.0</v>
      </c>
      <c r="E200" s="7" t="s">
        <v>14</v>
      </c>
      <c r="F200" s="10" t="str">
        <f>VLOOKUP(E200,BASE_VEICULOS!A:G,7,0)</f>
        <v>FAC - 140004 - MANUTENÇÃO PREDIAL DPSP 2025</v>
      </c>
      <c r="G200" s="11" t="str">
        <f>IFERROR(VLOOKUP(E200,BASE_VEICULOS!$A:$B,2,0),"")</f>
        <v>FOK8A73</v>
      </c>
      <c r="H200" s="19"/>
      <c r="I200" s="20">
        <f t="shared" si="2"/>
        <v>46082</v>
      </c>
    </row>
    <row r="201" ht="22.5" customHeight="1">
      <c r="A201" s="5">
        <v>46088.0</v>
      </c>
      <c r="B201" s="6">
        <f t="shared" si="1"/>
        <v>10</v>
      </c>
      <c r="C201" s="7" t="s">
        <v>9</v>
      </c>
      <c r="D201" s="8">
        <v>85.0</v>
      </c>
      <c r="E201" s="7" t="s">
        <v>30</v>
      </c>
      <c r="F201" s="10" t="str">
        <f>VLOOKUP(E201,BASE_VEICULOS!A:G,7,0)</f>
        <v>#N/A</v>
      </c>
      <c r="G201" s="11" t="str">
        <f>IFERROR(VLOOKUP(E201,BASE_VEICULOS!$A:$B,2,0),"")</f>
        <v/>
      </c>
      <c r="H201" s="19"/>
      <c r="I201" s="20">
        <f t="shared" si="2"/>
        <v>46082</v>
      </c>
    </row>
    <row r="202" ht="22.5" customHeight="1">
      <c r="A202" s="5">
        <v>46088.0</v>
      </c>
      <c r="B202" s="6">
        <f t="shared" si="1"/>
        <v>10</v>
      </c>
      <c r="C202" s="7" t="s">
        <v>9</v>
      </c>
      <c r="D202" s="8">
        <v>80.0</v>
      </c>
      <c r="E202" s="7" t="s">
        <v>18</v>
      </c>
      <c r="F202" s="10" t="str">
        <f>VLOOKUP(E202,BASE_VEICULOS!A:G,7,0)</f>
        <v>FAC - 140004 - MANUTENÇÃO PREDIAL DPSP 2025</v>
      </c>
      <c r="G202" s="11" t="str">
        <f>IFERROR(VLOOKUP(E202,BASE_VEICULOS!$A:$B,2,0),"")</f>
        <v>TEW9A29</v>
      </c>
      <c r="H202" s="19"/>
      <c r="I202" s="20">
        <f t="shared" si="2"/>
        <v>46082</v>
      </c>
    </row>
    <row r="203" ht="22.5" customHeight="1">
      <c r="A203" s="5">
        <v>46088.0</v>
      </c>
      <c r="B203" s="6">
        <f t="shared" si="1"/>
        <v>10</v>
      </c>
      <c r="C203" s="7" t="s">
        <v>9</v>
      </c>
      <c r="D203" s="8">
        <v>40.0</v>
      </c>
      <c r="E203" s="7" t="s">
        <v>17</v>
      </c>
      <c r="F203" s="10" t="str">
        <f>VLOOKUP(E203,BASE_VEICULOS!A:G,7,0)</f>
        <v>#N/A</v>
      </c>
      <c r="G203" s="11" t="str">
        <f>IFERROR(VLOOKUP(E203,BASE_VEICULOS!$A:$B,2,0),"")</f>
        <v/>
      </c>
      <c r="H203" s="19"/>
      <c r="I203" s="20">
        <f t="shared" si="2"/>
        <v>46082</v>
      </c>
    </row>
    <row r="204" ht="22.5" customHeight="1">
      <c r="A204" s="5">
        <v>46088.0</v>
      </c>
      <c r="B204" s="6">
        <f t="shared" si="1"/>
        <v>10</v>
      </c>
      <c r="C204" s="7" t="s">
        <v>9</v>
      </c>
      <c r="D204" s="8">
        <v>30.0</v>
      </c>
      <c r="E204" s="7" t="s">
        <v>21</v>
      </c>
      <c r="F204" s="10" t="str">
        <f>VLOOKUP(E204,BASE_VEICULOS!A:G,7,0)</f>
        <v>PROF - 07001 - MANUTENÇÃO PREDIAL- PROFARMA-2025</v>
      </c>
      <c r="G204" s="11" t="str">
        <f>IFERROR(VLOOKUP(E204,BASE_VEICULOS!$A:$B,2,0),"")</f>
        <v>TEW9A33</v>
      </c>
      <c r="H204" s="19"/>
      <c r="I204" s="20">
        <f t="shared" si="2"/>
        <v>46082</v>
      </c>
    </row>
    <row r="205" ht="22.5" customHeight="1">
      <c r="A205" s="5">
        <v>46088.0</v>
      </c>
      <c r="B205" s="6">
        <f t="shared" si="1"/>
        <v>10</v>
      </c>
      <c r="C205" s="7" t="s">
        <v>9</v>
      </c>
      <c r="D205" s="8">
        <v>80.0</v>
      </c>
      <c r="E205" s="7" t="s">
        <v>29</v>
      </c>
      <c r="F205" s="10" t="str">
        <f>VLOOKUP(E205,BASE_VEICULOS!A:G,7,0)</f>
        <v>PROF - 07001 - MANUTENÇÃO PREDIAL- PROFARMA-2025</v>
      </c>
      <c r="G205" s="11" t="str">
        <f>IFERROR(VLOOKUP(E205,BASE_VEICULOS!$A:$B,2,0),"")</f>
        <v>TEQ2I74</v>
      </c>
      <c r="H205" s="19"/>
      <c r="I205" s="20">
        <f t="shared" si="2"/>
        <v>46082</v>
      </c>
    </row>
    <row r="206" ht="22.5" customHeight="1">
      <c r="A206" s="5">
        <v>46089.0</v>
      </c>
      <c r="B206" s="6">
        <f t="shared" si="1"/>
        <v>10</v>
      </c>
      <c r="C206" s="7" t="s">
        <v>9</v>
      </c>
      <c r="D206" s="8">
        <v>100.0</v>
      </c>
      <c r="E206" s="7" t="s">
        <v>22</v>
      </c>
      <c r="F206" s="10" t="str">
        <f>VLOOKUP(E206,BASE_VEICULOS!A:G,7,0)</f>
        <v>PROF - 07001 - MANUTENÇÃO PREDIAL- PROFARMA-2025</v>
      </c>
      <c r="G206" s="11" t="str">
        <f>IFERROR(VLOOKUP(E206,BASE_VEICULOS!$A:$B,2,0),"")</f>
        <v>TET5H37</v>
      </c>
      <c r="H206" s="19"/>
      <c r="I206" s="20">
        <f t="shared" si="2"/>
        <v>46082</v>
      </c>
    </row>
    <row r="207" ht="22.5" customHeight="1">
      <c r="A207" s="5">
        <v>46089.0</v>
      </c>
      <c r="B207" s="6">
        <f t="shared" si="1"/>
        <v>10</v>
      </c>
      <c r="C207" s="7" t="s">
        <v>9</v>
      </c>
      <c r="D207" s="8">
        <v>80.0</v>
      </c>
      <c r="E207" s="7" t="s">
        <v>19</v>
      </c>
      <c r="F207" s="10" t="str">
        <f>VLOOKUP(E207,BASE_VEICULOS!A:G,7,0)</f>
        <v>PROF - 07001 - MANUTENÇÃO PREDIAL- PROFARMA-2025</v>
      </c>
      <c r="G207" s="11" t="str">
        <f>IFERROR(VLOOKUP(E207,BASE_VEICULOS!$A:$B,2,0),"")</f>
        <v>TEW9A24</v>
      </c>
      <c r="H207" s="19"/>
      <c r="I207" s="20">
        <f t="shared" si="2"/>
        <v>46082</v>
      </c>
    </row>
    <row r="208" ht="22.5" customHeight="1">
      <c r="A208" s="5">
        <v>46089.0</v>
      </c>
      <c r="B208" s="6">
        <f t="shared" si="1"/>
        <v>10</v>
      </c>
      <c r="C208" s="7" t="s">
        <v>9</v>
      </c>
      <c r="D208" s="8">
        <v>150.0</v>
      </c>
      <c r="E208" s="7" t="s">
        <v>14</v>
      </c>
      <c r="F208" s="10" t="str">
        <f>VLOOKUP(E208,BASE_VEICULOS!A:G,7,0)</f>
        <v>FAC - 140004 - MANUTENÇÃO PREDIAL DPSP 2025</v>
      </c>
      <c r="G208" s="11" t="str">
        <f>IFERROR(VLOOKUP(E208,BASE_VEICULOS!$A:$B,2,0),"")</f>
        <v>FOK8A73</v>
      </c>
      <c r="H208" s="19"/>
      <c r="I208" s="20">
        <f t="shared" si="2"/>
        <v>46082</v>
      </c>
    </row>
    <row r="209" ht="22.5" customHeight="1">
      <c r="A209" s="5">
        <v>46089.0</v>
      </c>
      <c r="B209" s="6">
        <f t="shared" si="1"/>
        <v>10</v>
      </c>
      <c r="C209" s="7" t="s">
        <v>9</v>
      </c>
      <c r="D209" s="8">
        <v>90.0</v>
      </c>
      <c r="E209" s="7" t="s">
        <v>18</v>
      </c>
      <c r="F209" s="10" t="str">
        <f>VLOOKUP(E209,BASE_VEICULOS!A:G,7,0)</f>
        <v>FAC - 140004 - MANUTENÇÃO PREDIAL DPSP 2025</v>
      </c>
      <c r="G209" s="11" t="str">
        <f>IFERROR(VLOOKUP(E209,BASE_VEICULOS!$A:$B,2,0),"")</f>
        <v>TEW9A29</v>
      </c>
      <c r="H209" s="19"/>
      <c r="I209" s="20">
        <f t="shared" si="2"/>
        <v>46082</v>
      </c>
    </row>
    <row r="210" ht="22.5" customHeight="1">
      <c r="A210" s="5">
        <v>46089.0</v>
      </c>
      <c r="B210" s="6">
        <f t="shared" si="1"/>
        <v>10</v>
      </c>
      <c r="C210" s="7" t="s">
        <v>9</v>
      </c>
      <c r="D210" s="8">
        <v>60.0</v>
      </c>
      <c r="E210" s="7" t="s">
        <v>21</v>
      </c>
      <c r="F210" s="10" t="str">
        <f>VLOOKUP(E210,BASE_VEICULOS!A:G,7,0)</f>
        <v>PROF - 07001 - MANUTENÇÃO PREDIAL- PROFARMA-2025</v>
      </c>
      <c r="G210" s="11" t="str">
        <f>IFERROR(VLOOKUP(E210,BASE_VEICULOS!$A:$B,2,0),"")</f>
        <v>TEW9A33</v>
      </c>
      <c r="H210" s="19"/>
      <c r="I210" s="20">
        <f t="shared" si="2"/>
        <v>46082</v>
      </c>
    </row>
    <row r="211" ht="22.5" customHeight="1">
      <c r="A211" s="5">
        <v>46090.0</v>
      </c>
      <c r="B211" s="6">
        <f t="shared" si="1"/>
        <v>11</v>
      </c>
      <c r="C211" s="7" t="s">
        <v>9</v>
      </c>
      <c r="D211" s="8">
        <v>80.0</v>
      </c>
      <c r="E211" s="7" t="s">
        <v>24</v>
      </c>
      <c r="F211" s="10" t="str">
        <f>VLOOKUP(E211,BASE_VEICULOS!A:G,7,0)</f>
        <v>PROF - 07001 - MANUTENÇÃO PREDIAL- PROFARMA-2025</v>
      </c>
      <c r="G211" s="11" t="str">
        <f>IFERROR(VLOOKUP(E211,BASE_VEICULOS!$A:$B,2,0),"")</f>
        <v>TEW9A23</v>
      </c>
      <c r="H211" s="19"/>
      <c r="I211" s="20">
        <f t="shared" si="2"/>
        <v>46082</v>
      </c>
    </row>
    <row r="212" ht="22.5" customHeight="1">
      <c r="A212" s="5">
        <v>46090.0</v>
      </c>
      <c r="B212" s="6">
        <f t="shared" si="1"/>
        <v>11</v>
      </c>
      <c r="C212" s="7" t="s">
        <v>9</v>
      </c>
      <c r="D212" s="8">
        <v>110.0</v>
      </c>
      <c r="E212" s="7" t="s">
        <v>19</v>
      </c>
      <c r="F212" s="10" t="str">
        <f>VLOOKUP(E212,BASE_VEICULOS!A:G,7,0)</f>
        <v>PROF - 07001 - MANUTENÇÃO PREDIAL- PROFARMA-2025</v>
      </c>
      <c r="G212" s="11" t="str">
        <f>IFERROR(VLOOKUP(E212,BASE_VEICULOS!$A:$B,2,0),"")</f>
        <v>TEW9A24</v>
      </c>
      <c r="H212" s="19"/>
      <c r="I212" s="20">
        <f t="shared" si="2"/>
        <v>46082</v>
      </c>
    </row>
    <row r="213" ht="22.5" customHeight="1">
      <c r="A213" s="5">
        <v>46090.0</v>
      </c>
      <c r="B213" s="6">
        <f t="shared" si="1"/>
        <v>11</v>
      </c>
      <c r="C213" s="7" t="s">
        <v>9</v>
      </c>
      <c r="D213" s="8">
        <v>50.0</v>
      </c>
      <c r="E213" s="7" t="s">
        <v>10</v>
      </c>
      <c r="F213" s="10" t="str">
        <f>VLOOKUP(E213,BASE_VEICULOS!A:G,7,0)</f>
        <v>FAC - 140004 - MANUTENÇÃO PREDIAL DPSP 2025</v>
      </c>
      <c r="G213" s="11" t="str">
        <f>IFERROR(VLOOKUP(E213,BASE_VEICULOS!$A:$B,2,0),"")</f>
        <v>TEW9A25</v>
      </c>
      <c r="H213" s="19"/>
      <c r="I213" s="20">
        <f t="shared" si="2"/>
        <v>46082</v>
      </c>
    </row>
    <row r="214" ht="22.5" customHeight="1">
      <c r="A214" s="5">
        <v>46090.0</v>
      </c>
      <c r="B214" s="6">
        <f t="shared" si="1"/>
        <v>11</v>
      </c>
      <c r="C214" s="7" t="s">
        <v>9</v>
      </c>
      <c r="D214" s="8">
        <v>150.0</v>
      </c>
      <c r="E214" s="7" t="s">
        <v>25</v>
      </c>
      <c r="F214" s="10" t="str">
        <f>VLOOKUP(E214,BASE_VEICULOS!A:G,7,0)</f>
        <v>PROF - 07001 - MANUTENÇÃO PREDIAL- PROFARMA-2025</v>
      </c>
      <c r="G214" s="11" t="str">
        <f>IFERROR(VLOOKUP(E214,BASE_VEICULOS!$A:$B,2,0),"")</f>
        <v>TEW9A26</v>
      </c>
      <c r="H214" s="19"/>
      <c r="I214" s="20">
        <f t="shared" si="2"/>
        <v>46082</v>
      </c>
    </row>
    <row r="215" ht="22.5" customHeight="1">
      <c r="A215" s="5">
        <v>46090.0</v>
      </c>
      <c r="B215" s="6">
        <f t="shared" si="1"/>
        <v>11</v>
      </c>
      <c r="C215" s="7" t="s">
        <v>9</v>
      </c>
      <c r="D215" s="8">
        <v>30.0</v>
      </c>
      <c r="E215" s="7" t="s">
        <v>20</v>
      </c>
      <c r="F215" s="10" t="str">
        <f>VLOOKUP(E215,BASE_VEICULOS!A:G,7,0)</f>
        <v>PROF - 07001 - MANUTENÇÃO PREDIAL- PROFARMA-2025</v>
      </c>
      <c r="G215" s="11" t="str">
        <f>IFERROR(VLOOKUP(E215,BASE_VEICULOS!$A:$B,2,0),"")</f>
        <v>TEW9A34</v>
      </c>
      <c r="H215" s="19"/>
      <c r="I215" s="20">
        <f t="shared" si="2"/>
        <v>46082</v>
      </c>
    </row>
    <row r="216" ht="22.5" customHeight="1">
      <c r="A216" s="5">
        <v>46090.0</v>
      </c>
      <c r="B216" s="6">
        <f t="shared" si="1"/>
        <v>11</v>
      </c>
      <c r="C216" s="7" t="s">
        <v>9</v>
      </c>
      <c r="D216" s="8">
        <v>94.0</v>
      </c>
      <c r="E216" s="7" t="s">
        <v>14</v>
      </c>
      <c r="F216" s="10" t="str">
        <f>VLOOKUP(E216,BASE_VEICULOS!A:G,7,0)</f>
        <v>FAC - 140004 - MANUTENÇÃO PREDIAL DPSP 2025</v>
      </c>
      <c r="G216" s="11" t="str">
        <f>IFERROR(VLOOKUP(E216,BASE_VEICULOS!$A:$B,2,0),"")</f>
        <v>FOK8A73</v>
      </c>
      <c r="H216" s="19"/>
      <c r="I216" s="20">
        <f t="shared" si="2"/>
        <v>46082</v>
      </c>
    </row>
    <row r="217" ht="22.5" customHeight="1">
      <c r="A217" s="5">
        <v>46090.0</v>
      </c>
      <c r="B217" s="6">
        <f t="shared" si="1"/>
        <v>11</v>
      </c>
      <c r="C217" s="7" t="s">
        <v>9</v>
      </c>
      <c r="D217" s="8">
        <v>50.0</v>
      </c>
      <c r="E217" s="7" t="s">
        <v>30</v>
      </c>
      <c r="F217" s="10" t="str">
        <f>VLOOKUP(E217,BASE_VEICULOS!A:G,7,0)</f>
        <v>#N/A</v>
      </c>
      <c r="G217" s="11" t="str">
        <f>IFERROR(VLOOKUP(E217,BASE_VEICULOS!$A:$B,2,0),"")</f>
        <v/>
      </c>
      <c r="H217" s="19"/>
      <c r="I217" s="20">
        <f t="shared" si="2"/>
        <v>46082</v>
      </c>
    </row>
    <row r="218" ht="22.5" customHeight="1">
      <c r="A218" s="5">
        <v>46090.0</v>
      </c>
      <c r="B218" s="6">
        <f t="shared" si="1"/>
        <v>11</v>
      </c>
      <c r="C218" s="7" t="s">
        <v>9</v>
      </c>
      <c r="D218" s="8">
        <v>60.0</v>
      </c>
      <c r="E218" s="7" t="s">
        <v>17</v>
      </c>
      <c r="F218" s="10" t="str">
        <f>VLOOKUP(E218,BASE_VEICULOS!A:G,7,0)</f>
        <v>#N/A</v>
      </c>
      <c r="G218" s="11" t="str">
        <f>IFERROR(VLOOKUP(E218,BASE_VEICULOS!$A:$B,2,0),"")</f>
        <v/>
      </c>
      <c r="H218" s="19"/>
      <c r="I218" s="20">
        <f t="shared" si="2"/>
        <v>46082</v>
      </c>
    </row>
    <row r="219" ht="22.5" customHeight="1">
      <c r="A219" s="5">
        <v>46090.0</v>
      </c>
      <c r="B219" s="6">
        <f t="shared" si="1"/>
        <v>11</v>
      </c>
      <c r="C219" s="7" t="s">
        <v>9</v>
      </c>
      <c r="D219" s="8">
        <v>50.0</v>
      </c>
      <c r="E219" s="7" t="s">
        <v>11</v>
      </c>
      <c r="F219" s="10" t="str">
        <f>VLOOKUP(E219,BASE_VEICULOS!A:G,7,0)</f>
        <v>PROF - 07001 - MANUTENÇÃO PREDIAL- PROFARMA-2025</v>
      </c>
      <c r="G219" s="11" t="str">
        <f>IFERROR(VLOOKUP(E219,BASE_VEICULOS!$A:$B,2,0),"")</f>
        <v>TEW9A28</v>
      </c>
      <c r="H219" s="19"/>
      <c r="I219" s="20">
        <f t="shared" si="2"/>
        <v>46082</v>
      </c>
    </row>
    <row r="220" ht="22.5" customHeight="1">
      <c r="A220" s="5">
        <v>46090.0</v>
      </c>
      <c r="B220" s="6">
        <f t="shared" si="1"/>
        <v>11</v>
      </c>
      <c r="C220" s="7" t="s">
        <v>9</v>
      </c>
      <c r="D220" s="8">
        <v>50.0</v>
      </c>
      <c r="E220" s="7" t="s">
        <v>12</v>
      </c>
      <c r="F220" s="10" t="str">
        <f>VLOOKUP(E220,BASE_VEICULOS!A:G,7,0)</f>
        <v>FAC - 140004 - MANUTENÇÃO PREDIAL DPSP 2025</v>
      </c>
      <c r="G220" s="11" t="str">
        <f>IFERROR(VLOOKUP(E220,BASE_VEICULOS!$A:$B,2,0),"")</f>
        <v>FIL8C14</v>
      </c>
      <c r="H220" s="19"/>
      <c r="I220" s="20">
        <f t="shared" si="2"/>
        <v>46082</v>
      </c>
    </row>
    <row r="221" ht="22.5" customHeight="1">
      <c r="A221" s="5">
        <v>46090.0</v>
      </c>
      <c r="B221" s="6">
        <f t="shared" si="1"/>
        <v>11</v>
      </c>
      <c r="C221" s="7" t="s">
        <v>9</v>
      </c>
      <c r="D221" s="8">
        <v>50.0</v>
      </c>
      <c r="E221" s="7" t="s">
        <v>15</v>
      </c>
      <c r="F221" s="10" t="str">
        <f>VLOOKUP(E221,BASE_VEICULOS!A:G,7,0)</f>
        <v>FAC - 140005 - SPOT MANUTENÇÃO DPSP 2025</v>
      </c>
      <c r="G221" s="11" t="str">
        <f>IFERROR(VLOOKUP(E221,BASE_VEICULOS!$A:$B,2,0),"")</f>
        <v>EWH1B84</v>
      </c>
      <c r="H221" s="19"/>
      <c r="I221" s="20">
        <f t="shared" si="2"/>
        <v>46082</v>
      </c>
    </row>
    <row r="222" ht="22.5" customHeight="1">
      <c r="A222" s="5">
        <v>46090.0</v>
      </c>
      <c r="B222" s="6">
        <f t="shared" si="1"/>
        <v>11</v>
      </c>
      <c r="C222" s="7" t="s">
        <v>9</v>
      </c>
      <c r="D222" s="8">
        <v>70.0</v>
      </c>
      <c r="E222" s="7" t="s">
        <v>21</v>
      </c>
      <c r="F222" s="10" t="str">
        <f>VLOOKUP(E222,BASE_VEICULOS!A:G,7,0)</f>
        <v>PROF - 07001 - MANUTENÇÃO PREDIAL- PROFARMA-2025</v>
      </c>
      <c r="G222" s="11" t="str">
        <f>IFERROR(VLOOKUP(E222,BASE_VEICULOS!$A:$B,2,0),"")</f>
        <v>TEW9A33</v>
      </c>
      <c r="H222" s="19"/>
      <c r="I222" s="20">
        <f t="shared" si="2"/>
        <v>46082</v>
      </c>
    </row>
    <row r="223" ht="22.5" customHeight="1">
      <c r="A223" s="5">
        <v>46090.0</v>
      </c>
      <c r="B223" s="6">
        <f t="shared" si="1"/>
        <v>11</v>
      </c>
      <c r="C223" s="7" t="s">
        <v>9</v>
      </c>
      <c r="D223" s="8">
        <v>80.0</v>
      </c>
      <c r="E223" s="7" t="s">
        <v>26</v>
      </c>
      <c r="F223" s="10" t="str">
        <f>VLOOKUP(E223,BASE_VEICULOS!A:G,7,0)</f>
        <v>#N/A</v>
      </c>
      <c r="G223" s="11" t="str">
        <f>IFERROR(VLOOKUP(E223,BASE_VEICULOS!$A:$B,2,0),"")</f>
        <v/>
      </c>
      <c r="H223" s="19"/>
      <c r="I223" s="20">
        <f t="shared" si="2"/>
        <v>46082</v>
      </c>
    </row>
    <row r="224" ht="22.5" customHeight="1">
      <c r="A224" s="5">
        <v>46090.0</v>
      </c>
      <c r="B224" s="6">
        <f t="shared" si="1"/>
        <v>11</v>
      </c>
      <c r="C224" s="7" t="s">
        <v>9</v>
      </c>
      <c r="D224" s="8">
        <v>80.0</v>
      </c>
      <c r="E224" s="7" t="s">
        <v>27</v>
      </c>
      <c r="F224" s="10" t="str">
        <f>VLOOKUP(E224,BASE_VEICULOS!A:G,7,0)</f>
        <v>FAC - 140005 - SPOT MANUTENÇÃO DPSP 2025</v>
      </c>
      <c r="G224" s="11" t="str">
        <f>IFERROR(VLOOKUP(E224,BASE_VEICULOS!$A:$B,2,0),"")</f>
        <v>UDA5B37</v>
      </c>
      <c r="H224" s="19"/>
      <c r="I224" s="20">
        <f t="shared" si="2"/>
        <v>46082</v>
      </c>
    </row>
    <row r="225" ht="22.5" customHeight="1">
      <c r="A225" s="5">
        <v>46090.0</v>
      </c>
      <c r="B225" s="6">
        <f t="shared" si="1"/>
        <v>11</v>
      </c>
      <c r="C225" s="7" t="s">
        <v>9</v>
      </c>
      <c r="D225" s="8">
        <v>120.0</v>
      </c>
      <c r="E225" s="7" t="s">
        <v>23</v>
      </c>
      <c r="F225" s="10" t="str">
        <f>VLOOKUP(E225,BASE_VEICULOS!A:G,7,0)</f>
        <v>PROF - 07001 - MANUTENÇÃO PREDIAL- PROFARMA-2025</v>
      </c>
      <c r="G225" s="11" t="str">
        <f>IFERROR(VLOOKUP(E225,BASE_VEICULOS!$A:$B,2,0),"")</f>
        <v>TEH3I02</v>
      </c>
      <c r="H225" s="19"/>
      <c r="I225" s="20">
        <f t="shared" si="2"/>
        <v>46082</v>
      </c>
    </row>
    <row r="226" ht="22.5" customHeight="1">
      <c r="A226" s="5">
        <v>46090.0</v>
      </c>
      <c r="B226" s="6">
        <f t="shared" si="1"/>
        <v>11</v>
      </c>
      <c r="C226" s="7" t="s">
        <v>9</v>
      </c>
      <c r="D226" s="8">
        <v>100.0</v>
      </c>
      <c r="E226" s="7" t="s">
        <v>29</v>
      </c>
      <c r="F226" s="10" t="str">
        <f>VLOOKUP(E226,BASE_VEICULOS!A:G,7,0)</f>
        <v>PROF - 07001 - MANUTENÇÃO PREDIAL- PROFARMA-2025</v>
      </c>
      <c r="G226" s="11" t="str">
        <f>IFERROR(VLOOKUP(E226,BASE_VEICULOS!$A:$B,2,0),"")</f>
        <v>TEQ2I74</v>
      </c>
      <c r="H226" s="19"/>
      <c r="I226" s="20">
        <f t="shared" si="2"/>
        <v>46082</v>
      </c>
    </row>
    <row r="227" ht="22.5" customHeight="1">
      <c r="A227" s="5">
        <v>46090.0</v>
      </c>
      <c r="B227" s="6">
        <f t="shared" si="1"/>
        <v>11</v>
      </c>
      <c r="C227" s="7" t="s">
        <v>9</v>
      </c>
      <c r="D227" s="8">
        <v>110.0</v>
      </c>
      <c r="E227" s="7" t="s">
        <v>33</v>
      </c>
      <c r="F227" s="10" t="str">
        <f>VLOOKUP(E227,BASE_VEICULOS!A:G,7,0)</f>
        <v>PROF - 07001 - MANUTENÇÃO PREDIAL- PROFARMA-2025</v>
      </c>
      <c r="G227" s="11" t="str">
        <f>IFERROR(VLOOKUP(E227,BASE_VEICULOS!$A:$B,2,0),"")</f>
        <v>TEW9A30</v>
      </c>
      <c r="H227" s="19"/>
      <c r="I227" s="20">
        <f t="shared" si="2"/>
        <v>46082</v>
      </c>
    </row>
    <row r="228" ht="22.5" customHeight="1">
      <c r="A228" s="5">
        <v>46091.0</v>
      </c>
      <c r="B228" s="6">
        <f t="shared" si="1"/>
        <v>11</v>
      </c>
      <c r="C228" s="7" t="s">
        <v>9</v>
      </c>
      <c r="D228" s="8">
        <v>150.0</v>
      </c>
      <c r="E228" s="7" t="s">
        <v>14</v>
      </c>
      <c r="F228" s="10" t="str">
        <f>VLOOKUP(E228,BASE_VEICULOS!A:G,7,0)</f>
        <v>FAC - 140004 - MANUTENÇÃO PREDIAL DPSP 2025</v>
      </c>
      <c r="G228" s="11" t="str">
        <f>IFERROR(VLOOKUP(E228,BASE_VEICULOS!$A:$B,2,0),"")</f>
        <v>FOK8A73</v>
      </c>
      <c r="H228" s="19"/>
      <c r="I228" s="20">
        <f t="shared" si="2"/>
        <v>46082</v>
      </c>
    </row>
    <row r="229" ht="22.5" customHeight="1">
      <c r="A229" s="5">
        <v>46091.0</v>
      </c>
      <c r="B229" s="6">
        <f t="shared" si="1"/>
        <v>11</v>
      </c>
      <c r="C229" s="7" t="s">
        <v>9</v>
      </c>
      <c r="D229" s="8">
        <v>120.0</v>
      </c>
      <c r="E229" s="7" t="s">
        <v>15</v>
      </c>
      <c r="F229" s="10" t="str">
        <f>VLOOKUP(E229,BASE_VEICULOS!A:G,7,0)</f>
        <v>FAC - 140005 - SPOT MANUTENÇÃO DPSP 2025</v>
      </c>
      <c r="G229" s="11" t="str">
        <f>IFERROR(VLOOKUP(E229,BASE_VEICULOS!$A:$B,2,0),"")</f>
        <v>EWH1B84</v>
      </c>
      <c r="H229" s="19"/>
      <c r="I229" s="20">
        <f t="shared" si="2"/>
        <v>46082</v>
      </c>
    </row>
    <row r="230" ht="22.5" customHeight="1">
      <c r="A230" s="5">
        <v>46091.0</v>
      </c>
      <c r="B230" s="6">
        <f t="shared" si="1"/>
        <v>11</v>
      </c>
      <c r="C230" s="7" t="s">
        <v>9</v>
      </c>
      <c r="D230" s="8">
        <v>130.0</v>
      </c>
      <c r="E230" s="7" t="s">
        <v>28</v>
      </c>
      <c r="F230" s="10" t="str">
        <f>VLOOKUP(E230,BASE_VEICULOS!A:G,7,0)</f>
        <v>#N/A</v>
      </c>
      <c r="G230" s="11" t="str">
        <f>IFERROR(VLOOKUP(E230,BASE_VEICULOS!$A:$B,2,0),"")</f>
        <v/>
      </c>
      <c r="H230" s="19"/>
      <c r="I230" s="20">
        <f t="shared" si="2"/>
        <v>46082</v>
      </c>
    </row>
    <row r="231" ht="22.5" customHeight="1">
      <c r="A231" s="5">
        <v>46091.0</v>
      </c>
      <c r="B231" s="6">
        <f t="shared" si="1"/>
        <v>11</v>
      </c>
      <c r="C231" s="7" t="s">
        <v>9</v>
      </c>
      <c r="D231" s="8">
        <v>100.0</v>
      </c>
      <c r="E231" s="7" t="s">
        <v>24</v>
      </c>
      <c r="F231" s="10" t="str">
        <f>VLOOKUP(E231,BASE_VEICULOS!A:G,7,0)</f>
        <v>PROF - 07001 - MANUTENÇÃO PREDIAL- PROFARMA-2025</v>
      </c>
      <c r="G231" s="11" t="str">
        <f>IFERROR(VLOOKUP(E231,BASE_VEICULOS!$A:$B,2,0),"")</f>
        <v>TEW9A23</v>
      </c>
      <c r="H231" s="19"/>
      <c r="I231" s="20">
        <f t="shared" si="2"/>
        <v>46082</v>
      </c>
    </row>
    <row r="232" ht="22.5" customHeight="1">
      <c r="A232" s="5">
        <v>46091.0</v>
      </c>
      <c r="B232" s="6">
        <f t="shared" si="1"/>
        <v>11</v>
      </c>
      <c r="C232" s="7" t="s">
        <v>9</v>
      </c>
      <c r="D232" s="8">
        <v>75.0</v>
      </c>
      <c r="E232" s="7" t="s">
        <v>10</v>
      </c>
      <c r="F232" s="10" t="str">
        <f>VLOOKUP(E232,BASE_VEICULOS!A:G,7,0)</f>
        <v>FAC - 140004 - MANUTENÇÃO PREDIAL DPSP 2025</v>
      </c>
      <c r="G232" s="11" t="str">
        <f>IFERROR(VLOOKUP(E232,BASE_VEICULOS!$A:$B,2,0),"")</f>
        <v>TEW9A25</v>
      </c>
      <c r="H232" s="19"/>
      <c r="I232" s="20">
        <f t="shared" si="2"/>
        <v>46082</v>
      </c>
    </row>
    <row r="233" ht="22.5" customHeight="1">
      <c r="A233" s="5">
        <v>46091.0</v>
      </c>
      <c r="B233" s="6">
        <f t="shared" si="1"/>
        <v>11</v>
      </c>
      <c r="C233" s="7" t="s">
        <v>9</v>
      </c>
      <c r="D233" s="8">
        <v>100.0</v>
      </c>
      <c r="E233" s="7" t="s">
        <v>25</v>
      </c>
      <c r="F233" s="10" t="str">
        <f>VLOOKUP(E233,BASE_VEICULOS!A:G,7,0)</f>
        <v>PROF - 07001 - MANUTENÇÃO PREDIAL- PROFARMA-2025</v>
      </c>
      <c r="G233" s="11" t="str">
        <f>IFERROR(VLOOKUP(E233,BASE_VEICULOS!$A:$B,2,0),"")</f>
        <v>TEW9A26</v>
      </c>
      <c r="H233" s="19"/>
      <c r="I233" s="20">
        <f t="shared" si="2"/>
        <v>46082</v>
      </c>
    </row>
    <row r="234" ht="22.5" customHeight="1">
      <c r="A234" s="5">
        <v>46091.0</v>
      </c>
      <c r="B234" s="6">
        <f t="shared" si="1"/>
        <v>11</v>
      </c>
      <c r="C234" s="7" t="s">
        <v>9</v>
      </c>
      <c r="D234" s="8">
        <v>205.0</v>
      </c>
      <c r="E234" s="7" t="s">
        <v>20</v>
      </c>
      <c r="F234" s="10" t="str">
        <f>VLOOKUP(E234,BASE_VEICULOS!A:G,7,0)</f>
        <v>PROF - 07001 - MANUTENÇÃO PREDIAL- PROFARMA-2025</v>
      </c>
      <c r="G234" s="11" t="str">
        <f>IFERROR(VLOOKUP(E234,BASE_VEICULOS!$A:$B,2,0),"")</f>
        <v>TEW9A34</v>
      </c>
      <c r="H234" s="19"/>
      <c r="I234" s="20">
        <f t="shared" si="2"/>
        <v>46082</v>
      </c>
    </row>
    <row r="235" ht="22.5" customHeight="1">
      <c r="A235" s="5">
        <v>46091.0</v>
      </c>
      <c r="B235" s="6">
        <f t="shared" si="1"/>
        <v>11</v>
      </c>
      <c r="C235" s="7" t="s">
        <v>9</v>
      </c>
      <c r="D235" s="8">
        <v>130.0</v>
      </c>
      <c r="E235" s="7" t="s">
        <v>30</v>
      </c>
      <c r="F235" s="10" t="str">
        <f>VLOOKUP(E235,BASE_VEICULOS!A:G,7,0)</f>
        <v>#N/A</v>
      </c>
      <c r="G235" s="11" t="str">
        <f>IFERROR(VLOOKUP(E235,BASE_VEICULOS!$A:$B,2,0),"")</f>
        <v/>
      </c>
      <c r="H235" s="19"/>
      <c r="I235" s="20">
        <f t="shared" si="2"/>
        <v>46082</v>
      </c>
    </row>
    <row r="236" ht="22.5" customHeight="1">
      <c r="A236" s="5">
        <v>46091.0</v>
      </c>
      <c r="B236" s="6">
        <f t="shared" si="1"/>
        <v>11</v>
      </c>
      <c r="C236" s="7" t="s">
        <v>9</v>
      </c>
      <c r="D236" s="8">
        <v>90.0</v>
      </c>
      <c r="E236" s="7" t="s">
        <v>18</v>
      </c>
      <c r="F236" s="10" t="str">
        <f>VLOOKUP(E236,BASE_VEICULOS!A:G,7,0)</f>
        <v>FAC - 140004 - MANUTENÇÃO PREDIAL DPSP 2025</v>
      </c>
      <c r="G236" s="11" t="str">
        <f>IFERROR(VLOOKUP(E236,BASE_VEICULOS!$A:$B,2,0),"")</f>
        <v>TEW9A29</v>
      </c>
      <c r="H236" s="19"/>
      <c r="I236" s="20">
        <f t="shared" si="2"/>
        <v>46082</v>
      </c>
    </row>
    <row r="237" ht="22.5" customHeight="1">
      <c r="A237" s="5">
        <v>46091.0</v>
      </c>
      <c r="B237" s="6">
        <f t="shared" si="1"/>
        <v>11</v>
      </c>
      <c r="C237" s="7" t="s">
        <v>9</v>
      </c>
      <c r="D237" s="8">
        <v>100.0</v>
      </c>
      <c r="E237" s="7" t="s">
        <v>17</v>
      </c>
      <c r="F237" s="10" t="str">
        <f>VLOOKUP(E237,BASE_VEICULOS!A:G,7,0)</f>
        <v>#N/A</v>
      </c>
      <c r="G237" s="11" t="str">
        <f>IFERROR(VLOOKUP(E237,BASE_VEICULOS!$A:$B,2,0),"")</f>
        <v/>
      </c>
      <c r="H237" s="19"/>
      <c r="I237" s="20">
        <f t="shared" si="2"/>
        <v>46082</v>
      </c>
    </row>
    <row r="238" ht="22.5" customHeight="1">
      <c r="A238" s="5">
        <v>46091.0</v>
      </c>
      <c r="B238" s="6">
        <f t="shared" si="1"/>
        <v>11</v>
      </c>
      <c r="C238" s="7" t="s">
        <v>9</v>
      </c>
      <c r="D238" s="8">
        <v>50.0</v>
      </c>
      <c r="E238" s="7" t="s">
        <v>21</v>
      </c>
      <c r="F238" s="10" t="str">
        <f>VLOOKUP(E238,BASE_VEICULOS!A:G,7,0)</f>
        <v>PROF - 07001 - MANUTENÇÃO PREDIAL- PROFARMA-2025</v>
      </c>
      <c r="G238" s="11" t="str">
        <f>IFERROR(VLOOKUP(E238,BASE_VEICULOS!$A:$B,2,0),"")</f>
        <v>TEW9A33</v>
      </c>
      <c r="H238" s="19"/>
      <c r="I238" s="20">
        <f t="shared" si="2"/>
        <v>46082</v>
      </c>
    </row>
    <row r="239" ht="22.5" customHeight="1">
      <c r="A239" s="5">
        <v>46091.0</v>
      </c>
      <c r="B239" s="6">
        <f t="shared" si="1"/>
        <v>11</v>
      </c>
      <c r="C239" s="7" t="s">
        <v>9</v>
      </c>
      <c r="D239" s="8">
        <v>45.0</v>
      </c>
      <c r="E239" s="7" t="s">
        <v>29</v>
      </c>
      <c r="F239" s="10" t="str">
        <f>VLOOKUP(E239,BASE_VEICULOS!A:G,7,0)</f>
        <v>PROF - 07001 - MANUTENÇÃO PREDIAL- PROFARMA-2025</v>
      </c>
      <c r="G239" s="11" t="str">
        <f>IFERROR(VLOOKUP(E239,BASE_VEICULOS!$A:$B,2,0),"")</f>
        <v>TEQ2I74</v>
      </c>
      <c r="H239" s="19"/>
      <c r="I239" s="20">
        <f t="shared" si="2"/>
        <v>46082</v>
      </c>
    </row>
    <row r="240" ht="22.5" customHeight="1">
      <c r="A240" s="5">
        <v>46091.0</v>
      </c>
      <c r="B240" s="6">
        <f t="shared" si="1"/>
        <v>11</v>
      </c>
      <c r="C240" s="7" t="s">
        <v>9</v>
      </c>
      <c r="D240" s="8">
        <v>160.0</v>
      </c>
      <c r="E240" s="7" t="s">
        <v>33</v>
      </c>
      <c r="F240" s="10" t="str">
        <f>VLOOKUP(E240,BASE_VEICULOS!A:G,7,0)</f>
        <v>PROF - 07001 - MANUTENÇÃO PREDIAL- PROFARMA-2025</v>
      </c>
      <c r="G240" s="11" t="str">
        <f>IFERROR(VLOOKUP(E240,BASE_VEICULOS!$A:$B,2,0),"")</f>
        <v>TEW9A30</v>
      </c>
      <c r="H240" s="19"/>
      <c r="I240" s="20">
        <f t="shared" si="2"/>
        <v>46082</v>
      </c>
    </row>
    <row r="241" ht="22.5" hidden="1" customHeight="1">
      <c r="A241" s="5">
        <v>46091.0</v>
      </c>
      <c r="B241" s="6">
        <f t="shared" si="1"/>
        <v>11</v>
      </c>
      <c r="C241" s="7" t="s">
        <v>32</v>
      </c>
      <c r="D241" s="8">
        <v>50.0</v>
      </c>
      <c r="E241" s="7" t="s">
        <v>14</v>
      </c>
      <c r="F241" s="10" t="str">
        <f>VLOOKUP(E241,BASE_VEICULOS!A:G,7,0)</f>
        <v>FAC - 140004 - MANUTENÇÃO PREDIAL DPSP 2025</v>
      </c>
      <c r="G241" s="11" t="str">
        <f>IFERROR(VLOOKUP(E241,BASE_VEICULOS!$A:$B,2,0),"")</f>
        <v>FOK8A73</v>
      </c>
      <c r="H241" s="19"/>
      <c r="I241" s="20">
        <f t="shared" si="2"/>
        <v>46082</v>
      </c>
    </row>
    <row r="242" ht="22.5" hidden="1" customHeight="1">
      <c r="A242" s="5">
        <v>46091.0</v>
      </c>
      <c r="B242" s="6">
        <f t="shared" si="1"/>
        <v>11</v>
      </c>
      <c r="C242" s="7" t="s">
        <v>32</v>
      </c>
      <c r="D242" s="8">
        <v>80.0</v>
      </c>
      <c r="E242" s="7" t="s">
        <v>28</v>
      </c>
      <c r="F242" s="10" t="str">
        <f>VLOOKUP(E242,BASE_VEICULOS!A:G,7,0)</f>
        <v>#N/A</v>
      </c>
      <c r="G242" s="11" t="str">
        <f>IFERROR(VLOOKUP(E242,BASE_VEICULOS!$A:$B,2,0),"")</f>
        <v/>
      </c>
      <c r="H242" s="19"/>
      <c r="I242" s="20">
        <f t="shared" si="2"/>
        <v>46082</v>
      </c>
    </row>
    <row r="243" ht="22.5" hidden="1" customHeight="1">
      <c r="A243" s="5">
        <v>46091.0</v>
      </c>
      <c r="B243" s="6">
        <f t="shared" si="1"/>
        <v>11</v>
      </c>
      <c r="C243" s="7" t="s">
        <v>32</v>
      </c>
      <c r="D243" s="8">
        <v>40.0</v>
      </c>
      <c r="E243" s="7" t="s">
        <v>19</v>
      </c>
      <c r="F243" s="10" t="str">
        <f>VLOOKUP(E243,BASE_VEICULOS!A:G,7,0)</f>
        <v>PROF - 07001 - MANUTENÇÃO PREDIAL- PROFARMA-2025</v>
      </c>
      <c r="G243" s="11" t="str">
        <f>IFERROR(VLOOKUP(E243,BASE_VEICULOS!$A:$B,2,0),"")</f>
        <v>TEW9A24</v>
      </c>
      <c r="H243" s="19"/>
      <c r="I243" s="20">
        <f t="shared" si="2"/>
        <v>46082</v>
      </c>
    </row>
    <row r="244" ht="22.5" hidden="1" customHeight="1">
      <c r="A244" s="5">
        <v>46091.0</v>
      </c>
      <c r="B244" s="6">
        <f t="shared" si="1"/>
        <v>11</v>
      </c>
      <c r="C244" s="7" t="s">
        <v>32</v>
      </c>
      <c r="D244" s="8">
        <v>70.0</v>
      </c>
      <c r="E244" s="7" t="s">
        <v>25</v>
      </c>
      <c r="F244" s="10" t="str">
        <f>VLOOKUP(E244,BASE_VEICULOS!A:G,7,0)</f>
        <v>PROF - 07001 - MANUTENÇÃO PREDIAL- PROFARMA-2025</v>
      </c>
      <c r="G244" s="11" t="str">
        <f>IFERROR(VLOOKUP(E244,BASE_VEICULOS!$A:$B,2,0),"")</f>
        <v>TEW9A26</v>
      </c>
      <c r="H244" s="19"/>
      <c r="I244" s="20">
        <f t="shared" si="2"/>
        <v>46082</v>
      </c>
    </row>
    <row r="245" ht="22.5" hidden="1" customHeight="1">
      <c r="A245" s="5">
        <v>46091.0</v>
      </c>
      <c r="B245" s="6">
        <f t="shared" si="1"/>
        <v>11</v>
      </c>
      <c r="C245" s="7" t="s">
        <v>32</v>
      </c>
      <c r="D245" s="8">
        <v>180.0</v>
      </c>
      <c r="E245" s="7" t="s">
        <v>22</v>
      </c>
      <c r="F245" s="10" t="str">
        <f>VLOOKUP(E245,BASE_VEICULOS!A:G,7,0)</f>
        <v>PROF - 07001 - MANUTENÇÃO PREDIAL- PROFARMA-2025</v>
      </c>
      <c r="G245" s="11" t="str">
        <f>IFERROR(VLOOKUP(E245,BASE_VEICULOS!$A:$B,2,0),"")</f>
        <v>TET5H37</v>
      </c>
      <c r="H245" s="19"/>
      <c r="I245" s="20">
        <f t="shared" si="2"/>
        <v>46082</v>
      </c>
    </row>
    <row r="246" ht="22.5" hidden="1" customHeight="1">
      <c r="A246" s="5">
        <v>46091.0</v>
      </c>
      <c r="B246" s="6">
        <f t="shared" si="1"/>
        <v>11</v>
      </c>
      <c r="C246" s="7" t="s">
        <v>32</v>
      </c>
      <c r="D246" s="8">
        <v>110.0</v>
      </c>
      <c r="E246" s="7" t="s">
        <v>24</v>
      </c>
      <c r="F246" s="10" t="str">
        <f>VLOOKUP(E246,BASE_VEICULOS!A:G,7,0)</f>
        <v>PROF - 07001 - MANUTENÇÃO PREDIAL- PROFARMA-2025</v>
      </c>
      <c r="G246" s="11" t="str">
        <f>IFERROR(VLOOKUP(E246,BASE_VEICULOS!$A:$B,2,0),"")</f>
        <v>TEW9A23</v>
      </c>
      <c r="H246" s="19"/>
      <c r="I246" s="20">
        <f t="shared" si="2"/>
        <v>46082</v>
      </c>
    </row>
    <row r="247" ht="22.5" hidden="1" customHeight="1">
      <c r="A247" s="5">
        <v>46091.0</v>
      </c>
      <c r="B247" s="6">
        <f t="shared" si="1"/>
        <v>11</v>
      </c>
      <c r="C247" s="7" t="s">
        <v>32</v>
      </c>
      <c r="D247" s="8">
        <v>85.0</v>
      </c>
      <c r="E247" s="7" t="s">
        <v>15</v>
      </c>
      <c r="F247" s="10" t="str">
        <f>VLOOKUP(E247,BASE_VEICULOS!A:G,7,0)</f>
        <v>FAC - 140005 - SPOT MANUTENÇÃO DPSP 2025</v>
      </c>
      <c r="G247" s="11" t="str">
        <f>IFERROR(VLOOKUP(E247,BASE_VEICULOS!$A:$B,2,0),"")</f>
        <v>EWH1B84</v>
      </c>
      <c r="H247" s="19"/>
      <c r="I247" s="20">
        <f t="shared" si="2"/>
        <v>46082</v>
      </c>
    </row>
    <row r="248" ht="22.5" hidden="1" customHeight="1">
      <c r="A248" s="5">
        <v>46092.0</v>
      </c>
      <c r="B248" s="6">
        <f t="shared" si="1"/>
        <v>11</v>
      </c>
      <c r="C248" s="7" t="s">
        <v>32</v>
      </c>
      <c r="D248" s="8">
        <v>55.0</v>
      </c>
      <c r="E248" s="7" t="s">
        <v>24</v>
      </c>
      <c r="F248" s="10" t="str">
        <f>VLOOKUP(E248,BASE_VEICULOS!A:G,7,0)</f>
        <v>PROF - 07001 - MANUTENÇÃO PREDIAL- PROFARMA-2025</v>
      </c>
      <c r="G248" s="11" t="str">
        <f>IFERROR(VLOOKUP(E248,BASE_VEICULOS!$A:$B,2,0),"")</f>
        <v>TEW9A23</v>
      </c>
      <c r="H248" s="19"/>
      <c r="I248" s="20">
        <f t="shared" si="2"/>
        <v>46082</v>
      </c>
    </row>
    <row r="249" ht="22.5" hidden="1" customHeight="1">
      <c r="A249" s="5">
        <v>46092.0</v>
      </c>
      <c r="B249" s="6">
        <f t="shared" si="1"/>
        <v>11</v>
      </c>
      <c r="C249" s="7" t="s">
        <v>32</v>
      </c>
      <c r="D249" s="8">
        <v>60.0</v>
      </c>
      <c r="E249" s="7" t="s">
        <v>33</v>
      </c>
      <c r="F249" s="10" t="str">
        <f>VLOOKUP(E249,BASE_VEICULOS!A:G,7,0)</f>
        <v>PROF - 07001 - MANUTENÇÃO PREDIAL- PROFARMA-2025</v>
      </c>
      <c r="G249" s="11" t="str">
        <f>IFERROR(VLOOKUP(E249,BASE_VEICULOS!$A:$B,2,0),"")</f>
        <v>TEW9A30</v>
      </c>
      <c r="H249" s="19"/>
      <c r="I249" s="20">
        <f t="shared" si="2"/>
        <v>46082</v>
      </c>
    </row>
    <row r="250" ht="22.5" hidden="1" customHeight="1">
      <c r="A250" s="5">
        <v>46092.0</v>
      </c>
      <c r="B250" s="6">
        <f t="shared" si="1"/>
        <v>11</v>
      </c>
      <c r="C250" s="7" t="s">
        <v>32</v>
      </c>
      <c r="D250" s="8">
        <v>70.0</v>
      </c>
      <c r="E250" s="7" t="s">
        <v>17</v>
      </c>
      <c r="F250" s="10" t="str">
        <f>VLOOKUP(E250,BASE_VEICULOS!A:G,7,0)</f>
        <v>#N/A</v>
      </c>
      <c r="G250" s="11" t="str">
        <f>IFERROR(VLOOKUP(E250,BASE_VEICULOS!$A:$B,2,0),"")</f>
        <v/>
      </c>
      <c r="H250" s="19"/>
      <c r="I250" s="20">
        <f t="shared" si="2"/>
        <v>46082</v>
      </c>
    </row>
    <row r="251" ht="22.5" hidden="1" customHeight="1">
      <c r="A251" s="5">
        <v>46092.0</v>
      </c>
      <c r="B251" s="6">
        <f t="shared" si="1"/>
        <v>11</v>
      </c>
      <c r="C251" s="7" t="s">
        <v>32</v>
      </c>
      <c r="D251" s="8">
        <v>100.0</v>
      </c>
      <c r="E251" s="7" t="s">
        <v>14</v>
      </c>
      <c r="F251" s="10" t="str">
        <f>VLOOKUP(E251,BASE_VEICULOS!A:G,7,0)</f>
        <v>FAC - 140004 - MANUTENÇÃO PREDIAL DPSP 2025</v>
      </c>
      <c r="G251" s="11" t="str">
        <f>IFERROR(VLOOKUP(E251,BASE_VEICULOS!$A:$B,2,0),"")</f>
        <v>FOK8A73</v>
      </c>
      <c r="H251" s="19"/>
      <c r="I251" s="20">
        <f t="shared" si="2"/>
        <v>46082</v>
      </c>
    </row>
    <row r="252" ht="22.5" hidden="1" customHeight="1">
      <c r="A252" s="5">
        <v>46092.0</v>
      </c>
      <c r="B252" s="6">
        <f t="shared" si="1"/>
        <v>11</v>
      </c>
      <c r="C252" s="7" t="s">
        <v>32</v>
      </c>
      <c r="D252" s="8">
        <v>60.0</v>
      </c>
      <c r="E252" s="7" t="s">
        <v>10</v>
      </c>
      <c r="F252" s="10" t="str">
        <f>VLOOKUP(E252,BASE_VEICULOS!A:G,7,0)</f>
        <v>FAC - 140004 - MANUTENÇÃO PREDIAL DPSP 2025</v>
      </c>
      <c r="G252" s="11" t="str">
        <f>IFERROR(VLOOKUP(E252,BASE_VEICULOS!$A:$B,2,0),"")</f>
        <v>TEW9A25</v>
      </c>
      <c r="H252" s="19"/>
      <c r="I252" s="20">
        <f t="shared" si="2"/>
        <v>46082</v>
      </c>
    </row>
    <row r="253" ht="22.5" hidden="1" customHeight="1">
      <c r="A253" s="5">
        <v>46092.0</v>
      </c>
      <c r="B253" s="6">
        <f t="shared" si="1"/>
        <v>11</v>
      </c>
      <c r="C253" s="7" t="s">
        <v>32</v>
      </c>
      <c r="D253" s="8">
        <v>70.0</v>
      </c>
      <c r="E253" s="7" t="s">
        <v>29</v>
      </c>
      <c r="F253" s="10" t="str">
        <f>VLOOKUP(E253,BASE_VEICULOS!A:G,7,0)</f>
        <v>PROF - 07001 - MANUTENÇÃO PREDIAL- PROFARMA-2025</v>
      </c>
      <c r="G253" s="11" t="str">
        <f>IFERROR(VLOOKUP(E253,BASE_VEICULOS!$A:$B,2,0),"")</f>
        <v>TEQ2I74</v>
      </c>
      <c r="H253" s="19"/>
      <c r="I253" s="20">
        <f t="shared" si="2"/>
        <v>46082</v>
      </c>
    </row>
    <row r="254" ht="22.5" hidden="1" customHeight="1">
      <c r="A254" s="5">
        <v>46092.0</v>
      </c>
      <c r="B254" s="6">
        <f t="shared" si="1"/>
        <v>11</v>
      </c>
      <c r="C254" s="7" t="s">
        <v>32</v>
      </c>
      <c r="D254" s="8">
        <v>100.0</v>
      </c>
      <c r="E254" s="7" t="s">
        <v>21</v>
      </c>
      <c r="F254" s="10" t="str">
        <f>VLOOKUP(E254,BASE_VEICULOS!A:G,7,0)</f>
        <v>PROF - 07001 - MANUTENÇÃO PREDIAL- PROFARMA-2025</v>
      </c>
      <c r="G254" s="11" t="str">
        <f>IFERROR(VLOOKUP(E254,BASE_VEICULOS!$A:$B,2,0),"")</f>
        <v>TEW9A33</v>
      </c>
      <c r="H254" s="19"/>
      <c r="I254" s="20">
        <f t="shared" si="2"/>
        <v>46082</v>
      </c>
    </row>
    <row r="255" ht="22.5" hidden="1" customHeight="1">
      <c r="A255" s="5">
        <v>46092.0</v>
      </c>
      <c r="B255" s="6">
        <f t="shared" si="1"/>
        <v>11</v>
      </c>
      <c r="C255" s="7" t="s">
        <v>32</v>
      </c>
      <c r="D255" s="8">
        <v>90.26</v>
      </c>
      <c r="E255" s="7" t="s">
        <v>12</v>
      </c>
      <c r="F255" s="10" t="str">
        <f>VLOOKUP(E255,BASE_VEICULOS!A:G,7,0)</f>
        <v>FAC - 140004 - MANUTENÇÃO PREDIAL DPSP 2025</v>
      </c>
      <c r="G255" s="11" t="str">
        <f>IFERROR(VLOOKUP(E255,BASE_VEICULOS!$A:$B,2,0),"")</f>
        <v>FIL8C14</v>
      </c>
      <c r="H255" s="19"/>
      <c r="I255" s="20">
        <f t="shared" si="2"/>
        <v>46082</v>
      </c>
    </row>
    <row r="256" ht="22.5" hidden="1" customHeight="1">
      <c r="A256" s="5">
        <v>46092.0</v>
      </c>
      <c r="B256" s="6">
        <f t="shared" si="1"/>
        <v>11</v>
      </c>
      <c r="C256" s="7" t="s">
        <v>32</v>
      </c>
      <c r="D256" s="8">
        <v>40.0</v>
      </c>
      <c r="E256" s="7" t="s">
        <v>23</v>
      </c>
      <c r="F256" s="10" t="str">
        <f>VLOOKUP(E256,BASE_VEICULOS!A:G,7,0)</f>
        <v>PROF - 07001 - MANUTENÇÃO PREDIAL- PROFARMA-2025</v>
      </c>
      <c r="G256" s="11" t="str">
        <f>IFERROR(VLOOKUP(E256,BASE_VEICULOS!$A:$B,2,0),"")</f>
        <v>TEH3I02</v>
      </c>
      <c r="H256" s="19"/>
      <c r="I256" s="20">
        <f t="shared" si="2"/>
        <v>46082</v>
      </c>
    </row>
    <row r="257" ht="22.5" hidden="1" customHeight="1">
      <c r="A257" s="5">
        <v>46092.0</v>
      </c>
      <c r="B257" s="6">
        <f t="shared" si="1"/>
        <v>11</v>
      </c>
      <c r="C257" s="7" t="s">
        <v>32</v>
      </c>
      <c r="D257" s="8">
        <v>50.0</v>
      </c>
      <c r="E257" s="7" t="s">
        <v>15</v>
      </c>
      <c r="F257" s="10" t="str">
        <f>VLOOKUP(E257,BASE_VEICULOS!A:G,7,0)</f>
        <v>FAC - 140005 - SPOT MANUTENÇÃO DPSP 2025</v>
      </c>
      <c r="G257" s="11" t="str">
        <f>IFERROR(VLOOKUP(E257,BASE_VEICULOS!$A:$B,2,0),"")</f>
        <v>EWH1B84</v>
      </c>
      <c r="H257" s="19"/>
      <c r="I257" s="20">
        <f t="shared" si="2"/>
        <v>46082</v>
      </c>
    </row>
    <row r="258" ht="22.5" hidden="1" customHeight="1">
      <c r="A258" s="5">
        <v>46092.0</v>
      </c>
      <c r="B258" s="6">
        <f t="shared" si="1"/>
        <v>11</v>
      </c>
      <c r="C258" s="7" t="s">
        <v>32</v>
      </c>
      <c r="D258" s="8">
        <v>70.0</v>
      </c>
      <c r="E258" s="7" t="s">
        <v>25</v>
      </c>
      <c r="F258" s="10" t="str">
        <f>VLOOKUP(E258,BASE_VEICULOS!A:G,7,0)</f>
        <v>PROF - 07001 - MANUTENÇÃO PREDIAL- PROFARMA-2025</v>
      </c>
      <c r="G258" s="11" t="str">
        <f>IFERROR(VLOOKUP(E258,BASE_VEICULOS!$A:$B,2,0),"")</f>
        <v>TEW9A26</v>
      </c>
      <c r="H258" s="19"/>
      <c r="I258" s="20">
        <f t="shared" si="2"/>
        <v>46082</v>
      </c>
    </row>
    <row r="259" ht="22.5" hidden="1" customHeight="1">
      <c r="A259" s="5">
        <v>46092.0</v>
      </c>
      <c r="B259" s="6">
        <f t="shared" si="1"/>
        <v>11</v>
      </c>
      <c r="C259" s="7" t="s">
        <v>32</v>
      </c>
      <c r="D259" s="8">
        <v>100.0</v>
      </c>
      <c r="E259" s="7" t="s">
        <v>28</v>
      </c>
      <c r="F259" s="10" t="str">
        <f>VLOOKUP(E259,BASE_VEICULOS!A:G,7,0)</f>
        <v>#N/A</v>
      </c>
      <c r="G259" s="11" t="str">
        <f>IFERROR(VLOOKUP(E259,BASE_VEICULOS!$A:$B,2,0),"")</f>
        <v/>
      </c>
      <c r="H259" s="19"/>
      <c r="I259" s="20">
        <f t="shared" si="2"/>
        <v>46082</v>
      </c>
    </row>
    <row r="260" ht="22.5" hidden="1" customHeight="1">
      <c r="A260" s="5">
        <v>46092.0</v>
      </c>
      <c r="B260" s="6">
        <f t="shared" si="1"/>
        <v>11</v>
      </c>
      <c r="C260" s="7" t="s">
        <v>32</v>
      </c>
      <c r="D260" s="8">
        <v>110.0</v>
      </c>
      <c r="E260" s="7" t="s">
        <v>30</v>
      </c>
      <c r="F260" s="10" t="str">
        <f>VLOOKUP(E260,BASE_VEICULOS!A:G,7,0)</f>
        <v>#N/A</v>
      </c>
      <c r="G260" s="11" t="str">
        <f>IFERROR(VLOOKUP(E260,BASE_VEICULOS!$A:$B,2,0),"")</f>
        <v/>
      </c>
      <c r="H260" s="19"/>
      <c r="I260" s="20">
        <f t="shared" si="2"/>
        <v>46082</v>
      </c>
    </row>
    <row r="261" ht="22.5" hidden="1" customHeight="1">
      <c r="A261" s="5">
        <v>46092.0</v>
      </c>
      <c r="B261" s="6">
        <f t="shared" si="1"/>
        <v>11</v>
      </c>
      <c r="C261" s="7" t="s">
        <v>32</v>
      </c>
      <c r="D261" s="8">
        <v>70.0</v>
      </c>
      <c r="E261" s="7" t="s">
        <v>20</v>
      </c>
      <c r="F261" s="10" t="str">
        <f>VLOOKUP(E261,BASE_VEICULOS!A:G,7,0)</f>
        <v>PROF - 07001 - MANUTENÇÃO PREDIAL- PROFARMA-2025</v>
      </c>
      <c r="G261" s="11" t="str">
        <f>IFERROR(VLOOKUP(E261,BASE_VEICULOS!$A:$B,2,0),"")</f>
        <v>TEW9A34</v>
      </c>
      <c r="H261" s="19"/>
      <c r="I261" s="20">
        <f t="shared" si="2"/>
        <v>46082</v>
      </c>
    </row>
    <row r="262" ht="22.5" hidden="1" customHeight="1">
      <c r="A262" s="5">
        <v>46092.0</v>
      </c>
      <c r="B262" s="6">
        <f t="shared" si="1"/>
        <v>11</v>
      </c>
      <c r="C262" s="7" t="s">
        <v>32</v>
      </c>
      <c r="D262" s="8">
        <v>50.0</v>
      </c>
      <c r="E262" s="7" t="s">
        <v>33</v>
      </c>
      <c r="F262" s="10" t="str">
        <f>VLOOKUP(E262,BASE_VEICULOS!A:G,7,0)</f>
        <v>PROF - 07001 - MANUTENÇÃO PREDIAL- PROFARMA-2025</v>
      </c>
      <c r="G262" s="11" t="str">
        <f>IFERROR(VLOOKUP(E262,BASE_VEICULOS!$A:$B,2,0),"")</f>
        <v>TEW9A30</v>
      </c>
      <c r="H262" s="19"/>
      <c r="I262" s="20">
        <f t="shared" si="2"/>
        <v>46082</v>
      </c>
    </row>
    <row r="263" ht="22.5" hidden="1" customHeight="1">
      <c r="A263" s="5">
        <v>46092.0</v>
      </c>
      <c r="B263" s="6">
        <f t="shared" si="1"/>
        <v>11</v>
      </c>
      <c r="C263" s="7" t="s">
        <v>32</v>
      </c>
      <c r="D263" s="8">
        <v>70.03</v>
      </c>
      <c r="E263" s="7" t="s">
        <v>17</v>
      </c>
      <c r="F263" s="10" t="str">
        <f>VLOOKUP(E263,BASE_VEICULOS!A:G,7,0)</f>
        <v>#N/A</v>
      </c>
      <c r="G263" s="11" t="str">
        <f>IFERROR(VLOOKUP(E263,BASE_VEICULOS!$A:$B,2,0),"")</f>
        <v/>
      </c>
      <c r="H263" s="19"/>
      <c r="I263" s="20">
        <f t="shared" si="2"/>
        <v>46082</v>
      </c>
    </row>
    <row r="264" ht="22.5" hidden="1" customHeight="1">
      <c r="A264" s="5">
        <v>46092.0</v>
      </c>
      <c r="B264" s="6">
        <f t="shared" si="1"/>
        <v>11</v>
      </c>
      <c r="C264" s="7" t="s">
        <v>32</v>
      </c>
      <c r="D264" s="8">
        <v>50.0</v>
      </c>
      <c r="E264" s="7" t="s">
        <v>16</v>
      </c>
      <c r="F264" s="10" t="str">
        <f>VLOOKUP(E264,BASE_VEICULOS!A:G,7,0)</f>
        <v>FAC - 140005 - SPOT MANUTENÇÃO DPSP 2025</v>
      </c>
      <c r="G264" s="11" t="str">
        <f>IFERROR(VLOOKUP(E264,BASE_VEICULOS!$A:$B,2,0),"")</f>
        <v>TEW9A27</v>
      </c>
      <c r="H264" s="19"/>
      <c r="I264" s="20">
        <f t="shared" si="2"/>
        <v>46082</v>
      </c>
    </row>
    <row r="265" ht="22.5" hidden="1" customHeight="1">
      <c r="A265" s="5">
        <v>46093.0</v>
      </c>
      <c r="B265" s="6">
        <f t="shared" si="1"/>
        <v>11</v>
      </c>
      <c r="C265" s="7" t="s">
        <v>32</v>
      </c>
      <c r="D265" s="8">
        <v>60.0</v>
      </c>
      <c r="E265" s="7" t="s">
        <v>10</v>
      </c>
      <c r="F265" s="10" t="str">
        <f>VLOOKUP(E265,BASE_VEICULOS!A:G,7,0)</f>
        <v>FAC - 140004 - MANUTENÇÃO PREDIAL DPSP 2025</v>
      </c>
      <c r="G265" s="11" t="str">
        <f>IFERROR(VLOOKUP(E265,BASE_VEICULOS!$A:$B,2,0),"")</f>
        <v>TEW9A25</v>
      </c>
      <c r="H265" s="19"/>
      <c r="I265" s="20">
        <f t="shared" si="2"/>
        <v>46082</v>
      </c>
    </row>
    <row r="266" ht="22.5" hidden="1" customHeight="1">
      <c r="A266" s="5">
        <v>46093.0</v>
      </c>
      <c r="B266" s="6">
        <f t="shared" si="1"/>
        <v>11</v>
      </c>
      <c r="C266" s="7" t="s">
        <v>32</v>
      </c>
      <c r="D266" s="8">
        <v>100.0</v>
      </c>
      <c r="E266" s="7" t="s">
        <v>14</v>
      </c>
      <c r="F266" s="10" t="str">
        <f>VLOOKUP(E266,BASE_VEICULOS!A:G,7,0)</f>
        <v>FAC - 140004 - MANUTENÇÃO PREDIAL DPSP 2025</v>
      </c>
      <c r="G266" s="11" t="str">
        <f>IFERROR(VLOOKUP(E266,BASE_VEICULOS!$A:$B,2,0),"")</f>
        <v>FOK8A73</v>
      </c>
      <c r="H266" s="19"/>
      <c r="I266" s="20">
        <f t="shared" si="2"/>
        <v>46082</v>
      </c>
    </row>
    <row r="267" ht="22.5" hidden="1" customHeight="1">
      <c r="A267" s="5">
        <v>46093.0</v>
      </c>
      <c r="B267" s="6">
        <f t="shared" si="1"/>
        <v>11</v>
      </c>
      <c r="C267" s="7" t="s">
        <v>32</v>
      </c>
      <c r="D267" s="8">
        <v>60.0</v>
      </c>
      <c r="E267" s="7" t="s">
        <v>23</v>
      </c>
      <c r="F267" s="10" t="str">
        <f>VLOOKUP(E267,BASE_VEICULOS!A:G,7,0)</f>
        <v>PROF - 07001 - MANUTENÇÃO PREDIAL- PROFARMA-2025</v>
      </c>
      <c r="G267" s="11" t="str">
        <f>IFERROR(VLOOKUP(E267,BASE_VEICULOS!$A:$B,2,0),"")</f>
        <v>TEH3I02</v>
      </c>
      <c r="H267" s="19"/>
      <c r="I267" s="20">
        <f t="shared" si="2"/>
        <v>46082</v>
      </c>
    </row>
    <row r="268" ht="22.5" hidden="1" customHeight="1">
      <c r="A268" s="5">
        <v>46093.0</v>
      </c>
      <c r="B268" s="6">
        <f t="shared" si="1"/>
        <v>11</v>
      </c>
      <c r="C268" s="7" t="s">
        <v>32</v>
      </c>
      <c r="D268" s="8">
        <v>110.0</v>
      </c>
      <c r="E268" s="7" t="s">
        <v>20</v>
      </c>
      <c r="F268" s="10" t="str">
        <f>VLOOKUP(E268,BASE_VEICULOS!A:G,7,0)</f>
        <v>PROF - 07001 - MANUTENÇÃO PREDIAL- PROFARMA-2025</v>
      </c>
      <c r="G268" s="11" t="str">
        <f>IFERROR(VLOOKUP(E268,BASE_VEICULOS!$A:$B,2,0),"")</f>
        <v>TEW9A34</v>
      </c>
      <c r="H268" s="19"/>
      <c r="I268" s="20">
        <f t="shared" si="2"/>
        <v>46082</v>
      </c>
    </row>
    <row r="269" ht="22.5" hidden="1" customHeight="1">
      <c r="A269" s="5">
        <v>46093.0</v>
      </c>
      <c r="B269" s="6">
        <f t="shared" si="1"/>
        <v>11</v>
      </c>
      <c r="C269" s="7" t="s">
        <v>32</v>
      </c>
      <c r="D269" s="8">
        <v>80.0</v>
      </c>
      <c r="E269" s="7" t="s">
        <v>28</v>
      </c>
      <c r="F269" s="10" t="str">
        <f>VLOOKUP(E269,BASE_VEICULOS!A:G,7,0)</f>
        <v>#N/A</v>
      </c>
      <c r="G269" s="11" t="str">
        <f>IFERROR(VLOOKUP(E269,BASE_VEICULOS!$A:$B,2,0),"")</f>
        <v/>
      </c>
      <c r="H269" s="19"/>
      <c r="I269" s="20">
        <f t="shared" si="2"/>
        <v>46082</v>
      </c>
    </row>
    <row r="270" ht="22.5" hidden="1" customHeight="1">
      <c r="A270" s="5">
        <v>46093.0</v>
      </c>
      <c r="B270" s="6">
        <f t="shared" si="1"/>
        <v>11</v>
      </c>
      <c r="C270" s="7" t="s">
        <v>32</v>
      </c>
      <c r="D270" s="8">
        <v>50.0</v>
      </c>
      <c r="E270" s="7" t="s">
        <v>21</v>
      </c>
      <c r="F270" s="10" t="str">
        <f>VLOOKUP(E270,BASE_VEICULOS!A:G,7,0)</f>
        <v>PROF - 07001 - MANUTENÇÃO PREDIAL- PROFARMA-2025</v>
      </c>
      <c r="G270" s="11" t="str">
        <f>IFERROR(VLOOKUP(E270,BASE_VEICULOS!$A:$B,2,0),"")</f>
        <v>TEW9A33</v>
      </c>
      <c r="H270" s="19"/>
      <c r="I270" s="20">
        <f t="shared" si="2"/>
        <v>46082</v>
      </c>
    </row>
    <row r="271" ht="22.5" hidden="1" customHeight="1">
      <c r="A271" s="5">
        <v>46093.0</v>
      </c>
      <c r="B271" s="6">
        <f t="shared" si="1"/>
        <v>11</v>
      </c>
      <c r="C271" s="7" t="s">
        <v>32</v>
      </c>
      <c r="D271" s="8">
        <v>100.0</v>
      </c>
      <c r="E271" s="7" t="s">
        <v>17</v>
      </c>
      <c r="F271" s="10" t="str">
        <f>VLOOKUP(E271,BASE_VEICULOS!A:G,7,0)</f>
        <v>#N/A</v>
      </c>
      <c r="G271" s="11" t="str">
        <f>IFERROR(VLOOKUP(E271,BASE_VEICULOS!$A:$B,2,0),"")</f>
        <v/>
      </c>
      <c r="H271" s="19"/>
      <c r="I271" s="20">
        <f t="shared" si="2"/>
        <v>46082</v>
      </c>
    </row>
    <row r="272" ht="22.5" hidden="1" customHeight="1">
      <c r="A272" s="5">
        <v>46093.0</v>
      </c>
      <c r="B272" s="6">
        <f t="shared" si="1"/>
        <v>11</v>
      </c>
      <c r="C272" s="7" t="s">
        <v>32</v>
      </c>
      <c r="D272" s="8">
        <v>80.0</v>
      </c>
      <c r="E272" s="7" t="s">
        <v>19</v>
      </c>
      <c r="F272" s="10" t="str">
        <f>VLOOKUP(E272,BASE_VEICULOS!A:G,7,0)</f>
        <v>PROF - 07001 - MANUTENÇÃO PREDIAL- PROFARMA-2025</v>
      </c>
      <c r="G272" s="11" t="str">
        <f>IFERROR(VLOOKUP(E272,BASE_VEICULOS!$A:$B,2,0),"")</f>
        <v>TEW9A24</v>
      </c>
      <c r="H272" s="19"/>
      <c r="I272" s="20">
        <f t="shared" si="2"/>
        <v>46082</v>
      </c>
    </row>
    <row r="273" ht="22.5" hidden="1" customHeight="1">
      <c r="A273" s="5">
        <v>46093.0</v>
      </c>
      <c r="B273" s="6">
        <f t="shared" si="1"/>
        <v>11</v>
      </c>
      <c r="C273" s="7" t="s">
        <v>32</v>
      </c>
      <c r="D273" s="8">
        <v>140.0</v>
      </c>
      <c r="E273" s="7" t="s">
        <v>33</v>
      </c>
      <c r="F273" s="10" t="str">
        <f>VLOOKUP(E273,BASE_VEICULOS!A:G,7,0)</f>
        <v>PROF - 07001 - MANUTENÇÃO PREDIAL- PROFARMA-2025</v>
      </c>
      <c r="G273" s="11" t="str">
        <f>IFERROR(VLOOKUP(E273,BASE_VEICULOS!$A:$B,2,0),"")</f>
        <v>TEW9A30</v>
      </c>
      <c r="H273" s="19"/>
      <c r="I273" s="20">
        <f t="shared" si="2"/>
        <v>46082</v>
      </c>
    </row>
    <row r="274" ht="22.5" hidden="1" customHeight="1">
      <c r="A274" s="5">
        <v>46093.0</v>
      </c>
      <c r="B274" s="6">
        <f t="shared" si="1"/>
        <v>11</v>
      </c>
      <c r="C274" s="7" t="s">
        <v>32</v>
      </c>
      <c r="D274" s="8">
        <v>120.0</v>
      </c>
      <c r="E274" s="7" t="s">
        <v>25</v>
      </c>
      <c r="F274" s="10" t="str">
        <f>VLOOKUP(E274,BASE_VEICULOS!A:G,7,0)</f>
        <v>PROF - 07001 - MANUTENÇÃO PREDIAL- PROFARMA-2025</v>
      </c>
      <c r="G274" s="11" t="str">
        <f>IFERROR(VLOOKUP(E274,BASE_VEICULOS!$A:$B,2,0),"")</f>
        <v>TEW9A26</v>
      </c>
      <c r="H274" s="19"/>
      <c r="I274" s="20">
        <f t="shared" si="2"/>
        <v>46082</v>
      </c>
    </row>
    <row r="275" ht="22.5" hidden="1" customHeight="1">
      <c r="A275" s="5">
        <v>46093.0</v>
      </c>
      <c r="B275" s="6">
        <f t="shared" si="1"/>
        <v>11</v>
      </c>
      <c r="C275" s="7" t="s">
        <v>32</v>
      </c>
      <c r="D275" s="8">
        <v>80.0</v>
      </c>
      <c r="E275" s="7" t="s">
        <v>29</v>
      </c>
      <c r="F275" s="10" t="str">
        <f>VLOOKUP(E275,BASE_VEICULOS!A:G,7,0)</f>
        <v>PROF - 07001 - MANUTENÇÃO PREDIAL- PROFARMA-2025</v>
      </c>
      <c r="G275" s="11" t="str">
        <f>IFERROR(VLOOKUP(E275,BASE_VEICULOS!$A:$B,2,0),"")</f>
        <v>TEQ2I74</v>
      </c>
      <c r="H275" s="19"/>
      <c r="I275" s="20">
        <f t="shared" si="2"/>
        <v>46082</v>
      </c>
    </row>
    <row r="276" ht="22.5" hidden="1" customHeight="1">
      <c r="A276" s="5">
        <v>46093.0</v>
      </c>
      <c r="B276" s="6">
        <f t="shared" si="1"/>
        <v>11</v>
      </c>
      <c r="C276" s="7" t="s">
        <v>32</v>
      </c>
      <c r="D276" s="8">
        <v>50.0</v>
      </c>
      <c r="E276" s="7" t="s">
        <v>22</v>
      </c>
      <c r="F276" s="10" t="str">
        <f>VLOOKUP(E276,BASE_VEICULOS!A:G,7,0)</f>
        <v>PROF - 07001 - MANUTENÇÃO PREDIAL- PROFARMA-2025</v>
      </c>
      <c r="G276" s="11" t="str">
        <f>IFERROR(VLOOKUP(E276,BASE_VEICULOS!$A:$B,2,0),"")</f>
        <v>TET5H37</v>
      </c>
      <c r="H276" s="19"/>
      <c r="I276" s="20">
        <f t="shared" si="2"/>
        <v>46082</v>
      </c>
    </row>
    <row r="277" ht="22.5" hidden="1" customHeight="1">
      <c r="A277" s="5">
        <v>46093.0</v>
      </c>
      <c r="B277" s="6">
        <f t="shared" si="1"/>
        <v>11</v>
      </c>
      <c r="C277" s="7" t="s">
        <v>32</v>
      </c>
      <c r="D277" s="8">
        <v>100.0</v>
      </c>
      <c r="E277" s="7" t="s">
        <v>24</v>
      </c>
      <c r="F277" s="10" t="str">
        <f>VLOOKUP(E277,BASE_VEICULOS!A:G,7,0)</f>
        <v>PROF - 07001 - MANUTENÇÃO PREDIAL- PROFARMA-2025</v>
      </c>
      <c r="G277" s="11" t="str">
        <f>IFERROR(VLOOKUP(E277,BASE_VEICULOS!$A:$B,2,0),"")</f>
        <v>TEW9A23</v>
      </c>
      <c r="H277" s="19"/>
      <c r="I277" s="20">
        <f t="shared" si="2"/>
        <v>46082</v>
      </c>
    </row>
    <row r="278" ht="22.5" hidden="1" customHeight="1">
      <c r="A278" s="5">
        <v>46093.0</v>
      </c>
      <c r="B278" s="6">
        <f t="shared" si="1"/>
        <v>11</v>
      </c>
      <c r="C278" s="7" t="s">
        <v>32</v>
      </c>
      <c r="D278" s="8">
        <v>50.0</v>
      </c>
      <c r="E278" s="7" t="s">
        <v>23</v>
      </c>
      <c r="F278" s="10" t="str">
        <f>VLOOKUP(E278,BASE_VEICULOS!A:G,7,0)</f>
        <v>PROF - 07001 - MANUTENÇÃO PREDIAL- PROFARMA-2025</v>
      </c>
      <c r="G278" s="11" t="str">
        <f>IFERROR(VLOOKUP(E278,BASE_VEICULOS!$A:$B,2,0),"")</f>
        <v>TEH3I02</v>
      </c>
      <c r="H278" s="19"/>
      <c r="I278" s="20">
        <f t="shared" si="2"/>
        <v>46082</v>
      </c>
    </row>
    <row r="279" ht="22.5" hidden="1" customHeight="1">
      <c r="A279" s="5">
        <v>46093.0</v>
      </c>
      <c r="B279" s="6">
        <f t="shared" si="1"/>
        <v>11</v>
      </c>
      <c r="C279" s="7" t="s">
        <v>32</v>
      </c>
      <c r="D279" s="8">
        <v>170.0</v>
      </c>
      <c r="E279" s="7" t="s">
        <v>13</v>
      </c>
      <c r="F279" s="10" t="str">
        <f>VLOOKUP(E279,BASE_VEICULOS!A:G,7,0)</f>
        <v>FAC - 140005 - SPOT MANUTENÇÃO DPSP 2025</v>
      </c>
      <c r="G279" s="11" t="str">
        <f>IFERROR(VLOOKUP(E279,BASE_VEICULOS!$A:$B,2,0),"")</f>
        <v>FGO3C61</v>
      </c>
      <c r="H279" s="19"/>
      <c r="I279" s="20">
        <f t="shared" si="2"/>
        <v>46082</v>
      </c>
    </row>
    <row r="280" ht="22.5" hidden="1" customHeight="1">
      <c r="A280" s="5">
        <v>46093.0</v>
      </c>
      <c r="B280" s="6">
        <f t="shared" si="1"/>
        <v>11</v>
      </c>
      <c r="C280" s="7" t="s">
        <v>32</v>
      </c>
      <c r="D280" s="8">
        <v>80.0</v>
      </c>
      <c r="E280" s="7" t="s">
        <v>16</v>
      </c>
      <c r="F280" s="10" t="str">
        <f>VLOOKUP(E280,BASE_VEICULOS!A:G,7,0)</f>
        <v>FAC - 140005 - SPOT MANUTENÇÃO DPSP 2025</v>
      </c>
      <c r="G280" s="11" t="str">
        <f>IFERROR(VLOOKUP(E280,BASE_VEICULOS!$A:$B,2,0),"")</f>
        <v>TEW9A27</v>
      </c>
      <c r="H280" s="19"/>
      <c r="I280" s="20">
        <f t="shared" si="2"/>
        <v>46082</v>
      </c>
    </row>
    <row r="281" ht="22.5" hidden="1" customHeight="1">
      <c r="A281" s="5">
        <v>46093.0</v>
      </c>
      <c r="B281" s="6">
        <f t="shared" si="1"/>
        <v>11</v>
      </c>
      <c r="C281" s="7" t="s">
        <v>32</v>
      </c>
      <c r="D281" s="8">
        <v>100.0</v>
      </c>
      <c r="E281" s="7" t="s">
        <v>30</v>
      </c>
      <c r="F281" s="10" t="str">
        <f>VLOOKUP(E281,BASE_VEICULOS!A:G,7,0)</f>
        <v>#N/A</v>
      </c>
      <c r="G281" s="11" t="str">
        <f>IFERROR(VLOOKUP(E281,BASE_VEICULOS!$A:$B,2,0),"")</f>
        <v/>
      </c>
      <c r="H281" s="19"/>
      <c r="I281" s="20">
        <f t="shared" si="2"/>
        <v>46082</v>
      </c>
    </row>
    <row r="282" ht="22.5" hidden="1" customHeight="1">
      <c r="A282" s="5">
        <v>46093.0</v>
      </c>
      <c r="B282" s="6">
        <f t="shared" si="1"/>
        <v>11</v>
      </c>
      <c r="C282" s="7" t="s">
        <v>32</v>
      </c>
      <c r="D282" s="8">
        <v>200.0</v>
      </c>
      <c r="E282" s="7" t="s">
        <v>12</v>
      </c>
      <c r="F282" s="10" t="str">
        <f>VLOOKUP(E282,BASE_VEICULOS!A:G,7,0)</f>
        <v>FAC - 140004 - MANUTENÇÃO PREDIAL DPSP 2025</v>
      </c>
      <c r="G282" s="11" t="str">
        <f>IFERROR(VLOOKUP(E282,BASE_VEICULOS!$A:$B,2,0),"")</f>
        <v>FIL8C14</v>
      </c>
      <c r="H282" s="19"/>
      <c r="I282" s="20">
        <f t="shared" si="2"/>
        <v>46082</v>
      </c>
    </row>
    <row r="283" ht="22.5" hidden="1" customHeight="1">
      <c r="A283" s="5">
        <v>46093.0</v>
      </c>
      <c r="B283" s="6">
        <f t="shared" si="1"/>
        <v>11</v>
      </c>
      <c r="C283" s="7" t="s">
        <v>32</v>
      </c>
      <c r="D283" s="8">
        <v>100.0</v>
      </c>
      <c r="E283" s="7" t="s">
        <v>18</v>
      </c>
      <c r="F283" s="10" t="str">
        <f>VLOOKUP(E283,BASE_VEICULOS!A:G,7,0)</f>
        <v>FAC - 140004 - MANUTENÇÃO PREDIAL DPSP 2025</v>
      </c>
      <c r="G283" s="11" t="str">
        <f>IFERROR(VLOOKUP(E283,BASE_VEICULOS!$A:$B,2,0),"")</f>
        <v>TEW9A29</v>
      </c>
      <c r="H283" s="19"/>
      <c r="I283" s="20">
        <f t="shared" si="2"/>
        <v>46082</v>
      </c>
    </row>
    <row r="284" ht="22.5" hidden="1" customHeight="1">
      <c r="A284" s="5">
        <v>46093.0</v>
      </c>
      <c r="B284" s="6">
        <f t="shared" si="1"/>
        <v>11</v>
      </c>
      <c r="C284" s="7" t="s">
        <v>32</v>
      </c>
      <c r="D284" s="8">
        <v>100.0</v>
      </c>
      <c r="E284" s="7" t="s">
        <v>15</v>
      </c>
      <c r="F284" s="10" t="str">
        <f>VLOOKUP(E284,BASE_VEICULOS!A:G,7,0)</f>
        <v>FAC - 140005 - SPOT MANUTENÇÃO DPSP 2025</v>
      </c>
      <c r="G284" s="11" t="str">
        <f>IFERROR(VLOOKUP(E284,BASE_VEICULOS!$A:$B,2,0),"")</f>
        <v>EWH1B84</v>
      </c>
      <c r="H284" s="19"/>
      <c r="I284" s="20">
        <f t="shared" si="2"/>
        <v>46082</v>
      </c>
    </row>
    <row r="285" ht="22.5" hidden="1" customHeight="1">
      <c r="A285" s="5">
        <v>46094.0</v>
      </c>
      <c r="B285" s="6">
        <f t="shared" si="1"/>
        <v>11</v>
      </c>
      <c r="C285" s="7" t="s">
        <v>32</v>
      </c>
      <c r="D285" s="8">
        <v>50.02</v>
      </c>
      <c r="E285" s="7" t="s">
        <v>10</v>
      </c>
      <c r="F285" s="10" t="str">
        <f>VLOOKUP(E285,BASE_VEICULOS!A:G,7,0)</f>
        <v>FAC - 140004 - MANUTENÇÃO PREDIAL DPSP 2025</v>
      </c>
      <c r="G285" s="11" t="str">
        <f>IFERROR(VLOOKUP(E285,BASE_VEICULOS!$A:$B,2,0),"")</f>
        <v>TEW9A25</v>
      </c>
      <c r="H285" s="19"/>
      <c r="I285" s="20">
        <f t="shared" si="2"/>
        <v>46082</v>
      </c>
    </row>
    <row r="286" ht="22.5" hidden="1" customHeight="1">
      <c r="A286" s="5">
        <v>46094.0</v>
      </c>
      <c r="B286" s="6">
        <f t="shared" si="1"/>
        <v>11</v>
      </c>
      <c r="C286" s="7" t="s">
        <v>32</v>
      </c>
      <c r="D286" s="8">
        <v>70.0</v>
      </c>
      <c r="E286" s="7" t="s">
        <v>20</v>
      </c>
      <c r="F286" s="10" t="str">
        <f>VLOOKUP(E286,BASE_VEICULOS!A:G,7,0)</f>
        <v>PROF - 07001 - MANUTENÇÃO PREDIAL- PROFARMA-2025</v>
      </c>
      <c r="G286" s="11" t="str">
        <f>IFERROR(VLOOKUP(E286,BASE_VEICULOS!$A:$B,2,0),"")</f>
        <v>TEW9A34</v>
      </c>
      <c r="H286" s="19"/>
      <c r="I286" s="20">
        <f t="shared" si="2"/>
        <v>46082</v>
      </c>
    </row>
    <row r="287" ht="22.5" hidden="1" customHeight="1">
      <c r="A287" s="5">
        <v>46094.0</v>
      </c>
      <c r="B287" s="6">
        <f t="shared" si="1"/>
        <v>11</v>
      </c>
      <c r="C287" s="7" t="s">
        <v>32</v>
      </c>
      <c r="D287" s="8">
        <v>190.0</v>
      </c>
      <c r="E287" s="7" t="s">
        <v>23</v>
      </c>
      <c r="F287" s="10" t="str">
        <f>VLOOKUP(E287,BASE_VEICULOS!A:G,7,0)</f>
        <v>PROF - 07001 - MANUTENÇÃO PREDIAL- PROFARMA-2025</v>
      </c>
      <c r="G287" s="11" t="str">
        <f>IFERROR(VLOOKUP(E287,BASE_VEICULOS!$A:$B,2,0),"")</f>
        <v>TEH3I02</v>
      </c>
      <c r="H287" s="19"/>
      <c r="I287" s="20">
        <f t="shared" si="2"/>
        <v>46082</v>
      </c>
    </row>
    <row r="288" ht="22.5" hidden="1" customHeight="1">
      <c r="A288" s="5">
        <v>46094.0</v>
      </c>
      <c r="B288" s="6">
        <f t="shared" si="1"/>
        <v>11</v>
      </c>
      <c r="C288" s="7" t="s">
        <v>32</v>
      </c>
      <c r="D288" s="8">
        <v>80.0</v>
      </c>
      <c r="E288" s="7" t="s">
        <v>15</v>
      </c>
      <c r="F288" s="10" t="str">
        <f>VLOOKUP(E288,BASE_VEICULOS!A:G,7,0)</f>
        <v>FAC - 140005 - SPOT MANUTENÇÃO DPSP 2025</v>
      </c>
      <c r="G288" s="11" t="str">
        <f>IFERROR(VLOOKUP(E288,BASE_VEICULOS!$A:$B,2,0),"")</f>
        <v>EWH1B84</v>
      </c>
      <c r="H288" s="19"/>
      <c r="I288" s="20">
        <f t="shared" si="2"/>
        <v>46082</v>
      </c>
    </row>
    <row r="289" ht="22.5" hidden="1" customHeight="1">
      <c r="A289" s="5">
        <v>46094.0</v>
      </c>
      <c r="B289" s="6">
        <f t="shared" si="1"/>
        <v>11</v>
      </c>
      <c r="C289" s="7" t="s">
        <v>32</v>
      </c>
      <c r="D289" s="8">
        <v>120.0</v>
      </c>
      <c r="E289" s="7" t="s">
        <v>17</v>
      </c>
      <c r="F289" s="10" t="str">
        <f>VLOOKUP(E289,BASE_VEICULOS!A:G,7,0)</f>
        <v>#N/A</v>
      </c>
      <c r="G289" s="11" t="str">
        <f>IFERROR(VLOOKUP(E289,BASE_VEICULOS!$A:$B,2,0),"")</f>
        <v/>
      </c>
      <c r="H289" s="19"/>
      <c r="I289" s="20">
        <f t="shared" si="2"/>
        <v>46082</v>
      </c>
    </row>
    <row r="290" ht="22.5" hidden="1" customHeight="1">
      <c r="A290" s="5">
        <v>46094.0</v>
      </c>
      <c r="B290" s="6">
        <f t="shared" si="1"/>
        <v>11</v>
      </c>
      <c r="C290" s="7" t="s">
        <v>32</v>
      </c>
      <c r="D290" s="8">
        <v>80.0</v>
      </c>
      <c r="E290" s="7" t="s">
        <v>14</v>
      </c>
      <c r="F290" s="10" t="str">
        <f>VLOOKUP(E290,BASE_VEICULOS!A:G,7,0)</f>
        <v>FAC - 140004 - MANUTENÇÃO PREDIAL DPSP 2025</v>
      </c>
      <c r="G290" s="11" t="str">
        <f>IFERROR(VLOOKUP(E290,BASE_VEICULOS!$A:$B,2,0),"")</f>
        <v>FOK8A73</v>
      </c>
      <c r="H290" s="19"/>
      <c r="I290" s="20">
        <f t="shared" si="2"/>
        <v>46082</v>
      </c>
    </row>
    <row r="291" ht="22.5" hidden="1" customHeight="1">
      <c r="A291" s="5">
        <v>46094.0</v>
      </c>
      <c r="B291" s="6">
        <f t="shared" si="1"/>
        <v>11</v>
      </c>
      <c r="C291" s="7" t="s">
        <v>32</v>
      </c>
      <c r="D291" s="22"/>
      <c r="E291" s="7" t="s">
        <v>28</v>
      </c>
      <c r="F291" s="10" t="str">
        <f>VLOOKUP(E291,BASE_VEICULOS!A:G,7,0)</f>
        <v>#N/A</v>
      </c>
      <c r="G291" s="11" t="str">
        <f>IFERROR(VLOOKUP(E291,BASE_VEICULOS!$A:$B,2,0),"")</f>
        <v/>
      </c>
      <c r="H291" s="19"/>
      <c r="I291" s="20">
        <f t="shared" si="2"/>
        <v>46082</v>
      </c>
    </row>
    <row r="292" ht="22.5" hidden="1" customHeight="1">
      <c r="A292" s="5">
        <v>46094.0</v>
      </c>
      <c r="B292" s="6">
        <f t="shared" si="1"/>
        <v>11</v>
      </c>
      <c r="C292" s="7" t="s">
        <v>32</v>
      </c>
      <c r="D292" s="22"/>
      <c r="E292" s="7" t="s">
        <v>29</v>
      </c>
      <c r="F292" s="10" t="str">
        <f>VLOOKUP(E292,BASE_VEICULOS!A:G,7,0)</f>
        <v>PROF - 07001 - MANUTENÇÃO PREDIAL- PROFARMA-2025</v>
      </c>
      <c r="G292" s="11" t="str">
        <f>IFERROR(VLOOKUP(E292,BASE_VEICULOS!$A:$B,2,0),"")</f>
        <v>TEQ2I74</v>
      </c>
      <c r="H292" s="19"/>
      <c r="I292" s="20">
        <f t="shared" si="2"/>
        <v>46082</v>
      </c>
    </row>
    <row r="293" ht="22.5" hidden="1" customHeight="1">
      <c r="A293" s="5">
        <v>46094.0</v>
      </c>
      <c r="B293" s="6">
        <f t="shared" si="1"/>
        <v>11</v>
      </c>
      <c r="C293" s="7" t="s">
        <v>32</v>
      </c>
      <c r="D293" s="22"/>
      <c r="E293" s="7" t="s">
        <v>24</v>
      </c>
      <c r="F293" s="10" t="str">
        <f>VLOOKUP(E293,BASE_VEICULOS!A:G,7,0)</f>
        <v>PROF - 07001 - MANUTENÇÃO PREDIAL- PROFARMA-2025</v>
      </c>
      <c r="G293" s="11" t="str">
        <f>IFERROR(VLOOKUP(E293,BASE_VEICULOS!$A:$B,2,0),"")</f>
        <v>TEW9A23</v>
      </c>
      <c r="H293" s="19"/>
      <c r="I293" s="20">
        <f t="shared" si="2"/>
        <v>46082</v>
      </c>
    </row>
    <row r="294" ht="22.5" hidden="1" customHeight="1">
      <c r="A294" s="5">
        <v>46094.0</v>
      </c>
      <c r="B294" s="6">
        <f t="shared" si="1"/>
        <v>11</v>
      </c>
      <c r="C294" s="7" t="s">
        <v>32</v>
      </c>
      <c r="D294" s="22"/>
      <c r="E294" s="7" t="s">
        <v>22</v>
      </c>
      <c r="F294" s="10" t="str">
        <f>VLOOKUP(E294,BASE_VEICULOS!A:G,7,0)</f>
        <v>PROF - 07001 - MANUTENÇÃO PREDIAL- PROFARMA-2025</v>
      </c>
      <c r="G294" s="11" t="str">
        <f>IFERROR(VLOOKUP(E294,BASE_VEICULOS!$A:$B,2,0),"")</f>
        <v>TET5H37</v>
      </c>
      <c r="H294" s="19"/>
      <c r="I294" s="20">
        <f t="shared" si="2"/>
        <v>46082</v>
      </c>
    </row>
    <row r="295" ht="22.5" hidden="1" customHeight="1">
      <c r="A295" s="5">
        <v>46094.0</v>
      </c>
      <c r="B295" s="6">
        <f t="shared" si="1"/>
        <v>11</v>
      </c>
      <c r="C295" s="7" t="s">
        <v>32</v>
      </c>
      <c r="D295" s="22"/>
      <c r="E295" s="7" t="s">
        <v>13</v>
      </c>
      <c r="F295" s="10" t="str">
        <f>VLOOKUP(E295,BASE_VEICULOS!A:G,7,0)</f>
        <v>FAC - 140005 - SPOT MANUTENÇÃO DPSP 2025</v>
      </c>
      <c r="G295" s="11" t="str">
        <f>IFERROR(VLOOKUP(E295,BASE_VEICULOS!$A:$B,2,0),"")</f>
        <v>FGO3C61</v>
      </c>
      <c r="H295" s="19"/>
      <c r="I295" s="20">
        <f t="shared" si="2"/>
        <v>46082</v>
      </c>
    </row>
    <row r="296" ht="22.5" hidden="1" customHeight="1">
      <c r="A296" s="5">
        <v>46094.0</v>
      </c>
      <c r="B296" s="6">
        <f t="shared" si="1"/>
        <v>11</v>
      </c>
      <c r="C296" s="7" t="s">
        <v>32</v>
      </c>
      <c r="D296" s="22"/>
      <c r="E296" s="7" t="s">
        <v>25</v>
      </c>
      <c r="F296" s="10" t="str">
        <f>VLOOKUP(E296,BASE_VEICULOS!A:G,7,0)</f>
        <v>PROF - 07001 - MANUTENÇÃO PREDIAL- PROFARMA-2025</v>
      </c>
      <c r="G296" s="11" t="str">
        <f>IFERROR(VLOOKUP(E296,BASE_VEICULOS!$A:$B,2,0),"")</f>
        <v>TEW9A26</v>
      </c>
      <c r="H296" s="19"/>
      <c r="I296" s="20">
        <f t="shared" si="2"/>
        <v>46082</v>
      </c>
    </row>
    <row r="297" ht="22.5" hidden="1" customHeight="1">
      <c r="A297" s="5">
        <v>46094.0</v>
      </c>
      <c r="B297" s="6">
        <f t="shared" si="1"/>
        <v>11</v>
      </c>
      <c r="C297" s="7" t="s">
        <v>32</v>
      </c>
      <c r="D297" s="22"/>
      <c r="E297" s="7" t="s">
        <v>33</v>
      </c>
      <c r="F297" s="10" t="str">
        <f>VLOOKUP(E297,BASE_VEICULOS!A:G,7,0)</f>
        <v>PROF - 07001 - MANUTENÇÃO PREDIAL- PROFARMA-2025</v>
      </c>
      <c r="G297" s="11" t="str">
        <f>IFERROR(VLOOKUP(E297,BASE_VEICULOS!$A:$B,2,0),"")</f>
        <v>TEW9A30</v>
      </c>
      <c r="H297" s="19"/>
      <c r="I297" s="20">
        <f t="shared" si="2"/>
        <v>46082</v>
      </c>
    </row>
    <row r="298" ht="22.5" hidden="1" customHeight="1">
      <c r="A298" s="5">
        <v>46094.0</v>
      </c>
      <c r="B298" s="6">
        <f t="shared" si="1"/>
        <v>11</v>
      </c>
      <c r="C298" s="7" t="s">
        <v>32</v>
      </c>
      <c r="D298" s="22"/>
      <c r="E298" s="7" t="s">
        <v>30</v>
      </c>
      <c r="F298" s="10" t="str">
        <f>VLOOKUP(E298,BASE_VEICULOS!A:G,7,0)</f>
        <v>#N/A</v>
      </c>
      <c r="G298" s="11" t="str">
        <f>IFERROR(VLOOKUP(E298,BASE_VEICULOS!$A:$B,2,0),"")</f>
        <v/>
      </c>
      <c r="H298" s="19"/>
      <c r="I298" s="20">
        <f t="shared" si="2"/>
        <v>46082</v>
      </c>
    </row>
    <row r="299" ht="22.5" hidden="1" customHeight="1">
      <c r="A299" s="5">
        <v>46094.0</v>
      </c>
      <c r="B299" s="6">
        <f t="shared" si="1"/>
        <v>11</v>
      </c>
      <c r="C299" s="7" t="s">
        <v>32</v>
      </c>
      <c r="D299" s="22"/>
      <c r="E299" s="7" t="s">
        <v>11</v>
      </c>
      <c r="F299" s="10" t="str">
        <f>VLOOKUP(E299,BASE_VEICULOS!A:G,7,0)</f>
        <v>PROF - 07001 - MANUTENÇÃO PREDIAL- PROFARMA-2025</v>
      </c>
      <c r="G299" s="11" t="str">
        <f>IFERROR(VLOOKUP(E299,BASE_VEICULOS!$A:$B,2,0),"")</f>
        <v>TEW9A28</v>
      </c>
      <c r="H299" s="19"/>
      <c r="I299" s="20">
        <f t="shared" si="2"/>
        <v>46082</v>
      </c>
    </row>
    <row r="300" ht="22.5" hidden="1" customHeight="1">
      <c r="A300" s="5">
        <v>46095.0</v>
      </c>
      <c r="B300" s="6">
        <f t="shared" si="1"/>
        <v>11</v>
      </c>
      <c r="C300" s="7" t="s">
        <v>32</v>
      </c>
      <c r="D300" s="22"/>
      <c r="E300" s="7" t="s">
        <v>19</v>
      </c>
      <c r="F300" s="10" t="str">
        <f>VLOOKUP(E300,BASE_VEICULOS!A:G,7,0)</f>
        <v>PROF - 07001 - MANUTENÇÃO PREDIAL- PROFARMA-2025</v>
      </c>
      <c r="G300" s="11" t="str">
        <f>IFERROR(VLOOKUP(E300,BASE_VEICULOS!$A:$B,2,0),"")</f>
        <v>TEW9A24</v>
      </c>
      <c r="H300" s="19"/>
      <c r="I300" s="20">
        <f t="shared" si="2"/>
        <v>46082</v>
      </c>
    </row>
    <row r="301" ht="22.5" hidden="1" customHeight="1">
      <c r="A301" s="5">
        <v>46095.0</v>
      </c>
      <c r="B301" s="6">
        <f t="shared" si="1"/>
        <v>11</v>
      </c>
      <c r="C301" s="7" t="s">
        <v>32</v>
      </c>
      <c r="D301" s="22"/>
      <c r="E301" s="7" t="s">
        <v>23</v>
      </c>
      <c r="F301" s="10" t="str">
        <f>VLOOKUP(E301,BASE_VEICULOS!A:G,7,0)</f>
        <v>PROF - 07001 - MANUTENÇÃO PREDIAL- PROFARMA-2025</v>
      </c>
      <c r="G301" s="11" t="str">
        <f>IFERROR(VLOOKUP(E301,BASE_VEICULOS!$A:$B,2,0),"")</f>
        <v>TEH3I02</v>
      </c>
      <c r="H301" s="19"/>
      <c r="I301" s="20">
        <f t="shared" si="2"/>
        <v>46082</v>
      </c>
    </row>
    <row r="302" ht="22.5" hidden="1" customHeight="1">
      <c r="A302" s="5">
        <v>46095.0</v>
      </c>
      <c r="B302" s="6">
        <f t="shared" si="1"/>
        <v>11</v>
      </c>
      <c r="C302" s="7" t="s">
        <v>32</v>
      </c>
      <c r="D302" s="22"/>
      <c r="E302" s="7" t="s">
        <v>22</v>
      </c>
      <c r="F302" s="10" t="str">
        <f>VLOOKUP(E302,BASE_VEICULOS!A:G,7,0)</f>
        <v>PROF - 07001 - MANUTENÇÃO PREDIAL- PROFARMA-2025</v>
      </c>
      <c r="G302" s="11" t="str">
        <f>IFERROR(VLOOKUP(E302,BASE_VEICULOS!$A:$B,2,0),"")</f>
        <v>TET5H37</v>
      </c>
      <c r="H302" s="19"/>
      <c r="I302" s="20">
        <f t="shared" si="2"/>
        <v>46082</v>
      </c>
    </row>
    <row r="303" ht="22.5" hidden="1" customHeight="1">
      <c r="A303" s="5">
        <v>46095.0</v>
      </c>
      <c r="B303" s="6">
        <f t="shared" si="1"/>
        <v>11</v>
      </c>
      <c r="C303" s="7" t="s">
        <v>32</v>
      </c>
      <c r="D303" s="22"/>
      <c r="E303" s="7" t="s">
        <v>11</v>
      </c>
      <c r="F303" s="10" t="str">
        <f>VLOOKUP(E303,BASE_VEICULOS!A:G,7,0)</f>
        <v>PROF - 07001 - MANUTENÇÃO PREDIAL- PROFARMA-2025</v>
      </c>
      <c r="G303" s="11" t="str">
        <f>IFERROR(VLOOKUP(E303,BASE_VEICULOS!$A:$B,2,0),"")</f>
        <v>TEW9A28</v>
      </c>
      <c r="H303" s="19"/>
      <c r="I303" s="20">
        <f t="shared" si="2"/>
        <v>46082</v>
      </c>
    </row>
    <row r="304" ht="22.5" hidden="1" customHeight="1">
      <c r="A304" s="5">
        <v>46096.0</v>
      </c>
      <c r="B304" s="6">
        <f t="shared" si="1"/>
        <v>11</v>
      </c>
      <c r="C304" s="7" t="s">
        <v>32</v>
      </c>
      <c r="D304" s="22"/>
      <c r="E304" s="7" t="s">
        <v>19</v>
      </c>
      <c r="F304" s="10" t="str">
        <f>VLOOKUP(E304,BASE_VEICULOS!A:G,7,0)</f>
        <v>PROF - 07001 - MANUTENÇÃO PREDIAL- PROFARMA-2025</v>
      </c>
      <c r="G304" s="11" t="str">
        <f>IFERROR(VLOOKUP(E304,BASE_VEICULOS!$A:$B,2,0),"")</f>
        <v>TEW9A24</v>
      </c>
      <c r="H304" s="19"/>
      <c r="I304" s="20">
        <f t="shared" si="2"/>
        <v>46082</v>
      </c>
    </row>
    <row r="305" ht="22.5" hidden="1" customHeight="1">
      <c r="A305" s="5">
        <v>46096.0</v>
      </c>
      <c r="B305" s="6">
        <f t="shared" si="1"/>
        <v>11</v>
      </c>
      <c r="C305" s="7" t="s">
        <v>32</v>
      </c>
      <c r="D305" s="22"/>
      <c r="E305" s="7" t="s">
        <v>22</v>
      </c>
      <c r="F305" s="10" t="str">
        <f>VLOOKUP(E305,BASE_VEICULOS!A:G,7,0)</f>
        <v>PROF - 07001 - MANUTENÇÃO PREDIAL- PROFARMA-2025</v>
      </c>
      <c r="G305" s="11" t="str">
        <f>IFERROR(VLOOKUP(E305,BASE_VEICULOS!$A:$B,2,0),"")</f>
        <v>TET5H37</v>
      </c>
      <c r="H305" s="19"/>
      <c r="I305" s="20">
        <f t="shared" si="2"/>
        <v>46082</v>
      </c>
    </row>
    <row r="306" ht="22.5" hidden="1" customHeight="1">
      <c r="A306" s="5">
        <v>46097.0</v>
      </c>
      <c r="B306" s="6">
        <f t="shared" si="1"/>
        <v>12</v>
      </c>
      <c r="C306" s="7" t="s">
        <v>32</v>
      </c>
      <c r="D306" s="22"/>
      <c r="E306" s="7" t="s">
        <v>13</v>
      </c>
      <c r="F306" s="10" t="str">
        <f>VLOOKUP(E306,BASE_VEICULOS!A:G,7,0)</f>
        <v>FAC - 140005 - SPOT MANUTENÇÃO DPSP 2025</v>
      </c>
      <c r="G306" s="11" t="str">
        <f>IFERROR(VLOOKUP(E306,BASE_VEICULOS!$A:$B,2,0),"")</f>
        <v>FGO3C61</v>
      </c>
      <c r="H306" s="19"/>
      <c r="I306" s="20">
        <f t="shared" si="2"/>
        <v>46082</v>
      </c>
    </row>
    <row r="307" ht="22.5" hidden="1" customHeight="1">
      <c r="A307" s="5">
        <v>46097.0</v>
      </c>
      <c r="B307" s="6">
        <f t="shared" si="1"/>
        <v>12</v>
      </c>
      <c r="C307" s="7" t="s">
        <v>32</v>
      </c>
      <c r="D307" s="22"/>
      <c r="E307" s="7" t="s">
        <v>17</v>
      </c>
      <c r="F307" s="10" t="str">
        <f>VLOOKUP(E307,BASE_VEICULOS!A:G,7,0)</f>
        <v>#N/A</v>
      </c>
      <c r="G307" s="11" t="str">
        <f>IFERROR(VLOOKUP(E307,BASE_VEICULOS!$A:$B,2,0),"")</f>
        <v/>
      </c>
      <c r="H307" s="19"/>
      <c r="I307" s="20">
        <f t="shared" si="2"/>
        <v>46082</v>
      </c>
    </row>
    <row r="308" ht="22.5" hidden="1" customHeight="1">
      <c r="A308" s="5">
        <v>46097.0</v>
      </c>
      <c r="B308" s="6">
        <f t="shared" si="1"/>
        <v>12</v>
      </c>
      <c r="C308" s="7" t="s">
        <v>32</v>
      </c>
      <c r="D308" s="22"/>
      <c r="E308" s="7" t="s">
        <v>25</v>
      </c>
      <c r="F308" s="10" t="str">
        <f>VLOOKUP(E308,BASE_VEICULOS!A:G,7,0)</f>
        <v>PROF - 07001 - MANUTENÇÃO PREDIAL- PROFARMA-2025</v>
      </c>
      <c r="G308" s="11" t="str">
        <f>IFERROR(VLOOKUP(E308,BASE_VEICULOS!$A:$B,2,0),"")</f>
        <v>TEW9A26</v>
      </c>
      <c r="H308" s="19"/>
      <c r="I308" s="20">
        <f t="shared" si="2"/>
        <v>46082</v>
      </c>
    </row>
    <row r="309" ht="22.5" hidden="1" customHeight="1">
      <c r="A309" s="5">
        <v>46097.0</v>
      </c>
      <c r="B309" s="6">
        <f t="shared" si="1"/>
        <v>12</v>
      </c>
      <c r="C309" s="7" t="s">
        <v>32</v>
      </c>
      <c r="D309" s="22"/>
      <c r="E309" s="7" t="s">
        <v>20</v>
      </c>
      <c r="F309" s="10" t="str">
        <f>VLOOKUP(E309,BASE_VEICULOS!A:G,7,0)</f>
        <v>PROF - 07001 - MANUTENÇÃO PREDIAL- PROFARMA-2025</v>
      </c>
      <c r="G309" s="11" t="str">
        <f>IFERROR(VLOOKUP(E309,BASE_VEICULOS!$A:$B,2,0),"")</f>
        <v>TEW9A34</v>
      </c>
      <c r="H309" s="19"/>
      <c r="I309" s="20">
        <f t="shared" si="2"/>
        <v>46082</v>
      </c>
    </row>
    <row r="310" ht="22.5" hidden="1" customHeight="1">
      <c r="A310" s="5">
        <v>46097.0</v>
      </c>
      <c r="B310" s="6">
        <f t="shared" si="1"/>
        <v>12</v>
      </c>
      <c r="C310" s="7" t="s">
        <v>32</v>
      </c>
      <c r="D310" s="22"/>
      <c r="E310" s="7" t="s">
        <v>10</v>
      </c>
      <c r="F310" s="10" t="str">
        <f>VLOOKUP(E310,BASE_VEICULOS!A:G,7,0)</f>
        <v>FAC - 140004 - MANUTENÇÃO PREDIAL DPSP 2025</v>
      </c>
      <c r="G310" s="11" t="str">
        <f>IFERROR(VLOOKUP(E310,BASE_VEICULOS!$A:$B,2,0),"")</f>
        <v>TEW9A25</v>
      </c>
      <c r="H310" s="19"/>
      <c r="I310" s="20">
        <f t="shared" si="2"/>
        <v>46082</v>
      </c>
    </row>
    <row r="311" ht="22.5" hidden="1" customHeight="1">
      <c r="A311" s="5">
        <v>46097.0</v>
      </c>
      <c r="B311" s="6">
        <f t="shared" si="1"/>
        <v>12</v>
      </c>
      <c r="C311" s="7" t="s">
        <v>32</v>
      </c>
      <c r="D311" s="22"/>
      <c r="E311" s="7" t="s">
        <v>12</v>
      </c>
      <c r="F311" s="10" t="str">
        <f>VLOOKUP(E311,BASE_VEICULOS!A:G,7,0)</f>
        <v>FAC - 140004 - MANUTENÇÃO PREDIAL DPSP 2025</v>
      </c>
      <c r="G311" s="11" t="str">
        <f>IFERROR(VLOOKUP(E311,BASE_VEICULOS!$A:$B,2,0),"")</f>
        <v>FIL8C14</v>
      </c>
      <c r="H311" s="19"/>
      <c r="I311" s="20">
        <f t="shared" si="2"/>
        <v>46082</v>
      </c>
    </row>
    <row r="312" ht="22.5" hidden="1" customHeight="1">
      <c r="A312" s="5">
        <v>46097.0</v>
      </c>
      <c r="B312" s="6">
        <f t="shared" si="1"/>
        <v>12</v>
      </c>
      <c r="C312" s="7" t="s">
        <v>32</v>
      </c>
      <c r="D312" s="22"/>
      <c r="E312" s="7" t="s">
        <v>29</v>
      </c>
      <c r="F312" s="10" t="str">
        <f>VLOOKUP(E312,BASE_VEICULOS!A:G,7,0)</f>
        <v>PROF - 07001 - MANUTENÇÃO PREDIAL- PROFARMA-2025</v>
      </c>
      <c r="G312" s="11" t="str">
        <f>IFERROR(VLOOKUP(E312,BASE_VEICULOS!$A:$B,2,0),"")</f>
        <v>TEQ2I74</v>
      </c>
      <c r="H312" s="19"/>
      <c r="I312" s="20">
        <f t="shared" si="2"/>
        <v>46082</v>
      </c>
    </row>
    <row r="313" ht="22.5" hidden="1" customHeight="1">
      <c r="A313" s="5">
        <v>46097.0</v>
      </c>
      <c r="B313" s="6">
        <f t="shared" si="1"/>
        <v>12</v>
      </c>
      <c r="C313" s="7" t="s">
        <v>32</v>
      </c>
      <c r="D313" s="22"/>
      <c r="E313" s="7" t="s">
        <v>18</v>
      </c>
      <c r="F313" s="10" t="str">
        <f>VLOOKUP(E313,BASE_VEICULOS!A:G,7,0)</f>
        <v>FAC - 140004 - MANUTENÇÃO PREDIAL DPSP 2025</v>
      </c>
      <c r="G313" s="11" t="str">
        <f>IFERROR(VLOOKUP(E313,BASE_VEICULOS!$A:$B,2,0),"")</f>
        <v>TEW9A29</v>
      </c>
      <c r="H313" s="19"/>
      <c r="I313" s="20">
        <f t="shared" si="2"/>
        <v>46082</v>
      </c>
    </row>
    <row r="314" ht="22.5" hidden="1" customHeight="1">
      <c r="A314" s="5">
        <v>46097.0</v>
      </c>
      <c r="B314" s="6">
        <f t="shared" si="1"/>
        <v>12</v>
      </c>
      <c r="C314" s="7" t="s">
        <v>32</v>
      </c>
      <c r="D314" s="22"/>
      <c r="E314" s="7" t="s">
        <v>15</v>
      </c>
      <c r="F314" s="10" t="str">
        <f>VLOOKUP(E314,BASE_VEICULOS!A:G,7,0)</f>
        <v>FAC - 140005 - SPOT MANUTENÇÃO DPSP 2025</v>
      </c>
      <c r="G314" s="11" t="str">
        <f>IFERROR(VLOOKUP(E314,BASE_VEICULOS!$A:$B,2,0),"")</f>
        <v>EWH1B84</v>
      </c>
      <c r="H314" s="19"/>
      <c r="I314" s="20">
        <f t="shared" si="2"/>
        <v>46082</v>
      </c>
    </row>
    <row r="315" ht="22.5" hidden="1" customHeight="1">
      <c r="A315" s="5">
        <v>46097.0</v>
      </c>
      <c r="B315" s="6">
        <f t="shared" si="1"/>
        <v>12</v>
      </c>
      <c r="C315" s="7" t="s">
        <v>32</v>
      </c>
      <c r="D315" s="22"/>
      <c r="E315" s="7" t="s">
        <v>30</v>
      </c>
      <c r="F315" s="10" t="str">
        <f>VLOOKUP(E315,BASE_VEICULOS!A:G,7,0)</f>
        <v>#N/A</v>
      </c>
      <c r="G315" s="11" t="str">
        <f>IFERROR(VLOOKUP(E315,BASE_VEICULOS!$A:$B,2,0),"")</f>
        <v/>
      </c>
      <c r="H315" s="19"/>
      <c r="I315" s="20">
        <f t="shared" si="2"/>
        <v>46082</v>
      </c>
    </row>
    <row r="316" ht="22.5" hidden="1" customHeight="1">
      <c r="A316" s="5">
        <v>46097.0</v>
      </c>
      <c r="B316" s="6">
        <f t="shared" si="1"/>
        <v>12</v>
      </c>
      <c r="C316" s="7" t="s">
        <v>32</v>
      </c>
      <c r="D316" s="22"/>
      <c r="E316" s="7" t="s">
        <v>33</v>
      </c>
      <c r="F316" s="10" t="str">
        <f>VLOOKUP(E316,BASE_VEICULOS!A:G,7,0)</f>
        <v>PROF - 07001 - MANUTENÇÃO PREDIAL- PROFARMA-2025</v>
      </c>
      <c r="G316" s="11" t="str">
        <f>IFERROR(VLOOKUP(E316,BASE_VEICULOS!$A:$B,2,0),"")</f>
        <v>TEW9A30</v>
      </c>
      <c r="H316" s="19"/>
      <c r="I316" s="20">
        <f t="shared" si="2"/>
        <v>46082</v>
      </c>
    </row>
    <row r="317" ht="22.5" hidden="1" customHeight="1">
      <c r="A317" s="5">
        <v>46097.0</v>
      </c>
      <c r="B317" s="6">
        <f t="shared" si="1"/>
        <v>12</v>
      </c>
      <c r="C317" s="7" t="s">
        <v>32</v>
      </c>
      <c r="D317" s="22"/>
      <c r="E317" s="7" t="s">
        <v>11</v>
      </c>
      <c r="F317" s="10" t="str">
        <f>VLOOKUP(E317,BASE_VEICULOS!A:G,7,0)</f>
        <v>PROF - 07001 - MANUTENÇÃO PREDIAL- PROFARMA-2025</v>
      </c>
      <c r="G317" s="11" t="str">
        <f>IFERROR(VLOOKUP(E317,BASE_VEICULOS!$A:$B,2,0),"")</f>
        <v>TEW9A28</v>
      </c>
      <c r="H317" s="19"/>
      <c r="I317" s="20">
        <f t="shared" si="2"/>
        <v>46082</v>
      </c>
    </row>
    <row r="318" ht="22.5" hidden="1" customHeight="1">
      <c r="A318" s="5">
        <v>46097.0</v>
      </c>
      <c r="B318" s="6">
        <f t="shared" si="1"/>
        <v>12</v>
      </c>
      <c r="C318" s="7" t="s">
        <v>32</v>
      </c>
      <c r="D318" s="22"/>
      <c r="E318" s="7" t="s">
        <v>19</v>
      </c>
      <c r="F318" s="10" t="str">
        <f>VLOOKUP(E318,BASE_VEICULOS!A:G,7,0)</f>
        <v>PROF - 07001 - MANUTENÇÃO PREDIAL- PROFARMA-2025</v>
      </c>
      <c r="G318" s="11" t="str">
        <f>IFERROR(VLOOKUP(E318,BASE_VEICULOS!$A:$B,2,0),"")</f>
        <v>TEW9A24</v>
      </c>
      <c r="H318" s="19"/>
      <c r="I318" s="20">
        <f t="shared" si="2"/>
        <v>46082</v>
      </c>
    </row>
    <row r="319" ht="22.5" hidden="1" customHeight="1">
      <c r="A319" s="5">
        <v>46097.0</v>
      </c>
      <c r="B319" s="6">
        <f t="shared" si="1"/>
        <v>12</v>
      </c>
      <c r="C319" s="7" t="s">
        <v>32</v>
      </c>
      <c r="D319" s="22"/>
      <c r="E319" s="7" t="s">
        <v>14</v>
      </c>
      <c r="F319" s="10" t="str">
        <f>VLOOKUP(E319,BASE_VEICULOS!A:G,7,0)</f>
        <v>FAC - 140004 - MANUTENÇÃO PREDIAL DPSP 2025</v>
      </c>
      <c r="G319" s="11" t="str">
        <f>IFERROR(VLOOKUP(E319,BASE_VEICULOS!$A:$B,2,0),"")</f>
        <v>FOK8A73</v>
      </c>
      <c r="H319" s="19"/>
      <c r="I319" s="20">
        <f t="shared" si="2"/>
        <v>46082</v>
      </c>
    </row>
    <row r="320" ht="22.5" hidden="1" customHeight="1">
      <c r="A320" s="5">
        <v>46097.0</v>
      </c>
      <c r="B320" s="6">
        <f t="shared" si="1"/>
        <v>12</v>
      </c>
      <c r="C320" s="7" t="s">
        <v>32</v>
      </c>
      <c r="D320" s="22"/>
      <c r="E320" s="7" t="s">
        <v>22</v>
      </c>
      <c r="F320" s="10" t="str">
        <f>VLOOKUP(E320,BASE_VEICULOS!A:G,7,0)</f>
        <v>PROF - 07001 - MANUTENÇÃO PREDIAL- PROFARMA-2025</v>
      </c>
      <c r="G320" s="11" t="str">
        <f>IFERROR(VLOOKUP(E320,BASE_VEICULOS!$A:$B,2,0),"")</f>
        <v>TET5H37</v>
      </c>
      <c r="H320" s="19"/>
      <c r="I320" s="20">
        <f t="shared" si="2"/>
        <v>46082</v>
      </c>
    </row>
    <row r="321" ht="22.5" hidden="1" customHeight="1">
      <c r="A321" s="5">
        <v>46097.0</v>
      </c>
      <c r="B321" s="6">
        <f t="shared" si="1"/>
        <v>12</v>
      </c>
      <c r="C321" s="7" t="s">
        <v>32</v>
      </c>
      <c r="D321" s="22"/>
      <c r="E321" s="7" t="s">
        <v>24</v>
      </c>
      <c r="F321" s="10" t="str">
        <f>VLOOKUP(E321,BASE_VEICULOS!A:G,7,0)</f>
        <v>PROF - 07001 - MANUTENÇÃO PREDIAL- PROFARMA-2025</v>
      </c>
      <c r="G321" s="11" t="str">
        <f>IFERROR(VLOOKUP(E321,BASE_VEICULOS!$A:$B,2,0),"")</f>
        <v>TEW9A23</v>
      </c>
      <c r="H321" s="19"/>
      <c r="I321" s="20">
        <f t="shared" si="2"/>
        <v>46082</v>
      </c>
    </row>
    <row r="322" ht="22.5" hidden="1" customHeight="1">
      <c r="A322" s="5">
        <v>46097.0</v>
      </c>
      <c r="B322" s="6">
        <f t="shared" si="1"/>
        <v>12</v>
      </c>
      <c r="C322" s="7" t="s">
        <v>32</v>
      </c>
      <c r="D322" s="22"/>
      <c r="E322" s="7" t="s">
        <v>34</v>
      </c>
      <c r="F322" s="10" t="str">
        <f>VLOOKUP(E322,BASE_VEICULOS!A:G,7,0)</f>
        <v>PROF - 07001 - MANUTENÇÃO PREDIAL- PROFARMA-2025</v>
      </c>
      <c r="G322" s="11" t="str">
        <f>IFERROR(VLOOKUP(E322,BASE_VEICULOS!$A:$B,2,0),"")</f>
        <v>SRU8D16</v>
      </c>
      <c r="H322" s="19"/>
      <c r="I322" s="20">
        <f t="shared" si="2"/>
        <v>46082</v>
      </c>
    </row>
    <row r="323" ht="22.5" hidden="1" customHeight="1">
      <c r="A323" s="5">
        <v>46098.0</v>
      </c>
      <c r="B323" s="6">
        <f t="shared" si="1"/>
        <v>12</v>
      </c>
      <c r="C323" s="7" t="s">
        <v>32</v>
      </c>
      <c r="D323" s="22"/>
      <c r="E323" s="7" t="s">
        <v>20</v>
      </c>
      <c r="F323" s="10" t="str">
        <f>VLOOKUP(E323,BASE_VEICULOS!A:G,7,0)</f>
        <v>PROF - 07001 - MANUTENÇÃO PREDIAL- PROFARMA-2025</v>
      </c>
      <c r="G323" s="11" t="str">
        <f>IFERROR(VLOOKUP(E323,BASE_VEICULOS!$A:$B,2,0),"")</f>
        <v>TEW9A34</v>
      </c>
      <c r="H323" s="19"/>
      <c r="I323" s="20">
        <f t="shared" si="2"/>
        <v>46082</v>
      </c>
    </row>
    <row r="324" ht="22.5" hidden="1" customHeight="1">
      <c r="A324" s="5">
        <v>46098.0</v>
      </c>
      <c r="B324" s="6">
        <f t="shared" si="1"/>
        <v>12</v>
      </c>
      <c r="C324" s="7" t="s">
        <v>32</v>
      </c>
      <c r="D324" s="22"/>
      <c r="E324" s="7" t="s">
        <v>33</v>
      </c>
      <c r="F324" s="10" t="str">
        <f>VLOOKUP(E324,BASE_VEICULOS!A:G,7,0)</f>
        <v>PROF - 07001 - MANUTENÇÃO PREDIAL- PROFARMA-2025</v>
      </c>
      <c r="G324" s="11" t="str">
        <f>IFERROR(VLOOKUP(E324,BASE_VEICULOS!$A:$B,2,0),"")</f>
        <v>TEW9A30</v>
      </c>
      <c r="H324" s="19"/>
      <c r="I324" s="20">
        <f t="shared" si="2"/>
        <v>46082</v>
      </c>
    </row>
    <row r="325" ht="22.5" hidden="1" customHeight="1">
      <c r="A325" s="5">
        <v>46098.0</v>
      </c>
      <c r="B325" s="6">
        <f t="shared" si="1"/>
        <v>12</v>
      </c>
      <c r="C325" s="7" t="s">
        <v>32</v>
      </c>
      <c r="D325" s="22"/>
      <c r="E325" s="7" t="s">
        <v>10</v>
      </c>
      <c r="F325" s="10" t="str">
        <f>VLOOKUP(E325,BASE_VEICULOS!A:G,7,0)</f>
        <v>FAC - 140004 - MANUTENÇÃO PREDIAL DPSP 2025</v>
      </c>
      <c r="G325" s="11" t="str">
        <f>IFERROR(VLOOKUP(E325,BASE_VEICULOS!$A:$B,2,0),"")</f>
        <v>TEW9A25</v>
      </c>
      <c r="H325" s="19"/>
      <c r="I325" s="20">
        <f t="shared" si="2"/>
        <v>46082</v>
      </c>
    </row>
    <row r="326" ht="22.5" hidden="1" customHeight="1">
      <c r="A326" s="5">
        <v>46098.0</v>
      </c>
      <c r="B326" s="6">
        <f t="shared" si="1"/>
        <v>12</v>
      </c>
      <c r="C326" s="7" t="s">
        <v>32</v>
      </c>
      <c r="D326" s="22"/>
      <c r="E326" s="7" t="s">
        <v>21</v>
      </c>
      <c r="F326" s="10" t="str">
        <f>VLOOKUP(E326,BASE_VEICULOS!A:G,7,0)</f>
        <v>PROF - 07001 - MANUTENÇÃO PREDIAL- PROFARMA-2025</v>
      </c>
      <c r="G326" s="11" t="str">
        <f>IFERROR(VLOOKUP(E326,BASE_VEICULOS!$A:$B,2,0),"")</f>
        <v>TEW9A33</v>
      </c>
      <c r="H326" s="19"/>
      <c r="I326" s="20">
        <f t="shared" si="2"/>
        <v>46082</v>
      </c>
    </row>
    <row r="327" ht="22.5" hidden="1" customHeight="1">
      <c r="A327" s="5">
        <v>46098.0</v>
      </c>
      <c r="B327" s="6">
        <f t="shared" si="1"/>
        <v>12</v>
      </c>
      <c r="C327" s="7" t="s">
        <v>32</v>
      </c>
      <c r="D327" s="22"/>
      <c r="E327" s="7" t="s">
        <v>17</v>
      </c>
      <c r="F327" s="10" t="str">
        <f>VLOOKUP(E327,BASE_VEICULOS!A:G,7,0)</f>
        <v>#N/A</v>
      </c>
      <c r="G327" s="11" t="str">
        <f>IFERROR(VLOOKUP(E327,BASE_VEICULOS!$A:$B,2,0),"")</f>
        <v/>
      </c>
      <c r="H327" s="19"/>
      <c r="I327" s="20">
        <f t="shared" si="2"/>
        <v>46082</v>
      </c>
    </row>
    <row r="328" ht="22.5" hidden="1" customHeight="1">
      <c r="A328" s="5">
        <v>46098.0</v>
      </c>
      <c r="B328" s="6">
        <f t="shared" si="1"/>
        <v>12</v>
      </c>
      <c r="C328" s="7" t="s">
        <v>32</v>
      </c>
      <c r="D328" s="22"/>
      <c r="E328" s="7" t="s">
        <v>11</v>
      </c>
      <c r="F328" s="10" t="str">
        <f>VLOOKUP(E328,BASE_VEICULOS!A:G,7,0)</f>
        <v>PROF - 07001 - MANUTENÇÃO PREDIAL- PROFARMA-2025</v>
      </c>
      <c r="G328" s="11" t="str">
        <f>IFERROR(VLOOKUP(E328,BASE_VEICULOS!$A:$B,2,0),"")</f>
        <v>TEW9A28</v>
      </c>
      <c r="H328" s="19"/>
      <c r="I328" s="20">
        <f t="shared" si="2"/>
        <v>46082</v>
      </c>
    </row>
    <row r="329" ht="22.5" hidden="1" customHeight="1">
      <c r="A329" s="5">
        <v>46098.0</v>
      </c>
      <c r="B329" s="6">
        <f t="shared" si="1"/>
        <v>12</v>
      </c>
      <c r="C329" s="7" t="s">
        <v>32</v>
      </c>
      <c r="D329" s="22"/>
      <c r="E329" s="7" t="s">
        <v>23</v>
      </c>
      <c r="F329" s="10" t="str">
        <f>VLOOKUP(E329,BASE_VEICULOS!A:G,7,0)</f>
        <v>PROF - 07001 - MANUTENÇÃO PREDIAL- PROFARMA-2025</v>
      </c>
      <c r="G329" s="11" t="str">
        <f>IFERROR(VLOOKUP(E329,BASE_VEICULOS!$A:$B,2,0),"")</f>
        <v>TEH3I02</v>
      </c>
      <c r="H329" s="19"/>
      <c r="I329" s="20">
        <f t="shared" si="2"/>
        <v>46082</v>
      </c>
    </row>
    <row r="330" ht="22.5" hidden="1" customHeight="1">
      <c r="A330" s="5">
        <v>46098.0</v>
      </c>
      <c r="B330" s="6">
        <f t="shared" si="1"/>
        <v>12</v>
      </c>
      <c r="C330" s="7" t="s">
        <v>32</v>
      </c>
      <c r="D330" s="22"/>
      <c r="E330" s="7" t="s">
        <v>24</v>
      </c>
      <c r="F330" s="10" t="str">
        <f>VLOOKUP(E330,BASE_VEICULOS!A:G,7,0)</f>
        <v>PROF - 07001 - MANUTENÇÃO PREDIAL- PROFARMA-2025</v>
      </c>
      <c r="G330" s="11" t="str">
        <f>IFERROR(VLOOKUP(E330,BASE_VEICULOS!$A:$B,2,0),"")</f>
        <v>TEW9A23</v>
      </c>
      <c r="H330" s="19"/>
      <c r="I330" s="20">
        <f t="shared" si="2"/>
        <v>46082</v>
      </c>
    </row>
    <row r="331" ht="22.5" hidden="1" customHeight="1">
      <c r="A331" s="5">
        <v>46098.0</v>
      </c>
      <c r="B331" s="6">
        <f t="shared" si="1"/>
        <v>12</v>
      </c>
      <c r="C331" s="7" t="s">
        <v>32</v>
      </c>
      <c r="D331" s="22"/>
      <c r="E331" s="7" t="s">
        <v>12</v>
      </c>
      <c r="F331" s="10" t="str">
        <f>VLOOKUP(E331,BASE_VEICULOS!A:G,7,0)</f>
        <v>FAC - 140004 - MANUTENÇÃO PREDIAL DPSP 2025</v>
      </c>
      <c r="G331" s="11" t="str">
        <f>IFERROR(VLOOKUP(E331,BASE_VEICULOS!$A:$B,2,0),"")</f>
        <v>FIL8C14</v>
      </c>
      <c r="H331" s="19"/>
      <c r="I331" s="20">
        <f t="shared" si="2"/>
        <v>46082</v>
      </c>
    </row>
    <row r="332" ht="22.5" hidden="1" customHeight="1">
      <c r="A332" s="5">
        <v>46098.0</v>
      </c>
      <c r="B332" s="6">
        <f t="shared" si="1"/>
        <v>12</v>
      </c>
      <c r="C332" s="7" t="s">
        <v>32</v>
      </c>
      <c r="D332" s="22"/>
      <c r="E332" s="7" t="s">
        <v>29</v>
      </c>
      <c r="F332" s="10" t="str">
        <f>VLOOKUP(E332,BASE_VEICULOS!A:G,7,0)</f>
        <v>PROF - 07001 - MANUTENÇÃO PREDIAL- PROFARMA-2025</v>
      </c>
      <c r="G332" s="11" t="str">
        <f>IFERROR(VLOOKUP(E332,BASE_VEICULOS!$A:$B,2,0),"")</f>
        <v>TEQ2I74</v>
      </c>
      <c r="H332" s="19"/>
      <c r="I332" s="20">
        <f t="shared" si="2"/>
        <v>46082</v>
      </c>
    </row>
    <row r="333" ht="22.5" hidden="1" customHeight="1">
      <c r="A333" s="5">
        <v>46098.0</v>
      </c>
      <c r="B333" s="6">
        <f t="shared" si="1"/>
        <v>12</v>
      </c>
      <c r="C333" s="7" t="s">
        <v>32</v>
      </c>
      <c r="D333" s="22"/>
      <c r="E333" s="7" t="s">
        <v>16</v>
      </c>
      <c r="F333" s="10" t="str">
        <f>VLOOKUP(E333,BASE_VEICULOS!A:G,7,0)</f>
        <v>FAC - 140005 - SPOT MANUTENÇÃO DPSP 2025</v>
      </c>
      <c r="G333" s="11" t="str">
        <f>IFERROR(VLOOKUP(E333,BASE_VEICULOS!$A:$B,2,0),"")</f>
        <v>TEW9A27</v>
      </c>
      <c r="H333" s="19"/>
      <c r="I333" s="20">
        <f t="shared" si="2"/>
        <v>46082</v>
      </c>
    </row>
    <row r="334" ht="22.5" hidden="1" customHeight="1">
      <c r="A334" s="5">
        <v>46098.0</v>
      </c>
      <c r="B334" s="6">
        <f t="shared" si="1"/>
        <v>12</v>
      </c>
      <c r="C334" s="7" t="s">
        <v>32</v>
      </c>
      <c r="D334" s="22"/>
      <c r="E334" s="7" t="s">
        <v>25</v>
      </c>
      <c r="F334" s="10" t="str">
        <f>VLOOKUP(E334,BASE_VEICULOS!A:G,7,0)</f>
        <v>PROF - 07001 - MANUTENÇÃO PREDIAL- PROFARMA-2025</v>
      </c>
      <c r="G334" s="11" t="str">
        <f>IFERROR(VLOOKUP(E334,BASE_VEICULOS!$A:$B,2,0),"")</f>
        <v>TEW9A26</v>
      </c>
      <c r="H334" s="19"/>
      <c r="I334" s="20">
        <f t="shared" si="2"/>
        <v>46082</v>
      </c>
    </row>
    <row r="335" ht="22.5" hidden="1" customHeight="1">
      <c r="A335" s="5">
        <v>46098.0</v>
      </c>
      <c r="B335" s="6">
        <f t="shared" si="1"/>
        <v>12</v>
      </c>
      <c r="C335" s="7" t="s">
        <v>32</v>
      </c>
      <c r="D335" s="22"/>
      <c r="E335" s="7" t="s">
        <v>15</v>
      </c>
      <c r="F335" s="10" t="str">
        <f>VLOOKUP(E335,BASE_VEICULOS!A:G,7,0)</f>
        <v>FAC - 140005 - SPOT MANUTENÇÃO DPSP 2025</v>
      </c>
      <c r="G335" s="11" t="str">
        <f>IFERROR(VLOOKUP(E335,BASE_VEICULOS!$A:$B,2,0),"")</f>
        <v>EWH1B84</v>
      </c>
      <c r="H335" s="19"/>
      <c r="I335" s="20">
        <f t="shared" si="2"/>
        <v>46082</v>
      </c>
    </row>
    <row r="336" ht="22.5" hidden="1" customHeight="1">
      <c r="A336" s="5">
        <v>46098.0</v>
      </c>
      <c r="B336" s="6">
        <f t="shared" si="1"/>
        <v>12</v>
      </c>
      <c r="C336" s="7" t="s">
        <v>32</v>
      </c>
      <c r="D336" s="22"/>
      <c r="E336" s="7" t="s">
        <v>14</v>
      </c>
      <c r="F336" s="10" t="str">
        <f>VLOOKUP(E336,BASE_VEICULOS!A:G,7,0)</f>
        <v>FAC - 140004 - MANUTENÇÃO PREDIAL DPSP 2025</v>
      </c>
      <c r="G336" s="11" t="str">
        <f>IFERROR(VLOOKUP(E336,BASE_VEICULOS!$A:$B,2,0),"")</f>
        <v>FOK8A73</v>
      </c>
      <c r="H336" s="19"/>
      <c r="I336" s="20">
        <f t="shared" si="2"/>
        <v>46082</v>
      </c>
    </row>
    <row r="337" ht="22.5" hidden="1" customHeight="1">
      <c r="A337" s="5">
        <v>46098.0</v>
      </c>
      <c r="B337" s="6">
        <f t="shared" si="1"/>
        <v>12</v>
      </c>
      <c r="C337" s="7" t="s">
        <v>32</v>
      </c>
      <c r="D337" s="22"/>
      <c r="E337" s="7" t="s">
        <v>13</v>
      </c>
      <c r="F337" s="10" t="str">
        <f>VLOOKUP(E337,BASE_VEICULOS!A:G,7,0)</f>
        <v>FAC - 140005 - SPOT MANUTENÇÃO DPSP 2025</v>
      </c>
      <c r="G337" s="11" t="str">
        <f>IFERROR(VLOOKUP(E337,BASE_VEICULOS!$A:$B,2,0),"")</f>
        <v>FGO3C61</v>
      </c>
      <c r="H337" s="19"/>
      <c r="I337" s="20">
        <f t="shared" si="2"/>
        <v>46082</v>
      </c>
    </row>
    <row r="338" ht="22.5" hidden="1" customHeight="1">
      <c r="A338" s="5">
        <v>46098.0</v>
      </c>
      <c r="B338" s="6">
        <f t="shared" si="1"/>
        <v>12</v>
      </c>
      <c r="C338" s="7" t="s">
        <v>32</v>
      </c>
      <c r="D338" s="22"/>
      <c r="E338" s="7" t="s">
        <v>34</v>
      </c>
      <c r="F338" s="10" t="str">
        <f>VLOOKUP(E338,BASE_VEICULOS!A:G,7,0)</f>
        <v>PROF - 07001 - MANUTENÇÃO PREDIAL- PROFARMA-2025</v>
      </c>
      <c r="G338" s="11" t="str">
        <f>IFERROR(VLOOKUP(E338,BASE_VEICULOS!$A:$B,2,0),"")</f>
        <v>SRU8D16</v>
      </c>
      <c r="H338" s="19"/>
      <c r="I338" s="20">
        <f t="shared" si="2"/>
        <v>46082</v>
      </c>
    </row>
    <row r="339" ht="22.5" hidden="1" customHeight="1">
      <c r="A339" s="5">
        <v>46098.0</v>
      </c>
      <c r="B339" s="6">
        <f t="shared" si="1"/>
        <v>12</v>
      </c>
      <c r="C339" s="7" t="s">
        <v>32</v>
      </c>
      <c r="D339" s="22"/>
      <c r="E339" s="7" t="s">
        <v>22</v>
      </c>
      <c r="F339" s="10" t="str">
        <f>VLOOKUP(E339,BASE_VEICULOS!A:G,7,0)</f>
        <v>PROF - 07001 - MANUTENÇÃO PREDIAL- PROFARMA-2025</v>
      </c>
      <c r="G339" s="11" t="str">
        <f>IFERROR(VLOOKUP(E339,BASE_VEICULOS!$A:$B,2,0),"")</f>
        <v>TET5H37</v>
      </c>
      <c r="H339" s="19"/>
      <c r="I339" s="20">
        <f t="shared" si="2"/>
        <v>46082</v>
      </c>
    </row>
    <row r="340" ht="22.5" hidden="1" customHeight="1">
      <c r="A340" s="5">
        <v>46098.0</v>
      </c>
      <c r="B340" s="6">
        <f t="shared" si="1"/>
        <v>12</v>
      </c>
      <c r="C340" s="7" t="s">
        <v>32</v>
      </c>
      <c r="D340" s="22"/>
      <c r="E340" s="7" t="s">
        <v>18</v>
      </c>
      <c r="F340" s="10" t="str">
        <f>VLOOKUP(E340,BASE_VEICULOS!A:G,7,0)</f>
        <v>FAC - 140004 - MANUTENÇÃO PREDIAL DPSP 2025</v>
      </c>
      <c r="G340" s="11" t="str">
        <f>IFERROR(VLOOKUP(E340,BASE_VEICULOS!$A:$B,2,0),"")</f>
        <v>TEW9A29</v>
      </c>
      <c r="H340" s="19"/>
      <c r="I340" s="20">
        <f t="shared" si="2"/>
        <v>46082</v>
      </c>
    </row>
    <row r="341" ht="22.5" hidden="1" customHeight="1">
      <c r="A341" s="5">
        <v>46099.0</v>
      </c>
      <c r="B341" s="6">
        <f t="shared" si="1"/>
        <v>12</v>
      </c>
      <c r="C341" s="7" t="s">
        <v>32</v>
      </c>
      <c r="D341" s="22"/>
      <c r="E341" s="7" t="s">
        <v>12</v>
      </c>
      <c r="F341" s="10" t="str">
        <f>VLOOKUP(E341,BASE_VEICULOS!A:G,7,0)</f>
        <v>FAC - 140004 - MANUTENÇÃO PREDIAL DPSP 2025</v>
      </c>
      <c r="G341" s="11" t="str">
        <f>IFERROR(VLOOKUP(E341,BASE_VEICULOS!$A:$B,2,0),"")</f>
        <v>FIL8C14</v>
      </c>
      <c r="H341" s="19"/>
      <c r="I341" s="20">
        <f t="shared" si="2"/>
        <v>46082</v>
      </c>
    </row>
    <row r="342" ht="22.5" hidden="1" customHeight="1">
      <c r="A342" s="5">
        <v>46099.0</v>
      </c>
      <c r="B342" s="6">
        <f t="shared" si="1"/>
        <v>12</v>
      </c>
      <c r="C342" s="7" t="s">
        <v>32</v>
      </c>
      <c r="D342" s="22"/>
      <c r="E342" s="7" t="s">
        <v>14</v>
      </c>
      <c r="F342" s="10" t="str">
        <f>VLOOKUP(E342,BASE_VEICULOS!A:G,7,0)</f>
        <v>FAC - 140004 - MANUTENÇÃO PREDIAL DPSP 2025</v>
      </c>
      <c r="G342" s="11" t="str">
        <f>IFERROR(VLOOKUP(E342,BASE_VEICULOS!$A:$B,2,0),"")</f>
        <v>FOK8A73</v>
      </c>
      <c r="H342" s="19"/>
      <c r="I342" s="20">
        <f t="shared" si="2"/>
        <v>46082</v>
      </c>
    </row>
    <row r="343" ht="22.5" hidden="1" customHeight="1">
      <c r="A343" s="5">
        <v>46099.0</v>
      </c>
      <c r="B343" s="6">
        <f t="shared" si="1"/>
        <v>12</v>
      </c>
      <c r="C343" s="7" t="s">
        <v>32</v>
      </c>
      <c r="D343" s="22"/>
      <c r="E343" s="7" t="s">
        <v>10</v>
      </c>
      <c r="F343" s="10" t="str">
        <f>VLOOKUP(E343,BASE_VEICULOS!A:G,7,0)</f>
        <v>FAC - 140004 - MANUTENÇÃO PREDIAL DPSP 2025</v>
      </c>
      <c r="G343" s="11" t="str">
        <f>IFERROR(VLOOKUP(E343,BASE_VEICULOS!$A:$B,2,0),"")</f>
        <v>TEW9A25</v>
      </c>
      <c r="H343" s="19"/>
      <c r="I343" s="20">
        <f t="shared" si="2"/>
        <v>46082</v>
      </c>
    </row>
    <row r="344" ht="22.5" hidden="1" customHeight="1">
      <c r="A344" s="5">
        <v>46099.0</v>
      </c>
      <c r="B344" s="6">
        <f t="shared" si="1"/>
        <v>12</v>
      </c>
      <c r="C344" s="7" t="s">
        <v>32</v>
      </c>
      <c r="D344" s="22"/>
      <c r="E344" s="7" t="s">
        <v>24</v>
      </c>
      <c r="F344" s="10" t="str">
        <f>VLOOKUP(E344,BASE_VEICULOS!A:G,7,0)</f>
        <v>PROF - 07001 - MANUTENÇÃO PREDIAL- PROFARMA-2025</v>
      </c>
      <c r="G344" s="11" t="str">
        <f>IFERROR(VLOOKUP(E344,BASE_VEICULOS!$A:$B,2,0),"")</f>
        <v>TEW9A23</v>
      </c>
      <c r="H344" s="19"/>
      <c r="I344" s="20">
        <f t="shared" si="2"/>
        <v>46082</v>
      </c>
    </row>
    <row r="345" ht="22.5" hidden="1" customHeight="1">
      <c r="A345" s="5">
        <v>46099.0</v>
      </c>
      <c r="B345" s="6">
        <f t="shared" si="1"/>
        <v>12</v>
      </c>
      <c r="C345" s="7" t="s">
        <v>32</v>
      </c>
      <c r="D345" s="22"/>
      <c r="E345" s="7" t="s">
        <v>20</v>
      </c>
      <c r="F345" s="10" t="str">
        <f>VLOOKUP(E345,BASE_VEICULOS!A:G,7,0)</f>
        <v>PROF - 07001 - MANUTENÇÃO PREDIAL- PROFARMA-2025</v>
      </c>
      <c r="G345" s="11" t="str">
        <f>IFERROR(VLOOKUP(E345,BASE_VEICULOS!$A:$B,2,0),"")</f>
        <v>TEW9A34</v>
      </c>
      <c r="H345" s="19"/>
      <c r="I345" s="20">
        <f t="shared" si="2"/>
        <v>46082</v>
      </c>
    </row>
    <row r="346" ht="22.5" hidden="1" customHeight="1">
      <c r="A346" s="5">
        <v>46099.0</v>
      </c>
      <c r="B346" s="6">
        <f t="shared" si="1"/>
        <v>12</v>
      </c>
      <c r="C346" s="7" t="s">
        <v>32</v>
      </c>
      <c r="D346" s="22"/>
      <c r="E346" s="7" t="s">
        <v>17</v>
      </c>
      <c r="F346" s="10" t="str">
        <f>VLOOKUP(E346,BASE_VEICULOS!A:G,7,0)</f>
        <v>#N/A</v>
      </c>
      <c r="G346" s="11" t="str">
        <f>IFERROR(VLOOKUP(E346,BASE_VEICULOS!$A:$B,2,0),"")</f>
        <v/>
      </c>
      <c r="H346" s="19"/>
      <c r="I346" s="20">
        <f t="shared" si="2"/>
        <v>46082</v>
      </c>
    </row>
    <row r="347" ht="22.5" hidden="1" customHeight="1">
      <c r="A347" s="5">
        <v>46099.0</v>
      </c>
      <c r="B347" s="6">
        <f t="shared" si="1"/>
        <v>12</v>
      </c>
      <c r="C347" s="7" t="s">
        <v>32</v>
      </c>
      <c r="D347" s="22"/>
      <c r="E347" s="7" t="s">
        <v>23</v>
      </c>
      <c r="F347" s="10" t="str">
        <f>VLOOKUP(E347,BASE_VEICULOS!A:G,7,0)</f>
        <v>PROF - 07001 - MANUTENÇÃO PREDIAL- PROFARMA-2025</v>
      </c>
      <c r="G347" s="11" t="str">
        <f>IFERROR(VLOOKUP(E347,BASE_VEICULOS!$A:$B,2,0),"")</f>
        <v>TEH3I02</v>
      </c>
      <c r="H347" s="19"/>
      <c r="I347" s="20">
        <f t="shared" si="2"/>
        <v>46082</v>
      </c>
    </row>
    <row r="348" ht="22.5" hidden="1" customHeight="1">
      <c r="A348" s="5">
        <v>46099.0</v>
      </c>
      <c r="B348" s="6">
        <f t="shared" si="1"/>
        <v>12</v>
      </c>
      <c r="C348" s="7" t="s">
        <v>32</v>
      </c>
      <c r="D348" s="22"/>
      <c r="E348" s="7" t="s">
        <v>11</v>
      </c>
      <c r="F348" s="10" t="str">
        <f>VLOOKUP(E348,BASE_VEICULOS!A:G,7,0)</f>
        <v>PROF - 07001 - MANUTENÇÃO PREDIAL- PROFARMA-2025</v>
      </c>
      <c r="G348" s="11" t="str">
        <f>IFERROR(VLOOKUP(E348,BASE_VEICULOS!$A:$B,2,0),"")</f>
        <v>TEW9A28</v>
      </c>
      <c r="H348" s="19"/>
      <c r="I348" s="20">
        <f t="shared" si="2"/>
        <v>46082</v>
      </c>
    </row>
    <row r="349" ht="22.5" hidden="1" customHeight="1">
      <c r="A349" s="5">
        <v>46099.0</v>
      </c>
      <c r="B349" s="6">
        <f t="shared" si="1"/>
        <v>12</v>
      </c>
      <c r="C349" s="7" t="s">
        <v>32</v>
      </c>
      <c r="D349" s="22"/>
      <c r="E349" s="7" t="s">
        <v>25</v>
      </c>
      <c r="F349" s="10" t="str">
        <f>VLOOKUP(E349,BASE_VEICULOS!A:G,7,0)</f>
        <v>PROF - 07001 - MANUTENÇÃO PREDIAL- PROFARMA-2025</v>
      </c>
      <c r="G349" s="11" t="str">
        <f>IFERROR(VLOOKUP(E349,BASE_VEICULOS!$A:$B,2,0),"")</f>
        <v>TEW9A26</v>
      </c>
      <c r="H349" s="19"/>
      <c r="I349" s="20">
        <f t="shared" si="2"/>
        <v>46082</v>
      </c>
    </row>
    <row r="350" ht="22.5" hidden="1" customHeight="1">
      <c r="A350" s="5">
        <v>46099.0</v>
      </c>
      <c r="B350" s="6">
        <f t="shared" si="1"/>
        <v>12</v>
      </c>
      <c r="C350" s="7" t="s">
        <v>32</v>
      </c>
      <c r="D350" s="22"/>
      <c r="E350" s="7" t="s">
        <v>16</v>
      </c>
      <c r="F350" s="10" t="str">
        <f>VLOOKUP(E350,BASE_VEICULOS!A:G,7,0)</f>
        <v>FAC - 140005 - SPOT MANUTENÇÃO DPSP 2025</v>
      </c>
      <c r="G350" s="11" t="str">
        <f>IFERROR(VLOOKUP(E350,BASE_VEICULOS!$A:$B,2,0),"")</f>
        <v>TEW9A27</v>
      </c>
      <c r="H350" s="19"/>
      <c r="I350" s="20">
        <f t="shared" si="2"/>
        <v>46082</v>
      </c>
    </row>
    <row r="351" ht="22.5" hidden="1" customHeight="1">
      <c r="A351" s="5">
        <v>46099.0</v>
      </c>
      <c r="B351" s="6">
        <f t="shared" si="1"/>
        <v>12</v>
      </c>
      <c r="C351" s="7" t="s">
        <v>32</v>
      </c>
      <c r="D351" s="22"/>
      <c r="E351" s="7" t="s">
        <v>18</v>
      </c>
      <c r="F351" s="10" t="str">
        <f>VLOOKUP(E351,BASE_VEICULOS!A:G,7,0)</f>
        <v>FAC - 140004 - MANUTENÇÃO PREDIAL DPSP 2025</v>
      </c>
      <c r="G351" s="11" t="str">
        <f>IFERROR(VLOOKUP(E351,BASE_VEICULOS!$A:$B,2,0),"")</f>
        <v>TEW9A29</v>
      </c>
      <c r="H351" s="19"/>
      <c r="I351" s="20">
        <f t="shared" si="2"/>
        <v>46082</v>
      </c>
    </row>
    <row r="352" ht="22.5" hidden="1" customHeight="1">
      <c r="A352" s="5">
        <v>46099.0</v>
      </c>
      <c r="B352" s="6">
        <f t="shared" si="1"/>
        <v>12</v>
      </c>
      <c r="C352" s="7" t="s">
        <v>32</v>
      </c>
      <c r="D352" s="22"/>
      <c r="E352" s="7" t="s">
        <v>22</v>
      </c>
      <c r="F352" s="10" t="str">
        <f>VLOOKUP(E352,BASE_VEICULOS!A:G,7,0)</f>
        <v>PROF - 07001 - MANUTENÇÃO PREDIAL- PROFARMA-2025</v>
      </c>
      <c r="G352" s="11" t="str">
        <f>IFERROR(VLOOKUP(E352,BASE_VEICULOS!$A:$B,2,0),"")</f>
        <v>TET5H37</v>
      </c>
      <c r="H352" s="19"/>
      <c r="I352" s="20">
        <f t="shared" si="2"/>
        <v>46082</v>
      </c>
    </row>
    <row r="353" ht="22.5" hidden="1" customHeight="1">
      <c r="A353" s="5">
        <v>46099.0</v>
      </c>
      <c r="B353" s="6">
        <f t="shared" si="1"/>
        <v>12</v>
      </c>
      <c r="C353" s="7" t="s">
        <v>32</v>
      </c>
      <c r="D353" s="22"/>
      <c r="E353" s="7" t="s">
        <v>19</v>
      </c>
      <c r="F353" s="10" t="str">
        <f>VLOOKUP(E353,BASE_VEICULOS!A:G,7,0)</f>
        <v>PROF - 07001 - MANUTENÇÃO PREDIAL- PROFARMA-2025</v>
      </c>
      <c r="G353" s="11" t="str">
        <f>IFERROR(VLOOKUP(E353,BASE_VEICULOS!$A:$B,2,0),"")</f>
        <v>TEW9A24</v>
      </c>
      <c r="H353" s="19"/>
      <c r="I353" s="20">
        <f t="shared" si="2"/>
        <v>46082</v>
      </c>
    </row>
    <row r="354" ht="22.5" hidden="1" customHeight="1">
      <c r="A354" s="5">
        <v>46099.0</v>
      </c>
      <c r="B354" s="6">
        <f t="shared" si="1"/>
        <v>12</v>
      </c>
      <c r="C354" s="7" t="s">
        <v>32</v>
      </c>
      <c r="D354" s="22"/>
      <c r="E354" s="7" t="s">
        <v>29</v>
      </c>
      <c r="F354" s="10" t="str">
        <f>VLOOKUP(E354,BASE_VEICULOS!A:G,7,0)</f>
        <v>PROF - 07001 - MANUTENÇÃO PREDIAL- PROFARMA-2025</v>
      </c>
      <c r="G354" s="11" t="str">
        <f>IFERROR(VLOOKUP(E354,BASE_VEICULOS!$A:$B,2,0),"")</f>
        <v>TEQ2I74</v>
      </c>
      <c r="H354" s="19"/>
      <c r="I354" s="20">
        <f t="shared" si="2"/>
        <v>46082</v>
      </c>
    </row>
    <row r="355" ht="22.5" hidden="1" customHeight="1">
      <c r="A355" s="5">
        <v>46099.0</v>
      </c>
      <c r="B355" s="6">
        <f t="shared" si="1"/>
        <v>12</v>
      </c>
      <c r="C355" s="7" t="s">
        <v>32</v>
      </c>
      <c r="D355" s="22"/>
      <c r="E355" s="7" t="s">
        <v>13</v>
      </c>
      <c r="F355" s="10" t="str">
        <f>VLOOKUP(E355,BASE_VEICULOS!A:G,7,0)</f>
        <v>FAC - 140005 - SPOT MANUTENÇÃO DPSP 2025</v>
      </c>
      <c r="G355" s="11" t="str">
        <f>IFERROR(VLOOKUP(E355,BASE_VEICULOS!$A:$B,2,0),"")</f>
        <v>FGO3C61</v>
      </c>
      <c r="H355" s="19"/>
      <c r="I355" s="20">
        <f t="shared" si="2"/>
        <v>46082</v>
      </c>
    </row>
    <row r="356" ht="22.5" hidden="1" customHeight="1">
      <c r="A356" s="5">
        <v>46099.0</v>
      </c>
      <c r="B356" s="6">
        <f t="shared" si="1"/>
        <v>12</v>
      </c>
      <c r="C356" s="7" t="s">
        <v>32</v>
      </c>
      <c r="D356" s="22"/>
      <c r="E356" s="7" t="s">
        <v>30</v>
      </c>
      <c r="F356" s="10" t="str">
        <f>VLOOKUP(E356,BASE_VEICULOS!A:G,7,0)</f>
        <v>#N/A</v>
      </c>
      <c r="G356" s="11" t="str">
        <f>IFERROR(VLOOKUP(E356,BASE_VEICULOS!$A:$B,2,0),"")</f>
        <v/>
      </c>
      <c r="H356" s="19"/>
      <c r="I356" s="20">
        <f t="shared" si="2"/>
        <v>46082</v>
      </c>
    </row>
    <row r="357" ht="22.5" hidden="1" customHeight="1">
      <c r="A357" s="5">
        <v>46099.0</v>
      </c>
      <c r="B357" s="6">
        <f t="shared" si="1"/>
        <v>12</v>
      </c>
      <c r="C357" s="7" t="s">
        <v>32</v>
      </c>
      <c r="D357" s="22"/>
      <c r="E357" s="7" t="s">
        <v>21</v>
      </c>
      <c r="F357" s="10" t="str">
        <f>VLOOKUP(E357,BASE_VEICULOS!A:G,7,0)</f>
        <v>PROF - 07001 - MANUTENÇÃO PREDIAL- PROFARMA-2025</v>
      </c>
      <c r="G357" s="11" t="str">
        <f>IFERROR(VLOOKUP(E357,BASE_VEICULOS!$A:$B,2,0),"")</f>
        <v>TEW9A33</v>
      </c>
      <c r="H357" s="19"/>
      <c r="I357" s="20">
        <f t="shared" si="2"/>
        <v>46082</v>
      </c>
    </row>
    <row r="358" ht="22.5" hidden="1" customHeight="1">
      <c r="A358" s="5">
        <v>46099.0</v>
      </c>
      <c r="B358" s="6">
        <f t="shared" si="1"/>
        <v>12</v>
      </c>
      <c r="C358" s="7" t="s">
        <v>32</v>
      </c>
      <c r="D358" s="22"/>
      <c r="E358" s="7" t="s">
        <v>15</v>
      </c>
      <c r="F358" s="10" t="str">
        <f>VLOOKUP(E358,BASE_VEICULOS!A:G,7,0)</f>
        <v>FAC - 140005 - SPOT MANUTENÇÃO DPSP 2025</v>
      </c>
      <c r="G358" s="11" t="str">
        <f>IFERROR(VLOOKUP(E358,BASE_VEICULOS!$A:$B,2,0),"")</f>
        <v>EWH1B84</v>
      </c>
      <c r="H358" s="19"/>
      <c r="I358" s="20">
        <f t="shared" si="2"/>
        <v>46082</v>
      </c>
    </row>
    <row r="359" ht="22.5" hidden="1" customHeight="1">
      <c r="A359" s="5">
        <v>46099.0</v>
      </c>
      <c r="B359" s="6">
        <f t="shared" si="1"/>
        <v>12</v>
      </c>
      <c r="C359" s="7" t="s">
        <v>32</v>
      </c>
      <c r="D359" s="22"/>
      <c r="E359" s="7" t="s">
        <v>33</v>
      </c>
      <c r="F359" s="10" t="str">
        <f>VLOOKUP(E359,BASE_VEICULOS!A:G,7,0)</f>
        <v>PROF - 07001 - MANUTENÇÃO PREDIAL- PROFARMA-2025</v>
      </c>
      <c r="G359" s="11" t="str">
        <f>IFERROR(VLOOKUP(E359,BASE_VEICULOS!$A:$B,2,0),"")</f>
        <v>TEW9A30</v>
      </c>
      <c r="H359" s="19"/>
      <c r="I359" s="20">
        <f t="shared" si="2"/>
        <v>46082</v>
      </c>
    </row>
    <row r="360" ht="22.5" hidden="1" customHeight="1">
      <c r="A360" s="5">
        <v>46100.0</v>
      </c>
      <c r="B360" s="6">
        <f t="shared" si="1"/>
        <v>12</v>
      </c>
      <c r="C360" s="7" t="s">
        <v>32</v>
      </c>
      <c r="D360" s="22"/>
      <c r="E360" s="7" t="s">
        <v>14</v>
      </c>
      <c r="F360" s="10" t="str">
        <f>VLOOKUP(E360,BASE_VEICULOS!A:G,7,0)</f>
        <v>FAC - 140004 - MANUTENÇÃO PREDIAL DPSP 2025</v>
      </c>
      <c r="G360" s="11" t="str">
        <f>IFERROR(VLOOKUP(E360,BASE_VEICULOS!$A:$B,2,0),"")</f>
        <v>FOK8A73</v>
      </c>
      <c r="H360" s="19"/>
      <c r="I360" s="20">
        <f t="shared" si="2"/>
        <v>46082</v>
      </c>
    </row>
    <row r="361" ht="22.5" hidden="1" customHeight="1">
      <c r="A361" s="5">
        <v>46100.0</v>
      </c>
      <c r="B361" s="6">
        <f t="shared" si="1"/>
        <v>12</v>
      </c>
      <c r="C361" s="7" t="s">
        <v>32</v>
      </c>
      <c r="D361" s="22"/>
      <c r="E361" s="7" t="s">
        <v>20</v>
      </c>
      <c r="F361" s="10" t="str">
        <f>VLOOKUP(E361,BASE_VEICULOS!A:G,7,0)</f>
        <v>PROF - 07001 - MANUTENÇÃO PREDIAL- PROFARMA-2025</v>
      </c>
      <c r="G361" s="11" t="str">
        <f>IFERROR(VLOOKUP(E361,BASE_VEICULOS!$A:$B,2,0),"")</f>
        <v>TEW9A34</v>
      </c>
      <c r="H361" s="19"/>
      <c r="I361" s="20">
        <f t="shared" si="2"/>
        <v>46082</v>
      </c>
    </row>
    <row r="362" ht="22.5" hidden="1" customHeight="1">
      <c r="A362" s="5">
        <v>46100.0</v>
      </c>
      <c r="B362" s="6">
        <f t="shared" si="1"/>
        <v>12</v>
      </c>
      <c r="C362" s="7" t="s">
        <v>32</v>
      </c>
      <c r="D362" s="22"/>
      <c r="E362" s="7" t="s">
        <v>11</v>
      </c>
      <c r="F362" s="10" t="str">
        <f>VLOOKUP(E362,BASE_VEICULOS!A:G,7,0)</f>
        <v>PROF - 07001 - MANUTENÇÃO PREDIAL- PROFARMA-2025</v>
      </c>
      <c r="G362" s="11" t="str">
        <f>IFERROR(VLOOKUP(E362,BASE_VEICULOS!$A:$B,2,0),"")</f>
        <v>TEW9A28</v>
      </c>
      <c r="H362" s="19"/>
      <c r="I362" s="20">
        <f t="shared" si="2"/>
        <v>46082</v>
      </c>
    </row>
    <row r="363" ht="22.5" hidden="1" customHeight="1">
      <c r="A363" s="5">
        <v>46100.0</v>
      </c>
      <c r="B363" s="6">
        <f t="shared" si="1"/>
        <v>12</v>
      </c>
      <c r="C363" s="7" t="s">
        <v>32</v>
      </c>
      <c r="D363" s="22"/>
      <c r="E363" s="7" t="s">
        <v>17</v>
      </c>
      <c r="F363" s="10" t="str">
        <f>VLOOKUP(E363,BASE_VEICULOS!A:G,7,0)</f>
        <v>#N/A</v>
      </c>
      <c r="G363" s="11" t="str">
        <f>IFERROR(VLOOKUP(E363,BASE_VEICULOS!$A:$B,2,0),"")</f>
        <v/>
      </c>
      <c r="H363" s="19"/>
      <c r="I363" s="20">
        <f t="shared" si="2"/>
        <v>46082</v>
      </c>
    </row>
    <row r="364" ht="22.5" hidden="1" customHeight="1">
      <c r="A364" s="5">
        <v>46100.0</v>
      </c>
      <c r="B364" s="6">
        <f t="shared" si="1"/>
        <v>12</v>
      </c>
      <c r="C364" s="7" t="s">
        <v>32</v>
      </c>
      <c r="D364" s="22"/>
      <c r="E364" s="7" t="s">
        <v>10</v>
      </c>
      <c r="F364" s="10" t="str">
        <f>VLOOKUP(E364,BASE_VEICULOS!A:G,7,0)</f>
        <v>FAC - 140004 - MANUTENÇÃO PREDIAL DPSP 2025</v>
      </c>
      <c r="G364" s="11" t="str">
        <f>IFERROR(VLOOKUP(E364,BASE_VEICULOS!$A:$B,2,0),"")</f>
        <v>TEW9A25</v>
      </c>
      <c r="H364" s="19"/>
      <c r="I364" s="20">
        <f t="shared" si="2"/>
        <v>46082</v>
      </c>
    </row>
    <row r="365" ht="22.5" hidden="1" customHeight="1">
      <c r="A365" s="5">
        <v>46100.0</v>
      </c>
      <c r="B365" s="6">
        <f t="shared" si="1"/>
        <v>12</v>
      </c>
      <c r="C365" s="7" t="s">
        <v>32</v>
      </c>
      <c r="D365" s="22"/>
      <c r="E365" s="7" t="s">
        <v>30</v>
      </c>
      <c r="F365" s="10" t="str">
        <f>VLOOKUP(E365,BASE_VEICULOS!A:G,7,0)</f>
        <v>#N/A</v>
      </c>
      <c r="G365" s="11" t="str">
        <f>IFERROR(VLOOKUP(E365,BASE_VEICULOS!$A:$B,2,0),"")</f>
        <v/>
      </c>
      <c r="H365" s="19"/>
      <c r="I365" s="20">
        <f t="shared" si="2"/>
        <v>46082</v>
      </c>
    </row>
    <row r="366" ht="22.5" hidden="1" customHeight="1">
      <c r="A366" s="5">
        <v>46100.0</v>
      </c>
      <c r="B366" s="6">
        <f t="shared" si="1"/>
        <v>12</v>
      </c>
      <c r="C366" s="7" t="s">
        <v>32</v>
      </c>
      <c r="D366" s="22"/>
      <c r="E366" s="7" t="s">
        <v>21</v>
      </c>
      <c r="F366" s="10" t="str">
        <f>VLOOKUP(E366,BASE_VEICULOS!A:G,7,0)</f>
        <v>PROF - 07001 - MANUTENÇÃO PREDIAL- PROFARMA-2025</v>
      </c>
      <c r="G366" s="11" t="str">
        <f>IFERROR(VLOOKUP(E366,BASE_VEICULOS!$A:$B,2,0),"")</f>
        <v>TEW9A33</v>
      </c>
      <c r="H366" s="19"/>
      <c r="I366" s="20">
        <f t="shared" si="2"/>
        <v>46082</v>
      </c>
    </row>
    <row r="367" ht="22.5" hidden="1" customHeight="1">
      <c r="A367" s="5">
        <v>46100.0</v>
      </c>
      <c r="B367" s="6">
        <f t="shared" si="1"/>
        <v>12</v>
      </c>
      <c r="C367" s="7" t="s">
        <v>32</v>
      </c>
      <c r="D367" s="22"/>
      <c r="E367" s="7" t="s">
        <v>23</v>
      </c>
      <c r="F367" s="10" t="str">
        <f>VLOOKUP(E367,BASE_VEICULOS!A:G,7,0)</f>
        <v>PROF - 07001 - MANUTENÇÃO PREDIAL- PROFARMA-2025</v>
      </c>
      <c r="G367" s="11" t="str">
        <f>IFERROR(VLOOKUP(E367,BASE_VEICULOS!$A:$B,2,0),"")</f>
        <v>TEH3I02</v>
      </c>
      <c r="H367" s="19"/>
      <c r="I367" s="20">
        <f t="shared" si="2"/>
        <v>46082</v>
      </c>
    </row>
    <row r="368" ht="22.5" hidden="1" customHeight="1">
      <c r="A368" s="5">
        <v>46100.0</v>
      </c>
      <c r="B368" s="6">
        <f t="shared" si="1"/>
        <v>12</v>
      </c>
      <c r="C368" s="7" t="s">
        <v>32</v>
      </c>
      <c r="D368" s="22"/>
      <c r="E368" s="7" t="s">
        <v>12</v>
      </c>
      <c r="F368" s="10" t="str">
        <f>VLOOKUP(E368,BASE_VEICULOS!A:G,7,0)</f>
        <v>FAC - 140004 - MANUTENÇÃO PREDIAL DPSP 2025</v>
      </c>
      <c r="G368" s="11" t="str">
        <f>IFERROR(VLOOKUP(E368,BASE_VEICULOS!$A:$B,2,0),"")</f>
        <v>FIL8C14</v>
      </c>
      <c r="H368" s="19"/>
      <c r="I368" s="20">
        <f t="shared" si="2"/>
        <v>46082</v>
      </c>
    </row>
    <row r="369" ht="22.5" hidden="1" customHeight="1">
      <c r="A369" s="5">
        <v>46100.0</v>
      </c>
      <c r="B369" s="6">
        <f t="shared" si="1"/>
        <v>12</v>
      </c>
      <c r="C369" s="7" t="s">
        <v>32</v>
      </c>
      <c r="D369" s="22"/>
      <c r="E369" s="7" t="s">
        <v>24</v>
      </c>
      <c r="F369" s="10" t="str">
        <f>VLOOKUP(E369,BASE_VEICULOS!A:G,7,0)</f>
        <v>PROF - 07001 - MANUTENÇÃO PREDIAL- PROFARMA-2025</v>
      </c>
      <c r="G369" s="11" t="str">
        <f>IFERROR(VLOOKUP(E369,BASE_VEICULOS!$A:$B,2,0),"")</f>
        <v>TEW9A23</v>
      </c>
      <c r="H369" s="19"/>
      <c r="I369" s="20">
        <f t="shared" si="2"/>
        <v>46082</v>
      </c>
    </row>
    <row r="370" ht="22.5" hidden="1" customHeight="1">
      <c r="A370" s="5">
        <v>46100.0</v>
      </c>
      <c r="B370" s="6">
        <f t="shared" si="1"/>
        <v>12</v>
      </c>
      <c r="C370" s="7" t="s">
        <v>32</v>
      </c>
      <c r="D370" s="22"/>
      <c r="E370" s="7" t="s">
        <v>18</v>
      </c>
      <c r="F370" s="10" t="str">
        <f>VLOOKUP(E370,BASE_VEICULOS!A:G,7,0)</f>
        <v>FAC - 140004 - MANUTENÇÃO PREDIAL DPSP 2025</v>
      </c>
      <c r="G370" s="11" t="str">
        <f>IFERROR(VLOOKUP(E370,BASE_VEICULOS!$A:$B,2,0),"")</f>
        <v>TEW9A29</v>
      </c>
      <c r="H370" s="19"/>
      <c r="I370" s="20">
        <f t="shared" si="2"/>
        <v>46082</v>
      </c>
    </row>
    <row r="371" ht="22.5" hidden="1" customHeight="1">
      <c r="A371" s="5">
        <v>46100.0</v>
      </c>
      <c r="B371" s="6">
        <f t="shared" si="1"/>
        <v>12</v>
      </c>
      <c r="C371" s="7" t="s">
        <v>32</v>
      </c>
      <c r="D371" s="22"/>
      <c r="E371" s="7" t="s">
        <v>34</v>
      </c>
      <c r="F371" s="10" t="str">
        <f>VLOOKUP(E371,BASE_VEICULOS!A:G,7,0)</f>
        <v>PROF - 07001 - MANUTENÇÃO PREDIAL- PROFARMA-2025</v>
      </c>
      <c r="G371" s="11" t="str">
        <f>IFERROR(VLOOKUP(E371,BASE_VEICULOS!$A:$B,2,0),"")</f>
        <v>SRU8D16</v>
      </c>
      <c r="H371" s="19"/>
      <c r="I371" s="20">
        <f t="shared" si="2"/>
        <v>46082</v>
      </c>
    </row>
    <row r="372" ht="22.5" hidden="1" customHeight="1">
      <c r="A372" s="5">
        <v>46100.0</v>
      </c>
      <c r="B372" s="6">
        <f t="shared" si="1"/>
        <v>12</v>
      </c>
      <c r="C372" s="7" t="s">
        <v>32</v>
      </c>
      <c r="D372" s="22"/>
      <c r="E372" s="7" t="s">
        <v>19</v>
      </c>
      <c r="F372" s="10" t="str">
        <f>VLOOKUP(E372,BASE_VEICULOS!A:G,7,0)</f>
        <v>PROF - 07001 - MANUTENÇÃO PREDIAL- PROFARMA-2025</v>
      </c>
      <c r="G372" s="11" t="str">
        <f>IFERROR(VLOOKUP(E372,BASE_VEICULOS!$A:$B,2,0),"")</f>
        <v>TEW9A24</v>
      </c>
      <c r="H372" s="19"/>
      <c r="I372" s="20">
        <f t="shared" si="2"/>
        <v>46082</v>
      </c>
    </row>
    <row r="373" ht="22.5" hidden="1" customHeight="1">
      <c r="A373" s="5">
        <v>46100.0</v>
      </c>
      <c r="B373" s="6">
        <f t="shared" si="1"/>
        <v>12</v>
      </c>
      <c r="C373" s="7" t="s">
        <v>32</v>
      </c>
      <c r="D373" s="22"/>
      <c r="E373" s="7" t="s">
        <v>22</v>
      </c>
      <c r="F373" s="10" t="str">
        <f>VLOOKUP(E373,BASE_VEICULOS!A:G,7,0)</f>
        <v>PROF - 07001 - MANUTENÇÃO PREDIAL- PROFARMA-2025</v>
      </c>
      <c r="G373" s="11" t="str">
        <f>IFERROR(VLOOKUP(E373,BASE_VEICULOS!$A:$B,2,0),"")</f>
        <v>TET5H37</v>
      </c>
      <c r="H373" s="19"/>
      <c r="I373" s="20">
        <f t="shared" si="2"/>
        <v>46082</v>
      </c>
    </row>
    <row r="374" ht="22.5" hidden="1" customHeight="1">
      <c r="A374" s="5">
        <v>46100.0</v>
      </c>
      <c r="B374" s="6">
        <f t="shared" si="1"/>
        <v>12</v>
      </c>
      <c r="C374" s="7" t="s">
        <v>32</v>
      </c>
      <c r="D374" s="22"/>
      <c r="E374" s="7" t="s">
        <v>29</v>
      </c>
      <c r="F374" s="10" t="str">
        <f>VLOOKUP(E374,BASE_VEICULOS!A:G,7,0)</f>
        <v>PROF - 07001 - MANUTENÇÃO PREDIAL- PROFARMA-2025</v>
      </c>
      <c r="G374" s="11" t="str">
        <f>IFERROR(VLOOKUP(E374,BASE_VEICULOS!$A:$B,2,0),"")</f>
        <v>TEQ2I74</v>
      </c>
      <c r="H374" s="19"/>
      <c r="I374" s="20">
        <f t="shared" si="2"/>
        <v>46082</v>
      </c>
    </row>
    <row r="375" ht="22.5" hidden="1" customHeight="1">
      <c r="A375" s="5">
        <v>46100.0</v>
      </c>
      <c r="B375" s="6">
        <f t="shared" si="1"/>
        <v>12</v>
      </c>
      <c r="C375" s="7" t="s">
        <v>32</v>
      </c>
      <c r="D375" s="22"/>
      <c r="E375" s="7" t="s">
        <v>33</v>
      </c>
      <c r="F375" s="10" t="str">
        <f>VLOOKUP(E375,BASE_VEICULOS!A:G,7,0)</f>
        <v>PROF - 07001 - MANUTENÇÃO PREDIAL- PROFARMA-2025</v>
      </c>
      <c r="G375" s="11" t="str">
        <f>IFERROR(VLOOKUP(E375,BASE_VEICULOS!$A:$B,2,0),"")</f>
        <v>TEW9A30</v>
      </c>
      <c r="H375" s="19"/>
      <c r="I375" s="20">
        <f t="shared" si="2"/>
        <v>46082</v>
      </c>
    </row>
    <row r="376" ht="22.5" hidden="1" customHeight="1">
      <c r="A376" s="5">
        <v>46100.0</v>
      </c>
      <c r="B376" s="6">
        <f t="shared" si="1"/>
        <v>12</v>
      </c>
      <c r="C376" s="7" t="s">
        <v>32</v>
      </c>
      <c r="D376" s="22"/>
      <c r="E376" s="7" t="s">
        <v>11</v>
      </c>
      <c r="F376" s="10" t="str">
        <f>VLOOKUP(E376,BASE_VEICULOS!A:G,7,0)</f>
        <v>PROF - 07001 - MANUTENÇÃO PREDIAL- PROFARMA-2025</v>
      </c>
      <c r="G376" s="11" t="str">
        <f>IFERROR(VLOOKUP(E376,BASE_VEICULOS!$A:$B,2,0),"")</f>
        <v>TEW9A28</v>
      </c>
      <c r="H376" s="19"/>
      <c r="I376" s="20">
        <f t="shared" si="2"/>
        <v>46082</v>
      </c>
    </row>
    <row r="377" ht="22.5" hidden="1" customHeight="1">
      <c r="A377" s="5">
        <v>46100.0</v>
      </c>
      <c r="B377" s="6">
        <f t="shared" si="1"/>
        <v>12</v>
      </c>
      <c r="C377" s="7" t="s">
        <v>32</v>
      </c>
      <c r="D377" s="22"/>
      <c r="E377" s="7" t="s">
        <v>13</v>
      </c>
      <c r="F377" s="10" t="str">
        <f>VLOOKUP(E377,BASE_VEICULOS!A:G,7,0)</f>
        <v>FAC - 140005 - SPOT MANUTENÇÃO DPSP 2025</v>
      </c>
      <c r="G377" s="11" t="str">
        <f>IFERROR(VLOOKUP(E377,BASE_VEICULOS!$A:$B,2,0),"")</f>
        <v>FGO3C61</v>
      </c>
      <c r="H377" s="19"/>
      <c r="I377" s="20">
        <f t="shared" si="2"/>
        <v>46082</v>
      </c>
    </row>
    <row r="378" ht="22.5" hidden="1" customHeight="1">
      <c r="A378" s="5">
        <v>46101.0</v>
      </c>
      <c r="B378" s="6">
        <f t="shared" si="1"/>
        <v>12</v>
      </c>
      <c r="C378" s="7" t="s">
        <v>32</v>
      </c>
      <c r="D378" s="22"/>
      <c r="E378" s="7" t="s">
        <v>20</v>
      </c>
      <c r="F378" s="10" t="str">
        <f>VLOOKUP(E378,BASE_VEICULOS!A:G,7,0)</f>
        <v>PROF - 07001 - MANUTENÇÃO PREDIAL- PROFARMA-2025</v>
      </c>
      <c r="G378" s="11" t="str">
        <f>IFERROR(VLOOKUP(E378,BASE_VEICULOS!$A:$B,2,0),"")</f>
        <v>TEW9A34</v>
      </c>
      <c r="H378" s="19"/>
      <c r="I378" s="20">
        <f t="shared" si="2"/>
        <v>46082</v>
      </c>
    </row>
    <row r="379" ht="22.5" hidden="1" customHeight="1">
      <c r="A379" s="5">
        <v>46101.0</v>
      </c>
      <c r="B379" s="6">
        <f t="shared" si="1"/>
        <v>12</v>
      </c>
      <c r="C379" s="7" t="s">
        <v>32</v>
      </c>
      <c r="D379" s="22"/>
      <c r="E379" s="7" t="s">
        <v>14</v>
      </c>
      <c r="F379" s="10" t="str">
        <f>VLOOKUP(E379,BASE_VEICULOS!A:G,7,0)</f>
        <v>FAC - 140004 - MANUTENÇÃO PREDIAL DPSP 2025</v>
      </c>
      <c r="G379" s="11" t="str">
        <f>IFERROR(VLOOKUP(E379,BASE_VEICULOS!$A:$B,2,0),"")</f>
        <v>FOK8A73</v>
      </c>
      <c r="H379" s="19"/>
      <c r="I379" s="20">
        <f t="shared" si="2"/>
        <v>46082</v>
      </c>
    </row>
    <row r="380" ht="22.5" hidden="1" customHeight="1">
      <c r="A380" s="5">
        <v>46101.0</v>
      </c>
      <c r="B380" s="6">
        <f t="shared" si="1"/>
        <v>12</v>
      </c>
      <c r="C380" s="7" t="s">
        <v>32</v>
      </c>
      <c r="D380" s="22"/>
      <c r="E380" s="7" t="s">
        <v>29</v>
      </c>
      <c r="F380" s="10" t="str">
        <f>VLOOKUP(E380,BASE_VEICULOS!A:G,7,0)</f>
        <v>PROF - 07001 - MANUTENÇÃO PREDIAL- PROFARMA-2025</v>
      </c>
      <c r="G380" s="11" t="str">
        <f>IFERROR(VLOOKUP(E380,BASE_VEICULOS!$A:$B,2,0),"")</f>
        <v>TEQ2I74</v>
      </c>
      <c r="H380" s="19"/>
      <c r="I380" s="20">
        <f t="shared" si="2"/>
        <v>46082</v>
      </c>
    </row>
    <row r="381" ht="22.5" hidden="1" customHeight="1">
      <c r="A381" s="5">
        <v>46101.0</v>
      </c>
      <c r="B381" s="6">
        <f t="shared" si="1"/>
        <v>12</v>
      </c>
      <c r="C381" s="7" t="s">
        <v>32</v>
      </c>
      <c r="D381" s="22"/>
      <c r="E381" s="7" t="s">
        <v>34</v>
      </c>
      <c r="F381" s="10" t="str">
        <f>VLOOKUP(E381,BASE_VEICULOS!A:G,7,0)</f>
        <v>PROF - 07001 - MANUTENÇÃO PREDIAL- PROFARMA-2025</v>
      </c>
      <c r="G381" s="11" t="str">
        <f>IFERROR(VLOOKUP(E381,BASE_VEICULOS!$A:$B,2,0),"")</f>
        <v>SRU8D16</v>
      </c>
      <c r="H381" s="19"/>
      <c r="I381" s="20">
        <f t="shared" si="2"/>
        <v>46082</v>
      </c>
    </row>
    <row r="382" ht="22.5" hidden="1" customHeight="1">
      <c r="A382" s="5">
        <v>46101.0</v>
      </c>
      <c r="B382" s="6">
        <f t="shared" si="1"/>
        <v>12</v>
      </c>
      <c r="C382" s="7" t="s">
        <v>32</v>
      </c>
      <c r="D382" s="22"/>
      <c r="E382" s="7" t="s">
        <v>24</v>
      </c>
      <c r="F382" s="10" t="str">
        <f>VLOOKUP(E382,BASE_VEICULOS!A:G,7,0)</f>
        <v>PROF - 07001 - MANUTENÇÃO PREDIAL- PROFARMA-2025</v>
      </c>
      <c r="G382" s="11" t="str">
        <f>IFERROR(VLOOKUP(E382,BASE_VEICULOS!$A:$B,2,0),"")</f>
        <v>TEW9A23</v>
      </c>
      <c r="H382" s="19"/>
      <c r="I382" s="20">
        <f t="shared" si="2"/>
        <v>46082</v>
      </c>
    </row>
    <row r="383" ht="22.5" hidden="1" customHeight="1">
      <c r="A383" s="5">
        <v>46101.0</v>
      </c>
      <c r="B383" s="6">
        <f t="shared" si="1"/>
        <v>12</v>
      </c>
      <c r="C383" s="7" t="s">
        <v>32</v>
      </c>
      <c r="D383" s="22"/>
      <c r="E383" s="7" t="s">
        <v>23</v>
      </c>
      <c r="F383" s="10" t="str">
        <f>VLOOKUP(E383,BASE_VEICULOS!A:G,7,0)</f>
        <v>PROF - 07001 - MANUTENÇÃO PREDIAL- PROFARMA-2025</v>
      </c>
      <c r="G383" s="11" t="str">
        <f>IFERROR(VLOOKUP(E383,BASE_VEICULOS!$A:$B,2,0),"")</f>
        <v>TEH3I02</v>
      </c>
      <c r="H383" s="19"/>
      <c r="I383" s="20">
        <f t="shared" si="2"/>
        <v>46082</v>
      </c>
    </row>
    <row r="384" ht="22.5" hidden="1" customHeight="1">
      <c r="A384" s="5">
        <v>46101.0</v>
      </c>
      <c r="B384" s="6">
        <f t="shared" si="1"/>
        <v>12</v>
      </c>
      <c r="C384" s="7" t="s">
        <v>32</v>
      </c>
      <c r="D384" s="22"/>
      <c r="E384" s="7" t="s">
        <v>25</v>
      </c>
      <c r="F384" s="10" t="str">
        <f>VLOOKUP(E384,BASE_VEICULOS!A:G,7,0)</f>
        <v>PROF - 07001 - MANUTENÇÃO PREDIAL- PROFARMA-2025</v>
      </c>
      <c r="G384" s="11" t="str">
        <f>IFERROR(VLOOKUP(E384,BASE_VEICULOS!$A:$B,2,0),"")</f>
        <v>TEW9A26</v>
      </c>
      <c r="H384" s="19"/>
      <c r="I384" s="20">
        <f t="shared" si="2"/>
        <v>46082</v>
      </c>
    </row>
    <row r="385" ht="22.5" hidden="1" customHeight="1">
      <c r="A385" s="5">
        <v>46101.0</v>
      </c>
      <c r="B385" s="6">
        <f t="shared" si="1"/>
        <v>12</v>
      </c>
      <c r="C385" s="7" t="s">
        <v>32</v>
      </c>
      <c r="D385" s="22"/>
      <c r="E385" s="7" t="s">
        <v>22</v>
      </c>
      <c r="F385" s="10" t="str">
        <f>VLOOKUP(E385,BASE_VEICULOS!A:G,7,0)</f>
        <v>PROF - 07001 - MANUTENÇÃO PREDIAL- PROFARMA-2025</v>
      </c>
      <c r="G385" s="11" t="str">
        <f>IFERROR(VLOOKUP(E385,BASE_VEICULOS!$A:$B,2,0),"")</f>
        <v>TET5H37</v>
      </c>
      <c r="H385" s="19"/>
      <c r="I385" s="20">
        <f t="shared" si="2"/>
        <v>46082</v>
      </c>
    </row>
    <row r="386" ht="22.5" hidden="1" customHeight="1">
      <c r="A386" s="5">
        <v>46101.0</v>
      </c>
      <c r="B386" s="6">
        <f t="shared" si="1"/>
        <v>12</v>
      </c>
      <c r="C386" s="7" t="s">
        <v>32</v>
      </c>
      <c r="D386" s="22"/>
      <c r="E386" s="7" t="s">
        <v>15</v>
      </c>
      <c r="F386" s="10" t="str">
        <f>VLOOKUP(E386,BASE_VEICULOS!A:G,7,0)</f>
        <v>FAC - 140005 - SPOT MANUTENÇÃO DPSP 2025</v>
      </c>
      <c r="G386" s="11" t="str">
        <f>IFERROR(VLOOKUP(E386,BASE_VEICULOS!$A:$B,2,0),"")</f>
        <v>EWH1B84</v>
      </c>
      <c r="H386" s="19"/>
      <c r="I386" s="20">
        <f t="shared" si="2"/>
        <v>46082</v>
      </c>
    </row>
    <row r="387" ht="22.5" hidden="1" customHeight="1">
      <c r="A387" s="5">
        <v>46101.0</v>
      </c>
      <c r="B387" s="6">
        <f t="shared" si="1"/>
        <v>12</v>
      </c>
      <c r="C387" s="7" t="s">
        <v>32</v>
      </c>
      <c r="D387" s="22"/>
      <c r="E387" s="7" t="s">
        <v>12</v>
      </c>
      <c r="F387" s="10" t="str">
        <f>VLOOKUP(E387,BASE_VEICULOS!A:G,7,0)</f>
        <v>FAC - 140004 - MANUTENÇÃO PREDIAL DPSP 2025</v>
      </c>
      <c r="G387" s="11" t="str">
        <f>IFERROR(VLOOKUP(E387,BASE_VEICULOS!$A:$B,2,0),"")</f>
        <v>FIL8C14</v>
      </c>
      <c r="H387" s="19"/>
      <c r="I387" s="20">
        <f t="shared" si="2"/>
        <v>46082</v>
      </c>
    </row>
    <row r="388" ht="22.5" hidden="1" customHeight="1">
      <c r="A388" s="5">
        <v>46101.0</v>
      </c>
      <c r="B388" s="6">
        <f t="shared" si="1"/>
        <v>12</v>
      </c>
      <c r="C388" s="7" t="s">
        <v>32</v>
      </c>
      <c r="D388" s="22"/>
      <c r="E388" s="7" t="s">
        <v>16</v>
      </c>
      <c r="F388" s="10" t="str">
        <f>VLOOKUP(E388,BASE_VEICULOS!A:G,7,0)</f>
        <v>FAC - 140005 - SPOT MANUTENÇÃO DPSP 2025</v>
      </c>
      <c r="G388" s="11" t="str">
        <f>IFERROR(VLOOKUP(E388,BASE_VEICULOS!$A:$B,2,0),"")</f>
        <v>TEW9A27</v>
      </c>
      <c r="H388" s="19"/>
      <c r="I388" s="20">
        <f t="shared" si="2"/>
        <v>46082</v>
      </c>
    </row>
    <row r="389" ht="22.5" hidden="1" customHeight="1">
      <c r="A389" s="5">
        <v>46101.0</v>
      </c>
      <c r="B389" s="6">
        <f t="shared" si="1"/>
        <v>12</v>
      </c>
      <c r="C389" s="7" t="s">
        <v>32</v>
      </c>
      <c r="D389" s="22"/>
      <c r="E389" s="7" t="s">
        <v>21</v>
      </c>
      <c r="F389" s="10" t="str">
        <f>VLOOKUP(E389,BASE_VEICULOS!A:G,7,0)</f>
        <v>PROF - 07001 - MANUTENÇÃO PREDIAL- PROFARMA-2025</v>
      </c>
      <c r="G389" s="11" t="str">
        <f>IFERROR(VLOOKUP(E389,BASE_VEICULOS!$A:$B,2,0),"")</f>
        <v>TEW9A33</v>
      </c>
      <c r="H389" s="19"/>
      <c r="I389" s="20">
        <f t="shared" si="2"/>
        <v>46082</v>
      </c>
    </row>
    <row r="390" ht="22.5" hidden="1" customHeight="1">
      <c r="A390" s="5">
        <v>46101.0</v>
      </c>
      <c r="B390" s="6">
        <f t="shared" si="1"/>
        <v>12</v>
      </c>
      <c r="C390" s="7" t="s">
        <v>32</v>
      </c>
      <c r="D390" s="22"/>
      <c r="E390" s="7" t="s">
        <v>10</v>
      </c>
      <c r="F390" s="10" t="str">
        <f>VLOOKUP(E390,BASE_VEICULOS!A:G,7,0)</f>
        <v>FAC - 140004 - MANUTENÇÃO PREDIAL DPSP 2025</v>
      </c>
      <c r="G390" s="11" t="str">
        <f>IFERROR(VLOOKUP(E390,BASE_VEICULOS!$A:$B,2,0),"")</f>
        <v>TEW9A25</v>
      </c>
      <c r="H390" s="19"/>
      <c r="I390" s="20">
        <f t="shared" si="2"/>
        <v>46082</v>
      </c>
    </row>
    <row r="391" ht="22.5" hidden="1" customHeight="1">
      <c r="A391" s="5">
        <v>46101.0</v>
      </c>
      <c r="B391" s="6">
        <f t="shared" si="1"/>
        <v>12</v>
      </c>
      <c r="C391" s="7" t="s">
        <v>32</v>
      </c>
      <c r="D391" s="22"/>
      <c r="E391" s="7" t="s">
        <v>18</v>
      </c>
      <c r="F391" s="10" t="str">
        <f>VLOOKUP(E391,BASE_VEICULOS!A:G,7,0)</f>
        <v>FAC - 140004 - MANUTENÇÃO PREDIAL DPSP 2025</v>
      </c>
      <c r="G391" s="11" t="str">
        <f>IFERROR(VLOOKUP(E391,BASE_VEICULOS!$A:$B,2,0),"")</f>
        <v>TEW9A29</v>
      </c>
      <c r="H391" s="19"/>
      <c r="I391" s="20">
        <f t="shared" si="2"/>
        <v>46082</v>
      </c>
    </row>
    <row r="392" ht="22.5" hidden="1" customHeight="1">
      <c r="A392" s="5">
        <v>46101.0</v>
      </c>
      <c r="B392" s="6">
        <f t="shared" si="1"/>
        <v>12</v>
      </c>
      <c r="C392" s="7" t="s">
        <v>32</v>
      </c>
      <c r="D392" s="22"/>
      <c r="E392" s="7" t="s">
        <v>17</v>
      </c>
      <c r="F392" s="10" t="str">
        <f>VLOOKUP(E392,BASE_VEICULOS!A:G,7,0)</f>
        <v>#N/A</v>
      </c>
      <c r="G392" s="11" t="str">
        <f>IFERROR(VLOOKUP(E392,BASE_VEICULOS!$A:$B,2,0),"")</f>
        <v/>
      </c>
      <c r="H392" s="19"/>
      <c r="I392" s="20">
        <f t="shared" si="2"/>
        <v>46082</v>
      </c>
    </row>
    <row r="393" ht="22.5" hidden="1" customHeight="1">
      <c r="A393" s="5">
        <v>46101.0</v>
      </c>
      <c r="B393" s="6">
        <f t="shared" si="1"/>
        <v>12</v>
      </c>
      <c r="C393" s="7" t="s">
        <v>32</v>
      </c>
      <c r="D393" s="22"/>
      <c r="E393" s="7" t="s">
        <v>30</v>
      </c>
      <c r="F393" s="10" t="str">
        <f>VLOOKUP(E393,BASE_VEICULOS!A:G,7,0)</f>
        <v>#N/A</v>
      </c>
      <c r="G393" s="11" t="str">
        <f>IFERROR(VLOOKUP(E393,BASE_VEICULOS!$A:$B,2,0),"")</f>
        <v/>
      </c>
      <c r="H393" s="19"/>
      <c r="I393" s="20">
        <f t="shared" si="2"/>
        <v>46082</v>
      </c>
    </row>
    <row r="394" ht="22.5" hidden="1" customHeight="1">
      <c r="A394" s="5">
        <v>46101.0</v>
      </c>
      <c r="B394" s="6">
        <f t="shared" si="1"/>
        <v>12</v>
      </c>
      <c r="C394" s="7" t="s">
        <v>32</v>
      </c>
      <c r="D394" s="22"/>
      <c r="E394" s="7" t="s">
        <v>19</v>
      </c>
      <c r="F394" s="10" t="str">
        <f>VLOOKUP(E394,BASE_VEICULOS!A:G,7,0)</f>
        <v>PROF - 07001 - MANUTENÇÃO PREDIAL- PROFARMA-2025</v>
      </c>
      <c r="G394" s="11" t="str">
        <f>IFERROR(VLOOKUP(E394,BASE_VEICULOS!$A:$B,2,0),"")</f>
        <v>TEW9A24</v>
      </c>
      <c r="H394" s="19"/>
      <c r="I394" s="20">
        <f t="shared" si="2"/>
        <v>46082</v>
      </c>
    </row>
    <row r="395" ht="22.5" hidden="1" customHeight="1">
      <c r="A395" s="5">
        <v>46101.0</v>
      </c>
      <c r="B395" s="6">
        <f t="shared" si="1"/>
        <v>12</v>
      </c>
      <c r="C395" s="7" t="s">
        <v>32</v>
      </c>
      <c r="D395" s="22"/>
      <c r="E395" s="7" t="s">
        <v>13</v>
      </c>
      <c r="F395" s="10" t="str">
        <f>VLOOKUP(E395,BASE_VEICULOS!A:G,7,0)</f>
        <v>FAC - 140005 - SPOT MANUTENÇÃO DPSP 2025</v>
      </c>
      <c r="G395" s="11" t="str">
        <f>IFERROR(VLOOKUP(E395,BASE_VEICULOS!$A:$B,2,0),"")</f>
        <v>FGO3C61</v>
      </c>
      <c r="H395" s="19"/>
      <c r="I395" s="20">
        <f t="shared" si="2"/>
        <v>46082</v>
      </c>
    </row>
    <row r="396" ht="22.5" hidden="1" customHeight="1">
      <c r="A396" s="5">
        <v>46101.0</v>
      </c>
      <c r="B396" s="6">
        <f t="shared" si="1"/>
        <v>12</v>
      </c>
      <c r="C396" s="7" t="s">
        <v>32</v>
      </c>
      <c r="D396" s="22"/>
      <c r="E396" s="7" t="s">
        <v>34</v>
      </c>
      <c r="F396" s="10" t="str">
        <f>VLOOKUP(E396,BASE_VEICULOS!A:G,7,0)</f>
        <v>PROF - 07001 - MANUTENÇÃO PREDIAL- PROFARMA-2025</v>
      </c>
      <c r="G396" s="11" t="str">
        <f>IFERROR(VLOOKUP(E396,BASE_VEICULOS!$A:$B,2,0),"")</f>
        <v>SRU8D16</v>
      </c>
      <c r="H396" s="19"/>
      <c r="I396" s="20">
        <f t="shared" si="2"/>
        <v>46082</v>
      </c>
    </row>
    <row r="397" ht="22.5" hidden="1" customHeight="1">
      <c r="A397" s="5">
        <v>46102.0</v>
      </c>
      <c r="B397" s="6">
        <f t="shared" si="1"/>
        <v>12</v>
      </c>
      <c r="C397" s="7" t="s">
        <v>32</v>
      </c>
      <c r="D397" s="22"/>
      <c r="E397" s="7" t="s">
        <v>29</v>
      </c>
      <c r="F397" s="10" t="str">
        <f>VLOOKUP(E397,BASE_VEICULOS!A:G,7,0)</f>
        <v>PROF - 07001 - MANUTENÇÃO PREDIAL- PROFARMA-2025</v>
      </c>
      <c r="G397" s="11" t="str">
        <f>IFERROR(VLOOKUP(E397,BASE_VEICULOS!$A:$B,2,0),"")</f>
        <v>TEQ2I74</v>
      </c>
      <c r="H397" s="19"/>
      <c r="I397" s="20">
        <f t="shared" si="2"/>
        <v>46082</v>
      </c>
    </row>
    <row r="398" ht="22.5" hidden="1" customHeight="1">
      <c r="A398" s="5">
        <v>46102.0</v>
      </c>
      <c r="B398" s="6">
        <f t="shared" si="1"/>
        <v>12</v>
      </c>
      <c r="C398" s="7" t="s">
        <v>32</v>
      </c>
      <c r="D398" s="22"/>
      <c r="E398" s="7" t="s">
        <v>23</v>
      </c>
      <c r="F398" s="10" t="str">
        <f>VLOOKUP(E398,BASE_VEICULOS!A:G,7,0)</f>
        <v>PROF - 07001 - MANUTENÇÃO PREDIAL- PROFARMA-2025</v>
      </c>
      <c r="G398" s="11" t="str">
        <f>IFERROR(VLOOKUP(E398,BASE_VEICULOS!$A:$B,2,0),"")</f>
        <v>TEH3I02</v>
      </c>
      <c r="H398" s="19"/>
      <c r="I398" s="20">
        <f t="shared" si="2"/>
        <v>46082</v>
      </c>
    </row>
    <row r="399" ht="22.5" hidden="1" customHeight="1">
      <c r="A399" s="5">
        <v>46102.0</v>
      </c>
      <c r="B399" s="6">
        <f t="shared" si="1"/>
        <v>12</v>
      </c>
      <c r="C399" s="7" t="s">
        <v>32</v>
      </c>
      <c r="D399" s="22"/>
      <c r="E399" s="7" t="s">
        <v>12</v>
      </c>
      <c r="F399" s="10" t="str">
        <f>VLOOKUP(E399,BASE_VEICULOS!A:G,7,0)</f>
        <v>FAC - 140004 - MANUTENÇÃO PREDIAL DPSP 2025</v>
      </c>
      <c r="G399" s="11" t="str">
        <f>IFERROR(VLOOKUP(E399,BASE_VEICULOS!$A:$B,2,0),"")</f>
        <v>FIL8C14</v>
      </c>
      <c r="H399" s="19"/>
      <c r="I399" s="20">
        <f t="shared" si="2"/>
        <v>46082</v>
      </c>
    </row>
    <row r="400" ht="22.5" hidden="1" customHeight="1">
      <c r="A400" s="5">
        <v>46103.0</v>
      </c>
      <c r="B400" s="6">
        <f t="shared" si="1"/>
        <v>12</v>
      </c>
      <c r="C400" s="7" t="s">
        <v>32</v>
      </c>
      <c r="D400" s="22"/>
      <c r="E400" s="7" t="s">
        <v>29</v>
      </c>
      <c r="F400" s="10" t="str">
        <f>VLOOKUP(E400,BASE_VEICULOS!A:G,7,0)</f>
        <v>PROF - 07001 - MANUTENÇÃO PREDIAL- PROFARMA-2025</v>
      </c>
      <c r="G400" s="11" t="str">
        <f>IFERROR(VLOOKUP(E400,BASE_VEICULOS!$A:$B,2,0),"")</f>
        <v>TEQ2I74</v>
      </c>
      <c r="H400" s="19"/>
      <c r="I400" s="20">
        <f t="shared" si="2"/>
        <v>46082</v>
      </c>
    </row>
    <row r="401" ht="22.5" hidden="1" customHeight="1">
      <c r="A401" s="5">
        <v>46103.0</v>
      </c>
      <c r="B401" s="6">
        <f t="shared" si="1"/>
        <v>12</v>
      </c>
      <c r="C401" s="7" t="s">
        <v>32</v>
      </c>
      <c r="D401" s="22"/>
      <c r="E401" s="7" t="s">
        <v>12</v>
      </c>
      <c r="F401" s="10" t="str">
        <f>VLOOKUP(E401,BASE_VEICULOS!A:G,7,0)</f>
        <v>FAC - 140004 - MANUTENÇÃO PREDIAL DPSP 2025</v>
      </c>
      <c r="G401" s="11" t="str">
        <f>IFERROR(VLOOKUP(E401,BASE_VEICULOS!$A:$B,2,0),"")</f>
        <v>FIL8C14</v>
      </c>
      <c r="H401" s="19"/>
      <c r="I401" s="20">
        <f t="shared" si="2"/>
        <v>46082</v>
      </c>
    </row>
    <row r="402" ht="22.5" hidden="1" customHeight="1">
      <c r="A402" s="5">
        <v>46103.0</v>
      </c>
      <c r="B402" s="6">
        <f t="shared" si="1"/>
        <v>12</v>
      </c>
      <c r="C402" s="7" t="s">
        <v>32</v>
      </c>
      <c r="D402" s="22"/>
      <c r="E402" s="7" t="s">
        <v>21</v>
      </c>
      <c r="F402" s="10" t="str">
        <f>VLOOKUP(E402,BASE_VEICULOS!A:G,7,0)</f>
        <v>PROF - 07001 - MANUTENÇÃO PREDIAL- PROFARMA-2025</v>
      </c>
      <c r="G402" s="11" t="str">
        <f>IFERROR(VLOOKUP(E402,BASE_VEICULOS!$A:$B,2,0),"")</f>
        <v>TEW9A33</v>
      </c>
      <c r="H402" s="19"/>
      <c r="I402" s="20">
        <f t="shared" si="2"/>
        <v>46082</v>
      </c>
    </row>
    <row r="403" ht="22.5" hidden="1" customHeight="1">
      <c r="A403" s="5">
        <v>46104.0</v>
      </c>
      <c r="B403" s="6">
        <f t="shared" si="1"/>
        <v>13</v>
      </c>
      <c r="C403" s="7" t="s">
        <v>32</v>
      </c>
      <c r="D403" s="22"/>
      <c r="E403" s="7" t="s">
        <v>20</v>
      </c>
      <c r="F403" s="10" t="str">
        <f>VLOOKUP(E403,BASE_VEICULOS!A:G,7,0)</f>
        <v>PROF - 07001 - MANUTENÇÃO PREDIAL- PROFARMA-2025</v>
      </c>
      <c r="G403" s="11" t="str">
        <f>IFERROR(VLOOKUP(E403,BASE_VEICULOS!$A:$B,2,0),"")</f>
        <v>TEW9A34</v>
      </c>
      <c r="H403" s="19"/>
      <c r="I403" s="20">
        <f t="shared" si="2"/>
        <v>46082</v>
      </c>
    </row>
    <row r="404" ht="22.5" hidden="1" customHeight="1">
      <c r="A404" s="5">
        <v>46104.0</v>
      </c>
      <c r="B404" s="6">
        <f t="shared" si="1"/>
        <v>13</v>
      </c>
      <c r="C404" s="7" t="s">
        <v>32</v>
      </c>
      <c r="D404" s="22"/>
      <c r="E404" s="7" t="s">
        <v>24</v>
      </c>
      <c r="F404" s="10" t="str">
        <f>VLOOKUP(E404,BASE_VEICULOS!A:G,7,0)</f>
        <v>PROF - 07001 - MANUTENÇÃO PREDIAL- PROFARMA-2025</v>
      </c>
      <c r="G404" s="11" t="str">
        <f>IFERROR(VLOOKUP(E404,BASE_VEICULOS!$A:$B,2,0),"")</f>
        <v>TEW9A23</v>
      </c>
      <c r="H404" s="19"/>
      <c r="I404" s="20">
        <f t="shared" si="2"/>
        <v>46082</v>
      </c>
    </row>
    <row r="405" ht="22.5" hidden="1" customHeight="1">
      <c r="A405" s="5">
        <v>46104.0</v>
      </c>
      <c r="B405" s="6">
        <f t="shared" si="1"/>
        <v>13</v>
      </c>
      <c r="C405" s="7" t="s">
        <v>32</v>
      </c>
      <c r="D405" s="22"/>
      <c r="E405" s="7" t="s">
        <v>17</v>
      </c>
      <c r="F405" s="10" t="str">
        <f>VLOOKUP(E405,BASE_VEICULOS!A:G,7,0)</f>
        <v>#N/A</v>
      </c>
      <c r="G405" s="11" t="str">
        <f>IFERROR(VLOOKUP(E405,BASE_VEICULOS!$A:$B,2,0),"")</f>
        <v/>
      </c>
      <c r="H405" s="19"/>
      <c r="I405" s="20">
        <f t="shared" si="2"/>
        <v>46082</v>
      </c>
    </row>
    <row r="406" ht="22.5" hidden="1" customHeight="1">
      <c r="A406" s="5">
        <v>46104.0</v>
      </c>
      <c r="B406" s="6">
        <f t="shared" si="1"/>
        <v>13</v>
      </c>
      <c r="C406" s="7" t="s">
        <v>32</v>
      </c>
      <c r="D406" s="22"/>
      <c r="E406" s="7" t="s">
        <v>10</v>
      </c>
      <c r="F406" s="10" t="str">
        <f>VLOOKUP(E406,BASE_VEICULOS!A:G,7,0)</f>
        <v>FAC - 140004 - MANUTENÇÃO PREDIAL DPSP 2025</v>
      </c>
      <c r="G406" s="11" t="str">
        <f>IFERROR(VLOOKUP(E406,BASE_VEICULOS!$A:$B,2,0),"")</f>
        <v>TEW9A25</v>
      </c>
      <c r="H406" s="19"/>
      <c r="I406" s="20">
        <f t="shared" si="2"/>
        <v>46082</v>
      </c>
    </row>
    <row r="407" ht="22.5" hidden="1" customHeight="1">
      <c r="A407" s="5">
        <v>46104.0</v>
      </c>
      <c r="B407" s="6">
        <f t="shared" si="1"/>
        <v>13</v>
      </c>
      <c r="C407" s="7" t="s">
        <v>32</v>
      </c>
      <c r="D407" s="22"/>
      <c r="E407" s="7" t="s">
        <v>30</v>
      </c>
      <c r="F407" s="10" t="str">
        <f>VLOOKUP(E407,BASE_VEICULOS!A:G,7,0)</f>
        <v>#N/A</v>
      </c>
      <c r="G407" s="11" t="str">
        <f>IFERROR(VLOOKUP(E407,BASE_VEICULOS!$A:$B,2,0),"")</f>
        <v/>
      </c>
      <c r="H407" s="19"/>
      <c r="I407" s="20">
        <f t="shared" si="2"/>
        <v>46082</v>
      </c>
    </row>
    <row r="408" ht="22.5" hidden="1" customHeight="1">
      <c r="A408" s="5">
        <v>46104.0</v>
      </c>
      <c r="B408" s="6">
        <f t="shared" si="1"/>
        <v>13</v>
      </c>
      <c r="C408" s="7" t="s">
        <v>32</v>
      </c>
      <c r="D408" s="23">
        <v>80.0</v>
      </c>
      <c r="E408" s="7" t="s">
        <v>14</v>
      </c>
      <c r="F408" s="10" t="str">
        <f>VLOOKUP(E408,BASE_VEICULOS!A:G,7,0)</f>
        <v>FAC - 140004 - MANUTENÇÃO PREDIAL DPSP 2025</v>
      </c>
      <c r="G408" s="11" t="str">
        <f>IFERROR(VLOOKUP(E408,BASE_VEICULOS!$A:$B,2,0),"")</f>
        <v>FOK8A73</v>
      </c>
      <c r="H408" s="19"/>
      <c r="I408" s="20">
        <f t="shared" si="2"/>
        <v>46082</v>
      </c>
    </row>
    <row r="409" ht="22.5" hidden="1" customHeight="1">
      <c r="A409" s="5">
        <v>46104.0</v>
      </c>
      <c r="B409" s="6">
        <f t="shared" si="1"/>
        <v>13</v>
      </c>
      <c r="C409" s="7" t="s">
        <v>32</v>
      </c>
      <c r="D409" s="8">
        <v>100.0</v>
      </c>
      <c r="E409" s="7" t="s">
        <v>22</v>
      </c>
      <c r="F409" s="10" t="str">
        <f>VLOOKUP(E409,BASE_VEICULOS!A:G,7,0)</f>
        <v>PROF - 07001 - MANUTENÇÃO PREDIAL- PROFARMA-2025</v>
      </c>
      <c r="G409" s="11" t="str">
        <f>IFERROR(VLOOKUP(E409,BASE_VEICULOS!$A:$B,2,0),"")</f>
        <v>TET5H37</v>
      </c>
      <c r="H409" s="19"/>
      <c r="I409" s="20">
        <f t="shared" si="2"/>
        <v>46082</v>
      </c>
    </row>
    <row r="410" ht="22.5" hidden="1" customHeight="1">
      <c r="A410" s="5">
        <v>46104.0</v>
      </c>
      <c r="B410" s="6">
        <f t="shared" si="1"/>
        <v>13</v>
      </c>
      <c r="C410" s="7" t="s">
        <v>32</v>
      </c>
      <c r="D410" s="8">
        <v>70.0</v>
      </c>
      <c r="E410" s="7" t="s">
        <v>34</v>
      </c>
      <c r="F410" s="10" t="str">
        <f>VLOOKUP(E410,BASE_VEICULOS!A:G,7,0)</f>
        <v>PROF - 07001 - MANUTENÇÃO PREDIAL- PROFARMA-2025</v>
      </c>
      <c r="G410" s="11" t="str">
        <f>IFERROR(VLOOKUP(E410,BASE_VEICULOS!$A:$B,2,0),"")</f>
        <v>SRU8D16</v>
      </c>
      <c r="H410" s="19"/>
      <c r="I410" s="20">
        <f t="shared" si="2"/>
        <v>46082</v>
      </c>
    </row>
    <row r="411" ht="22.5" hidden="1" customHeight="1">
      <c r="A411" s="5">
        <v>46104.0</v>
      </c>
      <c r="B411" s="6">
        <f t="shared" si="1"/>
        <v>13</v>
      </c>
      <c r="C411" s="7" t="s">
        <v>32</v>
      </c>
      <c r="D411" s="8">
        <v>100.0</v>
      </c>
      <c r="E411" s="7" t="s">
        <v>33</v>
      </c>
      <c r="F411" s="10" t="str">
        <f>VLOOKUP(E411,BASE_VEICULOS!A:G,7,0)</f>
        <v>PROF - 07001 - MANUTENÇÃO PREDIAL- PROFARMA-2025</v>
      </c>
      <c r="G411" s="11" t="str">
        <f>IFERROR(VLOOKUP(E411,BASE_VEICULOS!$A:$B,2,0),"")</f>
        <v>TEW9A30</v>
      </c>
      <c r="H411" s="19"/>
      <c r="I411" s="20">
        <f t="shared" si="2"/>
        <v>46082</v>
      </c>
    </row>
    <row r="412" ht="22.5" hidden="1" customHeight="1">
      <c r="A412" s="5">
        <v>46104.0</v>
      </c>
      <c r="B412" s="6">
        <f t="shared" si="1"/>
        <v>13</v>
      </c>
      <c r="C412" s="7" t="s">
        <v>32</v>
      </c>
      <c r="D412" s="8">
        <v>70.0</v>
      </c>
      <c r="E412" s="7" t="s">
        <v>23</v>
      </c>
      <c r="F412" s="10" t="str">
        <f>VLOOKUP(E412,BASE_VEICULOS!A:G,7,0)</f>
        <v>PROF - 07001 - MANUTENÇÃO PREDIAL- PROFARMA-2025</v>
      </c>
      <c r="G412" s="11" t="str">
        <f>IFERROR(VLOOKUP(E412,BASE_VEICULOS!$A:$B,2,0),"")</f>
        <v>TEH3I02</v>
      </c>
      <c r="H412" s="19"/>
      <c r="I412" s="20">
        <f t="shared" si="2"/>
        <v>46082</v>
      </c>
    </row>
    <row r="413" ht="22.5" hidden="1" customHeight="1">
      <c r="A413" s="5">
        <v>46104.0</v>
      </c>
      <c r="B413" s="6">
        <f t="shared" si="1"/>
        <v>13</v>
      </c>
      <c r="C413" s="7" t="s">
        <v>32</v>
      </c>
      <c r="D413" s="8">
        <v>50.0</v>
      </c>
      <c r="E413" s="7" t="s">
        <v>16</v>
      </c>
      <c r="F413" s="10" t="str">
        <f>VLOOKUP(E413,BASE_VEICULOS!A:G,7,0)</f>
        <v>FAC - 140005 - SPOT MANUTENÇÃO DPSP 2025</v>
      </c>
      <c r="G413" s="11" t="str">
        <f>IFERROR(VLOOKUP(E413,BASE_VEICULOS!$A:$B,2,0),"")</f>
        <v>TEW9A27</v>
      </c>
      <c r="H413" s="19"/>
      <c r="I413" s="20">
        <f t="shared" si="2"/>
        <v>46082</v>
      </c>
    </row>
    <row r="414" ht="22.5" hidden="1" customHeight="1">
      <c r="A414" s="5">
        <v>46104.0</v>
      </c>
      <c r="B414" s="6">
        <f t="shared" si="1"/>
        <v>13</v>
      </c>
      <c r="C414" s="7" t="s">
        <v>32</v>
      </c>
      <c r="D414" s="8">
        <v>80.0</v>
      </c>
      <c r="E414" s="7" t="s">
        <v>12</v>
      </c>
      <c r="F414" s="10" t="str">
        <f>VLOOKUP(E414,BASE_VEICULOS!A:G,7,0)</f>
        <v>FAC - 140004 - MANUTENÇÃO PREDIAL DPSP 2025</v>
      </c>
      <c r="G414" s="11" t="str">
        <f>IFERROR(VLOOKUP(E414,BASE_VEICULOS!$A:$B,2,0),"")</f>
        <v>FIL8C14</v>
      </c>
      <c r="H414" s="19"/>
      <c r="I414" s="20">
        <f t="shared" si="2"/>
        <v>46082</v>
      </c>
    </row>
    <row r="415" ht="22.5" hidden="1" customHeight="1">
      <c r="A415" s="5">
        <v>46104.0</v>
      </c>
      <c r="B415" s="6">
        <f t="shared" si="1"/>
        <v>13</v>
      </c>
      <c r="C415" s="7" t="s">
        <v>32</v>
      </c>
      <c r="D415" s="8">
        <v>200.0</v>
      </c>
      <c r="E415" s="7" t="s">
        <v>25</v>
      </c>
      <c r="F415" s="10" t="str">
        <f>VLOOKUP(E415,BASE_VEICULOS!A:G,7,0)</f>
        <v>PROF - 07001 - MANUTENÇÃO PREDIAL- PROFARMA-2025</v>
      </c>
      <c r="G415" s="11" t="str">
        <f>IFERROR(VLOOKUP(E415,BASE_VEICULOS!$A:$B,2,0),"")</f>
        <v>TEW9A26</v>
      </c>
      <c r="H415" s="19"/>
      <c r="I415" s="20">
        <f t="shared" si="2"/>
        <v>46082</v>
      </c>
    </row>
    <row r="416" ht="22.5" customHeight="1">
      <c r="A416" s="5">
        <v>46104.0</v>
      </c>
      <c r="B416" s="6">
        <f t="shared" si="1"/>
        <v>13</v>
      </c>
      <c r="C416" s="7" t="s">
        <v>9</v>
      </c>
      <c r="D416" s="8">
        <v>30.0</v>
      </c>
      <c r="E416" s="7" t="s">
        <v>10</v>
      </c>
      <c r="F416" s="10" t="str">
        <f>VLOOKUP(E416,BASE_VEICULOS!A:G,7,0)</f>
        <v>FAC - 140004 - MANUTENÇÃO PREDIAL DPSP 2025</v>
      </c>
      <c r="G416" s="11" t="str">
        <f>IFERROR(VLOOKUP(E416,BASE_VEICULOS!$A:$B,2,0),"")</f>
        <v>TEW9A25</v>
      </c>
      <c r="H416" s="19"/>
      <c r="I416" s="20">
        <f t="shared" si="2"/>
        <v>46082</v>
      </c>
    </row>
    <row r="417" ht="22.5" customHeight="1">
      <c r="A417" s="5">
        <v>46104.0</v>
      </c>
      <c r="B417" s="6">
        <f t="shared" si="1"/>
        <v>13</v>
      </c>
      <c r="C417" s="7" t="s">
        <v>9</v>
      </c>
      <c r="D417" s="8">
        <v>40.0</v>
      </c>
      <c r="E417" s="7" t="s">
        <v>20</v>
      </c>
      <c r="F417" s="10" t="str">
        <f>VLOOKUP(E417,BASE_VEICULOS!A:G,7,0)</f>
        <v>PROF - 07001 - MANUTENÇÃO PREDIAL- PROFARMA-2025</v>
      </c>
      <c r="G417" s="11" t="str">
        <f>IFERROR(VLOOKUP(E417,BASE_VEICULOS!$A:$B,2,0),"")</f>
        <v>TEW9A34</v>
      </c>
      <c r="H417" s="19"/>
      <c r="I417" s="20">
        <f t="shared" si="2"/>
        <v>46082</v>
      </c>
    </row>
    <row r="418" ht="22.5" customHeight="1">
      <c r="A418" s="5">
        <v>46104.0</v>
      </c>
      <c r="B418" s="6">
        <f t="shared" si="1"/>
        <v>13</v>
      </c>
      <c r="C418" s="7" t="s">
        <v>9</v>
      </c>
      <c r="D418" s="8">
        <v>100.0</v>
      </c>
      <c r="E418" s="7" t="s">
        <v>29</v>
      </c>
      <c r="F418" s="10" t="str">
        <f>VLOOKUP(E418,BASE_VEICULOS!A:G,7,0)</f>
        <v>PROF - 07001 - MANUTENÇÃO PREDIAL- PROFARMA-2025</v>
      </c>
      <c r="G418" s="11" t="str">
        <f>IFERROR(VLOOKUP(E418,BASE_VEICULOS!$A:$B,2,0),"")</f>
        <v>TEQ2I74</v>
      </c>
      <c r="H418" s="19"/>
      <c r="I418" s="20">
        <f t="shared" si="2"/>
        <v>46082</v>
      </c>
    </row>
    <row r="419" ht="22.5" customHeight="1">
      <c r="A419" s="5">
        <v>46104.0</v>
      </c>
      <c r="B419" s="6">
        <f t="shared" si="1"/>
        <v>13</v>
      </c>
      <c r="C419" s="7" t="s">
        <v>9</v>
      </c>
      <c r="D419" s="8">
        <v>20.0</v>
      </c>
      <c r="E419" s="7" t="s">
        <v>23</v>
      </c>
      <c r="F419" s="10" t="str">
        <f>VLOOKUP(E419,BASE_VEICULOS!A:G,7,0)</f>
        <v>PROF - 07001 - MANUTENÇÃO PREDIAL- PROFARMA-2025</v>
      </c>
      <c r="G419" s="11" t="str">
        <f>IFERROR(VLOOKUP(E419,BASE_VEICULOS!$A:$B,2,0),"")</f>
        <v>TEH3I02</v>
      </c>
      <c r="H419" s="19"/>
      <c r="I419" s="20">
        <f t="shared" si="2"/>
        <v>46082</v>
      </c>
    </row>
    <row r="420" ht="22.5" customHeight="1">
      <c r="A420" s="5">
        <v>46104.0</v>
      </c>
      <c r="B420" s="6">
        <f t="shared" si="1"/>
        <v>13</v>
      </c>
      <c r="C420" s="7" t="s">
        <v>9</v>
      </c>
      <c r="D420" s="8">
        <v>50.0</v>
      </c>
      <c r="E420" s="7" t="s">
        <v>22</v>
      </c>
      <c r="F420" s="10" t="str">
        <f>VLOOKUP(E420,BASE_VEICULOS!A:G,7,0)</f>
        <v>PROF - 07001 - MANUTENÇÃO PREDIAL- PROFARMA-2025</v>
      </c>
      <c r="G420" s="11" t="str">
        <f>IFERROR(VLOOKUP(E420,BASE_VEICULOS!$A:$B,2,0),"")</f>
        <v>TET5H37</v>
      </c>
      <c r="H420" s="19"/>
      <c r="I420" s="20">
        <f t="shared" si="2"/>
        <v>46082</v>
      </c>
    </row>
    <row r="421" ht="22.5" customHeight="1">
      <c r="A421" s="5">
        <v>46104.0</v>
      </c>
      <c r="B421" s="6">
        <f t="shared" si="1"/>
        <v>13</v>
      </c>
      <c r="C421" s="7" t="s">
        <v>9</v>
      </c>
      <c r="D421" s="8">
        <v>150.0</v>
      </c>
      <c r="E421" s="7" t="s">
        <v>15</v>
      </c>
      <c r="F421" s="10" t="str">
        <f>VLOOKUP(E421,BASE_VEICULOS!A:G,7,0)</f>
        <v>FAC - 140005 - SPOT MANUTENÇÃO DPSP 2025</v>
      </c>
      <c r="G421" s="11" t="str">
        <f>IFERROR(VLOOKUP(E421,BASE_VEICULOS!$A:$B,2,0),"")</f>
        <v>EWH1B84</v>
      </c>
      <c r="H421" s="19"/>
      <c r="I421" s="20">
        <f t="shared" si="2"/>
        <v>46082</v>
      </c>
    </row>
    <row r="422" ht="22.5" customHeight="1">
      <c r="A422" s="5">
        <v>46104.0</v>
      </c>
      <c r="B422" s="6">
        <f t="shared" si="1"/>
        <v>13</v>
      </c>
      <c r="C422" s="7" t="s">
        <v>9</v>
      </c>
      <c r="D422" s="8">
        <v>48.92</v>
      </c>
      <c r="E422" s="7" t="s">
        <v>19</v>
      </c>
      <c r="F422" s="10" t="str">
        <f>VLOOKUP(E422,BASE_VEICULOS!A:G,7,0)</f>
        <v>PROF - 07001 - MANUTENÇÃO PREDIAL- PROFARMA-2025</v>
      </c>
      <c r="G422" s="11" t="str">
        <f>IFERROR(VLOOKUP(E422,BASE_VEICULOS!$A:$B,2,0),"")</f>
        <v>TEW9A24</v>
      </c>
      <c r="H422" s="19"/>
      <c r="I422" s="20">
        <f t="shared" si="2"/>
        <v>46082</v>
      </c>
    </row>
    <row r="423" ht="22.5" customHeight="1">
      <c r="A423" s="5">
        <v>46105.0</v>
      </c>
      <c r="B423" s="6">
        <f t="shared" si="1"/>
        <v>13</v>
      </c>
      <c r="C423" s="7" t="s">
        <v>9</v>
      </c>
      <c r="D423" s="8">
        <v>50.0</v>
      </c>
      <c r="E423" s="7" t="s">
        <v>22</v>
      </c>
      <c r="F423" s="10" t="str">
        <f>VLOOKUP(E423,BASE_VEICULOS!A:G,7,0)</f>
        <v>PROF - 07001 - MANUTENÇÃO PREDIAL- PROFARMA-2025</v>
      </c>
      <c r="G423" s="11" t="str">
        <f>IFERROR(VLOOKUP(E423,BASE_VEICULOS!$A:$B,2,0),"")</f>
        <v>TET5H37</v>
      </c>
      <c r="H423" s="19"/>
      <c r="I423" s="20">
        <f t="shared" si="2"/>
        <v>46082</v>
      </c>
    </row>
    <row r="424" ht="22.5" customHeight="1">
      <c r="A424" s="5">
        <v>46105.0</v>
      </c>
      <c r="B424" s="6">
        <f t="shared" si="1"/>
        <v>13</v>
      </c>
      <c r="C424" s="7" t="s">
        <v>9</v>
      </c>
      <c r="D424" s="8">
        <v>120.0</v>
      </c>
      <c r="E424" s="7" t="s">
        <v>20</v>
      </c>
      <c r="F424" s="10" t="str">
        <f>VLOOKUP(E424,BASE_VEICULOS!A:G,7,0)</f>
        <v>PROF - 07001 - MANUTENÇÃO PREDIAL- PROFARMA-2025</v>
      </c>
      <c r="G424" s="11" t="str">
        <f>IFERROR(VLOOKUP(E424,BASE_VEICULOS!$A:$B,2,0),"")</f>
        <v>TEW9A34</v>
      </c>
      <c r="H424" s="19"/>
      <c r="I424" s="20">
        <f t="shared" si="2"/>
        <v>46082</v>
      </c>
    </row>
    <row r="425" ht="22.5" customHeight="1">
      <c r="A425" s="5">
        <v>46105.0</v>
      </c>
      <c r="B425" s="6">
        <f t="shared" si="1"/>
        <v>13</v>
      </c>
      <c r="C425" s="7" t="s">
        <v>9</v>
      </c>
      <c r="D425" s="8">
        <v>95.0</v>
      </c>
      <c r="E425" s="7" t="s">
        <v>23</v>
      </c>
      <c r="F425" s="10" t="str">
        <f>VLOOKUP(E425,BASE_VEICULOS!A:G,7,0)</f>
        <v>PROF - 07001 - MANUTENÇÃO PREDIAL- PROFARMA-2025</v>
      </c>
      <c r="G425" s="11" t="str">
        <f>IFERROR(VLOOKUP(E425,BASE_VEICULOS!$A:$B,2,0),"")</f>
        <v>TEH3I02</v>
      </c>
      <c r="H425" s="19"/>
      <c r="I425" s="20">
        <f t="shared" si="2"/>
        <v>46082</v>
      </c>
    </row>
    <row r="426" ht="22.5" customHeight="1">
      <c r="A426" s="5">
        <v>46105.0</v>
      </c>
      <c r="B426" s="6">
        <f t="shared" si="1"/>
        <v>13</v>
      </c>
      <c r="C426" s="7" t="s">
        <v>9</v>
      </c>
      <c r="D426" s="8">
        <v>134.68</v>
      </c>
      <c r="E426" s="7" t="s">
        <v>14</v>
      </c>
      <c r="F426" s="10" t="str">
        <f>VLOOKUP(E426,BASE_VEICULOS!A:G,7,0)</f>
        <v>FAC - 140004 - MANUTENÇÃO PREDIAL DPSP 2025</v>
      </c>
      <c r="G426" s="11" t="str">
        <f>IFERROR(VLOOKUP(E426,BASE_VEICULOS!$A:$B,2,0),"")</f>
        <v>FOK8A73</v>
      </c>
      <c r="H426" s="19"/>
      <c r="I426" s="20">
        <f t="shared" si="2"/>
        <v>46082</v>
      </c>
    </row>
    <row r="427" ht="22.5" customHeight="1">
      <c r="A427" s="5">
        <v>46105.0</v>
      </c>
      <c r="B427" s="6">
        <f t="shared" si="1"/>
        <v>13</v>
      </c>
      <c r="C427" s="7" t="s">
        <v>9</v>
      </c>
      <c r="D427" s="8">
        <v>85.0</v>
      </c>
      <c r="E427" s="7" t="s">
        <v>10</v>
      </c>
      <c r="F427" s="10" t="str">
        <f>VLOOKUP(E427,BASE_VEICULOS!A:G,7,0)</f>
        <v>FAC - 140004 - MANUTENÇÃO PREDIAL DPSP 2025</v>
      </c>
      <c r="G427" s="11" t="str">
        <f>IFERROR(VLOOKUP(E427,BASE_VEICULOS!$A:$B,2,0),"")</f>
        <v>TEW9A25</v>
      </c>
      <c r="H427" s="19"/>
      <c r="I427" s="20">
        <f t="shared" si="2"/>
        <v>46082</v>
      </c>
    </row>
    <row r="428" ht="22.5" customHeight="1">
      <c r="A428" s="5">
        <v>46105.0</v>
      </c>
      <c r="B428" s="6">
        <f t="shared" si="1"/>
        <v>13</v>
      </c>
      <c r="C428" s="7" t="s">
        <v>9</v>
      </c>
      <c r="D428" s="8">
        <v>90.0</v>
      </c>
      <c r="E428" s="7" t="s">
        <v>33</v>
      </c>
      <c r="F428" s="10" t="str">
        <f>VLOOKUP(E428,BASE_VEICULOS!A:G,7,0)</f>
        <v>PROF - 07001 - MANUTENÇÃO PREDIAL- PROFARMA-2025</v>
      </c>
      <c r="G428" s="11" t="str">
        <f>IFERROR(VLOOKUP(E428,BASE_VEICULOS!$A:$B,2,0),"")</f>
        <v>TEW9A30</v>
      </c>
      <c r="H428" s="19"/>
      <c r="I428" s="20">
        <f t="shared" si="2"/>
        <v>46082</v>
      </c>
    </row>
    <row r="429" ht="22.5" customHeight="1">
      <c r="A429" s="5">
        <v>46105.0</v>
      </c>
      <c r="B429" s="6">
        <f t="shared" si="1"/>
        <v>13</v>
      </c>
      <c r="C429" s="7" t="s">
        <v>9</v>
      </c>
      <c r="D429" s="8">
        <v>100.0</v>
      </c>
      <c r="E429" s="7" t="s">
        <v>21</v>
      </c>
      <c r="F429" s="10" t="str">
        <f>VLOOKUP(E429,BASE_VEICULOS!A:G,7,0)</f>
        <v>PROF - 07001 - MANUTENÇÃO PREDIAL- PROFARMA-2025</v>
      </c>
      <c r="G429" s="11" t="str">
        <f>IFERROR(VLOOKUP(E429,BASE_VEICULOS!$A:$B,2,0),"")</f>
        <v>TEW9A33</v>
      </c>
      <c r="H429" s="19"/>
      <c r="I429" s="20">
        <f t="shared" si="2"/>
        <v>46082</v>
      </c>
    </row>
    <row r="430" ht="22.5" customHeight="1">
      <c r="A430" s="5">
        <v>46105.0</v>
      </c>
      <c r="B430" s="6">
        <f t="shared" si="1"/>
        <v>13</v>
      </c>
      <c r="C430" s="7" t="s">
        <v>9</v>
      </c>
      <c r="D430" s="8">
        <v>35.0</v>
      </c>
      <c r="E430" s="7" t="s">
        <v>24</v>
      </c>
      <c r="F430" s="10" t="str">
        <f>VLOOKUP(E430,BASE_VEICULOS!A:G,7,0)</f>
        <v>PROF - 07001 - MANUTENÇÃO PREDIAL- PROFARMA-2025</v>
      </c>
      <c r="G430" s="11" t="str">
        <f>IFERROR(VLOOKUP(E430,BASE_VEICULOS!$A:$B,2,0),"")</f>
        <v>TEW9A23</v>
      </c>
      <c r="H430" s="19"/>
      <c r="I430" s="20">
        <f t="shared" si="2"/>
        <v>46082</v>
      </c>
    </row>
    <row r="431" ht="22.5" customHeight="1">
      <c r="A431" s="5">
        <v>46105.0</v>
      </c>
      <c r="B431" s="6">
        <f t="shared" si="1"/>
        <v>13</v>
      </c>
      <c r="C431" s="7" t="s">
        <v>9</v>
      </c>
      <c r="D431" s="8">
        <v>90.0</v>
      </c>
      <c r="E431" s="7" t="s">
        <v>30</v>
      </c>
      <c r="F431" s="10" t="str">
        <f>VLOOKUP(E431,BASE_VEICULOS!A:G,7,0)</f>
        <v>#N/A</v>
      </c>
      <c r="G431" s="11" t="str">
        <f>IFERROR(VLOOKUP(E431,BASE_VEICULOS!$A:$B,2,0),"")</f>
        <v/>
      </c>
      <c r="H431" s="19"/>
      <c r="I431" s="20">
        <f t="shared" si="2"/>
        <v>46082</v>
      </c>
    </row>
    <row r="432" ht="22.5" customHeight="1">
      <c r="A432" s="5">
        <v>46105.0</v>
      </c>
      <c r="B432" s="6">
        <f t="shared" si="1"/>
        <v>13</v>
      </c>
      <c r="C432" s="7" t="s">
        <v>9</v>
      </c>
      <c r="D432" s="8">
        <v>100.0</v>
      </c>
      <c r="E432" s="7" t="s">
        <v>17</v>
      </c>
      <c r="F432" s="10" t="str">
        <f>VLOOKUP(E432,BASE_VEICULOS!A:G,7,0)</f>
        <v>#N/A</v>
      </c>
      <c r="G432" s="11" t="str">
        <f>IFERROR(VLOOKUP(E432,BASE_VEICULOS!$A:$B,2,0),"")</f>
        <v/>
      </c>
      <c r="H432" s="19"/>
      <c r="I432" s="20">
        <f t="shared" si="2"/>
        <v>46082</v>
      </c>
    </row>
    <row r="433" ht="22.5" customHeight="1">
      <c r="A433" s="5">
        <v>46105.0</v>
      </c>
      <c r="B433" s="6">
        <f t="shared" si="1"/>
        <v>13</v>
      </c>
      <c r="C433" s="7" t="s">
        <v>9</v>
      </c>
      <c r="D433" s="8">
        <v>119.96</v>
      </c>
      <c r="E433" s="7" t="s">
        <v>29</v>
      </c>
      <c r="F433" s="10" t="str">
        <f>VLOOKUP(E433,BASE_VEICULOS!A:G,7,0)</f>
        <v>PROF - 07001 - MANUTENÇÃO PREDIAL- PROFARMA-2025</v>
      </c>
      <c r="G433" s="11" t="str">
        <f>IFERROR(VLOOKUP(E433,BASE_VEICULOS!$A:$B,2,0),"")</f>
        <v>TEQ2I74</v>
      </c>
      <c r="H433" s="19"/>
      <c r="I433" s="20">
        <f t="shared" si="2"/>
        <v>46082</v>
      </c>
    </row>
    <row r="434" ht="22.5" customHeight="1">
      <c r="A434" s="5">
        <v>46105.0</v>
      </c>
      <c r="B434" s="6">
        <f t="shared" si="1"/>
        <v>13</v>
      </c>
      <c r="C434" s="7" t="s">
        <v>9</v>
      </c>
      <c r="D434" s="8">
        <v>110.0</v>
      </c>
      <c r="E434" s="7" t="s">
        <v>11</v>
      </c>
      <c r="F434" s="10" t="str">
        <f>VLOOKUP(E434,BASE_VEICULOS!A:G,7,0)</f>
        <v>PROF - 07001 - MANUTENÇÃO PREDIAL- PROFARMA-2025</v>
      </c>
      <c r="G434" s="11" t="str">
        <f>IFERROR(VLOOKUP(E434,BASE_VEICULOS!$A:$B,2,0),"")</f>
        <v>TEW9A28</v>
      </c>
      <c r="H434" s="19"/>
      <c r="I434" s="20">
        <f t="shared" si="2"/>
        <v>46082</v>
      </c>
    </row>
    <row r="435" ht="22.5" customHeight="1">
      <c r="A435" s="5">
        <v>46105.0</v>
      </c>
      <c r="B435" s="6">
        <f t="shared" si="1"/>
        <v>13</v>
      </c>
      <c r="C435" s="7" t="s">
        <v>9</v>
      </c>
      <c r="D435" s="8">
        <v>100.0</v>
      </c>
      <c r="E435" s="7" t="s">
        <v>19</v>
      </c>
      <c r="F435" s="10" t="str">
        <f>VLOOKUP(E435,BASE_VEICULOS!A:G,7,0)</f>
        <v>PROF - 07001 - MANUTENÇÃO PREDIAL- PROFARMA-2025</v>
      </c>
      <c r="G435" s="11" t="str">
        <f>IFERROR(VLOOKUP(E435,BASE_VEICULOS!$A:$B,2,0),"")</f>
        <v>TEW9A24</v>
      </c>
      <c r="H435" s="19"/>
      <c r="I435" s="20">
        <f t="shared" si="2"/>
        <v>46082</v>
      </c>
    </row>
    <row r="436" ht="22.5" customHeight="1">
      <c r="A436" s="5">
        <v>46105.0</v>
      </c>
      <c r="B436" s="6">
        <f t="shared" si="1"/>
        <v>13</v>
      </c>
      <c r="C436" s="7" t="s">
        <v>9</v>
      </c>
      <c r="D436" s="8">
        <v>98.05</v>
      </c>
      <c r="E436" s="7" t="s">
        <v>13</v>
      </c>
      <c r="F436" s="10" t="str">
        <f>VLOOKUP(E436,BASE_VEICULOS!A:G,7,0)</f>
        <v>FAC - 140005 - SPOT MANUTENÇÃO DPSP 2025</v>
      </c>
      <c r="G436" s="11" t="str">
        <f>IFERROR(VLOOKUP(E436,BASE_VEICULOS!$A:$B,2,0),"")</f>
        <v>FGO3C61</v>
      </c>
      <c r="H436" s="19"/>
      <c r="I436" s="20">
        <f t="shared" si="2"/>
        <v>46082</v>
      </c>
    </row>
    <row r="437" ht="22.5" customHeight="1">
      <c r="A437" s="5">
        <v>46105.0</v>
      </c>
      <c r="B437" s="6">
        <f t="shared" si="1"/>
        <v>13</v>
      </c>
      <c r="C437" s="7" t="s">
        <v>9</v>
      </c>
      <c r="D437" s="8">
        <v>100.0</v>
      </c>
      <c r="E437" s="7" t="s">
        <v>34</v>
      </c>
      <c r="F437" s="10" t="str">
        <f>VLOOKUP(E437,BASE_VEICULOS!A:G,7,0)</f>
        <v>PROF - 07001 - MANUTENÇÃO PREDIAL- PROFARMA-2025</v>
      </c>
      <c r="G437" s="11" t="str">
        <f>IFERROR(VLOOKUP(E437,BASE_VEICULOS!$A:$B,2,0),"")</f>
        <v>SRU8D16</v>
      </c>
      <c r="H437" s="19"/>
      <c r="I437" s="20">
        <f t="shared" si="2"/>
        <v>46082</v>
      </c>
    </row>
    <row r="438" ht="22.5" customHeight="1">
      <c r="A438" s="5">
        <v>46105.0</v>
      </c>
      <c r="B438" s="6">
        <f t="shared" si="1"/>
        <v>13</v>
      </c>
      <c r="C438" s="7" t="s">
        <v>9</v>
      </c>
      <c r="D438" s="8">
        <v>150.0</v>
      </c>
      <c r="E438" s="7" t="s">
        <v>15</v>
      </c>
      <c r="F438" s="10" t="str">
        <f>VLOOKUP(E438,BASE_VEICULOS!A:G,7,0)</f>
        <v>FAC - 140005 - SPOT MANUTENÇÃO DPSP 2025</v>
      </c>
      <c r="G438" s="11" t="str">
        <f>IFERROR(VLOOKUP(E438,BASE_VEICULOS!$A:$B,2,0),"")</f>
        <v>EWH1B84</v>
      </c>
      <c r="H438" s="19"/>
      <c r="I438" s="20">
        <f t="shared" si="2"/>
        <v>46082</v>
      </c>
    </row>
    <row r="439" ht="22.5" customHeight="1">
      <c r="A439" s="5">
        <v>46105.0</v>
      </c>
      <c r="B439" s="6">
        <f t="shared" si="1"/>
        <v>13</v>
      </c>
      <c r="C439" s="7" t="s">
        <v>9</v>
      </c>
      <c r="D439" s="8">
        <v>40.0</v>
      </c>
      <c r="E439" s="7" t="s">
        <v>25</v>
      </c>
      <c r="F439" s="10" t="str">
        <f>VLOOKUP(E439,BASE_VEICULOS!A:G,7,0)</f>
        <v>PROF - 07001 - MANUTENÇÃO PREDIAL- PROFARMA-2025</v>
      </c>
      <c r="G439" s="11" t="str">
        <f>IFERROR(VLOOKUP(E439,BASE_VEICULOS!$A:$B,2,0),"")</f>
        <v>TEW9A26</v>
      </c>
      <c r="H439" s="19"/>
      <c r="I439" s="20">
        <f t="shared" si="2"/>
        <v>46082</v>
      </c>
    </row>
    <row r="440" ht="22.5" customHeight="1">
      <c r="A440" s="5">
        <v>46105.0</v>
      </c>
      <c r="B440" s="6">
        <f t="shared" si="1"/>
        <v>13</v>
      </c>
      <c r="C440" s="7" t="s">
        <v>9</v>
      </c>
      <c r="D440" s="8">
        <v>139.99</v>
      </c>
      <c r="E440" s="7" t="s">
        <v>12</v>
      </c>
      <c r="F440" s="10" t="str">
        <f>VLOOKUP(E440,BASE_VEICULOS!A:G,7,0)</f>
        <v>FAC - 140004 - MANUTENÇÃO PREDIAL DPSP 2025</v>
      </c>
      <c r="G440" s="11" t="str">
        <f>IFERROR(VLOOKUP(E440,BASE_VEICULOS!$A:$B,2,0),"")</f>
        <v>FIL8C14</v>
      </c>
      <c r="H440" s="19"/>
      <c r="I440" s="20">
        <f t="shared" si="2"/>
        <v>46082</v>
      </c>
    </row>
    <row r="441" ht="22.5" customHeight="1">
      <c r="A441" s="5">
        <v>46106.0</v>
      </c>
      <c r="B441" s="6">
        <f t="shared" si="1"/>
        <v>13</v>
      </c>
      <c r="C441" s="7" t="s">
        <v>9</v>
      </c>
      <c r="D441" s="8">
        <v>75.0</v>
      </c>
      <c r="E441" s="7" t="s">
        <v>10</v>
      </c>
      <c r="F441" s="10" t="str">
        <f>VLOOKUP(E441,BASE_VEICULOS!A:G,7,0)</f>
        <v>FAC - 140004 - MANUTENÇÃO PREDIAL DPSP 2025</v>
      </c>
      <c r="G441" s="11" t="str">
        <f>IFERROR(VLOOKUP(E441,BASE_VEICULOS!$A:$B,2,0),"")</f>
        <v>TEW9A25</v>
      </c>
      <c r="H441" s="19"/>
      <c r="I441" s="20">
        <f t="shared" si="2"/>
        <v>46082</v>
      </c>
    </row>
    <row r="442" ht="22.5" customHeight="1">
      <c r="A442" s="5">
        <v>46106.0</v>
      </c>
      <c r="B442" s="6">
        <f t="shared" si="1"/>
        <v>13</v>
      </c>
      <c r="C442" s="7" t="s">
        <v>9</v>
      </c>
      <c r="D442" s="8">
        <v>94.09</v>
      </c>
      <c r="E442" s="7" t="s">
        <v>20</v>
      </c>
      <c r="F442" s="10" t="str">
        <f>VLOOKUP(E442,BASE_VEICULOS!A:G,7,0)</f>
        <v>PROF - 07001 - MANUTENÇÃO PREDIAL- PROFARMA-2025</v>
      </c>
      <c r="G442" s="11" t="str">
        <f>IFERROR(VLOOKUP(E442,BASE_VEICULOS!$A:$B,2,0),"")</f>
        <v>TEW9A34</v>
      </c>
      <c r="H442" s="19"/>
      <c r="I442" s="20">
        <f t="shared" si="2"/>
        <v>46082</v>
      </c>
    </row>
    <row r="443" ht="22.5" customHeight="1">
      <c r="A443" s="5">
        <v>46106.0</v>
      </c>
      <c r="B443" s="6">
        <f t="shared" si="1"/>
        <v>13</v>
      </c>
      <c r="C443" s="7" t="s">
        <v>9</v>
      </c>
      <c r="D443" s="8">
        <v>79.99</v>
      </c>
      <c r="E443" s="7" t="s">
        <v>14</v>
      </c>
      <c r="F443" s="10" t="str">
        <f>VLOOKUP(E443,BASE_VEICULOS!A:G,7,0)</f>
        <v>FAC - 140004 - MANUTENÇÃO PREDIAL DPSP 2025</v>
      </c>
      <c r="G443" s="11" t="str">
        <f>IFERROR(VLOOKUP(E443,BASE_VEICULOS!$A:$B,2,0),"")</f>
        <v>FOK8A73</v>
      </c>
      <c r="H443" s="19"/>
      <c r="I443" s="20">
        <f t="shared" si="2"/>
        <v>46082</v>
      </c>
    </row>
    <row r="444" ht="22.5" customHeight="1">
      <c r="A444" s="5">
        <v>46106.0</v>
      </c>
      <c r="B444" s="6">
        <f t="shared" si="1"/>
        <v>13</v>
      </c>
      <c r="C444" s="7" t="s">
        <v>9</v>
      </c>
      <c r="D444" s="8">
        <v>130.0</v>
      </c>
      <c r="E444" s="7" t="s">
        <v>21</v>
      </c>
      <c r="F444" s="10" t="str">
        <f>VLOOKUP(E444,BASE_VEICULOS!A:G,7,0)</f>
        <v>PROF - 07001 - MANUTENÇÃO PREDIAL- PROFARMA-2025</v>
      </c>
      <c r="G444" s="11" t="str">
        <f>IFERROR(VLOOKUP(E444,BASE_VEICULOS!$A:$B,2,0),"")</f>
        <v>TEW9A33</v>
      </c>
      <c r="H444" s="19"/>
      <c r="I444" s="20">
        <f t="shared" si="2"/>
        <v>46082</v>
      </c>
    </row>
    <row r="445" ht="22.5" customHeight="1">
      <c r="A445" s="5">
        <v>46106.0</v>
      </c>
      <c r="B445" s="6">
        <f t="shared" si="1"/>
        <v>13</v>
      </c>
      <c r="C445" s="7" t="s">
        <v>9</v>
      </c>
      <c r="D445" s="8">
        <v>90.0</v>
      </c>
      <c r="E445" s="7" t="s">
        <v>23</v>
      </c>
      <c r="F445" s="10" t="str">
        <f>VLOOKUP(E445,BASE_VEICULOS!A:G,7,0)</f>
        <v>PROF - 07001 - MANUTENÇÃO PREDIAL- PROFARMA-2025</v>
      </c>
      <c r="G445" s="11" t="str">
        <f>IFERROR(VLOOKUP(E445,BASE_VEICULOS!$A:$B,2,0),"")</f>
        <v>TEH3I02</v>
      </c>
      <c r="H445" s="19"/>
      <c r="I445" s="20">
        <f t="shared" si="2"/>
        <v>46082</v>
      </c>
    </row>
    <row r="446" ht="22.5" customHeight="1">
      <c r="A446" s="5">
        <v>46106.0</v>
      </c>
      <c r="B446" s="6">
        <f t="shared" si="1"/>
        <v>13</v>
      </c>
      <c r="C446" s="7" t="s">
        <v>9</v>
      </c>
      <c r="D446" s="8">
        <v>150.0</v>
      </c>
      <c r="E446" s="7" t="s">
        <v>13</v>
      </c>
      <c r="F446" s="10" t="str">
        <f>VLOOKUP(E446,BASE_VEICULOS!A:G,7,0)</f>
        <v>FAC - 140005 - SPOT MANUTENÇÃO DPSP 2025</v>
      </c>
      <c r="G446" s="11" t="str">
        <f>IFERROR(VLOOKUP(E446,BASE_VEICULOS!$A:$B,2,0),"")</f>
        <v>FGO3C61</v>
      </c>
      <c r="H446" s="19"/>
      <c r="I446" s="20">
        <f t="shared" si="2"/>
        <v>46082</v>
      </c>
    </row>
    <row r="447" ht="22.5" customHeight="1">
      <c r="A447" s="5">
        <v>46106.0</v>
      </c>
      <c r="B447" s="6">
        <f t="shared" si="1"/>
        <v>13</v>
      </c>
      <c r="C447" s="7" t="s">
        <v>9</v>
      </c>
      <c r="D447" s="8">
        <v>220.0</v>
      </c>
      <c r="E447" s="7" t="s">
        <v>29</v>
      </c>
      <c r="F447" s="10" t="str">
        <f>VLOOKUP(E447,BASE_VEICULOS!A:G,7,0)</f>
        <v>PROF - 07001 - MANUTENÇÃO PREDIAL- PROFARMA-2025</v>
      </c>
      <c r="G447" s="11" t="str">
        <f>IFERROR(VLOOKUP(E447,BASE_VEICULOS!$A:$B,2,0),"")</f>
        <v>TEQ2I74</v>
      </c>
      <c r="H447" s="19"/>
      <c r="I447" s="20">
        <f t="shared" si="2"/>
        <v>46082</v>
      </c>
    </row>
    <row r="448" ht="22.5" customHeight="1">
      <c r="A448" s="5">
        <v>46106.0</v>
      </c>
      <c r="B448" s="6">
        <f t="shared" si="1"/>
        <v>13</v>
      </c>
      <c r="C448" s="7" t="s">
        <v>9</v>
      </c>
      <c r="D448" s="8">
        <v>85.0</v>
      </c>
      <c r="E448" s="7" t="s">
        <v>24</v>
      </c>
      <c r="F448" s="10" t="str">
        <f>VLOOKUP(E448,BASE_VEICULOS!A:G,7,0)</f>
        <v>PROF - 07001 - MANUTENÇÃO PREDIAL- PROFARMA-2025</v>
      </c>
      <c r="G448" s="11" t="str">
        <f>IFERROR(VLOOKUP(E448,BASE_VEICULOS!$A:$B,2,0),"")</f>
        <v>TEW9A23</v>
      </c>
      <c r="H448" s="19"/>
      <c r="I448" s="20">
        <f t="shared" si="2"/>
        <v>46082</v>
      </c>
    </row>
    <row r="449" ht="22.5" customHeight="1">
      <c r="A449" s="5">
        <v>46106.0</v>
      </c>
      <c r="B449" s="6">
        <f t="shared" si="1"/>
        <v>13</v>
      </c>
      <c r="C449" s="7" t="s">
        <v>9</v>
      </c>
      <c r="D449" s="8">
        <v>60.0</v>
      </c>
      <c r="E449" s="7" t="s">
        <v>18</v>
      </c>
      <c r="F449" s="10" t="str">
        <f>VLOOKUP(E449,BASE_VEICULOS!A:G,7,0)</f>
        <v>FAC - 140004 - MANUTENÇÃO PREDIAL DPSP 2025</v>
      </c>
      <c r="G449" s="11" t="str">
        <f>IFERROR(VLOOKUP(E449,BASE_VEICULOS!$A:$B,2,0),"")</f>
        <v>TEW9A29</v>
      </c>
      <c r="H449" s="19"/>
      <c r="I449" s="20">
        <f t="shared" si="2"/>
        <v>46082</v>
      </c>
    </row>
    <row r="450" ht="22.5" customHeight="1">
      <c r="A450" s="5">
        <v>46106.0</v>
      </c>
      <c r="B450" s="6">
        <f t="shared" si="1"/>
        <v>13</v>
      </c>
      <c r="C450" s="7" t="s">
        <v>9</v>
      </c>
      <c r="D450" s="8">
        <v>160.0</v>
      </c>
      <c r="E450" s="7" t="s">
        <v>22</v>
      </c>
      <c r="F450" s="10" t="str">
        <f>VLOOKUP(E450,BASE_VEICULOS!A:G,7,0)</f>
        <v>PROF - 07001 - MANUTENÇÃO PREDIAL- PROFARMA-2025</v>
      </c>
      <c r="G450" s="11" t="str">
        <f>IFERROR(VLOOKUP(E450,BASE_VEICULOS!$A:$B,2,0),"")</f>
        <v>TET5H37</v>
      </c>
      <c r="H450" s="19"/>
      <c r="I450" s="20">
        <f t="shared" si="2"/>
        <v>46082</v>
      </c>
    </row>
    <row r="451" ht="22.5" customHeight="1">
      <c r="A451" s="5">
        <v>46106.0</v>
      </c>
      <c r="B451" s="6">
        <f t="shared" si="1"/>
        <v>13</v>
      </c>
      <c r="C451" s="7" t="s">
        <v>9</v>
      </c>
      <c r="D451" s="8">
        <v>100.0</v>
      </c>
      <c r="E451" s="7" t="s">
        <v>17</v>
      </c>
      <c r="F451" s="10" t="str">
        <f>VLOOKUP(E451,BASE_VEICULOS!A:G,7,0)</f>
        <v>#N/A</v>
      </c>
      <c r="G451" s="11" t="str">
        <f>IFERROR(VLOOKUP(E451,BASE_VEICULOS!$A:$B,2,0),"")</f>
        <v/>
      </c>
      <c r="H451" s="19"/>
      <c r="I451" s="20">
        <f t="shared" si="2"/>
        <v>46082</v>
      </c>
    </row>
    <row r="452" ht="22.5" customHeight="1">
      <c r="A452" s="5">
        <v>46106.0</v>
      </c>
      <c r="B452" s="6">
        <f t="shared" si="1"/>
        <v>13</v>
      </c>
      <c r="C452" s="7" t="s">
        <v>9</v>
      </c>
      <c r="D452" s="8">
        <v>110.0</v>
      </c>
      <c r="E452" s="7" t="s">
        <v>30</v>
      </c>
      <c r="F452" s="10" t="str">
        <f>VLOOKUP(E452,BASE_VEICULOS!A:G,7,0)</f>
        <v>#N/A</v>
      </c>
      <c r="G452" s="11" t="str">
        <f>IFERROR(VLOOKUP(E452,BASE_VEICULOS!$A:$B,2,0),"")</f>
        <v/>
      </c>
      <c r="H452" s="19"/>
      <c r="I452" s="20">
        <f t="shared" si="2"/>
        <v>46082</v>
      </c>
    </row>
    <row r="453" ht="22.5" customHeight="1">
      <c r="A453" s="5">
        <v>46106.0</v>
      </c>
      <c r="B453" s="6">
        <f t="shared" si="1"/>
        <v>13</v>
      </c>
      <c r="C453" s="7" t="s">
        <v>9</v>
      </c>
      <c r="D453" s="8">
        <v>150.0</v>
      </c>
      <c r="E453" s="7" t="s">
        <v>16</v>
      </c>
      <c r="F453" s="10" t="str">
        <f>VLOOKUP(E453,BASE_VEICULOS!A:G,7,0)</f>
        <v>FAC - 140005 - SPOT MANUTENÇÃO DPSP 2025</v>
      </c>
      <c r="G453" s="11" t="str">
        <f>IFERROR(VLOOKUP(E453,BASE_VEICULOS!$A:$B,2,0),"")</f>
        <v>TEW9A27</v>
      </c>
      <c r="H453" s="19"/>
      <c r="I453" s="20">
        <f t="shared" si="2"/>
        <v>46082</v>
      </c>
    </row>
    <row r="454" ht="22.5" customHeight="1">
      <c r="A454" s="5">
        <v>46106.0</v>
      </c>
      <c r="B454" s="6">
        <f t="shared" si="1"/>
        <v>13</v>
      </c>
      <c r="C454" s="7" t="s">
        <v>9</v>
      </c>
      <c r="D454" s="8">
        <v>95.0</v>
      </c>
      <c r="E454" s="7" t="s">
        <v>25</v>
      </c>
      <c r="F454" s="10" t="str">
        <f>VLOOKUP(E454,BASE_VEICULOS!A:G,7,0)</f>
        <v>PROF - 07001 - MANUTENÇÃO PREDIAL- PROFARMA-2025</v>
      </c>
      <c r="G454" s="11" t="str">
        <f>IFERROR(VLOOKUP(E454,BASE_VEICULOS!$A:$B,2,0),"")</f>
        <v>TEW9A26</v>
      </c>
      <c r="H454" s="19"/>
      <c r="I454" s="20">
        <f t="shared" si="2"/>
        <v>46082</v>
      </c>
    </row>
    <row r="455" ht="22.5" customHeight="1">
      <c r="A455" s="5">
        <v>46106.0</v>
      </c>
      <c r="B455" s="6">
        <f t="shared" si="1"/>
        <v>13</v>
      </c>
      <c r="C455" s="7" t="s">
        <v>9</v>
      </c>
      <c r="D455" s="8">
        <v>90.0</v>
      </c>
      <c r="E455" s="7" t="s">
        <v>33</v>
      </c>
      <c r="F455" s="10" t="str">
        <f>VLOOKUP(E455,BASE_VEICULOS!A:G,7,0)</f>
        <v>PROF - 07001 - MANUTENÇÃO PREDIAL- PROFARMA-2025</v>
      </c>
      <c r="G455" s="11" t="str">
        <f>IFERROR(VLOOKUP(E455,BASE_VEICULOS!$A:$B,2,0),"")</f>
        <v>TEW9A30</v>
      </c>
      <c r="H455" s="19"/>
      <c r="I455" s="20">
        <f t="shared" si="2"/>
        <v>46082</v>
      </c>
    </row>
    <row r="456" ht="22.5" customHeight="1">
      <c r="A456" s="5">
        <v>46106.0</v>
      </c>
      <c r="B456" s="6">
        <f t="shared" si="1"/>
        <v>13</v>
      </c>
      <c r="C456" s="7" t="s">
        <v>9</v>
      </c>
      <c r="D456" s="8">
        <v>99.98</v>
      </c>
      <c r="E456" s="7" t="s">
        <v>19</v>
      </c>
      <c r="F456" s="10" t="str">
        <f>VLOOKUP(E456,BASE_VEICULOS!A:G,7,0)</f>
        <v>PROF - 07001 - MANUTENÇÃO PREDIAL- PROFARMA-2025</v>
      </c>
      <c r="G456" s="11" t="str">
        <f>IFERROR(VLOOKUP(E456,BASE_VEICULOS!$A:$B,2,0),"")</f>
        <v>TEW9A24</v>
      </c>
      <c r="H456" s="19"/>
      <c r="I456" s="20">
        <f t="shared" si="2"/>
        <v>46082</v>
      </c>
    </row>
    <row r="457" ht="22.5" customHeight="1">
      <c r="A457" s="5">
        <v>46106.0</v>
      </c>
      <c r="B457" s="6">
        <f t="shared" si="1"/>
        <v>13</v>
      </c>
      <c r="C457" s="7" t="s">
        <v>9</v>
      </c>
      <c r="D457" s="8">
        <v>150.0</v>
      </c>
      <c r="E457" s="7" t="s">
        <v>11</v>
      </c>
      <c r="F457" s="10" t="str">
        <f>VLOOKUP(E457,BASE_VEICULOS!A:G,7,0)</f>
        <v>PROF - 07001 - MANUTENÇÃO PREDIAL- PROFARMA-2025</v>
      </c>
      <c r="G457" s="11" t="str">
        <f>IFERROR(VLOOKUP(E457,BASE_VEICULOS!$A:$B,2,0),"")</f>
        <v>TEW9A28</v>
      </c>
      <c r="H457" s="19"/>
      <c r="I457" s="20">
        <f t="shared" si="2"/>
        <v>46082</v>
      </c>
    </row>
    <row r="458" ht="22.5" customHeight="1">
      <c r="A458" s="5">
        <v>46106.0</v>
      </c>
      <c r="B458" s="6">
        <f t="shared" si="1"/>
        <v>13</v>
      </c>
      <c r="C458" s="7" t="s">
        <v>9</v>
      </c>
      <c r="D458" s="8">
        <v>150.0</v>
      </c>
      <c r="E458" s="7" t="s">
        <v>15</v>
      </c>
      <c r="F458" s="10" t="str">
        <f>VLOOKUP(E458,BASE_VEICULOS!A:G,7,0)</f>
        <v>FAC - 140005 - SPOT MANUTENÇÃO DPSP 2025</v>
      </c>
      <c r="G458" s="11" t="str">
        <f>IFERROR(VLOOKUP(E458,BASE_VEICULOS!$A:$B,2,0),"")</f>
        <v>EWH1B84</v>
      </c>
      <c r="H458" s="19"/>
      <c r="I458" s="20">
        <f t="shared" si="2"/>
        <v>46082</v>
      </c>
    </row>
    <row r="459" ht="22.5" customHeight="1">
      <c r="A459" s="5">
        <v>46107.0</v>
      </c>
      <c r="B459" s="6">
        <f t="shared" si="1"/>
        <v>13</v>
      </c>
      <c r="C459" s="7" t="s">
        <v>9</v>
      </c>
      <c r="D459" s="8">
        <v>95.0</v>
      </c>
      <c r="E459" s="7" t="s">
        <v>24</v>
      </c>
      <c r="F459" s="10" t="str">
        <f>VLOOKUP(E459,BASE_VEICULOS!A:G,7,0)</f>
        <v>PROF - 07001 - MANUTENÇÃO PREDIAL- PROFARMA-2025</v>
      </c>
      <c r="G459" s="11" t="str">
        <f>IFERROR(VLOOKUP(E459,BASE_VEICULOS!$A:$B,2,0),"")</f>
        <v>TEW9A23</v>
      </c>
      <c r="H459" s="19"/>
      <c r="I459" s="20">
        <f t="shared" si="2"/>
        <v>46082</v>
      </c>
    </row>
    <row r="460" ht="22.5" customHeight="1">
      <c r="A460" s="5">
        <v>46107.0</v>
      </c>
      <c r="B460" s="6">
        <f t="shared" si="1"/>
        <v>13</v>
      </c>
      <c r="C460" s="7" t="s">
        <v>9</v>
      </c>
      <c r="D460" s="8">
        <v>149.97</v>
      </c>
      <c r="E460" s="7" t="s">
        <v>22</v>
      </c>
      <c r="F460" s="10" t="str">
        <f>VLOOKUP(E460,BASE_VEICULOS!A:G,7,0)</f>
        <v>PROF - 07001 - MANUTENÇÃO PREDIAL- PROFARMA-2025</v>
      </c>
      <c r="G460" s="11" t="str">
        <f>IFERROR(VLOOKUP(E460,BASE_VEICULOS!$A:$B,2,0),"")</f>
        <v>TET5H37</v>
      </c>
      <c r="H460" s="19"/>
      <c r="I460" s="20">
        <f t="shared" si="2"/>
        <v>46082</v>
      </c>
    </row>
    <row r="461" ht="22.5" customHeight="1">
      <c r="A461" s="5">
        <v>46107.0</v>
      </c>
      <c r="B461" s="6">
        <f t="shared" si="1"/>
        <v>13</v>
      </c>
      <c r="C461" s="7" t="s">
        <v>9</v>
      </c>
      <c r="D461" s="8">
        <v>100.0</v>
      </c>
      <c r="E461" s="7" t="s">
        <v>10</v>
      </c>
      <c r="F461" s="10" t="str">
        <f>VLOOKUP(E461,BASE_VEICULOS!A:G,7,0)</f>
        <v>FAC - 140004 - MANUTENÇÃO PREDIAL DPSP 2025</v>
      </c>
      <c r="G461" s="11" t="str">
        <f>IFERROR(VLOOKUP(E461,BASE_VEICULOS!$A:$B,2,0),"")</f>
        <v>TEW9A25</v>
      </c>
      <c r="H461" s="19"/>
      <c r="I461" s="20">
        <f t="shared" si="2"/>
        <v>46082</v>
      </c>
    </row>
    <row r="462" ht="22.5" customHeight="1">
      <c r="A462" s="5">
        <v>46107.0</v>
      </c>
      <c r="B462" s="6">
        <f t="shared" si="1"/>
        <v>13</v>
      </c>
      <c r="C462" s="7" t="s">
        <v>9</v>
      </c>
      <c r="D462" s="8">
        <v>80.0</v>
      </c>
      <c r="E462" s="7" t="s">
        <v>20</v>
      </c>
      <c r="F462" s="10" t="str">
        <f>VLOOKUP(E462,BASE_VEICULOS!A:G,7,0)</f>
        <v>PROF - 07001 - MANUTENÇÃO PREDIAL- PROFARMA-2025</v>
      </c>
      <c r="G462" s="11" t="str">
        <f>IFERROR(VLOOKUP(E462,BASE_VEICULOS!$A:$B,2,0),"")</f>
        <v>TEW9A34</v>
      </c>
      <c r="H462" s="19"/>
      <c r="I462" s="20">
        <f t="shared" si="2"/>
        <v>46082</v>
      </c>
    </row>
    <row r="463" ht="22.5" customHeight="1">
      <c r="A463" s="5">
        <v>46107.0</v>
      </c>
      <c r="B463" s="6">
        <f t="shared" si="1"/>
        <v>13</v>
      </c>
      <c r="C463" s="7" t="s">
        <v>9</v>
      </c>
      <c r="D463" s="8">
        <v>70.0</v>
      </c>
      <c r="E463" s="7" t="s">
        <v>25</v>
      </c>
      <c r="F463" s="10" t="str">
        <f>VLOOKUP(E463,BASE_VEICULOS!A:G,7,0)</f>
        <v>PROF - 07001 - MANUTENÇÃO PREDIAL- PROFARMA-2025</v>
      </c>
      <c r="G463" s="11" t="str">
        <f>IFERROR(VLOOKUP(E463,BASE_VEICULOS!$A:$B,2,0),"")</f>
        <v>TEW9A26</v>
      </c>
      <c r="H463" s="19"/>
      <c r="I463" s="20">
        <f t="shared" si="2"/>
        <v>46082</v>
      </c>
    </row>
    <row r="464" ht="22.5" customHeight="1">
      <c r="A464" s="5">
        <v>46107.0</v>
      </c>
      <c r="B464" s="6">
        <f t="shared" si="1"/>
        <v>13</v>
      </c>
      <c r="C464" s="7" t="s">
        <v>9</v>
      </c>
      <c r="D464" s="8">
        <v>100.0</v>
      </c>
      <c r="E464" s="7" t="s">
        <v>17</v>
      </c>
      <c r="F464" s="10" t="str">
        <f>VLOOKUP(E464,BASE_VEICULOS!A:G,7,0)</f>
        <v>#N/A</v>
      </c>
      <c r="G464" s="11" t="str">
        <f>IFERROR(VLOOKUP(E464,BASE_VEICULOS!$A:$B,2,0),"")</f>
        <v/>
      </c>
      <c r="H464" s="19"/>
      <c r="I464" s="20">
        <f t="shared" si="2"/>
        <v>46082</v>
      </c>
    </row>
    <row r="465" ht="22.5" customHeight="1">
      <c r="A465" s="5">
        <v>46107.0</v>
      </c>
      <c r="B465" s="6">
        <f t="shared" si="1"/>
        <v>13</v>
      </c>
      <c r="C465" s="7" t="s">
        <v>9</v>
      </c>
      <c r="D465" s="8">
        <v>89.99</v>
      </c>
      <c r="E465" s="7" t="s">
        <v>14</v>
      </c>
      <c r="F465" s="10" t="str">
        <f>VLOOKUP(E465,BASE_VEICULOS!A:G,7,0)</f>
        <v>FAC - 140004 - MANUTENÇÃO PREDIAL DPSP 2025</v>
      </c>
      <c r="G465" s="11" t="str">
        <f>IFERROR(VLOOKUP(E465,BASE_VEICULOS!$A:$B,2,0),"")</f>
        <v>FOK8A73</v>
      </c>
      <c r="H465" s="19"/>
      <c r="I465" s="20">
        <f t="shared" si="2"/>
        <v>46082</v>
      </c>
    </row>
    <row r="466" ht="22.5" customHeight="1">
      <c r="A466" s="5">
        <v>46107.0</v>
      </c>
      <c r="B466" s="6">
        <f t="shared" si="1"/>
        <v>13</v>
      </c>
      <c r="C466" s="7" t="s">
        <v>9</v>
      </c>
      <c r="D466" s="8">
        <v>150.0</v>
      </c>
      <c r="E466" s="7" t="s">
        <v>21</v>
      </c>
      <c r="F466" s="10" t="str">
        <f>VLOOKUP(E466,BASE_VEICULOS!A:G,7,0)</f>
        <v>PROF - 07001 - MANUTENÇÃO PREDIAL- PROFARMA-2025</v>
      </c>
      <c r="G466" s="11" t="str">
        <f>IFERROR(VLOOKUP(E466,BASE_VEICULOS!$A:$B,2,0),"")</f>
        <v>TEW9A33</v>
      </c>
      <c r="H466" s="19"/>
      <c r="I466" s="20">
        <f t="shared" si="2"/>
        <v>46082</v>
      </c>
    </row>
    <row r="467" ht="22.5" customHeight="1">
      <c r="A467" s="5">
        <v>46107.0</v>
      </c>
      <c r="B467" s="6">
        <f t="shared" si="1"/>
        <v>13</v>
      </c>
      <c r="C467" s="7" t="s">
        <v>9</v>
      </c>
      <c r="D467" s="8">
        <v>150.0</v>
      </c>
      <c r="E467" s="7" t="s">
        <v>18</v>
      </c>
      <c r="F467" s="10" t="str">
        <f>VLOOKUP(E467,BASE_VEICULOS!A:G,7,0)</f>
        <v>FAC - 140004 - MANUTENÇÃO PREDIAL DPSP 2025</v>
      </c>
      <c r="G467" s="11" t="str">
        <f>IFERROR(VLOOKUP(E467,BASE_VEICULOS!$A:$B,2,0),"")</f>
        <v>TEW9A29</v>
      </c>
      <c r="H467" s="19"/>
      <c r="I467" s="20">
        <f t="shared" si="2"/>
        <v>46082</v>
      </c>
    </row>
    <row r="468" ht="22.5" customHeight="1">
      <c r="A468" s="5">
        <v>46107.0</v>
      </c>
      <c r="B468" s="6">
        <f t="shared" si="1"/>
        <v>13</v>
      </c>
      <c r="C468" s="7" t="s">
        <v>9</v>
      </c>
      <c r="D468" s="8">
        <v>120.0</v>
      </c>
      <c r="E468" s="7" t="s">
        <v>19</v>
      </c>
      <c r="F468" s="10" t="str">
        <f>VLOOKUP(E468,BASE_VEICULOS!A:G,7,0)</f>
        <v>PROF - 07001 - MANUTENÇÃO PREDIAL- PROFARMA-2025</v>
      </c>
      <c r="G468" s="11" t="str">
        <f>IFERROR(VLOOKUP(E468,BASE_VEICULOS!$A:$B,2,0),"")</f>
        <v>TEW9A24</v>
      </c>
      <c r="H468" s="19"/>
      <c r="I468" s="20">
        <f t="shared" si="2"/>
        <v>46082</v>
      </c>
    </row>
    <row r="469" ht="22.5" customHeight="1">
      <c r="A469" s="5">
        <v>46107.0</v>
      </c>
      <c r="B469" s="6">
        <f t="shared" si="1"/>
        <v>13</v>
      </c>
      <c r="C469" s="7" t="s">
        <v>9</v>
      </c>
      <c r="D469" s="8">
        <v>80.0</v>
      </c>
      <c r="E469" s="7" t="s">
        <v>34</v>
      </c>
      <c r="F469" s="10" t="str">
        <f>VLOOKUP(E469,BASE_VEICULOS!A:G,7,0)</f>
        <v>PROF - 07001 - MANUTENÇÃO PREDIAL- PROFARMA-2025</v>
      </c>
      <c r="G469" s="11" t="str">
        <f>IFERROR(VLOOKUP(E469,BASE_VEICULOS!$A:$B,2,0),"")</f>
        <v>SRU8D16</v>
      </c>
      <c r="H469" s="19"/>
      <c r="I469" s="20">
        <f t="shared" si="2"/>
        <v>46082</v>
      </c>
    </row>
    <row r="470" ht="22.5" customHeight="1">
      <c r="A470" s="5">
        <v>46107.0</v>
      </c>
      <c r="B470" s="6">
        <f t="shared" si="1"/>
        <v>13</v>
      </c>
      <c r="C470" s="7" t="s">
        <v>9</v>
      </c>
      <c r="D470" s="8">
        <v>90.0</v>
      </c>
      <c r="E470" s="7" t="s">
        <v>30</v>
      </c>
      <c r="F470" s="10" t="str">
        <f>VLOOKUP(E470,BASE_VEICULOS!A:G,7,0)</f>
        <v>#N/A</v>
      </c>
      <c r="G470" s="11" t="str">
        <f>IFERROR(VLOOKUP(E470,BASE_VEICULOS!$A:$B,2,0),"")</f>
        <v/>
      </c>
      <c r="H470" s="19"/>
      <c r="I470" s="20">
        <f t="shared" si="2"/>
        <v>46082</v>
      </c>
    </row>
    <row r="471" ht="22.5" customHeight="1">
      <c r="A471" s="5">
        <v>46107.0</v>
      </c>
      <c r="B471" s="6">
        <f t="shared" si="1"/>
        <v>13</v>
      </c>
      <c r="C471" s="7" t="s">
        <v>9</v>
      </c>
      <c r="D471" s="8">
        <v>84.96</v>
      </c>
      <c r="E471" s="7" t="s">
        <v>23</v>
      </c>
      <c r="F471" s="10" t="str">
        <f>VLOOKUP(E471,BASE_VEICULOS!A:G,7,0)</f>
        <v>PROF - 07001 - MANUTENÇÃO PREDIAL- PROFARMA-2025</v>
      </c>
      <c r="G471" s="11" t="str">
        <f>IFERROR(VLOOKUP(E471,BASE_VEICULOS!$A:$B,2,0),"")</f>
        <v>TEH3I02</v>
      </c>
      <c r="H471" s="19"/>
      <c r="I471" s="20">
        <f t="shared" si="2"/>
        <v>46082</v>
      </c>
    </row>
    <row r="472" ht="22.5" customHeight="1">
      <c r="A472" s="5">
        <v>46107.0</v>
      </c>
      <c r="B472" s="6">
        <f t="shared" si="1"/>
        <v>13</v>
      </c>
      <c r="C472" s="7" t="s">
        <v>9</v>
      </c>
      <c r="D472" s="8">
        <v>60.0</v>
      </c>
      <c r="E472" s="7" t="s">
        <v>16</v>
      </c>
      <c r="F472" s="10" t="str">
        <f>VLOOKUP(E472,BASE_VEICULOS!A:G,7,0)</f>
        <v>FAC - 140005 - SPOT MANUTENÇÃO DPSP 2025</v>
      </c>
      <c r="G472" s="11" t="str">
        <f>IFERROR(VLOOKUP(E472,BASE_VEICULOS!$A:$B,2,0),"")</f>
        <v>TEW9A27</v>
      </c>
      <c r="H472" s="19"/>
      <c r="I472" s="20">
        <f t="shared" si="2"/>
        <v>46082</v>
      </c>
    </row>
    <row r="473" ht="22.5" customHeight="1">
      <c r="A473" s="5">
        <v>46107.0</v>
      </c>
      <c r="B473" s="6">
        <f t="shared" si="1"/>
        <v>13</v>
      </c>
      <c r="C473" s="7" t="s">
        <v>9</v>
      </c>
      <c r="D473" s="8">
        <v>120.0</v>
      </c>
      <c r="E473" s="7" t="s">
        <v>17</v>
      </c>
      <c r="F473" s="10" t="str">
        <f>VLOOKUP(E473,BASE_VEICULOS!A:G,7,0)</f>
        <v>#N/A</v>
      </c>
      <c r="G473" s="11" t="str">
        <f>IFERROR(VLOOKUP(E473,BASE_VEICULOS!$A:$B,2,0),"")</f>
        <v/>
      </c>
      <c r="H473" s="19"/>
      <c r="I473" s="20">
        <f t="shared" si="2"/>
        <v>46082</v>
      </c>
    </row>
    <row r="474" ht="22.5" customHeight="1">
      <c r="A474" s="5">
        <v>46107.0</v>
      </c>
      <c r="B474" s="6">
        <f t="shared" si="1"/>
        <v>13</v>
      </c>
      <c r="C474" s="7" t="s">
        <v>9</v>
      </c>
      <c r="D474" s="8">
        <v>60.0</v>
      </c>
      <c r="E474" s="7" t="s">
        <v>10</v>
      </c>
      <c r="F474" s="10" t="str">
        <f>VLOOKUP(E474,BASE_VEICULOS!A:G,7,0)</f>
        <v>FAC - 140004 - MANUTENÇÃO PREDIAL DPSP 2025</v>
      </c>
      <c r="G474" s="11" t="str">
        <f>IFERROR(VLOOKUP(E474,BASE_VEICULOS!$A:$B,2,0),"")</f>
        <v>TEW9A25</v>
      </c>
      <c r="H474" s="19"/>
      <c r="I474" s="20">
        <f t="shared" si="2"/>
        <v>46082</v>
      </c>
    </row>
    <row r="475" ht="22.5" customHeight="1">
      <c r="A475" s="5">
        <v>46107.0</v>
      </c>
      <c r="B475" s="6">
        <f t="shared" si="1"/>
        <v>13</v>
      </c>
      <c r="C475" s="7" t="s">
        <v>9</v>
      </c>
      <c r="D475" s="8">
        <v>69.96</v>
      </c>
      <c r="E475" s="7" t="s">
        <v>29</v>
      </c>
      <c r="F475" s="10" t="str">
        <f>VLOOKUP(E475,BASE_VEICULOS!A:G,7,0)</f>
        <v>PROF - 07001 - MANUTENÇÃO PREDIAL- PROFARMA-2025</v>
      </c>
      <c r="G475" s="11" t="str">
        <f>IFERROR(VLOOKUP(E475,BASE_VEICULOS!$A:$B,2,0),"")</f>
        <v>TEQ2I74</v>
      </c>
      <c r="H475" s="19"/>
      <c r="I475" s="20">
        <f t="shared" si="2"/>
        <v>46082</v>
      </c>
    </row>
    <row r="476" ht="22.5" customHeight="1">
      <c r="A476" s="5">
        <v>46107.0</v>
      </c>
      <c r="B476" s="6">
        <f t="shared" si="1"/>
        <v>13</v>
      </c>
      <c r="C476" s="7" t="s">
        <v>9</v>
      </c>
      <c r="D476" s="8">
        <v>69.99</v>
      </c>
      <c r="E476" s="7" t="s">
        <v>12</v>
      </c>
      <c r="F476" s="10" t="str">
        <f>VLOOKUP(E476,BASE_VEICULOS!A:G,7,0)</f>
        <v>FAC - 140004 - MANUTENÇÃO PREDIAL DPSP 2025</v>
      </c>
      <c r="G476" s="11" t="str">
        <f>IFERROR(VLOOKUP(E476,BASE_VEICULOS!$A:$B,2,0),"")</f>
        <v>FIL8C14</v>
      </c>
      <c r="H476" s="19"/>
      <c r="I476" s="20">
        <f t="shared" si="2"/>
        <v>46082</v>
      </c>
    </row>
    <row r="477" ht="22.5" customHeight="1">
      <c r="A477" s="5">
        <v>46108.0</v>
      </c>
      <c r="B477" s="6">
        <f t="shared" si="1"/>
        <v>13</v>
      </c>
      <c r="C477" s="7" t="s">
        <v>9</v>
      </c>
      <c r="D477" s="8">
        <v>100.0</v>
      </c>
      <c r="E477" s="7" t="s">
        <v>33</v>
      </c>
      <c r="F477" s="10" t="str">
        <f>VLOOKUP(E477,BASE_VEICULOS!A:G,7,0)</f>
        <v>PROF - 07001 - MANUTENÇÃO PREDIAL- PROFARMA-2025</v>
      </c>
      <c r="G477" s="11" t="str">
        <f>IFERROR(VLOOKUP(E477,BASE_VEICULOS!$A:$B,2,0),"")</f>
        <v>TEW9A30</v>
      </c>
      <c r="H477" s="19"/>
      <c r="I477" s="20">
        <f t="shared" si="2"/>
        <v>46082</v>
      </c>
    </row>
    <row r="478" ht="22.5" customHeight="1">
      <c r="A478" s="5">
        <v>46108.0</v>
      </c>
      <c r="B478" s="6">
        <f t="shared" si="1"/>
        <v>13</v>
      </c>
      <c r="C478" s="7" t="s">
        <v>9</v>
      </c>
      <c r="D478" s="8">
        <v>120.0</v>
      </c>
      <c r="E478" s="7" t="s">
        <v>22</v>
      </c>
      <c r="F478" s="10" t="str">
        <f>VLOOKUP(E478,BASE_VEICULOS!A:G,7,0)</f>
        <v>PROF - 07001 - MANUTENÇÃO PREDIAL- PROFARMA-2025</v>
      </c>
      <c r="G478" s="11" t="str">
        <f>IFERROR(VLOOKUP(E478,BASE_VEICULOS!$A:$B,2,0),"")</f>
        <v>TET5H37</v>
      </c>
      <c r="H478" s="19"/>
      <c r="I478" s="20">
        <f t="shared" si="2"/>
        <v>46082</v>
      </c>
    </row>
    <row r="479" ht="22.5" customHeight="1">
      <c r="A479" s="5">
        <v>46108.0</v>
      </c>
      <c r="B479" s="6">
        <f t="shared" si="1"/>
        <v>13</v>
      </c>
      <c r="C479" s="7" t="s">
        <v>9</v>
      </c>
      <c r="D479" s="8">
        <v>79.99</v>
      </c>
      <c r="E479" s="7" t="s">
        <v>20</v>
      </c>
      <c r="F479" s="10" t="str">
        <f>VLOOKUP(E479,BASE_VEICULOS!A:G,7,0)</f>
        <v>PROF - 07001 - MANUTENÇÃO PREDIAL- PROFARMA-2025</v>
      </c>
      <c r="G479" s="11" t="str">
        <f>IFERROR(VLOOKUP(E479,BASE_VEICULOS!$A:$B,2,0),"")</f>
        <v>TEW9A34</v>
      </c>
      <c r="H479" s="19"/>
      <c r="I479" s="20">
        <f t="shared" si="2"/>
        <v>46082</v>
      </c>
    </row>
    <row r="480" ht="22.5" customHeight="1">
      <c r="A480" s="5">
        <v>46108.0</v>
      </c>
      <c r="B480" s="6">
        <f t="shared" si="1"/>
        <v>13</v>
      </c>
      <c r="C480" s="7" t="s">
        <v>9</v>
      </c>
      <c r="D480" s="8">
        <v>120.0</v>
      </c>
      <c r="E480" s="7" t="s">
        <v>24</v>
      </c>
      <c r="F480" s="10" t="str">
        <f>VLOOKUP(E480,BASE_VEICULOS!A:G,7,0)</f>
        <v>PROF - 07001 - MANUTENÇÃO PREDIAL- PROFARMA-2025</v>
      </c>
      <c r="G480" s="11" t="str">
        <f>IFERROR(VLOOKUP(E480,BASE_VEICULOS!$A:$B,2,0),"")</f>
        <v>TEW9A23</v>
      </c>
      <c r="H480" s="19"/>
      <c r="I480" s="20">
        <f t="shared" si="2"/>
        <v>46082</v>
      </c>
    </row>
    <row r="481" ht="22.5" customHeight="1">
      <c r="A481" s="5">
        <v>46108.0</v>
      </c>
      <c r="B481" s="6">
        <f t="shared" si="1"/>
        <v>13</v>
      </c>
      <c r="C481" s="7" t="s">
        <v>9</v>
      </c>
      <c r="D481" s="8">
        <v>150.0</v>
      </c>
      <c r="E481" s="7" t="s">
        <v>14</v>
      </c>
      <c r="F481" s="10" t="str">
        <f>VLOOKUP(E481,BASE_VEICULOS!A:G,7,0)</f>
        <v>FAC - 140004 - MANUTENÇÃO PREDIAL DPSP 2025</v>
      </c>
      <c r="G481" s="11" t="str">
        <f>IFERROR(VLOOKUP(E481,BASE_VEICULOS!$A:$B,2,0),"")</f>
        <v>FOK8A73</v>
      </c>
      <c r="H481" s="19"/>
      <c r="I481" s="20">
        <f t="shared" si="2"/>
        <v>46082</v>
      </c>
    </row>
    <row r="482" ht="22.5" customHeight="1">
      <c r="A482" s="5">
        <v>46108.0</v>
      </c>
      <c r="B482" s="6">
        <f t="shared" si="1"/>
        <v>13</v>
      </c>
      <c r="C482" s="7" t="s">
        <v>9</v>
      </c>
      <c r="D482" s="8">
        <v>40.0</v>
      </c>
      <c r="E482" s="7" t="s">
        <v>16</v>
      </c>
      <c r="F482" s="10" t="str">
        <f>VLOOKUP(E482,BASE_VEICULOS!A:G,7,0)</f>
        <v>FAC - 140005 - SPOT MANUTENÇÃO DPSP 2025</v>
      </c>
      <c r="G482" s="11" t="str">
        <f>IFERROR(VLOOKUP(E482,BASE_VEICULOS!$A:$B,2,0),"")</f>
        <v>TEW9A27</v>
      </c>
      <c r="H482" s="19"/>
      <c r="I482" s="20">
        <f t="shared" si="2"/>
        <v>46082</v>
      </c>
    </row>
    <row r="483" ht="22.5" customHeight="1">
      <c r="A483" s="5">
        <v>46108.0</v>
      </c>
      <c r="B483" s="6">
        <f t="shared" si="1"/>
        <v>13</v>
      </c>
      <c r="C483" s="7" t="s">
        <v>9</v>
      </c>
      <c r="D483" s="8">
        <v>100.0</v>
      </c>
      <c r="E483" s="7" t="s">
        <v>13</v>
      </c>
      <c r="F483" s="10" t="str">
        <f>VLOOKUP(E483,BASE_VEICULOS!A:G,7,0)</f>
        <v>FAC - 140005 - SPOT MANUTENÇÃO DPSP 2025</v>
      </c>
      <c r="G483" s="11" t="str">
        <f>IFERROR(VLOOKUP(E483,BASE_VEICULOS!$A:$B,2,0),"")</f>
        <v>FGO3C61</v>
      </c>
      <c r="H483" s="19"/>
      <c r="I483" s="20">
        <f t="shared" si="2"/>
        <v>46082</v>
      </c>
    </row>
    <row r="484" ht="22.5" customHeight="1">
      <c r="A484" s="5">
        <v>46108.0</v>
      </c>
      <c r="B484" s="6">
        <f t="shared" si="1"/>
        <v>13</v>
      </c>
      <c r="C484" s="7" t="s">
        <v>9</v>
      </c>
      <c r="D484" s="8">
        <v>120.0</v>
      </c>
      <c r="E484" s="7" t="s">
        <v>17</v>
      </c>
      <c r="F484" s="10" t="str">
        <f>VLOOKUP(E484,BASE_VEICULOS!A:G,7,0)</f>
        <v>#N/A</v>
      </c>
      <c r="G484" s="11" t="str">
        <f>IFERROR(VLOOKUP(E484,BASE_VEICULOS!$A:$B,2,0),"")</f>
        <v/>
      </c>
      <c r="H484" s="19"/>
      <c r="I484" s="20">
        <f t="shared" si="2"/>
        <v>46082</v>
      </c>
    </row>
    <row r="485" ht="22.5" customHeight="1">
      <c r="A485" s="5">
        <v>46108.0</v>
      </c>
      <c r="B485" s="6">
        <f t="shared" si="1"/>
        <v>13</v>
      </c>
      <c r="C485" s="7" t="s">
        <v>9</v>
      </c>
      <c r="D485" s="8">
        <v>100.0</v>
      </c>
      <c r="E485" s="7" t="s">
        <v>34</v>
      </c>
      <c r="F485" s="10" t="str">
        <f>VLOOKUP(E485,BASE_VEICULOS!A:G,7,0)</f>
        <v>PROF - 07001 - MANUTENÇÃO PREDIAL- PROFARMA-2025</v>
      </c>
      <c r="G485" s="11" t="str">
        <f>IFERROR(VLOOKUP(E485,BASE_VEICULOS!$A:$B,2,0),"")</f>
        <v>SRU8D16</v>
      </c>
      <c r="H485" s="19"/>
      <c r="I485" s="20">
        <f t="shared" si="2"/>
        <v>46082</v>
      </c>
    </row>
    <row r="486" ht="22.5" customHeight="1">
      <c r="A486" s="5">
        <v>46108.0</v>
      </c>
      <c r="B486" s="6">
        <f t="shared" si="1"/>
        <v>13</v>
      </c>
      <c r="C486" s="7" t="s">
        <v>9</v>
      </c>
      <c r="D486" s="8">
        <v>94.99</v>
      </c>
      <c r="E486" s="7" t="s">
        <v>23</v>
      </c>
      <c r="F486" s="10" t="str">
        <f>VLOOKUP(E486,BASE_VEICULOS!A:G,7,0)</f>
        <v>PROF - 07001 - MANUTENÇÃO PREDIAL- PROFARMA-2025</v>
      </c>
      <c r="G486" s="11" t="str">
        <f>IFERROR(VLOOKUP(E486,BASE_VEICULOS!$A:$B,2,0),"")</f>
        <v>TEH3I02</v>
      </c>
      <c r="H486" s="19"/>
      <c r="I486" s="20">
        <f t="shared" si="2"/>
        <v>46082</v>
      </c>
    </row>
    <row r="487" ht="22.5" customHeight="1">
      <c r="A487" s="5">
        <v>46108.0</v>
      </c>
      <c r="B487" s="6">
        <f t="shared" si="1"/>
        <v>13</v>
      </c>
      <c r="C487" s="7" t="s">
        <v>9</v>
      </c>
      <c r="D487" s="8">
        <v>70.0</v>
      </c>
      <c r="E487" s="7" t="s">
        <v>30</v>
      </c>
      <c r="F487" s="10" t="str">
        <f>VLOOKUP(E487,BASE_VEICULOS!A:G,7,0)</f>
        <v>#N/A</v>
      </c>
      <c r="G487" s="11" t="str">
        <f>IFERROR(VLOOKUP(E487,BASE_VEICULOS!$A:$B,2,0),"")</f>
        <v/>
      </c>
      <c r="H487" s="19"/>
      <c r="I487" s="20">
        <f t="shared" si="2"/>
        <v>46082</v>
      </c>
    </row>
    <row r="488" ht="22.5" customHeight="1">
      <c r="A488" s="5">
        <v>46108.0</v>
      </c>
      <c r="B488" s="6">
        <f t="shared" si="1"/>
        <v>13</v>
      </c>
      <c r="C488" s="7" t="s">
        <v>9</v>
      </c>
      <c r="D488" s="8">
        <v>85.0</v>
      </c>
      <c r="E488" s="7" t="s">
        <v>10</v>
      </c>
      <c r="F488" s="10" t="str">
        <f>VLOOKUP(E488,BASE_VEICULOS!A:G,7,0)</f>
        <v>FAC - 140004 - MANUTENÇÃO PREDIAL DPSP 2025</v>
      </c>
      <c r="G488" s="11" t="str">
        <f>IFERROR(VLOOKUP(E488,BASE_VEICULOS!$A:$B,2,0),"")</f>
        <v>TEW9A25</v>
      </c>
      <c r="H488" s="19"/>
      <c r="I488" s="20">
        <f t="shared" si="2"/>
        <v>46082</v>
      </c>
    </row>
    <row r="489" ht="22.5" customHeight="1">
      <c r="A489" s="5">
        <v>46108.0</v>
      </c>
      <c r="B489" s="6">
        <f t="shared" si="1"/>
        <v>13</v>
      </c>
      <c r="C489" s="7" t="s">
        <v>9</v>
      </c>
      <c r="D489" s="8">
        <v>100.0</v>
      </c>
      <c r="E489" s="7" t="s">
        <v>15</v>
      </c>
      <c r="F489" s="10" t="str">
        <f>VLOOKUP(E489,BASE_VEICULOS!A:G,7,0)</f>
        <v>FAC - 140005 - SPOT MANUTENÇÃO DPSP 2025</v>
      </c>
      <c r="G489" s="11" t="str">
        <f>IFERROR(VLOOKUP(E489,BASE_VEICULOS!$A:$B,2,0),"")</f>
        <v>EWH1B84</v>
      </c>
      <c r="H489" s="19"/>
      <c r="I489" s="20">
        <f t="shared" si="2"/>
        <v>46082</v>
      </c>
    </row>
    <row r="490" ht="22.5" customHeight="1">
      <c r="A490" s="5">
        <v>46108.0</v>
      </c>
      <c r="B490" s="6">
        <f t="shared" si="1"/>
        <v>13</v>
      </c>
      <c r="C490" s="7" t="s">
        <v>9</v>
      </c>
      <c r="D490" s="8">
        <v>60.0</v>
      </c>
      <c r="E490" s="7" t="s">
        <v>25</v>
      </c>
      <c r="F490" s="10" t="str">
        <f>VLOOKUP(E490,BASE_VEICULOS!A:G,7,0)</f>
        <v>PROF - 07001 - MANUTENÇÃO PREDIAL- PROFARMA-2025</v>
      </c>
      <c r="G490" s="11" t="str">
        <f>IFERROR(VLOOKUP(E490,BASE_VEICULOS!$A:$B,2,0),"")</f>
        <v>TEW9A26</v>
      </c>
      <c r="H490" s="19"/>
      <c r="I490" s="20">
        <f t="shared" si="2"/>
        <v>46082</v>
      </c>
    </row>
    <row r="491" ht="22.5" customHeight="1">
      <c r="A491" s="5">
        <v>46108.0</v>
      </c>
      <c r="B491" s="6">
        <f t="shared" si="1"/>
        <v>13</v>
      </c>
      <c r="C491" s="7" t="s">
        <v>9</v>
      </c>
      <c r="D491" s="8">
        <v>75.0</v>
      </c>
      <c r="E491" s="7" t="s">
        <v>12</v>
      </c>
      <c r="F491" s="10" t="str">
        <f>VLOOKUP(E491,BASE_VEICULOS!A:G,7,0)</f>
        <v>FAC - 140004 - MANUTENÇÃO PREDIAL DPSP 2025</v>
      </c>
      <c r="G491" s="11" t="str">
        <f>IFERROR(VLOOKUP(E491,BASE_VEICULOS!$A:$B,2,0),"")</f>
        <v>FIL8C14</v>
      </c>
      <c r="H491" s="19"/>
      <c r="I491" s="20">
        <f t="shared" si="2"/>
        <v>46082</v>
      </c>
    </row>
    <row r="492" ht="22.5" customHeight="1">
      <c r="A492" s="5">
        <v>46108.0</v>
      </c>
      <c r="B492" s="6">
        <f t="shared" si="1"/>
        <v>13</v>
      </c>
      <c r="C492" s="7" t="s">
        <v>9</v>
      </c>
      <c r="D492" s="8">
        <v>104.96</v>
      </c>
      <c r="E492" s="7" t="s">
        <v>16</v>
      </c>
      <c r="F492" s="10" t="str">
        <f>VLOOKUP(E492,BASE_VEICULOS!A:G,7,0)</f>
        <v>FAC - 140005 - SPOT MANUTENÇÃO DPSP 2025</v>
      </c>
      <c r="G492" s="11" t="str">
        <f>IFERROR(VLOOKUP(E492,BASE_VEICULOS!$A:$B,2,0),"")</f>
        <v>TEW9A27</v>
      </c>
      <c r="H492" s="19"/>
      <c r="I492" s="20">
        <f t="shared" si="2"/>
        <v>46082</v>
      </c>
    </row>
    <row r="493" ht="22.5" customHeight="1">
      <c r="A493" s="5">
        <v>46108.0</v>
      </c>
      <c r="B493" s="6">
        <f t="shared" si="1"/>
        <v>13</v>
      </c>
      <c r="C493" s="7" t="s">
        <v>9</v>
      </c>
      <c r="D493" s="8">
        <v>100.0</v>
      </c>
      <c r="E493" s="7" t="s">
        <v>18</v>
      </c>
      <c r="F493" s="10" t="str">
        <f>VLOOKUP(E493,BASE_VEICULOS!A:G,7,0)</f>
        <v>FAC - 140004 - MANUTENÇÃO PREDIAL DPSP 2025</v>
      </c>
      <c r="G493" s="11" t="str">
        <f>IFERROR(VLOOKUP(E493,BASE_VEICULOS!$A:$B,2,0),"")</f>
        <v>TEW9A29</v>
      </c>
      <c r="H493" s="19"/>
      <c r="I493" s="20">
        <f t="shared" si="2"/>
        <v>46082</v>
      </c>
    </row>
    <row r="494" ht="22.5" customHeight="1">
      <c r="A494" s="5">
        <v>46108.0</v>
      </c>
      <c r="B494" s="6">
        <f t="shared" si="1"/>
        <v>13</v>
      </c>
      <c r="C494" s="7" t="s">
        <v>9</v>
      </c>
      <c r="D494" s="8">
        <v>59.96</v>
      </c>
      <c r="E494" s="7" t="s">
        <v>29</v>
      </c>
      <c r="F494" s="10" t="str">
        <f>VLOOKUP(E494,BASE_VEICULOS!A:G,7,0)</f>
        <v>PROF - 07001 - MANUTENÇÃO PREDIAL- PROFARMA-2025</v>
      </c>
      <c r="G494" s="11" t="str">
        <f>IFERROR(VLOOKUP(E494,BASE_VEICULOS!$A:$B,2,0),"")</f>
        <v>TEQ2I74</v>
      </c>
      <c r="H494" s="19"/>
      <c r="I494" s="20">
        <f t="shared" si="2"/>
        <v>46082</v>
      </c>
    </row>
    <row r="495" ht="22.5" customHeight="1">
      <c r="A495" s="5">
        <v>46108.0</v>
      </c>
      <c r="B495" s="6">
        <f t="shared" si="1"/>
        <v>13</v>
      </c>
      <c r="C495" s="7" t="s">
        <v>9</v>
      </c>
      <c r="D495" s="8">
        <v>99.98</v>
      </c>
      <c r="E495" s="7" t="s">
        <v>19</v>
      </c>
      <c r="F495" s="10" t="str">
        <f>VLOOKUP(E495,BASE_VEICULOS!A:G,7,0)</f>
        <v>PROF - 07001 - MANUTENÇÃO PREDIAL- PROFARMA-2025</v>
      </c>
      <c r="G495" s="11" t="str">
        <f>IFERROR(VLOOKUP(E495,BASE_VEICULOS!$A:$B,2,0),"")</f>
        <v>TEW9A24</v>
      </c>
      <c r="H495" s="19"/>
      <c r="I495" s="20">
        <f t="shared" si="2"/>
        <v>46082</v>
      </c>
    </row>
    <row r="496" ht="22.5" customHeight="1">
      <c r="A496" s="5">
        <v>46108.0</v>
      </c>
      <c r="B496" s="6">
        <f t="shared" si="1"/>
        <v>13</v>
      </c>
      <c r="C496" s="7" t="s">
        <v>9</v>
      </c>
      <c r="D496" s="8">
        <v>60.0</v>
      </c>
      <c r="E496" s="7" t="s">
        <v>25</v>
      </c>
      <c r="F496" s="10" t="str">
        <f>VLOOKUP(E496,BASE_VEICULOS!A:G,7,0)</f>
        <v>PROF - 07001 - MANUTENÇÃO PREDIAL- PROFARMA-2025</v>
      </c>
      <c r="G496" s="11" t="str">
        <f>IFERROR(VLOOKUP(E496,BASE_VEICULOS!$A:$B,2,0),"")</f>
        <v>TEW9A26</v>
      </c>
      <c r="H496" s="19"/>
      <c r="I496" s="20">
        <f t="shared" si="2"/>
        <v>46082</v>
      </c>
    </row>
    <row r="497" ht="22.5" customHeight="1">
      <c r="A497" s="5">
        <v>46109.0</v>
      </c>
      <c r="B497" s="6">
        <f t="shared" si="1"/>
        <v>13</v>
      </c>
      <c r="C497" s="7" t="s">
        <v>9</v>
      </c>
      <c r="D497" s="8">
        <v>80.0</v>
      </c>
      <c r="E497" s="7" t="s">
        <v>29</v>
      </c>
      <c r="F497" s="10" t="str">
        <f>VLOOKUP(E497,BASE_VEICULOS!A:G,7,0)</f>
        <v>PROF - 07001 - MANUTENÇÃO PREDIAL- PROFARMA-2025</v>
      </c>
      <c r="G497" s="11" t="str">
        <f>IFERROR(VLOOKUP(E497,BASE_VEICULOS!$A:$B,2,0),"")</f>
        <v>TEQ2I74</v>
      </c>
      <c r="H497" s="19"/>
      <c r="I497" s="20">
        <f t="shared" si="2"/>
        <v>46082</v>
      </c>
    </row>
    <row r="498" ht="22.5" customHeight="1">
      <c r="A498" s="5">
        <v>46109.0</v>
      </c>
      <c r="B498" s="6">
        <f t="shared" si="1"/>
        <v>13</v>
      </c>
      <c r="C498" s="7" t="s">
        <v>9</v>
      </c>
      <c r="D498" s="8">
        <v>79.99</v>
      </c>
      <c r="E498" s="7" t="s">
        <v>14</v>
      </c>
      <c r="F498" s="10" t="str">
        <f>VLOOKUP(E498,BASE_VEICULOS!A:G,7,0)</f>
        <v>FAC - 140004 - MANUTENÇÃO PREDIAL DPSP 2025</v>
      </c>
      <c r="G498" s="11" t="str">
        <f>IFERROR(VLOOKUP(E498,BASE_VEICULOS!$A:$B,2,0),"")</f>
        <v>FOK8A73</v>
      </c>
      <c r="H498" s="19"/>
      <c r="I498" s="20">
        <f t="shared" si="2"/>
        <v>46082</v>
      </c>
    </row>
    <row r="499" ht="22.5" customHeight="1">
      <c r="A499" s="5">
        <v>46109.0</v>
      </c>
      <c r="B499" s="6">
        <f t="shared" si="1"/>
        <v>13</v>
      </c>
      <c r="C499" s="7" t="s">
        <v>9</v>
      </c>
      <c r="D499" s="8">
        <v>79.98</v>
      </c>
      <c r="E499" s="7" t="s">
        <v>33</v>
      </c>
      <c r="F499" s="10" t="str">
        <f>VLOOKUP(E499,BASE_VEICULOS!A:G,7,0)</f>
        <v>PROF - 07001 - MANUTENÇÃO PREDIAL- PROFARMA-2025</v>
      </c>
      <c r="G499" s="11" t="str">
        <f>IFERROR(VLOOKUP(E499,BASE_VEICULOS!$A:$B,2,0),"")</f>
        <v>TEW9A30</v>
      </c>
      <c r="H499" s="19"/>
      <c r="I499" s="20">
        <f t="shared" si="2"/>
        <v>46082</v>
      </c>
    </row>
    <row r="500" ht="22.5" hidden="1" customHeight="1">
      <c r="A500" s="5">
        <v>46109.0</v>
      </c>
      <c r="B500" s="6">
        <f t="shared" si="1"/>
        <v>13</v>
      </c>
      <c r="C500" s="7" t="s">
        <v>32</v>
      </c>
      <c r="D500" s="8">
        <v>20.0</v>
      </c>
      <c r="E500" s="7" t="s">
        <v>30</v>
      </c>
      <c r="F500" s="10" t="str">
        <f>VLOOKUP(E500,BASE_VEICULOS!A:G,7,0)</f>
        <v>#N/A</v>
      </c>
      <c r="G500" s="11" t="str">
        <f>IFERROR(VLOOKUP(E500,BASE_VEICULOS!$A:$B,2,0),"")</f>
        <v/>
      </c>
      <c r="H500" s="19"/>
      <c r="I500" s="20">
        <f t="shared" si="2"/>
        <v>46082</v>
      </c>
    </row>
    <row r="501" ht="22.5" customHeight="1">
      <c r="A501" s="5">
        <v>46109.0</v>
      </c>
      <c r="B501" s="6">
        <f t="shared" si="1"/>
        <v>13</v>
      </c>
      <c r="C501" s="7" t="s">
        <v>9</v>
      </c>
      <c r="D501" s="8">
        <v>80.0</v>
      </c>
      <c r="E501" s="7" t="s">
        <v>21</v>
      </c>
      <c r="F501" s="10" t="str">
        <f>VLOOKUP(E501,BASE_VEICULOS!A:G,7,0)</f>
        <v>PROF - 07001 - MANUTENÇÃO PREDIAL- PROFARMA-2025</v>
      </c>
      <c r="G501" s="11" t="str">
        <f>IFERROR(VLOOKUP(E501,BASE_VEICULOS!$A:$B,2,0),"")</f>
        <v>TEW9A33</v>
      </c>
      <c r="H501" s="19"/>
      <c r="I501" s="20">
        <f t="shared" si="2"/>
        <v>46082</v>
      </c>
    </row>
    <row r="502" ht="22.5" customHeight="1">
      <c r="A502" s="5">
        <v>46109.0</v>
      </c>
      <c r="B502" s="6">
        <f t="shared" si="1"/>
        <v>13</v>
      </c>
      <c r="C502" s="7" t="s">
        <v>9</v>
      </c>
      <c r="D502" s="8">
        <v>69.94</v>
      </c>
      <c r="E502" s="7" t="s">
        <v>25</v>
      </c>
      <c r="F502" s="10" t="str">
        <f>VLOOKUP(E502,BASE_VEICULOS!A:G,7,0)</f>
        <v>PROF - 07001 - MANUTENÇÃO PREDIAL- PROFARMA-2025</v>
      </c>
      <c r="G502" s="11" t="str">
        <f>IFERROR(VLOOKUP(E502,BASE_VEICULOS!$A:$B,2,0),"")</f>
        <v>TEW9A26</v>
      </c>
      <c r="H502" s="19"/>
      <c r="I502" s="20">
        <f t="shared" si="2"/>
        <v>46082</v>
      </c>
    </row>
    <row r="503" ht="22.5" customHeight="1">
      <c r="A503" s="5">
        <v>46109.0</v>
      </c>
      <c r="B503" s="6">
        <f t="shared" si="1"/>
        <v>13</v>
      </c>
      <c r="C503" s="7" t="s">
        <v>9</v>
      </c>
      <c r="D503" s="8">
        <v>75.0</v>
      </c>
      <c r="E503" s="7" t="s">
        <v>30</v>
      </c>
      <c r="F503" s="10" t="str">
        <f>VLOOKUP(E503,BASE_VEICULOS!A:G,7,0)</f>
        <v>#N/A</v>
      </c>
      <c r="G503" s="11" t="str">
        <f>IFERROR(VLOOKUP(E503,BASE_VEICULOS!$A:$B,2,0),"")</f>
        <v/>
      </c>
      <c r="H503" s="19"/>
      <c r="I503" s="20">
        <f t="shared" si="2"/>
        <v>46082</v>
      </c>
    </row>
    <row r="504" ht="22.5" customHeight="1">
      <c r="A504" s="5">
        <v>46109.0</v>
      </c>
      <c r="B504" s="6">
        <f t="shared" si="1"/>
        <v>13</v>
      </c>
      <c r="C504" s="7" t="s">
        <v>9</v>
      </c>
      <c r="D504" s="8">
        <v>79.99</v>
      </c>
      <c r="E504" s="7" t="s">
        <v>19</v>
      </c>
      <c r="F504" s="10" t="str">
        <f>VLOOKUP(E504,BASE_VEICULOS!A:G,7,0)</f>
        <v>PROF - 07001 - MANUTENÇÃO PREDIAL- PROFARMA-2025</v>
      </c>
      <c r="G504" s="11" t="str">
        <f>IFERROR(VLOOKUP(E504,BASE_VEICULOS!$A:$B,2,0),"")</f>
        <v>TEW9A24</v>
      </c>
      <c r="H504" s="19"/>
      <c r="I504" s="20">
        <f t="shared" si="2"/>
        <v>46082</v>
      </c>
    </row>
    <row r="505" ht="22.5" customHeight="1">
      <c r="A505" s="5">
        <v>46109.0</v>
      </c>
      <c r="B505" s="6">
        <f t="shared" si="1"/>
        <v>13</v>
      </c>
      <c r="C505" s="7" t="s">
        <v>9</v>
      </c>
      <c r="D505" s="8">
        <v>79.99</v>
      </c>
      <c r="E505" s="7" t="s">
        <v>22</v>
      </c>
      <c r="F505" s="10" t="str">
        <f>VLOOKUP(E505,BASE_VEICULOS!A:G,7,0)</f>
        <v>PROF - 07001 - MANUTENÇÃO PREDIAL- PROFARMA-2025</v>
      </c>
      <c r="G505" s="11" t="str">
        <f>IFERROR(VLOOKUP(E505,BASE_VEICULOS!$A:$B,2,0),"")</f>
        <v>TET5H37</v>
      </c>
      <c r="H505" s="19"/>
      <c r="I505" s="20">
        <f t="shared" si="2"/>
        <v>46082</v>
      </c>
    </row>
    <row r="506" ht="22.5" customHeight="1">
      <c r="A506" s="5">
        <v>46109.0</v>
      </c>
      <c r="B506" s="6">
        <f t="shared" si="1"/>
        <v>13</v>
      </c>
      <c r="C506" s="7" t="s">
        <v>9</v>
      </c>
      <c r="D506" s="8">
        <v>49.98</v>
      </c>
      <c r="E506" s="7" t="s">
        <v>33</v>
      </c>
      <c r="F506" s="10" t="str">
        <f>VLOOKUP(E506,BASE_VEICULOS!A:G,7,0)</f>
        <v>PROF - 07001 - MANUTENÇÃO PREDIAL- PROFARMA-2025</v>
      </c>
      <c r="G506" s="11" t="str">
        <f>IFERROR(VLOOKUP(E506,BASE_VEICULOS!$A:$B,2,0),"")</f>
        <v>TEW9A30</v>
      </c>
      <c r="H506" s="19"/>
      <c r="I506" s="20">
        <f t="shared" si="2"/>
        <v>46082</v>
      </c>
    </row>
    <row r="507" ht="22.5" customHeight="1">
      <c r="A507" s="5">
        <v>46109.0</v>
      </c>
      <c r="B507" s="6">
        <f t="shared" si="1"/>
        <v>13</v>
      </c>
      <c r="C507" s="7" t="s">
        <v>9</v>
      </c>
      <c r="D507" s="8">
        <v>99.98</v>
      </c>
      <c r="E507" s="7" t="s">
        <v>19</v>
      </c>
      <c r="F507" s="10" t="str">
        <f>VLOOKUP(E507,BASE_VEICULOS!A:G,7,0)</f>
        <v>PROF - 07001 - MANUTENÇÃO PREDIAL- PROFARMA-2025</v>
      </c>
      <c r="G507" s="11" t="str">
        <f>IFERROR(VLOOKUP(E507,BASE_VEICULOS!$A:$B,2,0),"")</f>
        <v>TEW9A24</v>
      </c>
      <c r="H507" s="19"/>
      <c r="I507" s="20">
        <f t="shared" si="2"/>
        <v>46082</v>
      </c>
    </row>
    <row r="508" ht="22.5" customHeight="1">
      <c r="A508" s="5">
        <v>46109.0</v>
      </c>
      <c r="B508" s="6">
        <f t="shared" si="1"/>
        <v>13</v>
      </c>
      <c r="C508" s="7" t="s">
        <v>9</v>
      </c>
      <c r="D508" s="8">
        <v>70.0</v>
      </c>
      <c r="E508" s="7" t="s">
        <v>14</v>
      </c>
      <c r="F508" s="10" t="str">
        <f>VLOOKUP(E508,BASE_VEICULOS!A:G,7,0)</f>
        <v>FAC - 140004 - MANUTENÇÃO PREDIAL DPSP 2025</v>
      </c>
      <c r="G508" s="11" t="str">
        <f>IFERROR(VLOOKUP(E508,BASE_VEICULOS!$A:$B,2,0),"")</f>
        <v>FOK8A73</v>
      </c>
      <c r="H508" s="19"/>
      <c r="I508" s="20">
        <f t="shared" si="2"/>
        <v>46082</v>
      </c>
    </row>
    <row r="509" ht="22.5" customHeight="1">
      <c r="A509" s="5">
        <v>46109.0</v>
      </c>
      <c r="B509" s="6">
        <f t="shared" si="1"/>
        <v>13</v>
      </c>
      <c r="C509" s="7" t="s">
        <v>9</v>
      </c>
      <c r="D509" s="8">
        <v>80.0</v>
      </c>
      <c r="E509" s="7" t="s">
        <v>30</v>
      </c>
      <c r="F509" s="10" t="str">
        <f>VLOOKUP(E509,BASE_VEICULOS!A:G,7,0)</f>
        <v>#N/A</v>
      </c>
      <c r="G509" s="11" t="str">
        <f>IFERROR(VLOOKUP(E509,BASE_VEICULOS!$A:$B,2,0),"")</f>
        <v/>
      </c>
      <c r="H509" s="19"/>
      <c r="I509" s="20">
        <f t="shared" si="2"/>
        <v>46082</v>
      </c>
    </row>
    <row r="510" ht="22.5" customHeight="1">
      <c r="A510" s="5">
        <v>46110.0</v>
      </c>
      <c r="B510" s="6">
        <f t="shared" si="1"/>
        <v>13</v>
      </c>
      <c r="C510" s="7" t="s">
        <v>9</v>
      </c>
      <c r="D510" s="8">
        <v>79.99</v>
      </c>
      <c r="E510" s="7" t="s">
        <v>25</v>
      </c>
      <c r="F510" s="10" t="str">
        <f>VLOOKUP(E510,BASE_VEICULOS!A:G,7,0)</f>
        <v>PROF - 07001 - MANUTENÇÃO PREDIAL- PROFARMA-2025</v>
      </c>
      <c r="G510" s="11" t="str">
        <f>IFERROR(VLOOKUP(E510,BASE_VEICULOS!$A:$B,2,0),"")</f>
        <v>TEW9A26</v>
      </c>
      <c r="H510" s="19"/>
      <c r="I510" s="20">
        <f t="shared" si="2"/>
        <v>46082</v>
      </c>
    </row>
    <row r="511" ht="22.5" customHeight="1">
      <c r="A511" s="5">
        <v>46110.0</v>
      </c>
      <c r="B511" s="6">
        <f t="shared" si="1"/>
        <v>13</v>
      </c>
      <c r="C511" s="7" t="s">
        <v>9</v>
      </c>
      <c r="D511" s="8">
        <v>80.0</v>
      </c>
      <c r="E511" s="7" t="s">
        <v>25</v>
      </c>
      <c r="F511" s="10" t="str">
        <f>VLOOKUP(E511,BASE_VEICULOS!A:G,7,0)</f>
        <v>PROF - 07001 - MANUTENÇÃO PREDIAL- PROFARMA-2025</v>
      </c>
      <c r="G511" s="11" t="str">
        <f>IFERROR(VLOOKUP(E511,BASE_VEICULOS!$A:$B,2,0),"")</f>
        <v>TEW9A26</v>
      </c>
      <c r="H511" s="19"/>
      <c r="I511" s="20">
        <f t="shared" si="2"/>
        <v>46082</v>
      </c>
    </row>
    <row r="512" ht="22.5" customHeight="1">
      <c r="A512" s="5">
        <v>46111.0</v>
      </c>
      <c r="B512" s="6">
        <f t="shared" si="1"/>
        <v>14</v>
      </c>
      <c r="C512" s="7" t="s">
        <v>9</v>
      </c>
      <c r="D512" s="8">
        <v>90.0</v>
      </c>
      <c r="E512" s="7" t="s">
        <v>20</v>
      </c>
      <c r="F512" s="10" t="str">
        <f>VLOOKUP(E512,BASE_VEICULOS!A:G,7,0)</f>
        <v>PROF - 07001 - MANUTENÇÃO PREDIAL- PROFARMA-2025</v>
      </c>
      <c r="G512" s="11" t="str">
        <f>IFERROR(VLOOKUP(E512,BASE_VEICULOS!$A:$B,2,0),"")</f>
        <v>TEW9A34</v>
      </c>
      <c r="H512" s="19"/>
      <c r="I512" s="20">
        <f t="shared" si="2"/>
        <v>46082</v>
      </c>
    </row>
    <row r="513" ht="22.5" customHeight="1">
      <c r="A513" s="5">
        <v>46111.0</v>
      </c>
      <c r="B513" s="6">
        <f t="shared" si="1"/>
        <v>14</v>
      </c>
      <c r="C513" s="7" t="s">
        <v>9</v>
      </c>
      <c r="D513" s="8">
        <v>90.0</v>
      </c>
      <c r="E513" s="7" t="s">
        <v>21</v>
      </c>
      <c r="F513" s="10" t="str">
        <f>VLOOKUP(E513,BASE_VEICULOS!A:G,7,0)</f>
        <v>PROF - 07001 - MANUTENÇÃO PREDIAL- PROFARMA-2025</v>
      </c>
      <c r="G513" s="11" t="str">
        <f>IFERROR(VLOOKUP(E513,BASE_VEICULOS!$A:$B,2,0),"")</f>
        <v>TEW9A33</v>
      </c>
      <c r="H513" s="19"/>
      <c r="I513" s="20">
        <f t="shared" si="2"/>
        <v>46082</v>
      </c>
    </row>
    <row r="514" ht="22.5" customHeight="1">
      <c r="A514" s="5">
        <v>46111.0</v>
      </c>
      <c r="B514" s="6">
        <f t="shared" si="1"/>
        <v>14</v>
      </c>
      <c r="C514" s="7" t="s">
        <v>9</v>
      </c>
      <c r="D514" s="8">
        <v>50.0</v>
      </c>
      <c r="E514" s="7" t="s">
        <v>30</v>
      </c>
      <c r="F514" s="10" t="str">
        <f>VLOOKUP(E514,BASE_VEICULOS!A:G,7,0)</f>
        <v>#N/A</v>
      </c>
      <c r="G514" s="11" t="str">
        <f>IFERROR(VLOOKUP(E514,BASE_VEICULOS!$A:$B,2,0),"")</f>
        <v/>
      </c>
      <c r="H514" s="19"/>
      <c r="I514" s="20">
        <f t="shared" si="2"/>
        <v>46082</v>
      </c>
    </row>
    <row r="515" ht="22.5" customHeight="1">
      <c r="A515" s="5">
        <v>46111.0</v>
      </c>
      <c r="B515" s="6">
        <f t="shared" si="1"/>
        <v>14</v>
      </c>
      <c r="C515" s="7" t="s">
        <v>9</v>
      </c>
      <c r="D515" s="8">
        <v>60.0</v>
      </c>
      <c r="E515" s="7" t="s">
        <v>15</v>
      </c>
      <c r="F515" s="10" t="str">
        <f>VLOOKUP(E515,BASE_VEICULOS!A:G,7,0)</f>
        <v>FAC - 140005 - SPOT MANUTENÇÃO DPSP 2025</v>
      </c>
      <c r="G515" s="11" t="str">
        <f>IFERROR(VLOOKUP(E515,BASE_VEICULOS!$A:$B,2,0),"")</f>
        <v>EWH1B84</v>
      </c>
      <c r="H515" s="19"/>
      <c r="I515" s="20">
        <f t="shared" si="2"/>
        <v>46082</v>
      </c>
    </row>
    <row r="516" ht="22.5" customHeight="1">
      <c r="A516" s="5">
        <v>46111.0</v>
      </c>
      <c r="B516" s="6">
        <f t="shared" si="1"/>
        <v>14</v>
      </c>
      <c r="C516" s="7" t="s">
        <v>9</v>
      </c>
      <c r="D516" s="8">
        <v>90.0</v>
      </c>
      <c r="E516" s="7" t="s">
        <v>17</v>
      </c>
      <c r="F516" s="10" t="str">
        <f>VLOOKUP(E516,BASE_VEICULOS!A:G,7,0)</f>
        <v>#N/A</v>
      </c>
      <c r="G516" s="11" t="str">
        <f>IFERROR(VLOOKUP(E516,BASE_VEICULOS!$A:$B,2,0),"")</f>
        <v/>
      </c>
      <c r="H516" s="19"/>
      <c r="I516" s="20">
        <f t="shared" si="2"/>
        <v>46082</v>
      </c>
    </row>
    <row r="517" ht="22.5" customHeight="1">
      <c r="A517" s="5">
        <v>46111.0</v>
      </c>
      <c r="B517" s="6">
        <f t="shared" si="1"/>
        <v>14</v>
      </c>
      <c r="C517" s="7" t="s">
        <v>9</v>
      </c>
      <c r="D517" s="8">
        <v>90.0</v>
      </c>
      <c r="E517" s="7" t="s">
        <v>23</v>
      </c>
      <c r="F517" s="10" t="str">
        <f>VLOOKUP(E517,BASE_VEICULOS!A:G,7,0)</f>
        <v>PROF - 07001 - MANUTENÇÃO PREDIAL- PROFARMA-2025</v>
      </c>
      <c r="G517" s="11" t="str">
        <f>IFERROR(VLOOKUP(E517,BASE_VEICULOS!$A:$B,2,0),"")</f>
        <v>TEH3I02</v>
      </c>
      <c r="H517" s="19"/>
      <c r="I517" s="20">
        <f t="shared" si="2"/>
        <v>46082</v>
      </c>
    </row>
    <row r="518" ht="22.5" customHeight="1">
      <c r="A518" s="5">
        <v>46111.0</v>
      </c>
      <c r="B518" s="6">
        <f t="shared" si="1"/>
        <v>14</v>
      </c>
      <c r="C518" s="7" t="s">
        <v>9</v>
      </c>
      <c r="D518" s="8">
        <v>99.99</v>
      </c>
      <c r="E518" s="7" t="s">
        <v>10</v>
      </c>
      <c r="F518" s="10" t="str">
        <f>VLOOKUP(E518,BASE_VEICULOS!A:G,7,0)</f>
        <v>FAC - 140004 - MANUTENÇÃO PREDIAL DPSP 2025</v>
      </c>
      <c r="G518" s="11" t="str">
        <f>IFERROR(VLOOKUP(E518,BASE_VEICULOS!$A:$B,2,0),"")</f>
        <v>TEW9A25</v>
      </c>
      <c r="H518" s="19"/>
      <c r="I518" s="20">
        <f t="shared" si="2"/>
        <v>46082</v>
      </c>
    </row>
    <row r="519" ht="22.5" customHeight="1">
      <c r="A519" s="5">
        <v>46111.0</v>
      </c>
      <c r="B519" s="6">
        <f t="shared" si="1"/>
        <v>14</v>
      </c>
      <c r="C519" s="7" t="s">
        <v>9</v>
      </c>
      <c r="D519" s="8">
        <v>54.96</v>
      </c>
      <c r="E519" s="7" t="s">
        <v>25</v>
      </c>
      <c r="F519" s="10" t="str">
        <f>VLOOKUP(E519,BASE_VEICULOS!A:G,7,0)</f>
        <v>PROF - 07001 - MANUTENÇÃO PREDIAL- PROFARMA-2025</v>
      </c>
      <c r="G519" s="11" t="str">
        <f>IFERROR(VLOOKUP(E519,BASE_VEICULOS!$A:$B,2,0),"")</f>
        <v>TEW9A26</v>
      </c>
      <c r="H519" s="19"/>
      <c r="I519" s="20">
        <f t="shared" si="2"/>
        <v>46082</v>
      </c>
    </row>
    <row r="520" ht="22.5" customHeight="1">
      <c r="A520" s="5">
        <v>46111.0</v>
      </c>
      <c r="B520" s="6">
        <f t="shared" si="1"/>
        <v>14</v>
      </c>
      <c r="C520" s="7" t="s">
        <v>9</v>
      </c>
      <c r="D520" s="8">
        <v>95.0</v>
      </c>
      <c r="E520" s="7" t="s">
        <v>24</v>
      </c>
      <c r="F520" s="10" t="str">
        <f>VLOOKUP(E520,BASE_VEICULOS!A:G,7,0)</f>
        <v>PROF - 07001 - MANUTENÇÃO PREDIAL- PROFARMA-2025</v>
      </c>
      <c r="G520" s="11" t="str">
        <f>IFERROR(VLOOKUP(E520,BASE_VEICULOS!$A:$B,2,0),"")</f>
        <v>TEW9A23</v>
      </c>
      <c r="H520" s="19"/>
      <c r="I520" s="20">
        <f t="shared" si="2"/>
        <v>46082</v>
      </c>
    </row>
    <row r="521" ht="22.5" customHeight="1">
      <c r="A521" s="5">
        <v>46111.0</v>
      </c>
      <c r="B521" s="6">
        <f t="shared" si="1"/>
        <v>14</v>
      </c>
      <c r="C521" s="7" t="s">
        <v>9</v>
      </c>
      <c r="D521" s="8">
        <v>80.0</v>
      </c>
      <c r="E521" s="7" t="s">
        <v>34</v>
      </c>
      <c r="F521" s="10" t="str">
        <f>VLOOKUP(E521,BASE_VEICULOS!A:G,7,0)</f>
        <v>PROF - 07001 - MANUTENÇÃO PREDIAL- PROFARMA-2025</v>
      </c>
      <c r="G521" s="11" t="str">
        <f>IFERROR(VLOOKUP(E521,BASE_VEICULOS!$A:$B,2,0),"")</f>
        <v>SRU8D16</v>
      </c>
      <c r="H521" s="19"/>
      <c r="I521" s="20">
        <f t="shared" si="2"/>
        <v>46082</v>
      </c>
    </row>
    <row r="522" ht="22.5" customHeight="1">
      <c r="A522" s="5">
        <v>46111.0</v>
      </c>
      <c r="B522" s="6">
        <f t="shared" si="1"/>
        <v>14</v>
      </c>
      <c r="C522" s="7" t="s">
        <v>9</v>
      </c>
      <c r="D522" s="8">
        <v>70.0</v>
      </c>
      <c r="E522" s="7" t="s">
        <v>12</v>
      </c>
      <c r="F522" s="10" t="str">
        <f>VLOOKUP(E522,BASE_VEICULOS!A:G,7,0)</f>
        <v>FAC - 140004 - MANUTENÇÃO PREDIAL DPSP 2025</v>
      </c>
      <c r="G522" s="11" t="str">
        <f>IFERROR(VLOOKUP(E522,BASE_VEICULOS!$A:$B,2,0),"")</f>
        <v>FIL8C14</v>
      </c>
      <c r="H522" s="19"/>
      <c r="I522" s="20">
        <f t="shared" si="2"/>
        <v>46082</v>
      </c>
    </row>
    <row r="523" ht="22.5" customHeight="1">
      <c r="A523" s="5">
        <v>46111.0</v>
      </c>
      <c r="B523" s="6">
        <f t="shared" si="1"/>
        <v>14</v>
      </c>
      <c r="C523" s="7" t="s">
        <v>9</v>
      </c>
      <c r="D523" s="8">
        <v>95.0</v>
      </c>
      <c r="E523" s="7" t="s">
        <v>33</v>
      </c>
      <c r="F523" s="10" t="str">
        <f>VLOOKUP(E523,BASE_VEICULOS!A:G,7,0)</f>
        <v>PROF - 07001 - MANUTENÇÃO PREDIAL- PROFARMA-2025</v>
      </c>
      <c r="G523" s="11" t="str">
        <f>IFERROR(VLOOKUP(E523,BASE_VEICULOS!$A:$B,2,0),"")</f>
        <v>TEW9A30</v>
      </c>
      <c r="H523" s="19"/>
      <c r="I523" s="20">
        <f t="shared" si="2"/>
        <v>46082</v>
      </c>
    </row>
    <row r="524" ht="22.5" customHeight="1">
      <c r="A524" s="5">
        <v>46111.0</v>
      </c>
      <c r="B524" s="6">
        <f t="shared" si="1"/>
        <v>14</v>
      </c>
      <c r="C524" s="7" t="s">
        <v>9</v>
      </c>
      <c r="D524" s="8">
        <v>60.0</v>
      </c>
      <c r="E524" s="7" t="s">
        <v>11</v>
      </c>
      <c r="F524" s="10" t="str">
        <f>VLOOKUP(E524,BASE_VEICULOS!A:G,7,0)</f>
        <v>PROF - 07001 - MANUTENÇÃO PREDIAL- PROFARMA-2025</v>
      </c>
      <c r="G524" s="11" t="str">
        <f>IFERROR(VLOOKUP(E524,BASE_VEICULOS!$A:$B,2,0),"")</f>
        <v>TEW9A28</v>
      </c>
      <c r="H524" s="19"/>
      <c r="I524" s="20">
        <f t="shared" si="2"/>
        <v>46082</v>
      </c>
    </row>
    <row r="525" ht="22.5" customHeight="1">
      <c r="A525" s="5">
        <v>46111.0</v>
      </c>
      <c r="B525" s="6">
        <f t="shared" si="1"/>
        <v>14</v>
      </c>
      <c r="C525" s="7" t="s">
        <v>9</v>
      </c>
      <c r="D525" s="8">
        <v>120.0</v>
      </c>
      <c r="E525" s="7" t="s">
        <v>13</v>
      </c>
      <c r="F525" s="10" t="str">
        <f>VLOOKUP(E525,BASE_VEICULOS!A:G,7,0)</f>
        <v>FAC - 140005 - SPOT MANUTENÇÃO DPSP 2025</v>
      </c>
      <c r="G525" s="11" t="str">
        <f>IFERROR(VLOOKUP(E525,BASE_VEICULOS!$A:$B,2,0),"")</f>
        <v>FGO3C61</v>
      </c>
      <c r="H525" s="19"/>
      <c r="I525" s="20">
        <f t="shared" si="2"/>
        <v>46082</v>
      </c>
    </row>
    <row r="526" ht="22.5" customHeight="1">
      <c r="A526" s="5">
        <v>46111.0</v>
      </c>
      <c r="B526" s="6">
        <f t="shared" si="1"/>
        <v>14</v>
      </c>
      <c r="C526" s="7" t="s">
        <v>9</v>
      </c>
      <c r="D526" s="8">
        <v>130.0</v>
      </c>
      <c r="E526" s="7" t="s">
        <v>16</v>
      </c>
      <c r="F526" s="10" t="str">
        <f>VLOOKUP(E526,BASE_VEICULOS!A:G,7,0)</f>
        <v>FAC - 140005 - SPOT MANUTENÇÃO DPSP 2025</v>
      </c>
      <c r="G526" s="11" t="str">
        <f>IFERROR(VLOOKUP(E526,BASE_VEICULOS!$A:$B,2,0),"")</f>
        <v>TEW9A27</v>
      </c>
      <c r="H526" s="19"/>
      <c r="I526" s="20">
        <f t="shared" si="2"/>
        <v>46082</v>
      </c>
    </row>
    <row r="527" ht="22.5" customHeight="1">
      <c r="A527" s="5">
        <v>46111.0</v>
      </c>
      <c r="B527" s="6">
        <f t="shared" si="1"/>
        <v>14</v>
      </c>
      <c r="C527" s="7" t="s">
        <v>9</v>
      </c>
      <c r="D527" s="8">
        <v>130.0</v>
      </c>
      <c r="E527" s="7" t="s">
        <v>14</v>
      </c>
      <c r="F527" s="10" t="str">
        <f>VLOOKUP(E527,BASE_VEICULOS!A:G,7,0)</f>
        <v>FAC - 140004 - MANUTENÇÃO PREDIAL DPSP 2025</v>
      </c>
      <c r="G527" s="11" t="str">
        <f>IFERROR(VLOOKUP(E527,BASE_VEICULOS!$A:$B,2,0),"")</f>
        <v>FOK8A73</v>
      </c>
      <c r="H527" s="19"/>
      <c r="I527" s="20">
        <f t="shared" si="2"/>
        <v>46082</v>
      </c>
    </row>
    <row r="528" ht="22.5" customHeight="1">
      <c r="A528" s="5">
        <v>46111.0</v>
      </c>
      <c r="B528" s="6">
        <f t="shared" si="1"/>
        <v>14</v>
      </c>
      <c r="C528" s="7" t="s">
        <v>9</v>
      </c>
      <c r="D528" s="8">
        <v>100.0</v>
      </c>
      <c r="E528" s="7" t="s">
        <v>18</v>
      </c>
      <c r="F528" s="10" t="str">
        <f>VLOOKUP(E528,BASE_VEICULOS!A:G,7,0)</f>
        <v>FAC - 140004 - MANUTENÇÃO PREDIAL DPSP 2025</v>
      </c>
      <c r="G528" s="11" t="str">
        <f>IFERROR(VLOOKUP(E528,BASE_VEICULOS!$A:$B,2,0),"")</f>
        <v>TEW9A29</v>
      </c>
      <c r="H528" s="19"/>
      <c r="I528" s="20">
        <f t="shared" si="2"/>
        <v>46082</v>
      </c>
    </row>
    <row r="529" ht="22.5" customHeight="1">
      <c r="A529" s="5">
        <v>46111.0</v>
      </c>
      <c r="B529" s="6">
        <f t="shared" si="1"/>
        <v>14</v>
      </c>
      <c r="C529" s="7" t="s">
        <v>9</v>
      </c>
      <c r="D529" s="8">
        <v>100.0</v>
      </c>
      <c r="E529" s="7" t="s">
        <v>21</v>
      </c>
      <c r="F529" s="10" t="str">
        <f>VLOOKUP(E529,BASE_VEICULOS!A:G,7,0)</f>
        <v>PROF - 07001 - MANUTENÇÃO PREDIAL- PROFARMA-2025</v>
      </c>
      <c r="G529" s="11" t="str">
        <f>IFERROR(VLOOKUP(E529,BASE_VEICULOS!$A:$B,2,0),"")</f>
        <v>TEW9A33</v>
      </c>
      <c r="H529" s="19"/>
      <c r="I529" s="20">
        <f t="shared" si="2"/>
        <v>46082</v>
      </c>
    </row>
    <row r="530" ht="22.5" customHeight="1">
      <c r="A530" s="5">
        <v>46111.0</v>
      </c>
      <c r="B530" s="6">
        <f t="shared" si="1"/>
        <v>14</v>
      </c>
      <c r="C530" s="7" t="s">
        <v>9</v>
      </c>
      <c r="D530" s="8">
        <v>40.0</v>
      </c>
      <c r="E530" s="7" t="s">
        <v>29</v>
      </c>
      <c r="F530" s="10" t="str">
        <f>VLOOKUP(E530,BASE_VEICULOS!A:G,7,0)</f>
        <v>PROF - 07001 - MANUTENÇÃO PREDIAL- PROFARMA-2025</v>
      </c>
      <c r="G530" s="11" t="str">
        <f>IFERROR(VLOOKUP(E530,BASE_VEICULOS!$A:$B,2,0),"")</f>
        <v>TEQ2I74</v>
      </c>
      <c r="H530" s="19"/>
      <c r="I530" s="20">
        <f t="shared" si="2"/>
        <v>46082</v>
      </c>
    </row>
    <row r="531" ht="22.5" customHeight="1">
      <c r="A531" s="5">
        <v>46111.0</v>
      </c>
      <c r="B531" s="6">
        <f t="shared" si="1"/>
        <v>14</v>
      </c>
      <c r="C531" s="7" t="s">
        <v>9</v>
      </c>
      <c r="D531" s="8">
        <v>109.98</v>
      </c>
      <c r="E531" s="7" t="s">
        <v>22</v>
      </c>
      <c r="F531" s="10" t="str">
        <f>VLOOKUP(E531,BASE_VEICULOS!A:G,7,0)</f>
        <v>PROF - 07001 - MANUTENÇÃO PREDIAL- PROFARMA-2025</v>
      </c>
      <c r="G531" s="11" t="str">
        <f>IFERROR(VLOOKUP(E531,BASE_VEICULOS!$A:$B,2,0),"")</f>
        <v>TET5H37</v>
      </c>
      <c r="H531" s="19"/>
      <c r="I531" s="20">
        <f t="shared" si="2"/>
        <v>46082</v>
      </c>
    </row>
    <row r="532" ht="22.5" customHeight="1">
      <c r="A532" s="5">
        <v>46111.0</v>
      </c>
      <c r="B532" s="6">
        <f t="shared" si="1"/>
        <v>14</v>
      </c>
      <c r="C532" s="7" t="s">
        <v>9</v>
      </c>
      <c r="D532" s="8">
        <v>140.0</v>
      </c>
      <c r="E532" s="7" t="s">
        <v>28</v>
      </c>
      <c r="F532" s="10" t="str">
        <f>VLOOKUP(E532,BASE_VEICULOS!A:G,7,0)</f>
        <v>#N/A</v>
      </c>
      <c r="G532" s="11" t="str">
        <f>IFERROR(VLOOKUP(E532,BASE_VEICULOS!$A:$B,2,0),"")</f>
        <v/>
      </c>
      <c r="H532" s="19"/>
      <c r="I532" s="20">
        <f t="shared" si="2"/>
        <v>46082</v>
      </c>
    </row>
    <row r="533" ht="22.5" customHeight="1">
      <c r="A533" s="5">
        <v>46111.0</v>
      </c>
      <c r="B533" s="6">
        <f t="shared" si="1"/>
        <v>14</v>
      </c>
      <c r="C533" s="7" t="s">
        <v>9</v>
      </c>
      <c r="D533" s="8">
        <v>50.0</v>
      </c>
      <c r="E533" s="7" t="s">
        <v>30</v>
      </c>
      <c r="F533" s="10" t="str">
        <f>VLOOKUP(E533,BASE_VEICULOS!A:G,7,0)</f>
        <v>#N/A</v>
      </c>
      <c r="G533" s="11" t="str">
        <f>IFERROR(VLOOKUP(E533,BASE_VEICULOS!$A:$B,2,0),"")</f>
        <v/>
      </c>
      <c r="H533" s="19"/>
      <c r="I533" s="20">
        <f t="shared" si="2"/>
        <v>46082</v>
      </c>
    </row>
    <row r="534" ht="22.5" customHeight="1">
      <c r="A534" s="5">
        <v>46111.0</v>
      </c>
      <c r="B534" s="6">
        <f t="shared" si="1"/>
        <v>14</v>
      </c>
      <c r="C534" s="7" t="s">
        <v>9</v>
      </c>
      <c r="D534" s="8">
        <v>59.99</v>
      </c>
      <c r="E534" s="7" t="s">
        <v>21</v>
      </c>
      <c r="F534" s="10" t="str">
        <f>VLOOKUP(E534,BASE_VEICULOS!A:G,7,0)</f>
        <v>PROF - 07001 - MANUTENÇÃO PREDIAL- PROFARMA-2025</v>
      </c>
      <c r="G534" s="11" t="str">
        <f>IFERROR(VLOOKUP(E534,BASE_VEICULOS!$A:$B,2,0),"")</f>
        <v>TEW9A33</v>
      </c>
      <c r="H534" s="19"/>
      <c r="I534" s="20">
        <f t="shared" si="2"/>
        <v>46082</v>
      </c>
    </row>
    <row r="535" ht="22.5" customHeight="1">
      <c r="A535" s="5">
        <v>46111.0</v>
      </c>
      <c r="B535" s="6">
        <f t="shared" si="1"/>
        <v>14</v>
      </c>
      <c r="C535" s="7" t="s">
        <v>9</v>
      </c>
      <c r="D535" s="8">
        <v>70.0</v>
      </c>
      <c r="E535" s="7" t="s">
        <v>30</v>
      </c>
      <c r="F535" s="10" t="str">
        <f>VLOOKUP(E535,BASE_VEICULOS!A:G,7,0)</f>
        <v>#N/A</v>
      </c>
      <c r="G535" s="11" t="str">
        <f>IFERROR(VLOOKUP(E535,BASE_VEICULOS!$A:$B,2,0),"")</f>
        <v/>
      </c>
      <c r="H535" s="19"/>
      <c r="I535" s="20">
        <f t="shared" si="2"/>
        <v>46082</v>
      </c>
    </row>
    <row r="536" ht="22.5" customHeight="1">
      <c r="A536" s="5">
        <v>46111.0</v>
      </c>
      <c r="B536" s="6">
        <f t="shared" si="1"/>
        <v>14</v>
      </c>
      <c r="C536" s="7" t="s">
        <v>9</v>
      </c>
      <c r="D536" s="8">
        <v>70.0</v>
      </c>
      <c r="E536" s="7" t="s">
        <v>25</v>
      </c>
      <c r="F536" s="10" t="str">
        <f>VLOOKUP(E536,BASE_VEICULOS!A:G,7,0)</f>
        <v>PROF - 07001 - MANUTENÇÃO PREDIAL- PROFARMA-2025</v>
      </c>
      <c r="G536" s="11" t="str">
        <f>IFERROR(VLOOKUP(E536,BASE_VEICULOS!$A:$B,2,0),"")</f>
        <v>TEW9A26</v>
      </c>
      <c r="H536" s="19"/>
      <c r="I536" s="20">
        <f t="shared" si="2"/>
        <v>46082</v>
      </c>
    </row>
    <row r="537" ht="22.5" customHeight="1">
      <c r="A537" s="5">
        <v>46112.0</v>
      </c>
      <c r="B537" s="6">
        <f t="shared" si="1"/>
        <v>14</v>
      </c>
      <c r="C537" s="7" t="s">
        <v>9</v>
      </c>
      <c r="D537" s="8">
        <v>60.0</v>
      </c>
      <c r="E537" s="7" t="s">
        <v>20</v>
      </c>
      <c r="F537" s="10" t="str">
        <f>VLOOKUP(E537,BASE_VEICULOS!A:G,7,0)</f>
        <v>PROF - 07001 - MANUTENÇÃO PREDIAL- PROFARMA-2025</v>
      </c>
      <c r="G537" s="11" t="str">
        <f>IFERROR(VLOOKUP(E537,BASE_VEICULOS!$A:$B,2,0),"")</f>
        <v>TEW9A34</v>
      </c>
      <c r="H537" s="19"/>
      <c r="I537" s="20">
        <f t="shared" si="2"/>
        <v>46082</v>
      </c>
    </row>
    <row r="538" ht="22.5" customHeight="1">
      <c r="A538" s="5">
        <v>46112.0</v>
      </c>
      <c r="B538" s="6">
        <f t="shared" si="1"/>
        <v>14</v>
      </c>
      <c r="C538" s="7" t="s">
        <v>9</v>
      </c>
      <c r="D538" s="8">
        <v>70.0</v>
      </c>
      <c r="E538" s="7" t="s">
        <v>23</v>
      </c>
      <c r="F538" s="10" t="str">
        <f>VLOOKUP(E538,BASE_VEICULOS!A:G,7,0)</f>
        <v>PROF - 07001 - MANUTENÇÃO PREDIAL- PROFARMA-2025</v>
      </c>
      <c r="G538" s="11" t="str">
        <f>IFERROR(VLOOKUP(E538,BASE_VEICULOS!$A:$B,2,0),"")</f>
        <v>TEH3I02</v>
      </c>
      <c r="H538" s="19"/>
      <c r="I538" s="20">
        <f t="shared" si="2"/>
        <v>46082</v>
      </c>
    </row>
    <row r="539" ht="22.5" customHeight="1">
      <c r="A539" s="5">
        <v>46112.0</v>
      </c>
      <c r="B539" s="6">
        <f t="shared" si="1"/>
        <v>14</v>
      </c>
      <c r="C539" s="7" t="s">
        <v>9</v>
      </c>
      <c r="D539" s="8">
        <v>84.96</v>
      </c>
      <c r="E539" s="7" t="s">
        <v>10</v>
      </c>
      <c r="F539" s="10" t="str">
        <f>VLOOKUP(E539,BASE_VEICULOS!A:G,7,0)</f>
        <v>FAC - 140004 - MANUTENÇÃO PREDIAL DPSP 2025</v>
      </c>
      <c r="G539" s="11" t="str">
        <f>IFERROR(VLOOKUP(E539,BASE_VEICULOS!$A:$B,2,0),"")</f>
        <v>TEW9A25</v>
      </c>
      <c r="H539" s="19"/>
      <c r="I539" s="20">
        <f t="shared" si="2"/>
        <v>46082</v>
      </c>
    </row>
    <row r="540" ht="22.5" customHeight="1">
      <c r="A540" s="5">
        <v>46112.0</v>
      </c>
      <c r="B540" s="6">
        <f t="shared" si="1"/>
        <v>14</v>
      </c>
      <c r="C540" s="7" t="s">
        <v>9</v>
      </c>
      <c r="D540" s="8">
        <v>60.0</v>
      </c>
      <c r="E540" s="7" t="s">
        <v>34</v>
      </c>
      <c r="F540" s="10" t="str">
        <f>VLOOKUP(E540,BASE_VEICULOS!A:G,7,0)</f>
        <v>PROF - 07001 - MANUTENÇÃO PREDIAL- PROFARMA-2025</v>
      </c>
      <c r="G540" s="11" t="str">
        <f>IFERROR(VLOOKUP(E540,BASE_VEICULOS!$A:$B,2,0),"")</f>
        <v>SRU8D16</v>
      </c>
      <c r="H540" s="19"/>
      <c r="I540" s="20">
        <f t="shared" si="2"/>
        <v>46082</v>
      </c>
    </row>
    <row r="541" ht="22.5" customHeight="1">
      <c r="A541" s="5">
        <v>46112.0</v>
      </c>
      <c r="B541" s="6">
        <f t="shared" si="1"/>
        <v>14</v>
      </c>
      <c r="C541" s="7" t="s">
        <v>9</v>
      </c>
      <c r="D541" s="8">
        <v>99.97</v>
      </c>
      <c r="E541" s="7" t="s">
        <v>21</v>
      </c>
      <c r="F541" s="10" t="str">
        <f>VLOOKUP(E541,BASE_VEICULOS!A:G,7,0)</f>
        <v>PROF - 07001 - MANUTENÇÃO PREDIAL- PROFARMA-2025</v>
      </c>
      <c r="G541" s="11" t="str">
        <f>IFERROR(VLOOKUP(E541,BASE_VEICULOS!$A:$B,2,0),"")</f>
        <v>TEW9A33</v>
      </c>
      <c r="H541" s="19"/>
      <c r="I541" s="20">
        <f t="shared" si="2"/>
        <v>46082</v>
      </c>
    </row>
    <row r="542" ht="22.5" customHeight="1">
      <c r="A542" s="5">
        <v>46112.0</v>
      </c>
      <c r="B542" s="6">
        <f t="shared" si="1"/>
        <v>14</v>
      </c>
      <c r="C542" s="7" t="s">
        <v>9</v>
      </c>
      <c r="D542" s="8">
        <v>99.96</v>
      </c>
      <c r="E542" s="7" t="s">
        <v>13</v>
      </c>
      <c r="F542" s="10" t="str">
        <f>VLOOKUP(E542,BASE_VEICULOS!A:G,7,0)</f>
        <v>FAC - 140005 - SPOT MANUTENÇÃO DPSP 2025</v>
      </c>
      <c r="G542" s="11" t="str">
        <f>IFERROR(VLOOKUP(E542,BASE_VEICULOS!$A:$B,2,0),"")</f>
        <v>FGO3C61</v>
      </c>
      <c r="H542" s="19"/>
      <c r="I542" s="20">
        <f t="shared" si="2"/>
        <v>46082</v>
      </c>
    </row>
    <row r="543" ht="22.5" customHeight="1">
      <c r="A543" s="5">
        <v>46112.0</v>
      </c>
      <c r="B543" s="6">
        <f t="shared" si="1"/>
        <v>14</v>
      </c>
      <c r="C543" s="7" t="s">
        <v>9</v>
      </c>
      <c r="D543" s="8">
        <v>40.0</v>
      </c>
      <c r="E543" s="7" t="s">
        <v>29</v>
      </c>
      <c r="F543" s="10" t="str">
        <f>VLOOKUP(E543,BASE_VEICULOS!A:G,7,0)</f>
        <v>PROF - 07001 - MANUTENÇÃO PREDIAL- PROFARMA-2025</v>
      </c>
      <c r="G543" s="11" t="str">
        <f>IFERROR(VLOOKUP(E543,BASE_VEICULOS!$A:$B,2,0),"")</f>
        <v>TEQ2I74</v>
      </c>
      <c r="H543" s="19"/>
      <c r="I543" s="20">
        <f t="shared" si="2"/>
        <v>46082</v>
      </c>
    </row>
    <row r="544" ht="22.5" hidden="1" customHeight="1">
      <c r="A544" s="5">
        <v>46112.0</v>
      </c>
      <c r="B544" s="6">
        <f t="shared" si="1"/>
        <v>14</v>
      </c>
      <c r="C544" s="7" t="s">
        <v>32</v>
      </c>
      <c r="D544" s="8">
        <v>80.0</v>
      </c>
      <c r="E544" s="7" t="s">
        <v>24</v>
      </c>
      <c r="F544" s="10" t="str">
        <f>VLOOKUP(E544,BASE_VEICULOS!A:G,7,0)</f>
        <v>PROF - 07001 - MANUTENÇÃO PREDIAL- PROFARMA-2025</v>
      </c>
      <c r="G544" s="11" t="str">
        <f>IFERROR(VLOOKUP(E544,BASE_VEICULOS!$A:$B,2,0),"")</f>
        <v>TEW9A23</v>
      </c>
      <c r="H544" s="19"/>
      <c r="I544" s="20">
        <f t="shared" si="2"/>
        <v>46082</v>
      </c>
    </row>
    <row r="545" ht="22.5" customHeight="1">
      <c r="A545" s="5">
        <v>46112.0</v>
      </c>
      <c r="B545" s="6">
        <f t="shared" si="1"/>
        <v>14</v>
      </c>
      <c r="C545" s="7" t="s">
        <v>9</v>
      </c>
      <c r="D545" s="8">
        <v>99.98</v>
      </c>
      <c r="E545" s="7" t="s">
        <v>19</v>
      </c>
      <c r="F545" s="10" t="str">
        <f>VLOOKUP(E545,BASE_VEICULOS!A:G,7,0)</f>
        <v>PROF - 07001 - MANUTENÇÃO PREDIAL- PROFARMA-2025</v>
      </c>
      <c r="G545" s="11" t="str">
        <f>IFERROR(VLOOKUP(E545,BASE_VEICULOS!$A:$B,2,0),"")</f>
        <v>TEW9A24</v>
      </c>
      <c r="H545" s="19"/>
      <c r="I545" s="20">
        <f t="shared" si="2"/>
        <v>46082</v>
      </c>
    </row>
    <row r="546" ht="22.5" customHeight="1">
      <c r="A546" s="5">
        <v>46112.0</v>
      </c>
      <c r="B546" s="6">
        <f t="shared" si="1"/>
        <v>14</v>
      </c>
      <c r="C546" s="7" t="s">
        <v>9</v>
      </c>
      <c r="D546" s="8">
        <v>89.04</v>
      </c>
      <c r="E546" s="7" t="s">
        <v>12</v>
      </c>
      <c r="F546" s="10" t="str">
        <f>VLOOKUP(E546,BASE_VEICULOS!A:G,7,0)</f>
        <v>FAC - 140004 - MANUTENÇÃO PREDIAL DPSP 2025</v>
      </c>
      <c r="G546" s="11" t="str">
        <f>IFERROR(VLOOKUP(E546,BASE_VEICULOS!$A:$B,2,0),"")</f>
        <v>FIL8C14</v>
      </c>
      <c r="H546" s="19"/>
      <c r="I546" s="20">
        <f t="shared" si="2"/>
        <v>46082</v>
      </c>
    </row>
    <row r="547" ht="22.5" customHeight="1">
      <c r="A547" s="5">
        <v>46112.0</v>
      </c>
      <c r="B547" s="6">
        <f t="shared" si="1"/>
        <v>14</v>
      </c>
      <c r="C547" s="7" t="s">
        <v>9</v>
      </c>
      <c r="D547" s="8">
        <v>110.0</v>
      </c>
      <c r="E547" s="7" t="s">
        <v>17</v>
      </c>
      <c r="F547" s="10" t="str">
        <f>VLOOKUP(E547,BASE_VEICULOS!A:G,7,0)</f>
        <v>#N/A</v>
      </c>
      <c r="G547" s="11" t="str">
        <f>IFERROR(VLOOKUP(E547,BASE_VEICULOS!$A:$B,2,0),"")</f>
        <v/>
      </c>
      <c r="H547" s="19"/>
      <c r="I547" s="20">
        <f t="shared" si="2"/>
        <v>46082</v>
      </c>
    </row>
    <row r="548" ht="22.5" hidden="1" customHeight="1">
      <c r="A548" s="5">
        <v>46112.0</v>
      </c>
      <c r="B548" s="6">
        <f t="shared" si="1"/>
        <v>14</v>
      </c>
      <c r="C548" s="7" t="s">
        <v>32</v>
      </c>
      <c r="D548" s="8">
        <v>130.0</v>
      </c>
      <c r="E548" s="7" t="s">
        <v>29</v>
      </c>
      <c r="F548" s="10" t="str">
        <f>VLOOKUP(E548,BASE_VEICULOS!A:G,7,0)</f>
        <v>PROF - 07001 - MANUTENÇÃO PREDIAL- PROFARMA-2025</v>
      </c>
      <c r="G548" s="11" t="str">
        <f>IFERROR(VLOOKUP(E548,BASE_VEICULOS!$A:$B,2,0),"")</f>
        <v>TEQ2I74</v>
      </c>
      <c r="H548" s="19"/>
      <c r="I548" s="20">
        <f t="shared" si="2"/>
        <v>46082</v>
      </c>
    </row>
    <row r="549" ht="22.5" customHeight="1">
      <c r="A549" s="5">
        <v>46112.0</v>
      </c>
      <c r="B549" s="6">
        <f t="shared" si="1"/>
        <v>14</v>
      </c>
      <c r="C549" s="7" t="s">
        <v>9</v>
      </c>
      <c r="D549" s="8">
        <v>79.64</v>
      </c>
      <c r="E549" s="7" t="s">
        <v>14</v>
      </c>
      <c r="F549" s="10" t="str">
        <f>VLOOKUP(E549,BASE_VEICULOS!A:G,7,0)</f>
        <v>FAC - 140004 - MANUTENÇÃO PREDIAL DPSP 2025</v>
      </c>
      <c r="G549" s="11" t="str">
        <f>IFERROR(VLOOKUP(E549,BASE_VEICULOS!$A:$B,2,0),"")</f>
        <v>FOK8A73</v>
      </c>
      <c r="H549" s="19"/>
      <c r="I549" s="20">
        <f t="shared" si="2"/>
        <v>46082</v>
      </c>
    </row>
    <row r="550" ht="22.5" customHeight="1">
      <c r="A550" s="5">
        <v>46112.0</v>
      </c>
      <c r="B550" s="6">
        <f t="shared" si="1"/>
        <v>14</v>
      </c>
      <c r="C550" s="7" t="s">
        <v>9</v>
      </c>
      <c r="D550" s="8">
        <v>70.0</v>
      </c>
      <c r="E550" s="7" t="s">
        <v>18</v>
      </c>
      <c r="F550" s="10" t="str">
        <f>VLOOKUP(E550,BASE_VEICULOS!A:G,7,0)</f>
        <v>FAC - 140004 - MANUTENÇÃO PREDIAL DPSP 2025</v>
      </c>
      <c r="G550" s="11" t="str">
        <f>IFERROR(VLOOKUP(E550,BASE_VEICULOS!$A:$B,2,0),"")</f>
        <v>TEW9A29</v>
      </c>
      <c r="H550" s="19"/>
      <c r="I550" s="20">
        <f t="shared" si="2"/>
        <v>46082</v>
      </c>
    </row>
    <row r="551" ht="22.5" customHeight="1">
      <c r="A551" s="5">
        <v>46112.0</v>
      </c>
      <c r="B551" s="6">
        <f t="shared" si="1"/>
        <v>14</v>
      </c>
      <c r="C551" s="7" t="s">
        <v>9</v>
      </c>
      <c r="D551" s="8">
        <v>70.0</v>
      </c>
      <c r="E551" s="7" t="s">
        <v>19</v>
      </c>
      <c r="F551" s="10" t="str">
        <f>VLOOKUP(E551,BASE_VEICULOS!A:G,7,0)</f>
        <v>PROF - 07001 - MANUTENÇÃO PREDIAL- PROFARMA-2025</v>
      </c>
      <c r="G551" s="11" t="str">
        <f>IFERROR(VLOOKUP(E551,BASE_VEICULOS!$A:$B,2,0),"")</f>
        <v>TEW9A24</v>
      </c>
      <c r="H551" s="19"/>
      <c r="I551" s="20">
        <f t="shared" si="2"/>
        <v>46082</v>
      </c>
    </row>
    <row r="552" ht="22.5" customHeight="1">
      <c r="A552" s="5">
        <v>46112.0</v>
      </c>
      <c r="B552" s="6">
        <f t="shared" si="1"/>
        <v>14</v>
      </c>
      <c r="C552" s="7" t="s">
        <v>9</v>
      </c>
      <c r="D552" s="8">
        <v>54.95</v>
      </c>
      <c r="E552" s="7" t="s">
        <v>33</v>
      </c>
      <c r="F552" s="10" t="str">
        <f>VLOOKUP(E552,BASE_VEICULOS!A:G,7,0)</f>
        <v>PROF - 07001 - MANUTENÇÃO PREDIAL- PROFARMA-2025</v>
      </c>
      <c r="G552" s="11" t="str">
        <f>IFERROR(VLOOKUP(E552,BASE_VEICULOS!$A:$B,2,0),"")</f>
        <v>TEW9A30</v>
      </c>
      <c r="H552" s="19"/>
      <c r="I552" s="20">
        <f t="shared" si="2"/>
        <v>46082</v>
      </c>
    </row>
    <row r="553" ht="22.5" customHeight="1">
      <c r="A553" s="5">
        <v>46112.0</v>
      </c>
      <c r="B553" s="6">
        <f t="shared" si="1"/>
        <v>14</v>
      </c>
      <c r="C553" s="7" t="s">
        <v>9</v>
      </c>
      <c r="D553" s="8">
        <v>60.0</v>
      </c>
      <c r="E553" s="7" t="s">
        <v>15</v>
      </c>
      <c r="F553" s="10" t="str">
        <f>VLOOKUP(E553,BASE_VEICULOS!A:G,7,0)</f>
        <v>FAC - 140005 - SPOT MANUTENÇÃO DPSP 2025</v>
      </c>
      <c r="G553" s="11" t="str">
        <f>IFERROR(VLOOKUP(E553,BASE_VEICULOS!$A:$B,2,0),"")</f>
        <v>EWH1B84</v>
      </c>
      <c r="H553" s="19"/>
      <c r="I553" s="20">
        <f t="shared" si="2"/>
        <v>46082</v>
      </c>
    </row>
    <row r="554" ht="22.5" customHeight="1">
      <c r="A554" s="5">
        <v>46112.0</v>
      </c>
      <c r="B554" s="6">
        <f t="shared" si="1"/>
        <v>14</v>
      </c>
      <c r="C554" s="7" t="s">
        <v>9</v>
      </c>
      <c r="D554" s="8">
        <v>89.99</v>
      </c>
      <c r="E554" s="7" t="s">
        <v>22</v>
      </c>
      <c r="F554" s="10" t="str">
        <f>VLOOKUP(E554,BASE_VEICULOS!A:G,7,0)</f>
        <v>PROF - 07001 - MANUTENÇÃO PREDIAL- PROFARMA-2025</v>
      </c>
      <c r="G554" s="11" t="str">
        <f>IFERROR(VLOOKUP(E554,BASE_VEICULOS!$A:$B,2,0),"")</f>
        <v>TET5H37</v>
      </c>
      <c r="H554" s="19"/>
      <c r="I554" s="20">
        <f t="shared" si="2"/>
        <v>46082</v>
      </c>
    </row>
    <row r="555" ht="22.5" customHeight="1">
      <c r="A555" s="5">
        <v>46112.0</v>
      </c>
      <c r="B555" s="6">
        <f t="shared" si="1"/>
        <v>14</v>
      </c>
      <c r="C555" s="7" t="s">
        <v>9</v>
      </c>
      <c r="D555" s="8">
        <v>55.02</v>
      </c>
      <c r="E555" s="7" t="s">
        <v>25</v>
      </c>
      <c r="F555" s="10" t="str">
        <f>VLOOKUP(E555,BASE_VEICULOS!A:G,7,0)</f>
        <v>PROF - 07001 - MANUTENÇÃO PREDIAL- PROFARMA-2025</v>
      </c>
      <c r="G555" s="11" t="str">
        <f>IFERROR(VLOOKUP(E555,BASE_VEICULOS!$A:$B,2,0),"")</f>
        <v>TEW9A26</v>
      </c>
      <c r="H555" s="19"/>
      <c r="I555" s="20">
        <f t="shared" si="2"/>
        <v>46082</v>
      </c>
    </row>
    <row r="556" ht="22.5" hidden="1" customHeight="1">
      <c r="A556" s="5">
        <v>46112.0</v>
      </c>
      <c r="B556" s="6">
        <f t="shared" si="1"/>
        <v>14</v>
      </c>
      <c r="C556" s="7" t="s">
        <v>32</v>
      </c>
      <c r="D556" s="8">
        <v>70.0</v>
      </c>
      <c r="E556" s="7" t="s">
        <v>18</v>
      </c>
      <c r="F556" s="10" t="str">
        <f>VLOOKUP(E556,BASE_VEICULOS!A:G,7,0)</f>
        <v>FAC - 140004 - MANUTENÇÃO PREDIAL DPSP 2025</v>
      </c>
      <c r="G556" s="11" t="str">
        <f>IFERROR(VLOOKUP(E556,BASE_VEICULOS!$A:$B,2,0),"")</f>
        <v>TEW9A29</v>
      </c>
      <c r="H556" s="19"/>
      <c r="I556" s="20">
        <f t="shared" si="2"/>
        <v>46082</v>
      </c>
    </row>
    <row r="557" ht="22.5" hidden="1" customHeight="1">
      <c r="A557" s="5">
        <v>46112.0</v>
      </c>
      <c r="B557" s="6">
        <f t="shared" si="1"/>
        <v>14</v>
      </c>
      <c r="C557" s="7" t="s">
        <v>32</v>
      </c>
      <c r="D557" s="8">
        <v>70.0</v>
      </c>
      <c r="E557" s="7" t="s">
        <v>30</v>
      </c>
      <c r="F557" s="10" t="str">
        <f>VLOOKUP(E557,BASE_VEICULOS!A:G,7,0)</f>
        <v>#N/A</v>
      </c>
      <c r="G557" s="11" t="str">
        <f>IFERROR(VLOOKUP(E557,BASE_VEICULOS!$A:$B,2,0),"")</f>
        <v/>
      </c>
      <c r="H557" s="19"/>
      <c r="I557" s="20">
        <f t="shared" si="2"/>
        <v>46082</v>
      </c>
    </row>
    <row r="558" ht="22.5" customHeight="1">
      <c r="A558" s="5">
        <v>46112.0</v>
      </c>
      <c r="B558" s="6">
        <f t="shared" si="1"/>
        <v>14</v>
      </c>
      <c r="C558" s="7" t="s">
        <v>9</v>
      </c>
      <c r="D558" s="8">
        <v>50.0</v>
      </c>
      <c r="E558" s="7" t="s">
        <v>14</v>
      </c>
      <c r="F558" s="10" t="str">
        <f>VLOOKUP(E558,BASE_VEICULOS!A:G,7,0)</f>
        <v>FAC - 140004 - MANUTENÇÃO PREDIAL DPSP 2025</v>
      </c>
      <c r="G558" s="11" t="str">
        <f>IFERROR(VLOOKUP(E558,BASE_VEICULOS!$A:$B,2,0),"")</f>
        <v>FOK8A73</v>
      </c>
      <c r="H558" s="19"/>
      <c r="I558" s="20">
        <f t="shared" si="2"/>
        <v>46082</v>
      </c>
    </row>
    <row r="559" ht="22.5" hidden="1" customHeight="1">
      <c r="A559" s="5">
        <v>46113.0</v>
      </c>
      <c r="B559" s="6">
        <f t="shared" si="1"/>
        <v>14</v>
      </c>
      <c r="C559" s="7" t="s">
        <v>32</v>
      </c>
      <c r="D559" s="8">
        <v>60.0</v>
      </c>
      <c r="E559" s="7" t="s">
        <v>33</v>
      </c>
      <c r="F559" s="10" t="str">
        <f>VLOOKUP(E559,BASE_VEICULOS!A:G,7,0)</f>
        <v>PROF - 07001 - MANUTENÇÃO PREDIAL- PROFARMA-2025</v>
      </c>
      <c r="G559" s="11" t="str">
        <f>IFERROR(VLOOKUP(E559,BASE_VEICULOS!$A:$B,2,0),"")</f>
        <v>TEW9A30</v>
      </c>
      <c r="H559" s="19"/>
      <c r="I559" s="20">
        <f t="shared" si="2"/>
        <v>46113</v>
      </c>
    </row>
    <row r="560" ht="22.5" hidden="1" customHeight="1">
      <c r="A560" s="5">
        <v>46113.0</v>
      </c>
      <c r="B560" s="6">
        <f t="shared" si="1"/>
        <v>14</v>
      </c>
      <c r="C560" s="7" t="s">
        <v>32</v>
      </c>
      <c r="D560" s="8">
        <v>50.0</v>
      </c>
      <c r="E560" s="7" t="s">
        <v>20</v>
      </c>
      <c r="F560" s="10" t="str">
        <f>VLOOKUP(E560,BASE_VEICULOS!A:G,7,0)</f>
        <v>PROF - 07001 - MANUTENÇÃO PREDIAL- PROFARMA-2025</v>
      </c>
      <c r="G560" s="11" t="str">
        <f>IFERROR(VLOOKUP(E560,BASE_VEICULOS!$A:$B,2,0),"")</f>
        <v>TEW9A34</v>
      </c>
      <c r="H560" s="19"/>
      <c r="I560" s="20">
        <f t="shared" si="2"/>
        <v>46113</v>
      </c>
    </row>
    <row r="561" ht="22.5" hidden="1" customHeight="1">
      <c r="A561" s="5">
        <v>46113.0</v>
      </c>
      <c r="B561" s="6">
        <f t="shared" si="1"/>
        <v>14</v>
      </c>
      <c r="C561" s="7" t="s">
        <v>32</v>
      </c>
      <c r="D561" s="8">
        <v>110.0</v>
      </c>
      <c r="E561" s="7" t="s">
        <v>23</v>
      </c>
      <c r="F561" s="10" t="str">
        <f>VLOOKUP(E561,BASE_VEICULOS!A:G,7,0)</f>
        <v>PROF - 07001 - MANUTENÇÃO PREDIAL- PROFARMA-2025</v>
      </c>
      <c r="G561" s="11" t="str">
        <f>IFERROR(VLOOKUP(E561,BASE_VEICULOS!$A:$B,2,0),"")</f>
        <v>TEH3I02</v>
      </c>
      <c r="H561" s="19"/>
      <c r="I561" s="20">
        <f t="shared" si="2"/>
        <v>46113</v>
      </c>
    </row>
    <row r="562" ht="22.5" hidden="1" customHeight="1">
      <c r="A562" s="5">
        <v>46113.0</v>
      </c>
      <c r="B562" s="6">
        <f t="shared" si="1"/>
        <v>14</v>
      </c>
      <c r="C562" s="7" t="s">
        <v>32</v>
      </c>
      <c r="D562" s="8">
        <v>25.0</v>
      </c>
      <c r="E562" s="7" t="s">
        <v>11</v>
      </c>
      <c r="F562" s="10" t="str">
        <f>VLOOKUP(E562,BASE_VEICULOS!A:G,7,0)</f>
        <v>PROF - 07001 - MANUTENÇÃO PREDIAL- PROFARMA-2025</v>
      </c>
      <c r="G562" s="11" t="str">
        <f>IFERROR(VLOOKUP(E562,BASE_VEICULOS!$A:$B,2,0),"")</f>
        <v>TEW9A28</v>
      </c>
      <c r="H562" s="19"/>
      <c r="I562" s="20">
        <f t="shared" si="2"/>
        <v>46113</v>
      </c>
    </row>
    <row r="563" ht="22.5" hidden="1" customHeight="1">
      <c r="A563" s="5">
        <v>46113.0</v>
      </c>
      <c r="B563" s="6">
        <f t="shared" si="1"/>
        <v>14</v>
      </c>
      <c r="C563" s="7" t="s">
        <v>32</v>
      </c>
      <c r="D563" s="8">
        <v>90.0</v>
      </c>
      <c r="E563" s="7" t="s">
        <v>24</v>
      </c>
      <c r="F563" s="10" t="str">
        <f>VLOOKUP(E563,BASE_VEICULOS!A:G,7,0)</f>
        <v>PROF - 07001 - MANUTENÇÃO PREDIAL- PROFARMA-2025</v>
      </c>
      <c r="G563" s="11" t="str">
        <f>IFERROR(VLOOKUP(E563,BASE_VEICULOS!$A:$B,2,0),"")</f>
        <v>TEW9A23</v>
      </c>
      <c r="H563" s="19"/>
      <c r="I563" s="20">
        <f t="shared" si="2"/>
        <v>46113</v>
      </c>
    </row>
    <row r="564" ht="22.5" hidden="1" customHeight="1">
      <c r="A564" s="5">
        <v>46113.0</v>
      </c>
      <c r="B564" s="6">
        <f t="shared" si="1"/>
        <v>14</v>
      </c>
      <c r="C564" s="7" t="s">
        <v>32</v>
      </c>
      <c r="D564" s="8">
        <v>55.0</v>
      </c>
      <c r="E564" s="7" t="s">
        <v>15</v>
      </c>
      <c r="F564" s="10" t="str">
        <f>VLOOKUP(E564,BASE_VEICULOS!A:G,7,0)</f>
        <v>FAC - 140005 - SPOT MANUTENÇÃO DPSP 2025</v>
      </c>
      <c r="G564" s="11" t="str">
        <f>IFERROR(VLOOKUP(E564,BASE_VEICULOS!$A:$B,2,0),"")</f>
        <v>EWH1B84</v>
      </c>
      <c r="H564" s="19"/>
      <c r="I564" s="20">
        <f t="shared" si="2"/>
        <v>46113</v>
      </c>
    </row>
    <row r="565" ht="22.5" hidden="1" customHeight="1">
      <c r="A565" s="5">
        <v>46113.0</v>
      </c>
      <c r="B565" s="6">
        <f t="shared" si="1"/>
        <v>14</v>
      </c>
      <c r="C565" s="7" t="s">
        <v>32</v>
      </c>
      <c r="D565" s="8">
        <v>80.0</v>
      </c>
      <c r="E565" s="7" t="s">
        <v>10</v>
      </c>
      <c r="F565" s="10" t="str">
        <f>VLOOKUP(E565,BASE_VEICULOS!A:G,7,0)</f>
        <v>FAC - 140004 - MANUTENÇÃO PREDIAL DPSP 2025</v>
      </c>
      <c r="G565" s="11" t="str">
        <f>IFERROR(VLOOKUP(E565,BASE_VEICULOS!$A:$B,2,0),"")</f>
        <v>TEW9A25</v>
      </c>
      <c r="H565" s="19"/>
      <c r="I565" s="20">
        <f t="shared" si="2"/>
        <v>46113</v>
      </c>
    </row>
    <row r="566" ht="22.5" hidden="1" customHeight="1">
      <c r="A566" s="5">
        <v>46113.0</v>
      </c>
      <c r="B566" s="6">
        <f t="shared" si="1"/>
        <v>14</v>
      </c>
      <c r="C566" s="7" t="s">
        <v>32</v>
      </c>
      <c r="D566" s="8">
        <v>50.0</v>
      </c>
      <c r="E566" s="7" t="s">
        <v>25</v>
      </c>
      <c r="F566" s="10" t="str">
        <f>VLOOKUP(E566,BASE_VEICULOS!A:G,7,0)</f>
        <v>PROF - 07001 - MANUTENÇÃO PREDIAL- PROFARMA-2025</v>
      </c>
      <c r="G566" s="11" t="str">
        <f>IFERROR(VLOOKUP(E566,BASE_VEICULOS!$A:$B,2,0),"")</f>
        <v>TEW9A26</v>
      </c>
      <c r="H566" s="19"/>
      <c r="I566" s="20">
        <f t="shared" si="2"/>
        <v>46113</v>
      </c>
    </row>
    <row r="567" ht="22.5" hidden="1" customHeight="1">
      <c r="A567" s="5">
        <v>46113.0</v>
      </c>
      <c r="B567" s="6">
        <f t="shared" si="1"/>
        <v>14</v>
      </c>
      <c r="C567" s="7" t="s">
        <v>32</v>
      </c>
      <c r="D567" s="8">
        <v>90.0</v>
      </c>
      <c r="E567" s="7" t="s">
        <v>34</v>
      </c>
      <c r="F567" s="10" t="str">
        <f>VLOOKUP(E567,BASE_VEICULOS!A:G,7,0)</f>
        <v>PROF - 07001 - MANUTENÇÃO PREDIAL- PROFARMA-2025</v>
      </c>
      <c r="G567" s="11" t="str">
        <f>IFERROR(VLOOKUP(E567,BASE_VEICULOS!$A:$B,2,0),"")</f>
        <v>SRU8D16</v>
      </c>
      <c r="H567" s="19"/>
      <c r="I567" s="20">
        <f t="shared" si="2"/>
        <v>46113</v>
      </c>
    </row>
    <row r="568" ht="22.5" hidden="1" customHeight="1">
      <c r="A568" s="5">
        <v>46113.0</v>
      </c>
      <c r="B568" s="6">
        <f t="shared" si="1"/>
        <v>14</v>
      </c>
      <c r="C568" s="7" t="s">
        <v>32</v>
      </c>
      <c r="D568" s="8">
        <v>95.0</v>
      </c>
      <c r="E568" s="7" t="s">
        <v>16</v>
      </c>
      <c r="F568" s="10" t="str">
        <f>VLOOKUP(E568,BASE_VEICULOS!A:G,7,0)</f>
        <v>FAC - 140005 - SPOT MANUTENÇÃO DPSP 2025</v>
      </c>
      <c r="G568" s="11" t="str">
        <f>IFERROR(VLOOKUP(E568,BASE_VEICULOS!$A:$B,2,0),"")</f>
        <v>TEW9A27</v>
      </c>
      <c r="H568" s="19"/>
      <c r="I568" s="20">
        <f t="shared" si="2"/>
        <v>46113</v>
      </c>
    </row>
    <row r="569" ht="22.5" hidden="1" customHeight="1">
      <c r="A569" s="5">
        <v>46113.0</v>
      </c>
      <c r="B569" s="6">
        <f t="shared" si="1"/>
        <v>14</v>
      </c>
      <c r="C569" s="7" t="s">
        <v>32</v>
      </c>
      <c r="D569" s="8">
        <v>70.0</v>
      </c>
      <c r="E569" s="7" t="s">
        <v>30</v>
      </c>
      <c r="F569" s="10" t="str">
        <f>VLOOKUP(E569,BASE_VEICULOS!A:G,7,0)</f>
        <v>#N/A</v>
      </c>
      <c r="G569" s="11" t="str">
        <f>IFERROR(VLOOKUP(E569,BASE_VEICULOS!$A:$B,2,0),"")</f>
        <v/>
      </c>
      <c r="H569" s="19"/>
      <c r="I569" s="20">
        <f t="shared" si="2"/>
        <v>46113</v>
      </c>
    </row>
    <row r="570" ht="22.5" hidden="1" customHeight="1">
      <c r="A570" s="5">
        <v>46113.0</v>
      </c>
      <c r="B570" s="6">
        <f t="shared" si="1"/>
        <v>14</v>
      </c>
      <c r="C570" s="7" t="s">
        <v>32</v>
      </c>
      <c r="D570" s="8">
        <v>35.0</v>
      </c>
      <c r="E570" s="7" t="s">
        <v>13</v>
      </c>
      <c r="F570" s="10" t="str">
        <f>VLOOKUP(E570,BASE_VEICULOS!A:G,7,0)</f>
        <v>FAC - 140005 - SPOT MANUTENÇÃO DPSP 2025</v>
      </c>
      <c r="G570" s="11" t="str">
        <f>IFERROR(VLOOKUP(E570,BASE_VEICULOS!$A:$B,2,0),"")</f>
        <v>FGO3C61</v>
      </c>
      <c r="H570" s="19"/>
      <c r="I570" s="20">
        <f t="shared" si="2"/>
        <v>46113</v>
      </c>
    </row>
    <row r="571" ht="22.5" hidden="1" customHeight="1">
      <c r="A571" s="5">
        <v>46113.0</v>
      </c>
      <c r="B571" s="6">
        <f t="shared" si="1"/>
        <v>14</v>
      </c>
      <c r="C571" s="7" t="s">
        <v>32</v>
      </c>
      <c r="D571" s="8">
        <v>80.0</v>
      </c>
      <c r="E571" s="7" t="s">
        <v>19</v>
      </c>
      <c r="F571" s="10" t="str">
        <f>VLOOKUP(E571,BASE_VEICULOS!A:G,7,0)</f>
        <v>PROF - 07001 - MANUTENÇÃO PREDIAL- PROFARMA-2025</v>
      </c>
      <c r="G571" s="11" t="str">
        <f>IFERROR(VLOOKUP(E571,BASE_VEICULOS!$A:$B,2,0),"")</f>
        <v>TEW9A24</v>
      </c>
      <c r="H571" s="19"/>
      <c r="I571" s="20">
        <f t="shared" si="2"/>
        <v>46113</v>
      </c>
    </row>
    <row r="572" ht="22.5" hidden="1" customHeight="1">
      <c r="A572" s="5">
        <v>46113.0</v>
      </c>
      <c r="B572" s="6">
        <f t="shared" si="1"/>
        <v>14</v>
      </c>
      <c r="C572" s="7" t="s">
        <v>32</v>
      </c>
      <c r="D572" s="8">
        <v>100.0</v>
      </c>
      <c r="E572" s="7" t="s">
        <v>33</v>
      </c>
      <c r="F572" s="10" t="str">
        <f>VLOOKUP(E572,BASE_VEICULOS!A:G,7,0)</f>
        <v>PROF - 07001 - MANUTENÇÃO PREDIAL- PROFARMA-2025</v>
      </c>
      <c r="G572" s="11" t="str">
        <f>IFERROR(VLOOKUP(E572,BASE_VEICULOS!$A:$B,2,0),"")</f>
        <v>TEW9A30</v>
      </c>
      <c r="H572" s="19"/>
      <c r="I572" s="20">
        <f t="shared" si="2"/>
        <v>46113</v>
      </c>
    </row>
    <row r="573" ht="22.5" hidden="1" customHeight="1">
      <c r="A573" s="5">
        <v>46113.0</v>
      </c>
      <c r="B573" s="6">
        <f t="shared" si="1"/>
        <v>14</v>
      </c>
      <c r="C573" s="7" t="s">
        <v>32</v>
      </c>
      <c r="D573" s="8">
        <v>35.0</v>
      </c>
      <c r="E573" s="7" t="s">
        <v>29</v>
      </c>
      <c r="F573" s="10" t="str">
        <f>VLOOKUP(E573,BASE_VEICULOS!A:G,7,0)</f>
        <v>PROF - 07001 - MANUTENÇÃO PREDIAL- PROFARMA-2025</v>
      </c>
      <c r="G573" s="11" t="str">
        <f>IFERROR(VLOOKUP(E573,BASE_VEICULOS!$A:$B,2,0),"")</f>
        <v>TEQ2I74</v>
      </c>
      <c r="H573" s="19"/>
      <c r="I573" s="20">
        <f t="shared" si="2"/>
        <v>46113</v>
      </c>
    </row>
    <row r="574" ht="22.5" hidden="1" customHeight="1">
      <c r="A574" s="5">
        <v>46113.0</v>
      </c>
      <c r="B574" s="6">
        <f t="shared" si="1"/>
        <v>14</v>
      </c>
      <c r="C574" s="7" t="s">
        <v>32</v>
      </c>
      <c r="D574" s="8">
        <v>150.0</v>
      </c>
      <c r="E574" s="7" t="s">
        <v>17</v>
      </c>
      <c r="F574" s="10" t="str">
        <f>VLOOKUP(E574,BASE_VEICULOS!A:G,7,0)</f>
        <v>#N/A</v>
      </c>
      <c r="G574" s="11" t="str">
        <f>IFERROR(VLOOKUP(E574,BASE_VEICULOS!$A:$B,2,0),"")</f>
        <v/>
      </c>
      <c r="H574" s="19"/>
      <c r="I574" s="20">
        <f t="shared" si="2"/>
        <v>46113</v>
      </c>
    </row>
    <row r="575" ht="22.5" hidden="1" customHeight="1">
      <c r="A575" s="5">
        <v>46113.0</v>
      </c>
      <c r="B575" s="6">
        <f t="shared" si="1"/>
        <v>14</v>
      </c>
      <c r="C575" s="7" t="s">
        <v>32</v>
      </c>
      <c r="D575" s="8">
        <v>70.0</v>
      </c>
      <c r="E575" s="7" t="s">
        <v>25</v>
      </c>
      <c r="F575" s="10" t="str">
        <f>VLOOKUP(E575,BASE_VEICULOS!A:G,7,0)</f>
        <v>PROF - 07001 - MANUTENÇÃO PREDIAL- PROFARMA-2025</v>
      </c>
      <c r="G575" s="11" t="str">
        <f>IFERROR(VLOOKUP(E575,BASE_VEICULOS!$A:$B,2,0),"")</f>
        <v>TEW9A26</v>
      </c>
      <c r="H575" s="19"/>
      <c r="I575" s="20">
        <f t="shared" si="2"/>
        <v>46113</v>
      </c>
    </row>
    <row r="576" ht="22.5" hidden="1" customHeight="1">
      <c r="A576" s="5">
        <v>46113.0</v>
      </c>
      <c r="B576" s="6">
        <f t="shared" si="1"/>
        <v>14</v>
      </c>
      <c r="C576" s="7" t="s">
        <v>32</v>
      </c>
      <c r="D576" s="8">
        <v>100.0</v>
      </c>
      <c r="E576" s="7" t="s">
        <v>22</v>
      </c>
      <c r="F576" s="10" t="str">
        <f>VLOOKUP(E576,BASE_VEICULOS!A:G,7,0)</f>
        <v>PROF - 07001 - MANUTENÇÃO PREDIAL- PROFARMA-2025</v>
      </c>
      <c r="G576" s="11" t="str">
        <f>IFERROR(VLOOKUP(E576,BASE_VEICULOS!$A:$B,2,0),"")</f>
        <v>TET5H37</v>
      </c>
      <c r="H576" s="19"/>
      <c r="I576" s="20">
        <f t="shared" si="2"/>
        <v>46113</v>
      </c>
    </row>
    <row r="577" ht="22.5" hidden="1" customHeight="1">
      <c r="A577" s="5">
        <v>46113.0</v>
      </c>
      <c r="B577" s="6">
        <f t="shared" si="1"/>
        <v>14</v>
      </c>
      <c r="C577" s="7" t="s">
        <v>32</v>
      </c>
      <c r="D577" s="8">
        <v>85.0</v>
      </c>
      <c r="E577" s="7" t="s">
        <v>21</v>
      </c>
      <c r="F577" s="10" t="str">
        <f>VLOOKUP(E577,BASE_VEICULOS!A:G,7,0)</f>
        <v>PROF - 07001 - MANUTENÇÃO PREDIAL- PROFARMA-2025</v>
      </c>
      <c r="G577" s="11" t="str">
        <f>IFERROR(VLOOKUP(E577,BASE_VEICULOS!$A:$B,2,0),"")</f>
        <v>TEW9A33</v>
      </c>
      <c r="H577" s="19"/>
      <c r="I577" s="20">
        <f t="shared" si="2"/>
        <v>46113</v>
      </c>
    </row>
    <row r="578" ht="22.5" hidden="1" customHeight="1">
      <c r="A578" s="5">
        <v>46113.0</v>
      </c>
      <c r="B578" s="6">
        <f t="shared" si="1"/>
        <v>14</v>
      </c>
      <c r="C578" s="7" t="s">
        <v>32</v>
      </c>
      <c r="D578" s="8">
        <v>80.0</v>
      </c>
      <c r="E578" s="7" t="s">
        <v>14</v>
      </c>
      <c r="F578" s="10" t="str">
        <f>VLOOKUP(E578,BASE_VEICULOS!A:G,7,0)</f>
        <v>FAC - 140004 - MANUTENÇÃO PREDIAL DPSP 2025</v>
      </c>
      <c r="G578" s="11" t="str">
        <f>IFERROR(VLOOKUP(E578,BASE_VEICULOS!$A:$B,2,0),"")</f>
        <v>FOK8A73</v>
      </c>
      <c r="H578" s="19"/>
      <c r="I578" s="20">
        <f t="shared" si="2"/>
        <v>46113</v>
      </c>
    </row>
    <row r="579" ht="22.5" hidden="1" customHeight="1">
      <c r="A579" s="5">
        <v>46113.0</v>
      </c>
      <c r="B579" s="6">
        <f t="shared" si="1"/>
        <v>14</v>
      </c>
      <c r="C579" s="7" t="s">
        <v>32</v>
      </c>
      <c r="D579" s="8">
        <v>40.0</v>
      </c>
      <c r="E579" s="7" t="s">
        <v>20</v>
      </c>
      <c r="F579" s="10" t="str">
        <f>VLOOKUP(E579,BASE_VEICULOS!A:G,7,0)</f>
        <v>PROF - 07001 - MANUTENÇÃO PREDIAL- PROFARMA-2025</v>
      </c>
      <c r="G579" s="11" t="str">
        <f>IFERROR(VLOOKUP(E579,BASE_VEICULOS!$A:$B,2,0),"")</f>
        <v>TEW9A34</v>
      </c>
      <c r="H579" s="19"/>
      <c r="I579" s="20">
        <f t="shared" si="2"/>
        <v>46113</v>
      </c>
    </row>
    <row r="580" ht="22.5" hidden="1" customHeight="1">
      <c r="A580" s="5">
        <v>46114.0</v>
      </c>
      <c r="B580" s="6">
        <f t="shared" si="1"/>
        <v>14</v>
      </c>
      <c r="C580" s="7" t="s">
        <v>32</v>
      </c>
      <c r="D580" s="8">
        <v>70.0</v>
      </c>
      <c r="E580" s="7" t="s">
        <v>25</v>
      </c>
      <c r="F580" s="10" t="str">
        <f>VLOOKUP(E580,BASE_VEICULOS!A:G,7,0)</f>
        <v>PROF - 07001 - MANUTENÇÃO PREDIAL- PROFARMA-2025</v>
      </c>
      <c r="G580" s="11" t="str">
        <f>IFERROR(VLOOKUP(E580,BASE_VEICULOS!$A:$B,2,0),"")</f>
        <v>TEW9A26</v>
      </c>
      <c r="H580" s="19"/>
      <c r="I580" s="20">
        <f t="shared" si="2"/>
        <v>46113</v>
      </c>
    </row>
    <row r="581" ht="22.5" hidden="1" customHeight="1">
      <c r="A581" s="5">
        <v>46114.0</v>
      </c>
      <c r="B581" s="6">
        <f t="shared" si="1"/>
        <v>14</v>
      </c>
      <c r="C581" s="7" t="s">
        <v>32</v>
      </c>
      <c r="D581" s="8">
        <v>60.0</v>
      </c>
      <c r="E581" s="7" t="s">
        <v>29</v>
      </c>
      <c r="F581" s="10" t="str">
        <f>VLOOKUP(E581,BASE_VEICULOS!A:G,7,0)</f>
        <v>PROF - 07001 - MANUTENÇÃO PREDIAL- PROFARMA-2025</v>
      </c>
      <c r="G581" s="11" t="str">
        <f>IFERROR(VLOOKUP(E581,BASE_VEICULOS!$A:$B,2,0),"")</f>
        <v>TEQ2I74</v>
      </c>
      <c r="H581" s="19"/>
      <c r="I581" s="20">
        <f t="shared" si="2"/>
        <v>46113</v>
      </c>
    </row>
    <row r="582" ht="22.5" hidden="1" customHeight="1">
      <c r="A582" s="5">
        <v>46114.0</v>
      </c>
      <c r="B582" s="6">
        <f t="shared" si="1"/>
        <v>14</v>
      </c>
      <c r="C582" s="7" t="s">
        <v>32</v>
      </c>
      <c r="D582" s="8">
        <v>100.0</v>
      </c>
      <c r="E582" s="7" t="s">
        <v>24</v>
      </c>
      <c r="F582" s="10" t="str">
        <f>VLOOKUP(E582,BASE_VEICULOS!A:G,7,0)</f>
        <v>PROF - 07001 - MANUTENÇÃO PREDIAL- PROFARMA-2025</v>
      </c>
      <c r="G582" s="11" t="str">
        <f>IFERROR(VLOOKUP(E582,BASE_VEICULOS!$A:$B,2,0),"")</f>
        <v>TEW9A23</v>
      </c>
      <c r="H582" s="19"/>
      <c r="I582" s="20">
        <f t="shared" si="2"/>
        <v>46113</v>
      </c>
    </row>
    <row r="583" ht="22.5" hidden="1" customHeight="1">
      <c r="A583" s="5">
        <v>46114.0</v>
      </c>
      <c r="B583" s="6">
        <f t="shared" si="1"/>
        <v>14</v>
      </c>
      <c r="C583" s="7" t="s">
        <v>32</v>
      </c>
      <c r="D583" s="8">
        <v>80.0</v>
      </c>
      <c r="E583" s="7" t="s">
        <v>20</v>
      </c>
      <c r="F583" s="10" t="str">
        <f>VLOOKUP(E583,BASE_VEICULOS!A:G,7,0)</f>
        <v>PROF - 07001 - MANUTENÇÃO PREDIAL- PROFARMA-2025</v>
      </c>
      <c r="G583" s="11" t="str">
        <f>IFERROR(VLOOKUP(E583,BASE_VEICULOS!$A:$B,2,0),"")</f>
        <v>TEW9A34</v>
      </c>
      <c r="H583" s="19"/>
      <c r="I583" s="20">
        <f t="shared" si="2"/>
        <v>46113</v>
      </c>
    </row>
    <row r="584" ht="22.5" hidden="1" customHeight="1">
      <c r="A584" s="5">
        <v>46114.0</v>
      </c>
      <c r="B584" s="6">
        <f t="shared" si="1"/>
        <v>14</v>
      </c>
      <c r="C584" s="7" t="s">
        <v>32</v>
      </c>
      <c r="D584" s="8">
        <v>105.0</v>
      </c>
      <c r="E584" s="7" t="s">
        <v>10</v>
      </c>
      <c r="F584" s="10" t="str">
        <f>VLOOKUP(E584,BASE_VEICULOS!A:G,7,0)</f>
        <v>FAC - 140004 - MANUTENÇÃO PREDIAL DPSP 2025</v>
      </c>
      <c r="G584" s="11" t="str">
        <f>IFERROR(VLOOKUP(E584,BASE_VEICULOS!$A:$B,2,0),"")</f>
        <v>TEW9A25</v>
      </c>
      <c r="H584" s="19"/>
      <c r="I584" s="20">
        <f t="shared" si="2"/>
        <v>46113</v>
      </c>
    </row>
    <row r="585" ht="22.5" hidden="1" customHeight="1">
      <c r="A585" s="5">
        <v>46114.0</v>
      </c>
      <c r="B585" s="6">
        <f t="shared" si="1"/>
        <v>14</v>
      </c>
      <c r="C585" s="7" t="s">
        <v>32</v>
      </c>
      <c r="D585" s="8">
        <v>45.0</v>
      </c>
      <c r="E585" s="7" t="s">
        <v>11</v>
      </c>
      <c r="F585" s="10" t="str">
        <f>VLOOKUP(E585,BASE_VEICULOS!A:G,7,0)</f>
        <v>PROF - 07001 - MANUTENÇÃO PREDIAL- PROFARMA-2025</v>
      </c>
      <c r="G585" s="11" t="str">
        <f>IFERROR(VLOOKUP(E585,BASE_VEICULOS!$A:$B,2,0),"")</f>
        <v>TEW9A28</v>
      </c>
      <c r="H585" s="19"/>
      <c r="I585" s="20">
        <f t="shared" si="2"/>
        <v>46113</v>
      </c>
    </row>
    <row r="586" ht="22.5" hidden="1" customHeight="1">
      <c r="A586" s="5">
        <v>46114.0</v>
      </c>
      <c r="B586" s="6">
        <f t="shared" si="1"/>
        <v>14</v>
      </c>
      <c r="C586" s="7" t="s">
        <v>32</v>
      </c>
      <c r="D586" s="8">
        <v>95.0</v>
      </c>
      <c r="E586" s="7" t="s">
        <v>23</v>
      </c>
      <c r="F586" s="10" t="str">
        <f>VLOOKUP(E586,BASE_VEICULOS!A:G,7,0)</f>
        <v>PROF - 07001 - MANUTENÇÃO PREDIAL- PROFARMA-2025</v>
      </c>
      <c r="G586" s="11" t="str">
        <f>IFERROR(VLOOKUP(E586,BASE_VEICULOS!$A:$B,2,0),"")</f>
        <v>TEH3I02</v>
      </c>
      <c r="H586" s="19"/>
      <c r="I586" s="20">
        <f t="shared" si="2"/>
        <v>46113</v>
      </c>
    </row>
    <row r="587" ht="22.5" hidden="1" customHeight="1">
      <c r="A587" s="5">
        <v>46116.0</v>
      </c>
      <c r="B587" s="6">
        <f t="shared" si="1"/>
        <v>14</v>
      </c>
      <c r="C587" s="7" t="s">
        <v>32</v>
      </c>
      <c r="D587" s="8">
        <v>150.0</v>
      </c>
      <c r="E587" s="7" t="s">
        <v>23</v>
      </c>
      <c r="F587" s="10" t="str">
        <f>VLOOKUP(E587,BASE_VEICULOS!A:G,7,0)</f>
        <v>PROF - 07001 - MANUTENÇÃO PREDIAL- PROFARMA-2025</v>
      </c>
      <c r="G587" s="11" t="str">
        <f>IFERROR(VLOOKUP(E587,BASE_VEICULOS!$A:$B,2,0),"")</f>
        <v>TEH3I02</v>
      </c>
      <c r="H587" s="19"/>
      <c r="I587" s="20">
        <f t="shared" si="2"/>
        <v>46113</v>
      </c>
    </row>
    <row r="588" ht="22.5" hidden="1" customHeight="1">
      <c r="A588" s="5">
        <v>46114.0</v>
      </c>
      <c r="B588" s="6">
        <f t="shared" si="1"/>
        <v>14</v>
      </c>
      <c r="C588" s="7" t="s">
        <v>32</v>
      </c>
      <c r="D588" s="8">
        <v>65.0</v>
      </c>
      <c r="E588" s="7" t="s">
        <v>13</v>
      </c>
      <c r="F588" s="10" t="str">
        <f>VLOOKUP(E588,BASE_VEICULOS!A:G,7,0)</f>
        <v>FAC - 140005 - SPOT MANUTENÇÃO DPSP 2025</v>
      </c>
      <c r="G588" s="11" t="str">
        <f>IFERROR(VLOOKUP(E588,BASE_VEICULOS!$A:$B,2,0),"")</f>
        <v>FGO3C61</v>
      </c>
      <c r="H588" s="19"/>
      <c r="I588" s="20">
        <f t="shared" si="2"/>
        <v>46113</v>
      </c>
    </row>
    <row r="589" ht="22.5" hidden="1" customHeight="1">
      <c r="A589" s="5">
        <v>46114.0</v>
      </c>
      <c r="B589" s="6">
        <f t="shared" si="1"/>
        <v>14</v>
      </c>
      <c r="C589" s="7" t="s">
        <v>32</v>
      </c>
      <c r="D589" s="8">
        <v>100.0</v>
      </c>
      <c r="E589" s="7" t="s">
        <v>18</v>
      </c>
      <c r="F589" s="10" t="str">
        <f>VLOOKUP(E589,BASE_VEICULOS!A:G,7,0)</f>
        <v>FAC - 140004 - MANUTENÇÃO PREDIAL DPSP 2025</v>
      </c>
      <c r="G589" s="11" t="str">
        <f>IFERROR(VLOOKUP(E589,BASE_VEICULOS!$A:$B,2,0),"")</f>
        <v>TEW9A29</v>
      </c>
      <c r="H589" s="19"/>
      <c r="I589" s="20">
        <f t="shared" si="2"/>
        <v>46113</v>
      </c>
    </row>
    <row r="590" ht="22.5" hidden="1" customHeight="1">
      <c r="A590" s="5">
        <v>46114.0</v>
      </c>
      <c r="B590" s="6">
        <f t="shared" si="1"/>
        <v>14</v>
      </c>
      <c r="C590" s="7" t="s">
        <v>32</v>
      </c>
      <c r="D590" s="8">
        <v>60.0</v>
      </c>
      <c r="E590" s="7" t="s">
        <v>15</v>
      </c>
      <c r="F590" s="10" t="str">
        <f>VLOOKUP(E590,BASE_VEICULOS!A:G,7,0)</f>
        <v>FAC - 140005 - SPOT MANUTENÇÃO DPSP 2025</v>
      </c>
      <c r="G590" s="11" t="str">
        <f>IFERROR(VLOOKUP(E590,BASE_VEICULOS!$A:$B,2,0),"")</f>
        <v>EWH1B84</v>
      </c>
      <c r="H590" s="19"/>
      <c r="I590" s="20">
        <f t="shared" si="2"/>
        <v>46113</v>
      </c>
    </row>
    <row r="591" ht="22.5" hidden="1" customHeight="1">
      <c r="A591" s="5">
        <v>46114.0</v>
      </c>
      <c r="B591" s="6">
        <f t="shared" si="1"/>
        <v>14</v>
      </c>
      <c r="C591" s="7" t="s">
        <v>32</v>
      </c>
      <c r="D591" s="8">
        <v>50.0</v>
      </c>
      <c r="E591" s="7" t="s">
        <v>30</v>
      </c>
      <c r="F591" s="10" t="str">
        <f>VLOOKUP(E591,BASE_VEICULOS!A:G,7,0)</f>
        <v>#N/A</v>
      </c>
      <c r="G591" s="11" t="str">
        <f>IFERROR(VLOOKUP(E591,BASE_VEICULOS!$A:$B,2,0),"")</f>
        <v/>
      </c>
      <c r="H591" s="19"/>
      <c r="I591" s="20">
        <f t="shared" si="2"/>
        <v>46113</v>
      </c>
    </row>
    <row r="592" ht="22.5" hidden="1" customHeight="1">
      <c r="A592" s="5">
        <v>46114.0</v>
      </c>
      <c r="B592" s="6">
        <f t="shared" si="1"/>
        <v>14</v>
      </c>
      <c r="C592" s="7" t="s">
        <v>32</v>
      </c>
      <c r="D592" s="8">
        <v>100.0</v>
      </c>
      <c r="E592" s="7" t="s">
        <v>19</v>
      </c>
      <c r="F592" s="10" t="str">
        <f>VLOOKUP(E592,BASE_VEICULOS!A:G,7,0)</f>
        <v>PROF - 07001 - MANUTENÇÃO PREDIAL- PROFARMA-2025</v>
      </c>
      <c r="G592" s="11" t="str">
        <f>IFERROR(VLOOKUP(E592,BASE_VEICULOS!$A:$B,2,0),"")</f>
        <v>TEW9A24</v>
      </c>
      <c r="H592" s="19"/>
      <c r="I592" s="20">
        <f t="shared" si="2"/>
        <v>46113</v>
      </c>
    </row>
    <row r="593" ht="22.5" hidden="1" customHeight="1">
      <c r="A593" s="5">
        <v>46114.0</v>
      </c>
      <c r="B593" s="6">
        <f t="shared" si="1"/>
        <v>14</v>
      </c>
      <c r="C593" s="7" t="s">
        <v>32</v>
      </c>
      <c r="D593" s="8">
        <v>75.0</v>
      </c>
      <c r="E593" s="7" t="s">
        <v>12</v>
      </c>
      <c r="F593" s="10" t="str">
        <f>VLOOKUP(E593,BASE_VEICULOS!A:G,7,0)</f>
        <v>FAC - 140004 - MANUTENÇÃO PREDIAL DPSP 2025</v>
      </c>
      <c r="G593" s="11" t="str">
        <f>IFERROR(VLOOKUP(E593,BASE_VEICULOS!$A:$B,2,0),"")</f>
        <v>FIL8C14</v>
      </c>
      <c r="H593" s="19"/>
      <c r="I593" s="20">
        <f t="shared" si="2"/>
        <v>46113</v>
      </c>
    </row>
    <row r="594" ht="22.5" hidden="1" customHeight="1">
      <c r="A594" s="5">
        <v>46114.0</v>
      </c>
      <c r="B594" s="6">
        <f t="shared" si="1"/>
        <v>14</v>
      </c>
      <c r="C594" s="7" t="s">
        <v>32</v>
      </c>
      <c r="D594" s="8">
        <v>110.0</v>
      </c>
      <c r="E594" s="7" t="s">
        <v>21</v>
      </c>
      <c r="F594" s="10" t="str">
        <f>VLOOKUP(E594,BASE_VEICULOS!A:G,7,0)</f>
        <v>PROF - 07001 - MANUTENÇÃO PREDIAL- PROFARMA-2025</v>
      </c>
      <c r="G594" s="11" t="str">
        <f>IFERROR(VLOOKUP(E594,BASE_VEICULOS!$A:$B,2,0),"")</f>
        <v>TEW9A33</v>
      </c>
      <c r="H594" s="19"/>
      <c r="I594" s="20">
        <f t="shared" si="2"/>
        <v>46113</v>
      </c>
    </row>
    <row r="595" ht="22.5" hidden="1" customHeight="1">
      <c r="A595" s="5">
        <v>46114.0</v>
      </c>
      <c r="B595" s="6">
        <f t="shared" si="1"/>
        <v>14</v>
      </c>
      <c r="C595" s="7" t="s">
        <v>32</v>
      </c>
      <c r="D595" s="8">
        <v>80.0</v>
      </c>
      <c r="E595" s="7" t="s">
        <v>22</v>
      </c>
      <c r="F595" s="10" t="str">
        <f>VLOOKUP(E595,BASE_VEICULOS!A:G,7,0)</f>
        <v>PROF - 07001 - MANUTENÇÃO PREDIAL- PROFARMA-2025</v>
      </c>
      <c r="G595" s="11" t="str">
        <f>IFERROR(VLOOKUP(E595,BASE_VEICULOS!$A:$B,2,0),"")</f>
        <v>TET5H37</v>
      </c>
      <c r="H595" s="19"/>
      <c r="I595" s="20">
        <f t="shared" si="2"/>
        <v>46113</v>
      </c>
    </row>
    <row r="596" ht="22.5" hidden="1" customHeight="1">
      <c r="A596" s="5">
        <v>46114.0</v>
      </c>
      <c r="B596" s="6">
        <f t="shared" si="1"/>
        <v>14</v>
      </c>
      <c r="C596" s="7" t="s">
        <v>32</v>
      </c>
      <c r="D596" s="8">
        <v>100.0</v>
      </c>
      <c r="E596" s="7" t="s">
        <v>33</v>
      </c>
      <c r="F596" s="10" t="str">
        <f>VLOOKUP(E596,BASE_VEICULOS!A:G,7,0)</f>
        <v>PROF - 07001 - MANUTENÇÃO PREDIAL- PROFARMA-2025</v>
      </c>
      <c r="G596" s="11" t="str">
        <f>IFERROR(VLOOKUP(E596,BASE_VEICULOS!$A:$B,2,0),"")</f>
        <v>TEW9A30</v>
      </c>
      <c r="H596" s="19"/>
      <c r="I596" s="20">
        <f t="shared" si="2"/>
        <v>46113</v>
      </c>
    </row>
    <row r="597" ht="22.5" hidden="1" customHeight="1">
      <c r="A597" s="5">
        <v>46114.0</v>
      </c>
      <c r="B597" s="6">
        <f t="shared" si="1"/>
        <v>14</v>
      </c>
      <c r="C597" s="7" t="s">
        <v>32</v>
      </c>
      <c r="D597" s="8">
        <v>90.0</v>
      </c>
      <c r="E597" s="7" t="s">
        <v>34</v>
      </c>
      <c r="F597" s="10" t="str">
        <f>VLOOKUP(E597,BASE_VEICULOS!A:G,7,0)</f>
        <v>PROF - 07001 - MANUTENÇÃO PREDIAL- PROFARMA-2025</v>
      </c>
      <c r="G597" s="11" t="str">
        <f>IFERROR(VLOOKUP(E597,BASE_VEICULOS!$A:$B,2,0),"")</f>
        <v>SRU8D16</v>
      </c>
      <c r="H597" s="19"/>
      <c r="I597" s="20">
        <f t="shared" si="2"/>
        <v>46113</v>
      </c>
    </row>
    <row r="598" ht="22.5" hidden="1" customHeight="1">
      <c r="A598" s="5">
        <v>46114.0</v>
      </c>
      <c r="B598" s="6">
        <f t="shared" si="1"/>
        <v>14</v>
      </c>
      <c r="C598" s="7" t="s">
        <v>32</v>
      </c>
      <c r="D598" s="8">
        <v>59.0</v>
      </c>
      <c r="E598" s="7" t="s">
        <v>25</v>
      </c>
      <c r="F598" s="10" t="str">
        <f>VLOOKUP(E598,BASE_VEICULOS!A:G,7,0)</f>
        <v>PROF - 07001 - MANUTENÇÃO PREDIAL- PROFARMA-2025</v>
      </c>
      <c r="G598" s="11" t="str">
        <f>IFERROR(VLOOKUP(E598,BASE_VEICULOS!$A:$B,2,0),"")</f>
        <v>TEW9A26</v>
      </c>
      <c r="H598" s="19"/>
      <c r="I598" s="20">
        <f t="shared" si="2"/>
        <v>46113</v>
      </c>
    </row>
    <row r="599" ht="22.5" hidden="1" customHeight="1">
      <c r="A599" s="5">
        <v>46114.0</v>
      </c>
      <c r="B599" s="6">
        <f t="shared" si="1"/>
        <v>14</v>
      </c>
      <c r="C599" s="7" t="s">
        <v>32</v>
      </c>
      <c r="D599" s="8">
        <v>70.0</v>
      </c>
      <c r="E599" s="7" t="s">
        <v>29</v>
      </c>
      <c r="F599" s="10" t="str">
        <f>VLOOKUP(E599,BASE_VEICULOS!A:G,7,0)</f>
        <v>PROF - 07001 - MANUTENÇÃO PREDIAL- PROFARMA-2025</v>
      </c>
      <c r="G599" s="11" t="str">
        <f>IFERROR(VLOOKUP(E599,BASE_VEICULOS!$A:$B,2,0),"")</f>
        <v>TEQ2I74</v>
      </c>
      <c r="H599" s="19"/>
      <c r="I599" s="20">
        <f t="shared" si="2"/>
        <v>46113</v>
      </c>
    </row>
    <row r="600" ht="22.5" hidden="1" customHeight="1">
      <c r="A600" s="5">
        <v>46114.0</v>
      </c>
      <c r="B600" s="6">
        <f t="shared" si="1"/>
        <v>14</v>
      </c>
      <c r="C600" s="7" t="s">
        <v>32</v>
      </c>
      <c r="D600" s="8">
        <v>150.0</v>
      </c>
      <c r="E600" s="7" t="s">
        <v>17</v>
      </c>
      <c r="F600" s="10" t="str">
        <f>VLOOKUP(E600,BASE_VEICULOS!A:G,7,0)</f>
        <v>#N/A</v>
      </c>
      <c r="G600" s="11" t="str">
        <f>IFERROR(VLOOKUP(E600,BASE_VEICULOS!$A:$B,2,0),"")</f>
        <v/>
      </c>
      <c r="H600" s="19"/>
      <c r="I600" s="20">
        <f t="shared" si="2"/>
        <v>46113</v>
      </c>
    </row>
    <row r="601" ht="22.5" hidden="1" customHeight="1">
      <c r="A601" s="5">
        <v>46114.0</v>
      </c>
      <c r="B601" s="6">
        <f t="shared" si="1"/>
        <v>14</v>
      </c>
      <c r="C601" s="7" t="s">
        <v>32</v>
      </c>
      <c r="D601" s="8">
        <v>80.0</v>
      </c>
      <c r="E601" s="7" t="s">
        <v>18</v>
      </c>
      <c r="F601" s="10" t="str">
        <f>VLOOKUP(E601,BASE_VEICULOS!A:G,7,0)</f>
        <v>FAC - 140004 - MANUTENÇÃO PREDIAL DPSP 2025</v>
      </c>
      <c r="G601" s="11" t="str">
        <f>IFERROR(VLOOKUP(E601,BASE_VEICULOS!$A:$B,2,0),"")</f>
        <v>TEW9A29</v>
      </c>
      <c r="H601" s="19"/>
      <c r="I601" s="20">
        <f t="shared" si="2"/>
        <v>46113</v>
      </c>
    </row>
    <row r="602" ht="22.5" hidden="1" customHeight="1">
      <c r="A602" s="5">
        <v>46114.0</v>
      </c>
      <c r="B602" s="6">
        <f t="shared" si="1"/>
        <v>14</v>
      </c>
      <c r="C602" s="7" t="s">
        <v>32</v>
      </c>
      <c r="D602" s="8">
        <v>50.0</v>
      </c>
      <c r="E602" s="7" t="s">
        <v>19</v>
      </c>
      <c r="F602" s="10" t="str">
        <f>VLOOKUP(E602,BASE_VEICULOS!A:G,7,0)</f>
        <v>PROF - 07001 - MANUTENÇÃO PREDIAL- PROFARMA-2025</v>
      </c>
      <c r="G602" s="11" t="str">
        <f>IFERROR(VLOOKUP(E602,BASE_VEICULOS!$A:$B,2,0),"")</f>
        <v>TEW9A24</v>
      </c>
      <c r="H602" s="19"/>
      <c r="I602" s="20">
        <f t="shared" si="2"/>
        <v>46113</v>
      </c>
    </row>
    <row r="603" ht="22.5" hidden="1" customHeight="1">
      <c r="A603" s="5">
        <v>46114.0</v>
      </c>
      <c r="B603" s="6">
        <f t="shared" si="1"/>
        <v>14</v>
      </c>
      <c r="C603" s="7" t="s">
        <v>32</v>
      </c>
      <c r="D603" s="8">
        <v>40.0</v>
      </c>
      <c r="E603" s="7" t="s">
        <v>13</v>
      </c>
      <c r="F603" s="10" t="str">
        <f>VLOOKUP(E603,BASE_VEICULOS!A:G,7,0)</f>
        <v>FAC - 140005 - SPOT MANUTENÇÃO DPSP 2025</v>
      </c>
      <c r="G603" s="11" t="str">
        <f>IFERROR(VLOOKUP(E603,BASE_VEICULOS!$A:$B,2,0),"")</f>
        <v>FGO3C61</v>
      </c>
      <c r="H603" s="19"/>
      <c r="I603" s="20">
        <f t="shared" si="2"/>
        <v>46113</v>
      </c>
    </row>
    <row r="604" ht="22.5" hidden="1" customHeight="1">
      <c r="A604" s="5">
        <v>46114.0</v>
      </c>
      <c r="B604" s="6">
        <f t="shared" si="1"/>
        <v>14</v>
      </c>
      <c r="C604" s="7" t="s">
        <v>32</v>
      </c>
      <c r="D604" s="8">
        <v>50.0</v>
      </c>
      <c r="E604" s="7" t="s">
        <v>30</v>
      </c>
      <c r="F604" s="10" t="str">
        <f>VLOOKUP(E604,BASE_VEICULOS!A:G,7,0)</f>
        <v>#N/A</v>
      </c>
      <c r="G604" s="11" t="str">
        <f>IFERROR(VLOOKUP(E604,BASE_VEICULOS!$A:$B,2,0),"")</f>
        <v/>
      </c>
      <c r="H604" s="19"/>
      <c r="I604" s="20">
        <f t="shared" si="2"/>
        <v>46113</v>
      </c>
    </row>
    <row r="605" ht="22.5" hidden="1" customHeight="1">
      <c r="A605" s="5">
        <v>46114.0</v>
      </c>
      <c r="B605" s="6">
        <f t="shared" si="1"/>
        <v>14</v>
      </c>
      <c r="C605" s="7" t="s">
        <v>32</v>
      </c>
      <c r="D605" s="8">
        <v>50.0</v>
      </c>
      <c r="E605" s="7" t="s">
        <v>14</v>
      </c>
      <c r="F605" s="10" t="str">
        <f>VLOOKUP(E605,BASE_VEICULOS!A:G,7,0)</f>
        <v>FAC - 140004 - MANUTENÇÃO PREDIAL DPSP 2025</v>
      </c>
      <c r="G605" s="11" t="str">
        <f>IFERROR(VLOOKUP(E605,BASE_VEICULOS!$A:$B,2,0),"")</f>
        <v>FOK8A73</v>
      </c>
      <c r="H605" s="19"/>
      <c r="I605" s="20">
        <f t="shared" si="2"/>
        <v>46113</v>
      </c>
    </row>
    <row r="606" ht="22.5" hidden="1" customHeight="1">
      <c r="A606" s="5">
        <v>46115.0</v>
      </c>
      <c r="B606" s="6">
        <f t="shared" si="1"/>
        <v>14</v>
      </c>
      <c r="C606" s="7" t="s">
        <v>32</v>
      </c>
      <c r="D606" s="8">
        <v>100.0</v>
      </c>
      <c r="E606" s="7" t="s">
        <v>14</v>
      </c>
      <c r="F606" s="10" t="str">
        <f>VLOOKUP(E606,BASE_VEICULOS!A:G,7,0)</f>
        <v>FAC - 140004 - MANUTENÇÃO PREDIAL DPSP 2025</v>
      </c>
      <c r="G606" s="11" t="str">
        <f>IFERROR(VLOOKUP(E606,BASE_VEICULOS!$A:$B,2,0),"")</f>
        <v>FOK8A73</v>
      </c>
      <c r="H606" s="19"/>
      <c r="I606" s="20">
        <f t="shared" si="2"/>
        <v>46113</v>
      </c>
    </row>
    <row r="607" ht="22.5" hidden="1" customHeight="1">
      <c r="A607" s="5">
        <v>46115.0</v>
      </c>
      <c r="B607" s="6">
        <f t="shared" si="1"/>
        <v>14</v>
      </c>
      <c r="C607" s="7" t="s">
        <v>32</v>
      </c>
      <c r="D607" s="8">
        <v>70.0</v>
      </c>
      <c r="E607" s="7" t="s">
        <v>23</v>
      </c>
      <c r="F607" s="10" t="str">
        <f>VLOOKUP(E607,BASE_VEICULOS!A:G,7,0)</f>
        <v>PROF - 07001 - MANUTENÇÃO PREDIAL- PROFARMA-2025</v>
      </c>
      <c r="G607" s="11" t="str">
        <f>IFERROR(VLOOKUP(E607,BASE_VEICULOS!$A:$B,2,0),"")</f>
        <v>TEH3I02</v>
      </c>
      <c r="H607" s="19"/>
      <c r="I607" s="20">
        <f t="shared" si="2"/>
        <v>46113</v>
      </c>
    </row>
    <row r="608" ht="22.5" hidden="1" customHeight="1">
      <c r="A608" s="5">
        <v>46116.0</v>
      </c>
      <c r="B608" s="6">
        <f t="shared" si="1"/>
        <v>14</v>
      </c>
      <c r="C608" s="7" t="s">
        <v>32</v>
      </c>
      <c r="D608" s="8">
        <v>100.0</v>
      </c>
      <c r="E608" s="7" t="s">
        <v>21</v>
      </c>
      <c r="F608" s="10" t="str">
        <f>VLOOKUP(E608,BASE_VEICULOS!A:G,7,0)</f>
        <v>PROF - 07001 - MANUTENÇÃO PREDIAL- PROFARMA-2025</v>
      </c>
      <c r="G608" s="11" t="str">
        <f>IFERROR(VLOOKUP(E608,BASE_VEICULOS!$A:$B,2,0),"")</f>
        <v>TEW9A33</v>
      </c>
      <c r="H608" s="19"/>
      <c r="I608" s="20">
        <f t="shared" si="2"/>
        <v>46113</v>
      </c>
    </row>
    <row r="609" ht="22.5" hidden="1" customHeight="1">
      <c r="A609" s="5">
        <v>46116.0</v>
      </c>
      <c r="B609" s="6">
        <f t="shared" si="1"/>
        <v>14</v>
      </c>
      <c r="C609" s="7" t="s">
        <v>32</v>
      </c>
      <c r="D609" s="8">
        <v>100.0</v>
      </c>
      <c r="E609" s="7" t="s">
        <v>14</v>
      </c>
      <c r="F609" s="10" t="str">
        <f>VLOOKUP(E609,BASE_VEICULOS!A:G,7,0)</f>
        <v>FAC - 140004 - MANUTENÇÃO PREDIAL DPSP 2025</v>
      </c>
      <c r="G609" s="11" t="str">
        <f>IFERROR(VLOOKUP(E609,BASE_VEICULOS!$A:$B,2,0),"")</f>
        <v>FOK8A73</v>
      </c>
      <c r="H609" s="19"/>
      <c r="I609" s="20">
        <f t="shared" si="2"/>
        <v>46113</v>
      </c>
    </row>
    <row r="610" ht="22.5" hidden="1" customHeight="1">
      <c r="A610" s="5">
        <v>46116.0</v>
      </c>
      <c r="B610" s="6">
        <f t="shared" si="1"/>
        <v>14</v>
      </c>
      <c r="C610" s="7" t="s">
        <v>32</v>
      </c>
      <c r="D610" s="8">
        <v>50.0</v>
      </c>
      <c r="E610" s="7" t="s">
        <v>21</v>
      </c>
      <c r="F610" s="10" t="str">
        <f>VLOOKUP(E610,BASE_VEICULOS!A:G,7,0)</f>
        <v>PROF - 07001 - MANUTENÇÃO PREDIAL- PROFARMA-2025</v>
      </c>
      <c r="G610" s="11" t="str">
        <f>IFERROR(VLOOKUP(E610,BASE_VEICULOS!$A:$B,2,0),"")</f>
        <v>TEW9A33</v>
      </c>
      <c r="H610" s="19"/>
      <c r="I610" s="20">
        <f t="shared" si="2"/>
        <v>46113</v>
      </c>
    </row>
    <row r="611" ht="22.5" hidden="1" customHeight="1">
      <c r="A611" s="5">
        <v>46117.0</v>
      </c>
      <c r="B611" s="6">
        <f t="shared" si="1"/>
        <v>14</v>
      </c>
      <c r="C611" s="7" t="s">
        <v>32</v>
      </c>
      <c r="D611" s="8">
        <v>50.0</v>
      </c>
      <c r="E611" s="7" t="s">
        <v>14</v>
      </c>
      <c r="F611" s="10" t="str">
        <f>VLOOKUP(E611,BASE_VEICULOS!A:G,7,0)</f>
        <v>FAC - 140004 - MANUTENÇÃO PREDIAL DPSP 2025</v>
      </c>
      <c r="G611" s="11" t="str">
        <f>IFERROR(VLOOKUP(E611,BASE_VEICULOS!$A:$B,2,0),"")</f>
        <v>FOK8A73</v>
      </c>
      <c r="H611" s="19"/>
      <c r="I611" s="20">
        <f t="shared" si="2"/>
        <v>46113</v>
      </c>
    </row>
    <row r="612" ht="22.5" hidden="1" customHeight="1">
      <c r="A612" s="5">
        <v>46118.0</v>
      </c>
      <c r="B612" s="6">
        <f t="shared" si="1"/>
        <v>15</v>
      </c>
      <c r="C612" s="7" t="s">
        <v>32</v>
      </c>
      <c r="D612" s="8">
        <v>50.02</v>
      </c>
      <c r="E612" s="7" t="s">
        <v>29</v>
      </c>
      <c r="F612" s="10" t="str">
        <f>VLOOKUP(E612,BASE_VEICULOS!A:G,7,0)</f>
        <v>PROF - 07001 - MANUTENÇÃO PREDIAL- PROFARMA-2025</v>
      </c>
      <c r="G612" s="11" t="str">
        <f>IFERROR(VLOOKUP(E612,BASE_VEICULOS!$A:$B,2,0),"")</f>
        <v>TEQ2I74</v>
      </c>
      <c r="H612" s="19"/>
      <c r="I612" s="20">
        <f t="shared" si="2"/>
        <v>46113</v>
      </c>
    </row>
    <row r="613" ht="22.5" hidden="1" customHeight="1">
      <c r="A613" s="5">
        <v>46118.0</v>
      </c>
      <c r="B613" s="6">
        <f t="shared" si="1"/>
        <v>15</v>
      </c>
      <c r="C613" s="7" t="s">
        <v>32</v>
      </c>
      <c r="D613" s="8">
        <v>60.0</v>
      </c>
      <c r="E613" s="7" t="s">
        <v>15</v>
      </c>
      <c r="F613" s="10" t="str">
        <f>VLOOKUP(E613,BASE_VEICULOS!A:G,7,0)</f>
        <v>FAC - 140005 - SPOT MANUTENÇÃO DPSP 2025</v>
      </c>
      <c r="G613" s="11" t="str">
        <f>IFERROR(VLOOKUP(E613,BASE_VEICULOS!$A:$B,2,0),"")</f>
        <v>EWH1B84</v>
      </c>
      <c r="H613" s="19"/>
      <c r="I613" s="20">
        <f t="shared" si="2"/>
        <v>46113</v>
      </c>
    </row>
    <row r="614" ht="22.5" hidden="1" customHeight="1">
      <c r="A614" s="5">
        <v>46118.0</v>
      </c>
      <c r="B614" s="6">
        <f t="shared" si="1"/>
        <v>15</v>
      </c>
      <c r="C614" s="7" t="s">
        <v>32</v>
      </c>
      <c r="D614" s="8">
        <v>75.0</v>
      </c>
      <c r="E614" s="7" t="s">
        <v>10</v>
      </c>
      <c r="F614" s="10" t="str">
        <f>VLOOKUP(E614,BASE_VEICULOS!A:G,7,0)</f>
        <v>FAC - 140004 - MANUTENÇÃO PREDIAL DPSP 2025</v>
      </c>
      <c r="G614" s="11" t="str">
        <f>IFERROR(VLOOKUP(E614,BASE_VEICULOS!$A:$B,2,0),"")</f>
        <v>TEW9A25</v>
      </c>
      <c r="H614" s="19"/>
      <c r="I614" s="20">
        <f t="shared" si="2"/>
        <v>46113</v>
      </c>
    </row>
    <row r="615" ht="22.5" hidden="1" customHeight="1">
      <c r="A615" s="5">
        <v>46118.0</v>
      </c>
      <c r="B615" s="6">
        <f t="shared" si="1"/>
        <v>15</v>
      </c>
      <c r="C615" s="7" t="s">
        <v>32</v>
      </c>
      <c r="D615" s="8">
        <v>90.0</v>
      </c>
      <c r="E615" s="7" t="s">
        <v>23</v>
      </c>
      <c r="F615" s="10" t="str">
        <f>VLOOKUP(E615,BASE_VEICULOS!A:G,7,0)</f>
        <v>PROF - 07001 - MANUTENÇÃO PREDIAL- PROFARMA-2025</v>
      </c>
      <c r="G615" s="11" t="str">
        <f>IFERROR(VLOOKUP(E615,BASE_VEICULOS!$A:$B,2,0),"")</f>
        <v>TEH3I02</v>
      </c>
      <c r="H615" s="19"/>
      <c r="I615" s="20">
        <f t="shared" si="2"/>
        <v>46113</v>
      </c>
    </row>
    <row r="616" ht="22.5" hidden="1" customHeight="1">
      <c r="A616" s="5">
        <v>46118.0</v>
      </c>
      <c r="B616" s="6">
        <f t="shared" si="1"/>
        <v>15</v>
      </c>
      <c r="C616" s="7" t="s">
        <v>32</v>
      </c>
      <c r="D616" s="8">
        <v>50.0</v>
      </c>
      <c r="E616" s="7" t="s">
        <v>22</v>
      </c>
      <c r="F616" s="10" t="str">
        <f>VLOOKUP(E616,BASE_VEICULOS!A:G,7,0)</f>
        <v>PROF - 07001 - MANUTENÇÃO PREDIAL- PROFARMA-2025</v>
      </c>
      <c r="G616" s="11" t="str">
        <f>IFERROR(VLOOKUP(E616,BASE_VEICULOS!$A:$B,2,0),"")</f>
        <v>TET5H37</v>
      </c>
      <c r="H616" s="19"/>
      <c r="I616" s="20">
        <f t="shared" si="2"/>
        <v>46113</v>
      </c>
    </row>
    <row r="617" ht="22.5" hidden="1" customHeight="1">
      <c r="A617" s="5">
        <v>46118.0</v>
      </c>
      <c r="B617" s="6">
        <f t="shared" si="1"/>
        <v>15</v>
      </c>
      <c r="C617" s="7" t="s">
        <v>32</v>
      </c>
      <c r="D617" s="8">
        <v>50.0</v>
      </c>
      <c r="E617" s="7" t="s">
        <v>34</v>
      </c>
      <c r="F617" s="10" t="str">
        <f>VLOOKUP(E617,BASE_VEICULOS!A:G,7,0)</f>
        <v>PROF - 07001 - MANUTENÇÃO PREDIAL- PROFARMA-2025</v>
      </c>
      <c r="G617" s="11" t="str">
        <f>IFERROR(VLOOKUP(E617,BASE_VEICULOS!$A:$B,2,0),"")</f>
        <v>SRU8D16</v>
      </c>
      <c r="H617" s="19"/>
      <c r="I617" s="20">
        <f t="shared" si="2"/>
        <v>46113</v>
      </c>
    </row>
    <row r="618" ht="22.5" hidden="1" customHeight="1">
      <c r="A618" s="5">
        <v>46118.0</v>
      </c>
      <c r="B618" s="6">
        <f t="shared" si="1"/>
        <v>15</v>
      </c>
      <c r="C618" s="7" t="s">
        <v>32</v>
      </c>
      <c r="D618" s="8">
        <v>50.0</v>
      </c>
      <c r="E618" s="7" t="s">
        <v>16</v>
      </c>
      <c r="F618" s="10" t="str">
        <f>VLOOKUP(E618,BASE_VEICULOS!A:G,7,0)</f>
        <v>FAC - 140005 - SPOT MANUTENÇÃO DPSP 2025</v>
      </c>
      <c r="G618" s="11" t="str">
        <f>IFERROR(VLOOKUP(E618,BASE_VEICULOS!$A:$B,2,0),"")</f>
        <v>TEW9A27</v>
      </c>
      <c r="H618" s="19"/>
      <c r="I618" s="20">
        <f t="shared" si="2"/>
        <v>46113</v>
      </c>
    </row>
    <row r="619" ht="22.5" hidden="1" customHeight="1">
      <c r="A619" s="5">
        <v>46118.0</v>
      </c>
      <c r="B619" s="6">
        <f t="shared" si="1"/>
        <v>15</v>
      </c>
      <c r="C619" s="7" t="s">
        <v>32</v>
      </c>
      <c r="D619" s="8">
        <v>150.0</v>
      </c>
      <c r="E619" s="7" t="s">
        <v>18</v>
      </c>
      <c r="F619" s="10" t="str">
        <f>VLOOKUP(E619,BASE_VEICULOS!A:G,7,0)</f>
        <v>FAC - 140004 - MANUTENÇÃO PREDIAL DPSP 2025</v>
      </c>
      <c r="G619" s="11" t="str">
        <f>IFERROR(VLOOKUP(E619,BASE_VEICULOS!$A:$B,2,0),"")</f>
        <v>TEW9A29</v>
      </c>
      <c r="H619" s="19"/>
      <c r="I619" s="20">
        <f t="shared" si="2"/>
        <v>46113</v>
      </c>
    </row>
    <row r="620" ht="22.5" hidden="1" customHeight="1">
      <c r="A620" s="5">
        <v>46118.0</v>
      </c>
      <c r="B620" s="6">
        <f t="shared" si="1"/>
        <v>15</v>
      </c>
      <c r="C620" s="7" t="s">
        <v>32</v>
      </c>
      <c r="D620" s="8">
        <v>100.01</v>
      </c>
      <c r="E620" s="7" t="s">
        <v>22</v>
      </c>
      <c r="F620" s="10" t="str">
        <f>VLOOKUP(E620,BASE_VEICULOS!A:G,7,0)</f>
        <v>PROF - 07001 - MANUTENÇÃO PREDIAL- PROFARMA-2025</v>
      </c>
      <c r="G620" s="11" t="str">
        <f>IFERROR(VLOOKUP(E620,BASE_VEICULOS!$A:$B,2,0),"")</f>
        <v>TET5H37</v>
      </c>
      <c r="H620" s="19"/>
      <c r="I620" s="20">
        <f t="shared" si="2"/>
        <v>46113</v>
      </c>
    </row>
    <row r="621" ht="22.5" hidden="1" customHeight="1">
      <c r="A621" s="5">
        <v>46116.0</v>
      </c>
      <c r="B621" s="6">
        <f t="shared" si="1"/>
        <v>14</v>
      </c>
      <c r="C621" s="7" t="s">
        <v>32</v>
      </c>
      <c r="D621" s="8">
        <v>254.97</v>
      </c>
      <c r="E621" s="7" t="s">
        <v>25</v>
      </c>
      <c r="F621" s="10" t="str">
        <f>VLOOKUP(E621,BASE_VEICULOS!A:G,7,0)</f>
        <v>PROF - 07001 - MANUTENÇÃO PREDIAL- PROFARMA-2025</v>
      </c>
      <c r="G621" s="11" t="str">
        <f>IFERROR(VLOOKUP(E621,BASE_VEICULOS!$A:$B,2,0),"")</f>
        <v>TEW9A26</v>
      </c>
      <c r="H621" s="19"/>
      <c r="I621" s="20">
        <f t="shared" si="2"/>
        <v>46113</v>
      </c>
    </row>
    <row r="622" ht="22.5" hidden="1" customHeight="1">
      <c r="A622" s="5">
        <v>46118.0</v>
      </c>
      <c r="B622" s="6">
        <f t="shared" si="1"/>
        <v>15</v>
      </c>
      <c r="C622" s="7" t="s">
        <v>32</v>
      </c>
      <c r="D622" s="8">
        <v>80.0</v>
      </c>
      <c r="E622" s="7" t="s">
        <v>24</v>
      </c>
      <c r="F622" s="10" t="str">
        <f>VLOOKUP(E622,BASE_VEICULOS!A:G,7,0)</f>
        <v>PROF - 07001 - MANUTENÇÃO PREDIAL- PROFARMA-2025</v>
      </c>
      <c r="G622" s="11" t="str">
        <f>IFERROR(VLOOKUP(E622,BASE_VEICULOS!$A:$B,2,0),"")</f>
        <v>TEW9A23</v>
      </c>
      <c r="H622" s="19"/>
      <c r="I622" s="20">
        <f t="shared" si="2"/>
        <v>46113</v>
      </c>
    </row>
    <row r="623" ht="22.5" hidden="1" customHeight="1">
      <c r="A623" s="5">
        <v>46118.0</v>
      </c>
      <c r="B623" s="6">
        <f t="shared" si="1"/>
        <v>15</v>
      </c>
      <c r="C623" s="7" t="s">
        <v>32</v>
      </c>
      <c r="D623" s="8">
        <v>50.0</v>
      </c>
      <c r="E623" s="7" t="s">
        <v>33</v>
      </c>
      <c r="F623" s="10" t="str">
        <f>VLOOKUP(E623,BASE_VEICULOS!A:G,7,0)</f>
        <v>PROF - 07001 - MANUTENÇÃO PREDIAL- PROFARMA-2025</v>
      </c>
      <c r="G623" s="11" t="str">
        <f>IFERROR(VLOOKUP(E623,BASE_VEICULOS!$A:$B,2,0),"")</f>
        <v>TEW9A30</v>
      </c>
      <c r="H623" s="19"/>
      <c r="I623" s="20">
        <f t="shared" si="2"/>
        <v>46113</v>
      </c>
    </row>
    <row r="624" ht="22.5" hidden="1" customHeight="1">
      <c r="A624" s="5">
        <v>46118.0</v>
      </c>
      <c r="B624" s="6">
        <f t="shared" si="1"/>
        <v>15</v>
      </c>
      <c r="C624" s="7" t="s">
        <v>32</v>
      </c>
      <c r="D624" s="8">
        <v>40.0</v>
      </c>
      <c r="E624" s="7" t="s">
        <v>15</v>
      </c>
      <c r="F624" s="10" t="str">
        <f>VLOOKUP(E624,BASE_VEICULOS!A:G,7,0)</f>
        <v>FAC - 140005 - SPOT MANUTENÇÃO DPSP 2025</v>
      </c>
      <c r="G624" s="11" t="str">
        <f>IFERROR(VLOOKUP(E624,BASE_VEICULOS!$A:$B,2,0),"")</f>
        <v>EWH1B84</v>
      </c>
      <c r="H624" s="19"/>
      <c r="I624" s="20">
        <f t="shared" si="2"/>
        <v>46113</v>
      </c>
    </row>
    <row r="625" ht="22.5" hidden="1" customHeight="1">
      <c r="A625" s="5">
        <v>46118.0</v>
      </c>
      <c r="B625" s="6">
        <f t="shared" si="1"/>
        <v>15</v>
      </c>
      <c r="C625" s="7" t="s">
        <v>32</v>
      </c>
      <c r="D625" s="8">
        <v>50.0</v>
      </c>
      <c r="E625" s="7" t="s">
        <v>20</v>
      </c>
      <c r="F625" s="10" t="str">
        <f>VLOOKUP(E625,BASE_VEICULOS!A:G,7,0)</f>
        <v>PROF - 07001 - MANUTENÇÃO PREDIAL- PROFARMA-2025</v>
      </c>
      <c r="G625" s="11" t="str">
        <f>IFERROR(VLOOKUP(E625,BASE_VEICULOS!$A:$B,2,0),"")</f>
        <v>TEW9A34</v>
      </c>
      <c r="H625" s="19"/>
      <c r="I625" s="20">
        <f t="shared" si="2"/>
        <v>46113</v>
      </c>
    </row>
    <row r="626" ht="22.5" hidden="1" customHeight="1">
      <c r="A626" s="5">
        <v>46118.0</v>
      </c>
      <c r="B626" s="6">
        <f t="shared" si="1"/>
        <v>15</v>
      </c>
      <c r="C626" s="7" t="s">
        <v>32</v>
      </c>
      <c r="D626" s="8">
        <v>40.0</v>
      </c>
      <c r="E626" s="7" t="s">
        <v>21</v>
      </c>
      <c r="F626" s="10" t="str">
        <f>VLOOKUP(E626,BASE_VEICULOS!A:G,7,0)</f>
        <v>PROF - 07001 - MANUTENÇÃO PREDIAL- PROFARMA-2025</v>
      </c>
      <c r="G626" s="11" t="str">
        <f>IFERROR(VLOOKUP(E626,BASE_VEICULOS!$A:$B,2,0),"")</f>
        <v>TEW9A33</v>
      </c>
      <c r="H626" s="19"/>
      <c r="I626" s="20">
        <f t="shared" si="2"/>
        <v>46113</v>
      </c>
    </row>
    <row r="627" ht="22.5" hidden="1" customHeight="1">
      <c r="A627" s="5">
        <v>46118.0</v>
      </c>
      <c r="B627" s="6">
        <f t="shared" si="1"/>
        <v>15</v>
      </c>
      <c r="C627" s="7" t="s">
        <v>32</v>
      </c>
      <c r="D627" s="8">
        <v>50.0</v>
      </c>
      <c r="E627" s="7" t="s">
        <v>12</v>
      </c>
      <c r="F627" s="10" t="str">
        <f>VLOOKUP(E627,BASE_VEICULOS!A:G,7,0)</f>
        <v>FAC - 140004 - MANUTENÇÃO PREDIAL DPSP 2025</v>
      </c>
      <c r="G627" s="11" t="str">
        <f>IFERROR(VLOOKUP(E627,BASE_VEICULOS!$A:$B,2,0),"")</f>
        <v>FIL8C14</v>
      </c>
      <c r="H627" s="19"/>
      <c r="I627" s="20">
        <f t="shared" si="2"/>
        <v>46113</v>
      </c>
    </row>
    <row r="628" ht="22.5" hidden="1" customHeight="1">
      <c r="A628" s="5">
        <v>46119.0</v>
      </c>
      <c r="B628" s="6">
        <f t="shared" si="1"/>
        <v>15</v>
      </c>
      <c r="C628" s="7" t="s">
        <v>32</v>
      </c>
      <c r="D628" s="8">
        <v>70.0</v>
      </c>
      <c r="E628" s="7" t="s">
        <v>34</v>
      </c>
      <c r="F628" s="10" t="str">
        <f>VLOOKUP(E628,BASE_VEICULOS!A:G,7,0)</f>
        <v>PROF - 07001 - MANUTENÇÃO PREDIAL- PROFARMA-2025</v>
      </c>
      <c r="G628" s="11" t="str">
        <f>IFERROR(VLOOKUP(E628,BASE_VEICULOS!$A:$B,2,0),"")</f>
        <v>SRU8D16</v>
      </c>
      <c r="H628" s="19"/>
      <c r="I628" s="20">
        <f t="shared" si="2"/>
        <v>46113</v>
      </c>
    </row>
    <row r="629" ht="22.5" hidden="1" customHeight="1">
      <c r="A629" s="5">
        <v>46119.0</v>
      </c>
      <c r="B629" s="6">
        <f t="shared" si="1"/>
        <v>15</v>
      </c>
      <c r="C629" s="7" t="s">
        <v>32</v>
      </c>
      <c r="D629" s="8">
        <v>100.0</v>
      </c>
      <c r="E629" s="7" t="s">
        <v>24</v>
      </c>
      <c r="F629" s="10" t="str">
        <f>VLOOKUP(E629,BASE_VEICULOS!A:G,7,0)</f>
        <v>PROF - 07001 - MANUTENÇÃO PREDIAL- PROFARMA-2025</v>
      </c>
      <c r="G629" s="11" t="str">
        <f>IFERROR(VLOOKUP(E629,BASE_VEICULOS!$A:$B,2,0),"")</f>
        <v>TEW9A23</v>
      </c>
      <c r="H629" s="19"/>
      <c r="I629" s="20">
        <f t="shared" si="2"/>
        <v>46113</v>
      </c>
    </row>
    <row r="630" ht="22.5" hidden="1" customHeight="1">
      <c r="A630" s="5">
        <v>46119.0</v>
      </c>
      <c r="B630" s="6">
        <f t="shared" si="1"/>
        <v>15</v>
      </c>
      <c r="C630" s="7" t="s">
        <v>32</v>
      </c>
      <c r="D630" s="8">
        <v>95.0</v>
      </c>
      <c r="E630" s="7" t="s">
        <v>10</v>
      </c>
      <c r="F630" s="10" t="str">
        <f>VLOOKUP(E630,BASE_VEICULOS!A:G,7,0)</f>
        <v>FAC - 140004 - MANUTENÇÃO PREDIAL DPSP 2025</v>
      </c>
      <c r="G630" s="11" t="str">
        <f>IFERROR(VLOOKUP(E630,BASE_VEICULOS!$A:$B,2,0),"")</f>
        <v>TEW9A25</v>
      </c>
      <c r="H630" s="19"/>
      <c r="I630" s="20">
        <f t="shared" si="2"/>
        <v>46113</v>
      </c>
    </row>
    <row r="631" ht="22.5" hidden="1" customHeight="1">
      <c r="A631" s="5">
        <v>46119.0</v>
      </c>
      <c r="B631" s="6">
        <f t="shared" si="1"/>
        <v>15</v>
      </c>
      <c r="C631" s="7" t="s">
        <v>32</v>
      </c>
      <c r="D631" s="8">
        <v>80.0</v>
      </c>
      <c r="E631" s="7" t="s">
        <v>20</v>
      </c>
      <c r="F631" s="10" t="str">
        <f>VLOOKUP(E631,BASE_VEICULOS!A:G,7,0)</f>
        <v>PROF - 07001 - MANUTENÇÃO PREDIAL- PROFARMA-2025</v>
      </c>
      <c r="G631" s="11" t="str">
        <f>IFERROR(VLOOKUP(E631,BASE_VEICULOS!$A:$B,2,0),"")</f>
        <v>TEW9A34</v>
      </c>
      <c r="H631" s="19"/>
      <c r="I631" s="20">
        <f t="shared" si="2"/>
        <v>46113</v>
      </c>
    </row>
    <row r="632" ht="22.5" hidden="1" customHeight="1">
      <c r="A632" s="5">
        <v>46119.0</v>
      </c>
      <c r="B632" s="6">
        <f t="shared" si="1"/>
        <v>15</v>
      </c>
      <c r="C632" s="7" t="s">
        <v>32</v>
      </c>
      <c r="D632" s="8">
        <v>75.0</v>
      </c>
      <c r="E632" s="7" t="s">
        <v>33</v>
      </c>
      <c r="F632" s="10" t="str">
        <f>VLOOKUP(E632,BASE_VEICULOS!A:G,7,0)</f>
        <v>PROF - 07001 - MANUTENÇÃO PREDIAL- PROFARMA-2025</v>
      </c>
      <c r="G632" s="11" t="str">
        <f>IFERROR(VLOOKUP(E632,BASE_VEICULOS!$A:$B,2,0),"")</f>
        <v>TEW9A30</v>
      </c>
      <c r="H632" s="19"/>
      <c r="I632" s="20">
        <f t="shared" si="2"/>
        <v>46113</v>
      </c>
    </row>
    <row r="633" ht="22.5" hidden="1" customHeight="1">
      <c r="A633" s="5">
        <v>46119.0</v>
      </c>
      <c r="B633" s="6">
        <f t="shared" si="1"/>
        <v>15</v>
      </c>
      <c r="C633" s="7" t="s">
        <v>32</v>
      </c>
      <c r="D633" s="8">
        <v>95.0</v>
      </c>
      <c r="E633" s="7" t="s">
        <v>14</v>
      </c>
      <c r="F633" s="10" t="str">
        <f>VLOOKUP(E633,BASE_VEICULOS!A:G,7,0)</f>
        <v>FAC - 140004 - MANUTENÇÃO PREDIAL DPSP 2025</v>
      </c>
      <c r="G633" s="11" t="str">
        <f>IFERROR(VLOOKUP(E633,BASE_VEICULOS!$A:$B,2,0),"")</f>
        <v>FOK8A73</v>
      </c>
      <c r="H633" s="19"/>
      <c r="I633" s="20">
        <f t="shared" si="2"/>
        <v>46113</v>
      </c>
    </row>
    <row r="634" ht="22.5" hidden="1" customHeight="1">
      <c r="A634" s="5">
        <v>46119.0</v>
      </c>
      <c r="B634" s="6">
        <f t="shared" si="1"/>
        <v>15</v>
      </c>
      <c r="C634" s="7" t="s">
        <v>32</v>
      </c>
      <c r="D634" s="8">
        <v>50.0</v>
      </c>
      <c r="E634" s="7" t="s">
        <v>29</v>
      </c>
      <c r="F634" s="10" t="str">
        <f>VLOOKUP(E634,BASE_VEICULOS!A:G,7,0)</f>
        <v>PROF - 07001 - MANUTENÇÃO PREDIAL- PROFARMA-2025</v>
      </c>
      <c r="G634" s="11" t="str">
        <f>IFERROR(VLOOKUP(E634,BASE_VEICULOS!$A:$B,2,0),"")</f>
        <v>TEQ2I74</v>
      </c>
      <c r="H634" s="19"/>
      <c r="I634" s="20">
        <f t="shared" si="2"/>
        <v>46113</v>
      </c>
    </row>
    <row r="635" ht="22.5" hidden="1" customHeight="1">
      <c r="A635" s="5">
        <v>46119.0</v>
      </c>
      <c r="B635" s="6">
        <f t="shared" si="1"/>
        <v>15</v>
      </c>
      <c r="C635" s="7" t="s">
        <v>32</v>
      </c>
      <c r="D635" s="8">
        <v>200.0</v>
      </c>
      <c r="E635" s="7" t="s">
        <v>17</v>
      </c>
      <c r="F635" s="10" t="str">
        <f>VLOOKUP(E635,BASE_VEICULOS!A:G,7,0)</f>
        <v>#N/A</v>
      </c>
      <c r="G635" s="11" t="str">
        <f>IFERROR(VLOOKUP(E635,BASE_VEICULOS!$A:$B,2,0),"")</f>
        <v/>
      </c>
      <c r="H635" s="19"/>
      <c r="I635" s="20">
        <f t="shared" si="2"/>
        <v>46113</v>
      </c>
    </row>
    <row r="636" ht="22.5" hidden="1" customHeight="1">
      <c r="A636" s="5">
        <v>46119.0</v>
      </c>
      <c r="B636" s="6">
        <f t="shared" si="1"/>
        <v>15</v>
      </c>
      <c r="C636" s="7" t="s">
        <v>32</v>
      </c>
      <c r="D636" s="8">
        <v>60.0</v>
      </c>
      <c r="E636" s="7" t="s">
        <v>30</v>
      </c>
      <c r="F636" s="10" t="str">
        <f>VLOOKUP(E636,BASE_VEICULOS!A:G,7,0)</f>
        <v>#N/A</v>
      </c>
      <c r="G636" s="11" t="str">
        <f>IFERROR(VLOOKUP(E636,BASE_VEICULOS!$A:$B,2,0),"")</f>
        <v/>
      </c>
      <c r="H636" s="19"/>
      <c r="I636" s="20">
        <f t="shared" si="2"/>
        <v>46113</v>
      </c>
    </row>
    <row r="637" ht="22.5" hidden="1" customHeight="1">
      <c r="A637" s="5">
        <v>46119.0</v>
      </c>
      <c r="B637" s="6">
        <f t="shared" si="1"/>
        <v>15</v>
      </c>
      <c r="C637" s="7" t="s">
        <v>32</v>
      </c>
      <c r="D637" s="8">
        <v>60.0</v>
      </c>
      <c r="E637" s="7" t="s">
        <v>30</v>
      </c>
      <c r="F637" s="10" t="str">
        <f>VLOOKUP(E637,BASE_VEICULOS!A:G,7,0)</f>
        <v>#N/A</v>
      </c>
      <c r="G637" s="11" t="str">
        <f>IFERROR(VLOOKUP(E637,BASE_VEICULOS!$A:$B,2,0),"")</f>
        <v/>
      </c>
      <c r="H637" s="19"/>
      <c r="I637" s="20">
        <f t="shared" si="2"/>
        <v>46113</v>
      </c>
    </row>
    <row r="638" ht="22.5" hidden="1" customHeight="1">
      <c r="A638" s="5">
        <v>46119.0</v>
      </c>
      <c r="B638" s="6">
        <f t="shared" si="1"/>
        <v>15</v>
      </c>
      <c r="C638" s="7" t="s">
        <v>32</v>
      </c>
      <c r="D638" s="8">
        <v>75.0</v>
      </c>
      <c r="E638" s="7" t="s">
        <v>12</v>
      </c>
      <c r="F638" s="10" t="str">
        <f>VLOOKUP(E638,BASE_VEICULOS!A:G,7,0)</f>
        <v>FAC - 140004 - MANUTENÇÃO PREDIAL DPSP 2025</v>
      </c>
      <c r="G638" s="11" t="str">
        <f>IFERROR(VLOOKUP(E638,BASE_VEICULOS!$A:$B,2,0),"")</f>
        <v>FIL8C14</v>
      </c>
      <c r="H638" s="19"/>
      <c r="I638" s="20">
        <f t="shared" si="2"/>
        <v>46113</v>
      </c>
    </row>
    <row r="639" ht="22.5" hidden="1" customHeight="1">
      <c r="A639" s="5">
        <v>46118.0</v>
      </c>
      <c r="B639" s="6">
        <f t="shared" si="1"/>
        <v>15</v>
      </c>
      <c r="C639" s="7" t="s">
        <v>32</v>
      </c>
      <c r="D639" s="8">
        <v>50.0</v>
      </c>
      <c r="E639" s="7" t="s">
        <v>25</v>
      </c>
      <c r="F639" s="10" t="str">
        <f>VLOOKUP(E639,BASE_VEICULOS!A:G,7,0)</f>
        <v>PROF - 07001 - MANUTENÇÃO PREDIAL- PROFARMA-2025</v>
      </c>
      <c r="G639" s="11" t="str">
        <f>IFERROR(VLOOKUP(E639,BASE_VEICULOS!$A:$B,2,0),"")</f>
        <v>TEW9A26</v>
      </c>
      <c r="H639" s="19"/>
      <c r="I639" s="20">
        <f t="shared" si="2"/>
        <v>46113</v>
      </c>
    </row>
    <row r="640" ht="22.5" hidden="1" customHeight="1">
      <c r="A640" s="5">
        <v>46119.0</v>
      </c>
      <c r="B640" s="6">
        <f t="shared" si="1"/>
        <v>15</v>
      </c>
      <c r="C640" s="7" t="s">
        <v>32</v>
      </c>
      <c r="D640" s="8">
        <v>150.0</v>
      </c>
      <c r="E640" s="7" t="s">
        <v>25</v>
      </c>
      <c r="F640" s="10" t="str">
        <f>VLOOKUP(E640,BASE_VEICULOS!A:G,7,0)</f>
        <v>PROF - 07001 - MANUTENÇÃO PREDIAL- PROFARMA-2025</v>
      </c>
      <c r="G640" s="11" t="str">
        <f>IFERROR(VLOOKUP(E640,BASE_VEICULOS!$A:$B,2,0),"")</f>
        <v>TEW9A26</v>
      </c>
      <c r="H640" s="19"/>
      <c r="I640" s="20">
        <f t="shared" si="2"/>
        <v>46113</v>
      </c>
    </row>
    <row r="641" ht="22.5" hidden="1" customHeight="1">
      <c r="A641" s="5">
        <v>46119.0</v>
      </c>
      <c r="B641" s="6">
        <f t="shared" si="1"/>
        <v>15</v>
      </c>
      <c r="C641" s="7" t="s">
        <v>32</v>
      </c>
      <c r="D641" s="8">
        <v>60.0</v>
      </c>
      <c r="E641" s="7" t="s">
        <v>21</v>
      </c>
      <c r="F641" s="10" t="str">
        <f>VLOOKUP(E641,BASE_VEICULOS!A:G,7,0)</f>
        <v>PROF - 07001 - MANUTENÇÃO PREDIAL- PROFARMA-2025</v>
      </c>
      <c r="G641" s="11" t="str">
        <f>IFERROR(VLOOKUP(E641,BASE_VEICULOS!$A:$B,2,0),"")</f>
        <v>TEW9A33</v>
      </c>
      <c r="H641" s="19"/>
      <c r="I641" s="20">
        <f t="shared" si="2"/>
        <v>46113</v>
      </c>
    </row>
    <row r="642" ht="22.5" hidden="1" customHeight="1">
      <c r="A642" s="5">
        <v>46119.0</v>
      </c>
      <c r="B642" s="6">
        <f t="shared" si="1"/>
        <v>15</v>
      </c>
      <c r="C642" s="7" t="s">
        <v>32</v>
      </c>
      <c r="D642" s="8">
        <v>120.0</v>
      </c>
      <c r="E642" s="7" t="s">
        <v>19</v>
      </c>
      <c r="F642" s="10" t="str">
        <f>VLOOKUP(E642,BASE_VEICULOS!A:G,7,0)</f>
        <v>PROF - 07001 - MANUTENÇÃO PREDIAL- PROFARMA-2025</v>
      </c>
      <c r="G642" s="11" t="str">
        <f>IFERROR(VLOOKUP(E642,BASE_VEICULOS!$A:$B,2,0),"")</f>
        <v>TEW9A24</v>
      </c>
      <c r="H642" s="19"/>
      <c r="I642" s="20">
        <f t="shared" si="2"/>
        <v>46113</v>
      </c>
    </row>
    <row r="643" ht="22.5" hidden="1" customHeight="1">
      <c r="A643" s="5">
        <v>46119.0</v>
      </c>
      <c r="B643" s="6">
        <f t="shared" si="1"/>
        <v>15</v>
      </c>
      <c r="C643" s="7" t="s">
        <v>32</v>
      </c>
      <c r="D643" s="8">
        <v>65.0</v>
      </c>
      <c r="E643" s="7" t="s">
        <v>26</v>
      </c>
      <c r="F643" s="10" t="str">
        <f>VLOOKUP(E643,BASE_VEICULOS!A:G,7,0)</f>
        <v>#N/A</v>
      </c>
      <c r="G643" s="11" t="str">
        <f>IFERROR(VLOOKUP(E643,BASE_VEICULOS!$A:$B,2,0),"")</f>
        <v/>
      </c>
      <c r="H643" s="19"/>
      <c r="I643" s="20">
        <f t="shared" si="2"/>
        <v>46113</v>
      </c>
    </row>
    <row r="644" ht="22.5" hidden="1" customHeight="1">
      <c r="A644" s="5">
        <v>46119.0</v>
      </c>
      <c r="B644" s="6">
        <f t="shared" si="1"/>
        <v>15</v>
      </c>
      <c r="C644" s="7" t="s">
        <v>32</v>
      </c>
      <c r="D644" s="8">
        <v>90.0</v>
      </c>
      <c r="E644" s="7" t="s">
        <v>23</v>
      </c>
      <c r="F644" s="10" t="str">
        <f>VLOOKUP(E644,BASE_VEICULOS!A:G,7,0)</f>
        <v>PROF - 07001 - MANUTENÇÃO PREDIAL- PROFARMA-2025</v>
      </c>
      <c r="G644" s="11" t="str">
        <f>IFERROR(VLOOKUP(E644,BASE_VEICULOS!$A:$B,2,0),"")</f>
        <v>TEH3I02</v>
      </c>
      <c r="H644" s="19"/>
      <c r="I644" s="20">
        <f t="shared" si="2"/>
        <v>46113</v>
      </c>
    </row>
    <row r="645" ht="22.5" hidden="1" customHeight="1">
      <c r="A645" s="5">
        <v>46119.0</v>
      </c>
      <c r="B645" s="6">
        <f t="shared" si="1"/>
        <v>15</v>
      </c>
      <c r="C645" s="7" t="s">
        <v>32</v>
      </c>
      <c r="D645" s="8">
        <v>65.0</v>
      </c>
      <c r="E645" s="7" t="s">
        <v>29</v>
      </c>
      <c r="F645" s="10" t="str">
        <f>VLOOKUP(E645,BASE_VEICULOS!A:G,7,0)</f>
        <v>PROF - 07001 - MANUTENÇÃO PREDIAL- PROFARMA-2025</v>
      </c>
      <c r="G645" s="11" t="str">
        <f>IFERROR(VLOOKUP(E645,BASE_VEICULOS!$A:$B,2,0),"")</f>
        <v>TEQ2I74</v>
      </c>
      <c r="H645" s="19"/>
      <c r="I645" s="20">
        <f t="shared" si="2"/>
        <v>46113</v>
      </c>
    </row>
    <row r="646" ht="22.5" hidden="1" customHeight="1">
      <c r="A646" s="5">
        <v>46119.0</v>
      </c>
      <c r="B646" s="6">
        <f t="shared" si="1"/>
        <v>15</v>
      </c>
      <c r="C646" s="7" t="s">
        <v>32</v>
      </c>
      <c r="D646" s="8">
        <v>40.0</v>
      </c>
      <c r="E646" s="7" t="s">
        <v>11</v>
      </c>
      <c r="F646" s="10" t="str">
        <f>VLOOKUP(E646,BASE_VEICULOS!A:G,7,0)</f>
        <v>PROF - 07001 - MANUTENÇÃO PREDIAL- PROFARMA-2025</v>
      </c>
      <c r="G646" s="11" t="str">
        <f>IFERROR(VLOOKUP(E646,BASE_VEICULOS!$A:$B,2,0),"")</f>
        <v>TEW9A28</v>
      </c>
      <c r="H646" s="19"/>
      <c r="I646" s="20">
        <f t="shared" si="2"/>
        <v>46113</v>
      </c>
    </row>
    <row r="647" ht="22.5" hidden="1" customHeight="1">
      <c r="A647" s="5">
        <v>46119.0</v>
      </c>
      <c r="B647" s="6">
        <f t="shared" si="1"/>
        <v>15</v>
      </c>
      <c r="C647" s="7" t="s">
        <v>32</v>
      </c>
      <c r="D647" s="8">
        <v>150.0</v>
      </c>
      <c r="E647" s="7" t="s">
        <v>34</v>
      </c>
      <c r="F647" s="10" t="str">
        <f>VLOOKUP(E647,BASE_VEICULOS!A:G,7,0)</f>
        <v>PROF - 07001 - MANUTENÇÃO PREDIAL- PROFARMA-2025</v>
      </c>
      <c r="G647" s="11" t="str">
        <f>IFERROR(VLOOKUP(E647,BASE_VEICULOS!$A:$B,2,0),"")</f>
        <v>SRU8D16</v>
      </c>
      <c r="H647" s="19"/>
      <c r="I647" s="20">
        <f t="shared" si="2"/>
        <v>46113</v>
      </c>
    </row>
    <row r="648" ht="22.5" hidden="1" customHeight="1">
      <c r="A648" s="5">
        <v>46120.0</v>
      </c>
      <c r="B648" s="6">
        <f t="shared" si="1"/>
        <v>15</v>
      </c>
      <c r="C648" s="7" t="s">
        <v>32</v>
      </c>
      <c r="D648" s="8">
        <v>30.0</v>
      </c>
      <c r="E648" s="7" t="s">
        <v>30</v>
      </c>
      <c r="F648" s="10" t="str">
        <f>VLOOKUP(E648,BASE_VEICULOS!A:G,7,0)</f>
        <v>#N/A</v>
      </c>
      <c r="G648" s="11" t="str">
        <f>IFERROR(VLOOKUP(E648,BASE_VEICULOS!$A:$B,2,0),"")</f>
        <v/>
      </c>
      <c r="H648" s="19"/>
      <c r="I648" s="20">
        <f t="shared" si="2"/>
        <v>46113</v>
      </c>
    </row>
    <row r="649" ht="22.5" hidden="1" customHeight="1">
      <c r="A649" s="5">
        <v>46119.0</v>
      </c>
      <c r="B649" s="6">
        <f t="shared" si="1"/>
        <v>15</v>
      </c>
      <c r="C649" s="7" t="s">
        <v>32</v>
      </c>
      <c r="D649" s="8">
        <v>30.0</v>
      </c>
      <c r="E649" s="7" t="s">
        <v>10</v>
      </c>
      <c r="F649" s="10" t="str">
        <f>VLOOKUP(E649,BASE_VEICULOS!A:G,7,0)</f>
        <v>FAC - 140004 - MANUTENÇÃO PREDIAL DPSP 2025</v>
      </c>
      <c r="G649" s="11" t="str">
        <f>IFERROR(VLOOKUP(E649,BASE_VEICULOS!$A:$B,2,0),"")</f>
        <v>TEW9A25</v>
      </c>
      <c r="H649" s="19"/>
      <c r="I649" s="20">
        <f t="shared" si="2"/>
        <v>46113</v>
      </c>
    </row>
    <row r="650" ht="22.5" hidden="1" customHeight="1">
      <c r="A650" s="5">
        <v>46119.0</v>
      </c>
      <c r="B650" s="6">
        <f t="shared" si="1"/>
        <v>15</v>
      </c>
      <c r="C650" s="7" t="s">
        <v>32</v>
      </c>
      <c r="D650" s="8">
        <v>70.0</v>
      </c>
      <c r="E650" s="7" t="s">
        <v>17</v>
      </c>
      <c r="F650" s="10" t="str">
        <f>VLOOKUP(E650,BASE_VEICULOS!A:G,7,0)</f>
        <v>#N/A</v>
      </c>
      <c r="G650" s="11" t="str">
        <f>IFERROR(VLOOKUP(E650,BASE_VEICULOS!$A:$B,2,0),"")</f>
        <v/>
      </c>
      <c r="H650" s="19"/>
      <c r="I650" s="20">
        <f t="shared" si="2"/>
        <v>46113</v>
      </c>
    </row>
    <row r="651" ht="22.5" hidden="1" customHeight="1">
      <c r="A651" s="5">
        <v>46119.0</v>
      </c>
      <c r="B651" s="6">
        <f t="shared" si="1"/>
        <v>15</v>
      </c>
      <c r="C651" s="7" t="s">
        <v>32</v>
      </c>
      <c r="D651" s="8">
        <v>30.0</v>
      </c>
      <c r="E651" s="7" t="s">
        <v>29</v>
      </c>
      <c r="F651" s="10" t="str">
        <f>VLOOKUP(E651,BASE_VEICULOS!A:G,7,0)</f>
        <v>PROF - 07001 - MANUTENÇÃO PREDIAL- PROFARMA-2025</v>
      </c>
      <c r="G651" s="11" t="str">
        <f>IFERROR(VLOOKUP(E651,BASE_VEICULOS!$A:$B,2,0),"")</f>
        <v>TEQ2I74</v>
      </c>
      <c r="H651" s="19"/>
      <c r="I651" s="20">
        <f t="shared" si="2"/>
        <v>46113</v>
      </c>
    </row>
    <row r="652" ht="22.5" hidden="1" customHeight="1">
      <c r="A652" s="5">
        <v>46119.0</v>
      </c>
      <c r="B652" s="6">
        <f t="shared" si="1"/>
        <v>15</v>
      </c>
      <c r="C652" s="7" t="s">
        <v>32</v>
      </c>
      <c r="D652" s="8">
        <v>90.0</v>
      </c>
      <c r="E652" s="7" t="s">
        <v>16</v>
      </c>
      <c r="F652" s="10" t="str">
        <f>VLOOKUP(E652,BASE_VEICULOS!A:G,7,0)</f>
        <v>FAC - 140005 - SPOT MANUTENÇÃO DPSP 2025</v>
      </c>
      <c r="G652" s="11" t="str">
        <f>IFERROR(VLOOKUP(E652,BASE_VEICULOS!$A:$B,2,0),"")</f>
        <v>TEW9A27</v>
      </c>
      <c r="H652" s="19"/>
      <c r="I652" s="20">
        <f t="shared" si="2"/>
        <v>46113</v>
      </c>
    </row>
    <row r="653" ht="22.5" hidden="1" customHeight="1">
      <c r="A653" s="5">
        <v>46119.0</v>
      </c>
      <c r="B653" s="6">
        <f t="shared" si="1"/>
        <v>15</v>
      </c>
      <c r="C653" s="7" t="s">
        <v>32</v>
      </c>
      <c r="D653" s="8">
        <v>100.0</v>
      </c>
      <c r="E653" s="7" t="s">
        <v>22</v>
      </c>
      <c r="F653" s="10" t="str">
        <f>VLOOKUP(E653,BASE_VEICULOS!A:G,7,0)</f>
        <v>PROF - 07001 - MANUTENÇÃO PREDIAL- PROFARMA-2025</v>
      </c>
      <c r="G653" s="11" t="str">
        <f>IFERROR(VLOOKUP(E653,BASE_VEICULOS!$A:$B,2,0),"")</f>
        <v>TET5H37</v>
      </c>
      <c r="H653" s="19"/>
      <c r="I653" s="20">
        <f t="shared" si="2"/>
        <v>46113</v>
      </c>
    </row>
    <row r="654" ht="22.5" hidden="1" customHeight="1">
      <c r="A654" s="5">
        <v>46119.0</v>
      </c>
      <c r="B654" s="6">
        <f t="shared" si="1"/>
        <v>15</v>
      </c>
      <c r="C654" s="7" t="s">
        <v>32</v>
      </c>
      <c r="D654" s="8">
        <v>45.0</v>
      </c>
      <c r="E654" s="7" t="s">
        <v>24</v>
      </c>
      <c r="F654" s="10" t="str">
        <f>VLOOKUP(E654,BASE_VEICULOS!A:G,7,0)</f>
        <v>PROF - 07001 - MANUTENÇÃO PREDIAL- PROFARMA-2025</v>
      </c>
      <c r="G654" s="11" t="str">
        <f>IFERROR(VLOOKUP(E654,BASE_VEICULOS!$A:$B,2,0),"")</f>
        <v>TEW9A23</v>
      </c>
      <c r="H654" s="19"/>
      <c r="I654" s="20">
        <f t="shared" si="2"/>
        <v>46113</v>
      </c>
    </row>
    <row r="655" ht="22.5" hidden="1" customHeight="1">
      <c r="A655" s="5">
        <v>46119.0</v>
      </c>
      <c r="B655" s="6">
        <f t="shared" si="1"/>
        <v>15</v>
      </c>
      <c r="C655" s="7" t="s">
        <v>32</v>
      </c>
      <c r="D655" s="8">
        <v>100.0</v>
      </c>
      <c r="E655" s="7" t="s">
        <v>14</v>
      </c>
      <c r="F655" s="10" t="str">
        <f>VLOOKUP(E655,BASE_VEICULOS!A:G,7,0)</f>
        <v>FAC - 140004 - MANUTENÇÃO PREDIAL DPSP 2025</v>
      </c>
      <c r="G655" s="11" t="str">
        <f>IFERROR(VLOOKUP(E655,BASE_VEICULOS!$A:$B,2,0),"")</f>
        <v>FOK8A73</v>
      </c>
      <c r="H655" s="19"/>
      <c r="I655" s="20">
        <f t="shared" si="2"/>
        <v>46113</v>
      </c>
    </row>
    <row r="656" ht="22.5" hidden="1" customHeight="1">
      <c r="A656" s="5">
        <v>46120.0</v>
      </c>
      <c r="B656" s="6">
        <f t="shared" si="1"/>
        <v>15</v>
      </c>
      <c r="C656" s="7" t="s">
        <v>32</v>
      </c>
      <c r="D656" s="8">
        <v>70.0</v>
      </c>
      <c r="E656" s="7" t="s">
        <v>34</v>
      </c>
      <c r="F656" s="10" t="str">
        <f>VLOOKUP(E656,BASE_VEICULOS!A:G,7,0)</f>
        <v>PROF - 07001 - MANUTENÇÃO PREDIAL- PROFARMA-2025</v>
      </c>
      <c r="G656" s="11" t="str">
        <f>IFERROR(VLOOKUP(E656,BASE_VEICULOS!$A:$B,2,0),"")</f>
        <v>SRU8D16</v>
      </c>
      <c r="H656" s="19"/>
      <c r="I656" s="20">
        <f t="shared" si="2"/>
        <v>46113</v>
      </c>
    </row>
    <row r="657" ht="22.5" hidden="1" customHeight="1">
      <c r="A657" s="5">
        <v>46120.0</v>
      </c>
      <c r="B657" s="6">
        <f t="shared" si="1"/>
        <v>15</v>
      </c>
      <c r="C657" s="7" t="s">
        <v>32</v>
      </c>
      <c r="D657" s="8">
        <v>95.0</v>
      </c>
      <c r="E657" s="7" t="s">
        <v>10</v>
      </c>
      <c r="F657" s="10" t="str">
        <f>VLOOKUP(E657,BASE_VEICULOS!A:G,7,0)</f>
        <v>FAC - 140004 - MANUTENÇÃO PREDIAL DPSP 2025</v>
      </c>
      <c r="G657" s="11" t="str">
        <f>IFERROR(VLOOKUP(E657,BASE_VEICULOS!$A:$B,2,0),"")</f>
        <v>TEW9A25</v>
      </c>
      <c r="H657" s="19"/>
      <c r="I657" s="20">
        <f t="shared" si="2"/>
        <v>46113</v>
      </c>
    </row>
    <row r="658" ht="22.5" hidden="1" customHeight="1">
      <c r="A658" s="5">
        <v>46120.0</v>
      </c>
      <c r="B658" s="6">
        <f t="shared" si="1"/>
        <v>15</v>
      </c>
      <c r="C658" s="7" t="s">
        <v>32</v>
      </c>
      <c r="D658" s="8">
        <v>70.0</v>
      </c>
      <c r="E658" s="7" t="s">
        <v>20</v>
      </c>
      <c r="F658" s="10" t="str">
        <f>VLOOKUP(E658,BASE_VEICULOS!A:G,7,0)</f>
        <v>PROF - 07001 - MANUTENÇÃO PREDIAL- PROFARMA-2025</v>
      </c>
      <c r="G658" s="11" t="str">
        <f>IFERROR(VLOOKUP(E658,BASE_VEICULOS!$A:$B,2,0),"")</f>
        <v>TEW9A34</v>
      </c>
      <c r="H658" s="19"/>
      <c r="I658" s="20">
        <f t="shared" si="2"/>
        <v>46113</v>
      </c>
    </row>
    <row r="659" ht="22.5" hidden="1" customHeight="1">
      <c r="A659" s="5">
        <v>46120.0</v>
      </c>
      <c r="B659" s="6">
        <f t="shared" si="1"/>
        <v>15</v>
      </c>
      <c r="C659" s="7" t="s">
        <v>32</v>
      </c>
      <c r="D659" s="8">
        <v>90.0</v>
      </c>
      <c r="E659" s="7" t="s">
        <v>15</v>
      </c>
      <c r="F659" s="10" t="str">
        <f>VLOOKUP(E659,BASE_VEICULOS!A:G,7,0)</f>
        <v>FAC - 140005 - SPOT MANUTENÇÃO DPSP 2025</v>
      </c>
      <c r="G659" s="11" t="str">
        <f>IFERROR(VLOOKUP(E659,BASE_VEICULOS!$A:$B,2,0),"")</f>
        <v>EWH1B84</v>
      </c>
      <c r="H659" s="19"/>
      <c r="I659" s="20">
        <f t="shared" si="2"/>
        <v>46113</v>
      </c>
    </row>
    <row r="660" ht="22.5" hidden="1" customHeight="1">
      <c r="A660" s="5">
        <v>46120.0</v>
      </c>
      <c r="B660" s="6">
        <f t="shared" si="1"/>
        <v>15</v>
      </c>
      <c r="C660" s="7" t="s">
        <v>32</v>
      </c>
      <c r="D660" s="8">
        <v>96.15</v>
      </c>
      <c r="E660" s="7" t="s">
        <v>23</v>
      </c>
      <c r="F660" s="10" t="str">
        <f>VLOOKUP(E660,BASE_VEICULOS!A:G,7,0)</f>
        <v>PROF - 07001 - MANUTENÇÃO PREDIAL- PROFARMA-2025</v>
      </c>
      <c r="G660" s="11" t="str">
        <f>IFERROR(VLOOKUP(E660,BASE_VEICULOS!$A:$B,2,0),"")</f>
        <v>TEH3I02</v>
      </c>
      <c r="H660" s="19"/>
      <c r="I660" s="20">
        <f t="shared" si="2"/>
        <v>46113</v>
      </c>
    </row>
    <row r="661" ht="22.5" hidden="1" customHeight="1">
      <c r="A661" s="5">
        <v>46120.0</v>
      </c>
      <c r="B661" s="6">
        <f t="shared" si="1"/>
        <v>15</v>
      </c>
      <c r="C661" s="7" t="s">
        <v>32</v>
      </c>
      <c r="D661" s="8">
        <v>95.0</v>
      </c>
      <c r="E661" s="7" t="s">
        <v>24</v>
      </c>
      <c r="F661" s="10" t="str">
        <f>VLOOKUP(E661,BASE_VEICULOS!A:G,7,0)</f>
        <v>PROF - 07001 - MANUTENÇÃO PREDIAL- PROFARMA-2025</v>
      </c>
      <c r="G661" s="11" t="str">
        <f>IFERROR(VLOOKUP(E661,BASE_VEICULOS!$A:$B,2,0),"")</f>
        <v>TEW9A23</v>
      </c>
      <c r="H661" s="19"/>
      <c r="I661" s="20">
        <f t="shared" si="2"/>
        <v>46113</v>
      </c>
    </row>
    <row r="662" ht="22.5" hidden="1" customHeight="1">
      <c r="A662" s="5">
        <v>46120.0</v>
      </c>
      <c r="B662" s="6">
        <f t="shared" si="1"/>
        <v>15</v>
      </c>
      <c r="C662" s="7" t="s">
        <v>32</v>
      </c>
      <c r="D662" s="8">
        <v>60.0</v>
      </c>
      <c r="E662" s="7" t="s">
        <v>21</v>
      </c>
      <c r="F662" s="10" t="str">
        <f>VLOOKUP(E662,BASE_VEICULOS!A:G,7,0)</f>
        <v>PROF - 07001 - MANUTENÇÃO PREDIAL- PROFARMA-2025</v>
      </c>
      <c r="G662" s="11" t="str">
        <f>IFERROR(VLOOKUP(E662,BASE_VEICULOS!$A:$B,2,0),"")</f>
        <v>TEW9A33</v>
      </c>
      <c r="H662" s="19"/>
      <c r="I662" s="20">
        <f t="shared" si="2"/>
        <v>46113</v>
      </c>
    </row>
    <row r="663" ht="22.5" hidden="1" customHeight="1">
      <c r="A663" s="5">
        <v>46120.0</v>
      </c>
      <c r="B663" s="6">
        <f t="shared" si="1"/>
        <v>15</v>
      </c>
      <c r="C663" s="7" t="s">
        <v>32</v>
      </c>
      <c r="D663" s="8">
        <v>45.0</v>
      </c>
      <c r="E663" s="7" t="s">
        <v>29</v>
      </c>
      <c r="F663" s="10" t="str">
        <f>VLOOKUP(E663,BASE_VEICULOS!A:G,7,0)</f>
        <v>PROF - 07001 - MANUTENÇÃO PREDIAL- PROFARMA-2025</v>
      </c>
      <c r="G663" s="11" t="str">
        <f>IFERROR(VLOOKUP(E663,BASE_VEICULOS!$A:$B,2,0),"")</f>
        <v>TEQ2I74</v>
      </c>
      <c r="H663" s="19"/>
      <c r="I663" s="20">
        <f t="shared" si="2"/>
        <v>46113</v>
      </c>
    </row>
    <row r="664" ht="22.5" hidden="1" customHeight="1">
      <c r="A664" s="5">
        <v>46120.0</v>
      </c>
      <c r="B664" s="6">
        <f t="shared" si="1"/>
        <v>15</v>
      </c>
      <c r="C664" s="7" t="s">
        <v>32</v>
      </c>
      <c r="D664" s="8">
        <v>100.0</v>
      </c>
      <c r="E664" s="7" t="s">
        <v>13</v>
      </c>
      <c r="F664" s="10" t="str">
        <f>VLOOKUP(E664,BASE_VEICULOS!A:G,7,0)</f>
        <v>FAC - 140005 - SPOT MANUTENÇÃO DPSP 2025</v>
      </c>
      <c r="G664" s="11" t="str">
        <f>IFERROR(VLOOKUP(E664,BASE_VEICULOS!$A:$B,2,0),"")</f>
        <v>FGO3C61</v>
      </c>
      <c r="H664" s="19"/>
      <c r="I664" s="20">
        <f t="shared" si="2"/>
        <v>46113</v>
      </c>
    </row>
    <row r="665" ht="22.5" hidden="1" customHeight="1">
      <c r="A665" s="5">
        <v>46120.0</v>
      </c>
      <c r="B665" s="6">
        <f t="shared" si="1"/>
        <v>15</v>
      </c>
      <c r="C665" s="7" t="s">
        <v>32</v>
      </c>
      <c r="D665" s="8">
        <v>100.0</v>
      </c>
      <c r="E665" s="7" t="s">
        <v>33</v>
      </c>
      <c r="F665" s="10" t="str">
        <f>VLOOKUP(E665,BASE_VEICULOS!A:G,7,0)</f>
        <v>PROF - 07001 - MANUTENÇÃO PREDIAL- PROFARMA-2025</v>
      </c>
      <c r="G665" s="11" t="str">
        <f>IFERROR(VLOOKUP(E665,BASE_VEICULOS!$A:$B,2,0),"")</f>
        <v>TEW9A30</v>
      </c>
      <c r="H665" s="19"/>
      <c r="I665" s="20">
        <f t="shared" si="2"/>
        <v>46113</v>
      </c>
    </row>
    <row r="666" ht="22.5" hidden="1" customHeight="1">
      <c r="A666" s="5">
        <v>46120.0</v>
      </c>
      <c r="B666" s="6">
        <f t="shared" si="1"/>
        <v>15</v>
      </c>
      <c r="C666" s="7" t="s">
        <v>32</v>
      </c>
      <c r="D666" s="8">
        <v>50.0</v>
      </c>
      <c r="E666" s="7" t="s">
        <v>11</v>
      </c>
      <c r="F666" s="10" t="str">
        <f>VLOOKUP(E666,BASE_VEICULOS!A:G,7,0)</f>
        <v>PROF - 07001 - MANUTENÇÃO PREDIAL- PROFARMA-2025</v>
      </c>
      <c r="G666" s="11" t="str">
        <f>IFERROR(VLOOKUP(E666,BASE_VEICULOS!$A:$B,2,0),"")</f>
        <v>TEW9A28</v>
      </c>
      <c r="H666" s="19"/>
      <c r="I666" s="20">
        <f t="shared" si="2"/>
        <v>46113</v>
      </c>
    </row>
    <row r="667" ht="22.5" hidden="1" customHeight="1">
      <c r="A667" s="5">
        <v>46120.0</v>
      </c>
      <c r="B667" s="6">
        <f t="shared" si="1"/>
        <v>15</v>
      </c>
      <c r="C667" s="7" t="s">
        <v>32</v>
      </c>
      <c r="D667" s="8">
        <v>150.0</v>
      </c>
      <c r="E667" s="7" t="s">
        <v>25</v>
      </c>
      <c r="F667" s="10" t="str">
        <f>VLOOKUP(E667,BASE_VEICULOS!A:G,7,0)</f>
        <v>PROF - 07001 - MANUTENÇÃO PREDIAL- PROFARMA-2025</v>
      </c>
      <c r="G667" s="11" t="str">
        <f>IFERROR(VLOOKUP(E667,BASE_VEICULOS!$A:$B,2,0),"")</f>
        <v>TEW9A26</v>
      </c>
      <c r="H667" s="19"/>
      <c r="I667" s="20">
        <f t="shared" si="2"/>
        <v>46113</v>
      </c>
    </row>
    <row r="668" ht="22.5" hidden="1" customHeight="1">
      <c r="A668" s="5">
        <v>46120.0</v>
      </c>
      <c r="B668" s="6">
        <f t="shared" si="1"/>
        <v>15</v>
      </c>
      <c r="C668" s="7" t="s">
        <v>32</v>
      </c>
      <c r="D668" s="8">
        <v>75.0</v>
      </c>
      <c r="E668" s="7" t="s">
        <v>21</v>
      </c>
      <c r="F668" s="10" t="str">
        <f>VLOOKUP(E668,BASE_VEICULOS!A:G,7,0)</f>
        <v>PROF - 07001 - MANUTENÇÃO PREDIAL- PROFARMA-2025</v>
      </c>
      <c r="G668" s="11" t="str">
        <f>IFERROR(VLOOKUP(E668,BASE_VEICULOS!$A:$B,2,0),"")</f>
        <v>TEW9A33</v>
      </c>
      <c r="H668" s="19"/>
      <c r="I668" s="20">
        <f t="shared" si="2"/>
        <v>46113</v>
      </c>
    </row>
    <row r="669" ht="22.5" hidden="1" customHeight="1">
      <c r="A669" s="5">
        <v>46120.0</v>
      </c>
      <c r="B669" s="6">
        <f t="shared" si="1"/>
        <v>15</v>
      </c>
      <c r="C669" s="7" t="s">
        <v>32</v>
      </c>
      <c r="D669" s="8">
        <v>100.0</v>
      </c>
      <c r="E669" s="7" t="s">
        <v>29</v>
      </c>
      <c r="F669" s="10" t="str">
        <f>VLOOKUP(E669,BASE_VEICULOS!A:G,7,0)</f>
        <v>PROF - 07001 - MANUTENÇÃO PREDIAL- PROFARMA-2025</v>
      </c>
      <c r="G669" s="11" t="str">
        <f>IFERROR(VLOOKUP(E669,BASE_VEICULOS!$A:$B,2,0),"")</f>
        <v>TEQ2I74</v>
      </c>
      <c r="H669" s="19"/>
      <c r="I669" s="20">
        <f t="shared" si="2"/>
        <v>46113</v>
      </c>
    </row>
    <row r="670" ht="22.5" hidden="1" customHeight="1">
      <c r="A670" s="5">
        <v>46120.0</v>
      </c>
      <c r="B670" s="6">
        <f t="shared" si="1"/>
        <v>15</v>
      </c>
      <c r="C670" s="7" t="s">
        <v>32</v>
      </c>
      <c r="D670" s="8">
        <v>70.0</v>
      </c>
      <c r="E670" s="7" t="s">
        <v>23</v>
      </c>
      <c r="F670" s="10" t="str">
        <f>VLOOKUP(E670,BASE_VEICULOS!A:G,7,0)</f>
        <v>PROF - 07001 - MANUTENÇÃO PREDIAL- PROFARMA-2025</v>
      </c>
      <c r="G670" s="11" t="str">
        <f>IFERROR(VLOOKUP(E670,BASE_VEICULOS!$A:$B,2,0),"")</f>
        <v>TEH3I02</v>
      </c>
      <c r="H670" s="19"/>
      <c r="I670" s="20">
        <f t="shared" si="2"/>
        <v>46113</v>
      </c>
    </row>
    <row r="671" ht="22.5" hidden="1" customHeight="1">
      <c r="A671" s="5">
        <v>46120.0</v>
      </c>
      <c r="B671" s="6">
        <f t="shared" si="1"/>
        <v>15</v>
      </c>
      <c r="C671" s="7" t="s">
        <v>32</v>
      </c>
      <c r="D671" s="8">
        <v>75.0</v>
      </c>
      <c r="E671" s="7" t="s">
        <v>12</v>
      </c>
      <c r="F671" s="10" t="str">
        <f>VLOOKUP(E671,BASE_VEICULOS!A:G,7,0)</f>
        <v>FAC - 140004 - MANUTENÇÃO PREDIAL DPSP 2025</v>
      </c>
      <c r="G671" s="11" t="str">
        <f>IFERROR(VLOOKUP(E671,BASE_VEICULOS!$A:$B,2,0),"")</f>
        <v>FIL8C14</v>
      </c>
      <c r="H671" s="19"/>
      <c r="I671" s="20">
        <f t="shared" si="2"/>
        <v>46113</v>
      </c>
    </row>
    <row r="672" ht="22.5" hidden="1" customHeight="1">
      <c r="A672" s="5">
        <v>46120.0</v>
      </c>
      <c r="B672" s="6">
        <f t="shared" si="1"/>
        <v>15</v>
      </c>
      <c r="C672" s="7" t="s">
        <v>32</v>
      </c>
      <c r="D672" s="8">
        <v>50.0</v>
      </c>
      <c r="E672" s="7" t="s">
        <v>14</v>
      </c>
      <c r="F672" s="10" t="str">
        <f>VLOOKUP(E672,BASE_VEICULOS!A:G,7,0)</f>
        <v>FAC - 140004 - MANUTENÇÃO PREDIAL DPSP 2025</v>
      </c>
      <c r="G672" s="11" t="str">
        <f>IFERROR(VLOOKUP(E672,BASE_VEICULOS!$A:$B,2,0),"")</f>
        <v>FOK8A73</v>
      </c>
      <c r="H672" s="19"/>
      <c r="I672" s="20">
        <f t="shared" si="2"/>
        <v>46113</v>
      </c>
    </row>
    <row r="673" ht="22.5" customHeight="1">
      <c r="A673" s="5">
        <v>46120.0</v>
      </c>
      <c r="B673" s="6">
        <f t="shared" si="1"/>
        <v>15</v>
      </c>
      <c r="C673" s="7" t="s">
        <v>32</v>
      </c>
      <c r="D673" s="8">
        <v>75.0</v>
      </c>
      <c r="E673" s="7" t="s">
        <v>12</v>
      </c>
      <c r="F673" s="10" t="str">
        <f>VLOOKUP(E673,BASE_VEICULOS!A:G,7,0)</f>
        <v>FAC - 140004 - MANUTENÇÃO PREDIAL DPSP 2025</v>
      </c>
      <c r="G673" s="11" t="str">
        <f>IFERROR(VLOOKUP(E673,BASE_VEICULOS!$A:$B,2,0),"")</f>
        <v>FIL8C14</v>
      </c>
      <c r="H673" s="19"/>
      <c r="I673" s="20">
        <f t="shared" si="2"/>
        <v>46113</v>
      </c>
    </row>
    <row r="674" ht="22.5" customHeight="1">
      <c r="A674" s="5">
        <v>46120.0</v>
      </c>
      <c r="B674" s="6">
        <f t="shared" si="1"/>
        <v>15</v>
      </c>
      <c r="C674" s="7" t="s">
        <v>32</v>
      </c>
      <c r="D674" s="8">
        <v>70.0</v>
      </c>
      <c r="E674" s="7" t="s">
        <v>23</v>
      </c>
      <c r="F674" s="10" t="str">
        <f>VLOOKUP(E674,BASE_VEICULOS!A:G,7,0)</f>
        <v>PROF - 07001 - MANUTENÇÃO PREDIAL- PROFARMA-2025</v>
      </c>
      <c r="G674" s="11" t="str">
        <f>IFERROR(VLOOKUP(E674,BASE_VEICULOS!$A:$B,2,0),"")</f>
        <v>TEH3I02</v>
      </c>
      <c r="H674" s="19"/>
      <c r="I674" s="20">
        <f t="shared" si="2"/>
        <v>46113</v>
      </c>
    </row>
    <row r="675" ht="22.5" customHeight="1">
      <c r="A675" s="5">
        <v>46120.0</v>
      </c>
      <c r="B675" s="6">
        <f t="shared" si="1"/>
        <v>15</v>
      </c>
      <c r="C675" s="7" t="s">
        <v>32</v>
      </c>
      <c r="D675" s="8">
        <v>100.0</v>
      </c>
      <c r="E675" s="7" t="s">
        <v>29</v>
      </c>
      <c r="F675" s="10" t="str">
        <f>VLOOKUP(E675,BASE_VEICULOS!A:G,7,0)</f>
        <v>PROF - 07001 - MANUTENÇÃO PREDIAL- PROFARMA-2025</v>
      </c>
      <c r="G675" s="11" t="str">
        <f>IFERROR(VLOOKUP(E675,BASE_VEICULOS!$A:$B,2,0),"")</f>
        <v>TEQ2I74</v>
      </c>
      <c r="H675" s="19"/>
      <c r="I675" s="20">
        <f t="shared" si="2"/>
        <v>46113</v>
      </c>
    </row>
    <row r="676" ht="22.5" customHeight="1">
      <c r="A676" s="5">
        <v>46120.0</v>
      </c>
      <c r="B676" s="6">
        <f t="shared" si="1"/>
        <v>15</v>
      </c>
      <c r="C676" s="7"/>
      <c r="D676" s="8">
        <v>75.0</v>
      </c>
      <c r="E676" s="7" t="s">
        <v>21</v>
      </c>
      <c r="F676" s="10" t="str">
        <f>VLOOKUP(E676,BASE_VEICULOS!A:G,7,0)</f>
        <v>PROF - 07001 - MANUTENÇÃO PREDIAL- PROFARMA-2025</v>
      </c>
      <c r="G676" s="11" t="str">
        <f>IFERROR(VLOOKUP(E676,BASE_VEICULOS!$A:$B,2,0),"")</f>
        <v>TEW9A33</v>
      </c>
      <c r="H676" s="19"/>
      <c r="I676" s="20">
        <f t="shared" si="2"/>
        <v>46113</v>
      </c>
    </row>
    <row r="677" ht="22.5" customHeight="1">
      <c r="A677" s="5">
        <v>46120.0</v>
      </c>
      <c r="B677" s="6">
        <f t="shared" si="1"/>
        <v>15</v>
      </c>
      <c r="C677" s="7"/>
      <c r="D677" s="8">
        <v>150.0</v>
      </c>
      <c r="E677" s="7" t="s">
        <v>25</v>
      </c>
      <c r="F677" s="10" t="str">
        <f>VLOOKUP(E677,BASE_VEICULOS!A:G,7,0)</f>
        <v>PROF - 07001 - MANUTENÇÃO PREDIAL- PROFARMA-2025</v>
      </c>
      <c r="G677" s="11" t="str">
        <f>IFERROR(VLOOKUP(E677,BASE_VEICULOS!$A:$B,2,0),"")</f>
        <v>TEW9A26</v>
      </c>
      <c r="H677" s="19"/>
      <c r="I677" s="20">
        <f t="shared" si="2"/>
        <v>46113</v>
      </c>
    </row>
    <row r="678" ht="22.5" customHeight="1">
      <c r="A678" s="5">
        <v>46120.0</v>
      </c>
      <c r="B678" s="6">
        <f t="shared" si="1"/>
        <v>15</v>
      </c>
      <c r="C678" s="7"/>
      <c r="D678" s="8">
        <v>50.0</v>
      </c>
      <c r="E678" s="7" t="s">
        <v>11</v>
      </c>
      <c r="F678" s="10" t="str">
        <f>VLOOKUP(E678,BASE_VEICULOS!A:G,7,0)</f>
        <v>PROF - 07001 - MANUTENÇÃO PREDIAL- PROFARMA-2025</v>
      </c>
      <c r="G678" s="11" t="str">
        <f>IFERROR(VLOOKUP(E678,BASE_VEICULOS!$A:$B,2,0),"")</f>
        <v>TEW9A28</v>
      </c>
      <c r="H678" s="19"/>
      <c r="I678" s="20">
        <f t="shared" si="2"/>
        <v>46113</v>
      </c>
    </row>
    <row r="679" ht="22.5" customHeight="1">
      <c r="A679" s="5">
        <v>46120.0</v>
      </c>
      <c r="B679" s="6">
        <f t="shared" si="1"/>
        <v>15</v>
      </c>
      <c r="C679" s="7"/>
      <c r="D679" s="8">
        <v>100.0</v>
      </c>
      <c r="E679" s="7" t="s">
        <v>33</v>
      </c>
      <c r="F679" s="10" t="str">
        <f>VLOOKUP(E679,BASE_VEICULOS!A:G,7,0)</f>
        <v>PROF - 07001 - MANUTENÇÃO PREDIAL- PROFARMA-2025</v>
      </c>
      <c r="G679" s="11" t="str">
        <f>IFERROR(VLOOKUP(E679,BASE_VEICULOS!$A:$B,2,0),"")</f>
        <v>TEW9A30</v>
      </c>
      <c r="H679" s="19"/>
      <c r="I679" s="20">
        <f t="shared" si="2"/>
        <v>46113</v>
      </c>
    </row>
    <row r="680" ht="22.5" customHeight="1">
      <c r="A680" s="5">
        <v>46120.0</v>
      </c>
      <c r="B680" s="6">
        <f t="shared" si="1"/>
        <v>15</v>
      </c>
      <c r="C680" s="7"/>
      <c r="D680" s="8">
        <v>100.0</v>
      </c>
      <c r="E680" s="7" t="s">
        <v>13</v>
      </c>
      <c r="F680" s="10" t="str">
        <f>VLOOKUP(E680,BASE_VEICULOS!A:G,7,0)</f>
        <v>FAC - 140005 - SPOT MANUTENÇÃO DPSP 2025</v>
      </c>
      <c r="G680" s="11" t="str">
        <f>IFERROR(VLOOKUP(E680,BASE_VEICULOS!$A:$B,2,0),"")</f>
        <v>FGO3C61</v>
      </c>
      <c r="H680" s="19"/>
      <c r="I680" s="20">
        <f t="shared" si="2"/>
        <v>46113</v>
      </c>
    </row>
    <row r="681" ht="22.5" customHeight="1">
      <c r="A681" s="5">
        <v>46120.0</v>
      </c>
      <c r="B681" s="6">
        <f t="shared" si="1"/>
        <v>15</v>
      </c>
      <c r="C681" s="7"/>
      <c r="D681" s="8">
        <v>45.0</v>
      </c>
      <c r="E681" s="7" t="s">
        <v>29</v>
      </c>
      <c r="F681" s="10" t="str">
        <f>VLOOKUP(E681,BASE_VEICULOS!A:G,7,0)</f>
        <v>PROF - 07001 - MANUTENÇÃO PREDIAL- PROFARMA-2025</v>
      </c>
      <c r="G681" s="11" t="str">
        <f>IFERROR(VLOOKUP(E681,BASE_VEICULOS!$A:$B,2,0),"")</f>
        <v>TEQ2I74</v>
      </c>
      <c r="H681" s="19"/>
      <c r="I681" s="20">
        <f t="shared" si="2"/>
        <v>46113</v>
      </c>
    </row>
    <row r="682" ht="22.5" customHeight="1">
      <c r="A682" s="5">
        <v>46120.0</v>
      </c>
      <c r="B682" s="6">
        <f t="shared" si="1"/>
        <v>15</v>
      </c>
      <c r="C682" s="7"/>
      <c r="D682" s="8">
        <v>60.0</v>
      </c>
      <c r="E682" s="7" t="s">
        <v>21</v>
      </c>
      <c r="F682" s="10" t="str">
        <f>VLOOKUP(E682,BASE_VEICULOS!A:G,7,0)</f>
        <v>PROF - 07001 - MANUTENÇÃO PREDIAL- PROFARMA-2025</v>
      </c>
      <c r="G682" s="11" t="str">
        <f>IFERROR(VLOOKUP(E682,BASE_VEICULOS!$A:$B,2,0),"")</f>
        <v>TEW9A33</v>
      </c>
      <c r="H682" s="19"/>
      <c r="I682" s="20">
        <f t="shared" si="2"/>
        <v>46113</v>
      </c>
    </row>
    <row r="683" ht="22.5" customHeight="1">
      <c r="A683" s="5">
        <v>46120.0</v>
      </c>
      <c r="B683" s="6">
        <f t="shared" si="1"/>
        <v>15</v>
      </c>
      <c r="C683" s="7"/>
      <c r="D683" s="8">
        <v>95.0</v>
      </c>
      <c r="E683" s="7" t="s">
        <v>24</v>
      </c>
      <c r="F683" s="10" t="str">
        <f>VLOOKUP(E683,BASE_VEICULOS!A:G,7,0)</f>
        <v>PROF - 07001 - MANUTENÇÃO PREDIAL- PROFARMA-2025</v>
      </c>
      <c r="G683" s="11" t="str">
        <f>IFERROR(VLOOKUP(E683,BASE_VEICULOS!$A:$B,2,0),"")</f>
        <v>TEW9A23</v>
      </c>
      <c r="H683" s="19"/>
      <c r="I683" s="20">
        <f t="shared" si="2"/>
        <v>46113</v>
      </c>
    </row>
    <row r="684" ht="22.5" hidden="1" customHeight="1">
      <c r="A684" s="5">
        <v>46121.0</v>
      </c>
      <c r="B684" s="6">
        <f t="shared" si="1"/>
        <v>15</v>
      </c>
      <c r="C684" s="7" t="s">
        <v>32</v>
      </c>
      <c r="D684" s="8">
        <v>60.0</v>
      </c>
      <c r="E684" s="7" t="s">
        <v>11</v>
      </c>
      <c r="F684" s="10" t="str">
        <f>VLOOKUP(E684,BASE_VEICULOS!A:G,7,0)</f>
        <v>PROF - 07001 - MANUTENÇÃO PREDIAL- PROFARMA-2025</v>
      </c>
      <c r="G684" s="11" t="str">
        <f>IFERROR(VLOOKUP(E684,BASE_VEICULOS!$A:$B,2,0),"")</f>
        <v>TEW9A28</v>
      </c>
      <c r="H684" s="19"/>
      <c r="I684" s="20">
        <f t="shared" si="2"/>
        <v>46113</v>
      </c>
    </row>
    <row r="685" ht="22.5" customHeight="1">
      <c r="A685" s="5">
        <v>46120.0</v>
      </c>
      <c r="B685" s="6">
        <f t="shared" si="1"/>
        <v>15</v>
      </c>
      <c r="C685" s="7"/>
      <c r="D685" s="8">
        <v>100.0</v>
      </c>
      <c r="E685" s="7" t="s">
        <v>23</v>
      </c>
      <c r="F685" s="10" t="str">
        <f>VLOOKUP(E685,BASE_VEICULOS!A:G,7,0)</f>
        <v>PROF - 07001 - MANUTENÇÃO PREDIAL- PROFARMA-2025</v>
      </c>
      <c r="G685" s="11" t="str">
        <f>IFERROR(VLOOKUP(E685,BASE_VEICULOS!$A:$B,2,0),"")</f>
        <v>TEH3I02</v>
      </c>
      <c r="H685" s="19"/>
      <c r="I685" s="20">
        <f t="shared" si="2"/>
        <v>46113</v>
      </c>
    </row>
    <row r="686" ht="22.5" customHeight="1">
      <c r="A686" s="5">
        <v>46120.0</v>
      </c>
      <c r="B686" s="6">
        <f t="shared" si="1"/>
        <v>15</v>
      </c>
      <c r="C686" s="7"/>
      <c r="D686" s="8">
        <v>90.0</v>
      </c>
      <c r="E686" s="7" t="s">
        <v>15</v>
      </c>
      <c r="F686" s="10" t="str">
        <f>VLOOKUP(E686,BASE_VEICULOS!A:G,7,0)</f>
        <v>FAC - 140005 - SPOT MANUTENÇÃO DPSP 2025</v>
      </c>
      <c r="G686" s="11" t="str">
        <f>IFERROR(VLOOKUP(E686,BASE_VEICULOS!$A:$B,2,0),"")</f>
        <v>EWH1B84</v>
      </c>
      <c r="H686" s="19"/>
      <c r="I686" s="20">
        <f t="shared" si="2"/>
        <v>46113</v>
      </c>
    </row>
    <row r="687" ht="22.5" customHeight="1">
      <c r="A687" s="5">
        <v>46120.0</v>
      </c>
      <c r="B687" s="6">
        <f t="shared" si="1"/>
        <v>15</v>
      </c>
      <c r="C687" s="7"/>
      <c r="D687" s="8">
        <v>70.0</v>
      </c>
      <c r="E687" s="7" t="s">
        <v>20</v>
      </c>
      <c r="F687" s="10" t="str">
        <f>VLOOKUP(E687,BASE_VEICULOS!A:G,7,0)</f>
        <v>PROF - 07001 - MANUTENÇÃO PREDIAL- PROFARMA-2025</v>
      </c>
      <c r="G687" s="11" t="str">
        <f>IFERROR(VLOOKUP(E687,BASE_VEICULOS!$A:$B,2,0),"")</f>
        <v>TEW9A34</v>
      </c>
      <c r="H687" s="19"/>
      <c r="I687" s="20">
        <f t="shared" si="2"/>
        <v>46113</v>
      </c>
    </row>
    <row r="688" ht="22.5" customHeight="1">
      <c r="A688" s="5">
        <v>46120.0</v>
      </c>
      <c r="B688" s="6">
        <f t="shared" si="1"/>
        <v>15</v>
      </c>
      <c r="C688" s="7"/>
      <c r="D688" s="8">
        <v>95.0</v>
      </c>
      <c r="E688" s="7" t="s">
        <v>10</v>
      </c>
      <c r="F688" s="10" t="str">
        <f>VLOOKUP(E688,BASE_VEICULOS!A:G,7,0)</f>
        <v>FAC - 140004 - MANUTENÇÃO PREDIAL DPSP 2025</v>
      </c>
      <c r="G688" s="11" t="str">
        <f>IFERROR(VLOOKUP(E688,BASE_VEICULOS!$A:$B,2,0),"")</f>
        <v>TEW9A25</v>
      </c>
      <c r="H688" s="19"/>
      <c r="I688" s="20">
        <f t="shared" si="2"/>
        <v>46113</v>
      </c>
    </row>
    <row r="689" ht="22.5" customHeight="1">
      <c r="A689" s="5">
        <v>46121.0</v>
      </c>
      <c r="B689" s="6">
        <f t="shared" si="1"/>
        <v>15</v>
      </c>
      <c r="C689" s="7" t="s">
        <v>9</v>
      </c>
      <c r="D689" s="8">
        <v>79.98</v>
      </c>
      <c r="E689" s="7" t="s">
        <v>10</v>
      </c>
      <c r="F689" s="10" t="str">
        <f>VLOOKUP(E689,BASE_VEICULOS!A:G,7,0)</f>
        <v>FAC - 140004 - MANUTENÇÃO PREDIAL DPSP 2025</v>
      </c>
      <c r="G689" s="11" t="str">
        <f>IFERROR(VLOOKUP(E689,BASE_VEICULOS!$A:$B,2,0),"")</f>
        <v>TEW9A25</v>
      </c>
      <c r="H689" s="19"/>
      <c r="I689" s="20">
        <f t="shared" si="2"/>
        <v>46113</v>
      </c>
    </row>
    <row r="690" ht="22.5" customHeight="1">
      <c r="A690" s="5">
        <v>46121.0</v>
      </c>
      <c r="B690" s="6">
        <f t="shared" si="1"/>
        <v>15</v>
      </c>
      <c r="C690" s="7" t="s">
        <v>9</v>
      </c>
      <c r="D690" s="8">
        <v>100.0</v>
      </c>
      <c r="E690" s="7" t="s">
        <v>24</v>
      </c>
      <c r="F690" s="10" t="str">
        <f>VLOOKUP(E690,BASE_VEICULOS!A:G,7,0)</f>
        <v>PROF - 07001 - MANUTENÇÃO PREDIAL- PROFARMA-2025</v>
      </c>
      <c r="G690" s="11" t="str">
        <f>IFERROR(VLOOKUP(E690,BASE_VEICULOS!$A:$B,2,0),"")</f>
        <v>TEW9A23</v>
      </c>
      <c r="H690" s="19"/>
      <c r="I690" s="20">
        <f t="shared" si="2"/>
        <v>46113</v>
      </c>
    </row>
    <row r="691" ht="22.5" customHeight="1">
      <c r="A691" s="5">
        <v>46121.0</v>
      </c>
      <c r="B691" s="6">
        <f t="shared" si="1"/>
        <v>15</v>
      </c>
      <c r="C691" s="7" t="s">
        <v>9</v>
      </c>
      <c r="D691" s="8">
        <v>100.0</v>
      </c>
      <c r="E691" s="7" t="s">
        <v>17</v>
      </c>
      <c r="F691" s="10" t="str">
        <f>VLOOKUP(E691,BASE_VEICULOS!A:G,7,0)</f>
        <v>#N/A</v>
      </c>
      <c r="G691" s="11" t="str">
        <f>IFERROR(VLOOKUP(E691,BASE_VEICULOS!$A:$B,2,0),"")</f>
        <v/>
      </c>
      <c r="H691" s="19"/>
      <c r="I691" s="20">
        <f t="shared" si="2"/>
        <v>46113</v>
      </c>
    </row>
    <row r="692" ht="22.5" customHeight="1">
      <c r="A692" s="5">
        <v>46121.0</v>
      </c>
      <c r="B692" s="6">
        <f t="shared" si="1"/>
        <v>15</v>
      </c>
      <c r="C692" s="7" t="s">
        <v>9</v>
      </c>
      <c r="D692" s="8">
        <v>80.0</v>
      </c>
      <c r="E692" s="7" t="s">
        <v>33</v>
      </c>
      <c r="F692" s="10" t="str">
        <f>VLOOKUP(E692,BASE_VEICULOS!A:G,7,0)</f>
        <v>PROF - 07001 - MANUTENÇÃO PREDIAL- PROFARMA-2025</v>
      </c>
      <c r="G692" s="11" t="str">
        <f>IFERROR(VLOOKUP(E692,BASE_VEICULOS!$A:$B,2,0),"")</f>
        <v>TEW9A30</v>
      </c>
      <c r="H692" s="19"/>
      <c r="I692" s="20">
        <f t="shared" si="2"/>
        <v>46113</v>
      </c>
    </row>
    <row r="693" ht="22.5" customHeight="1">
      <c r="A693" s="5">
        <v>46121.0</v>
      </c>
      <c r="B693" s="6">
        <f t="shared" si="1"/>
        <v>15</v>
      </c>
      <c r="C693" s="7" t="s">
        <v>9</v>
      </c>
      <c r="D693" s="8">
        <v>94.86</v>
      </c>
      <c r="E693" s="7" t="s">
        <v>24</v>
      </c>
      <c r="F693" s="10" t="str">
        <f>VLOOKUP(E693,BASE_VEICULOS!A:G,7,0)</f>
        <v>PROF - 07001 - MANUTENÇÃO PREDIAL- PROFARMA-2025</v>
      </c>
      <c r="G693" s="11" t="str">
        <f>IFERROR(VLOOKUP(E693,BASE_VEICULOS!$A:$B,2,0),"")</f>
        <v>TEW9A23</v>
      </c>
      <c r="H693" s="19"/>
      <c r="I693" s="20">
        <f t="shared" si="2"/>
        <v>46113</v>
      </c>
    </row>
    <row r="694" ht="22.5" customHeight="1">
      <c r="A694" s="5">
        <v>46121.0</v>
      </c>
      <c r="B694" s="6">
        <f t="shared" si="1"/>
        <v>15</v>
      </c>
      <c r="C694" s="7" t="s">
        <v>9</v>
      </c>
      <c r="D694" s="8">
        <v>79.98</v>
      </c>
      <c r="E694" s="7" t="s">
        <v>33</v>
      </c>
      <c r="F694" s="10" t="str">
        <f>VLOOKUP(E694,BASE_VEICULOS!A:G,7,0)</f>
        <v>PROF - 07001 - MANUTENÇÃO PREDIAL- PROFARMA-2025</v>
      </c>
      <c r="G694" s="11" t="str">
        <f>IFERROR(VLOOKUP(E694,BASE_VEICULOS!$A:$B,2,0),"")</f>
        <v>TEW9A30</v>
      </c>
      <c r="H694" s="19"/>
      <c r="I694" s="20">
        <f t="shared" si="2"/>
        <v>46113</v>
      </c>
    </row>
    <row r="695" ht="22.5" customHeight="1">
      <c r="A695" s="5">
        <v>46121.0</v>
      </c>
      <c r="B695" s="6">
        <f t="shared" si="1"/>
        <v>15</v>
      </c>
      <c r="C695" s="7" t="s">
        <v>9</v>
      </c>
      <c r="D695" s="8">
        <v>70.0</v>
      </c>
      <c r="E695" s="7" t="s">
        <v>20</v>
      </c>
      <c r="F695" s="10" t="str">
        <f>VLOOKUP(E695,BASE_VEICULOS!A:G,7,0)</f>
        <v>PROF - 07001 - MANUTENÇÃO PREDIAL- PROFARMA-2025</v>
      </c>
      <c r="G695" s="11" t="str">
        <f>IFERROR(VLOOKUP(E695,BASE_VEICULOS!$A:$B,2,0),"")</f>
        <v>TEW9A34</v>
      </c>
      <c r="H695" s="19"/>
      <c r="I695" s="20">
        <f t="shared" si="2"/>
        <v>46113</v>
      </c>
    </row>
    <row r="696" ht="22.5" customHeight="1">
      <c r="A696" s="5">
        <v>46121.0</v>
      </c>
      <c r="B696" s="6">
        <f t="shared" si="1"/>
        <v>15</v>
      </c>
      <c r="C696" s="7" t="s">
        <v>9</v>
      </c>
      <c r="D696" s="8">
        <v>100.0</v>
      </c>
      <c r="E696" s="7" t="s">
        <v>13</v>
      </c>
      <c r="F696" s="10" t="str">
        <f>VLOOKUP(E696,BASE_VEICULOS!A:G,7,0)</f>
        <v>FAC - 140005 - SPOT MANUTENÇÃO DPSP 2025</v>
      </c>
      <c r="G696" s="11" t="str">
        <f>IFERROR(VLOOKUP(E696,BASE_VEICULOS!$A:$B,2,0),"")</f>
        <v>FGO3C61</v>
      </c>
      <c r="H696" s="19"/>
      <c r="I696" s="20">
        <f t="shared" si="2"/>
        <v>46113</v>
      </c>
    </row>
    <row r="697" ht="22.5" customHeight="1">
      <c r="A697" s="5">
        <v>46121.0</v>
      </c>
      <c r="B697" s="6">
        <f t="shared" si="1"/>
        <v>15</v>
      </c>
      <c r="C697" s="7" t="s">
        <v>9</v>
      </c>
      <c r="D697" s="8">
        <v>50.0</v>
      </c>
      <c r="E697" s="7" t="s">
        <v>21</v>
      </c>
      <c r="F697" s="10" t="str">
        <f>VLOOKUP(E697,BASE_VEICULOS!A:G,7,0)</f>
        <v>PROF - 07001 - MANUTENÇÃO PREDIAL- PROFARMA-2025</v>
      </c>
      <c r="G697" s="11" t="str">
        <f>IFERROR(VLOOKUP(E697,BASE_VEICULOS!$A:$B,2,0),"")</f>
        <v>TEW9A33</v>
      </c>
      <c r="H697" s="19"/>
      <c r="I697" s="20">
        <f t="shared" si="2"/>
        <v>46113</v>
      </c>
    </row>
    <row r="698" ht="22.5" customHeight="1">
      <c r="A698" s="5">
        <v>46121.0</v>
      </c>
      <c r="B698" s="6">
        <f t="shared" si="1"/>
        <v>15</v>
      </c>
      <c r="C698" s="7" t="s">
        <v>9</v>
      </c>
      <c r="D698" s="8">
        <v>50.0</v>
      </c>
      <c r="E698" s="7" t="s">
        <v>29</v>
      </c>
      <c r="F698" s="10" t="str">
        <f>VLOOKUP(E698,BASE_VEICULOS!A:G,7,0)</f>
        <v>PROF - 07001 - MANUTENÇÃO PREDIAL- PROFARMA-2025</v>
      </c>
      <c r="G698" s="11" t="str">
        <f>IFERROR(VLOOKUP(E698,BASE_VEICULOS!$A:$B,2,0),"")</f>
        <v>TEQ2I74</v>
      </c>
      <c r="H698" s="19"/>
      <c r="I698" s="20">
        <f t="shared" si="2"/>
        <v>46113</v>
      </c>
    </row>
    <row r="699" ht="22.5" customHeight="1">
      <c r="A699" s="5">
        <v>46121.0</v>
      </c>
      <c r="B699" s="6">
        <f t="shared" si="1"/>
        <v>15</v>
      </c>
      <c r="C699" s="7" t="s">
        <v>9</v>
      </c>
      <c r="D699" s="8">
        <v>140.0</v>
      </c>
      <c r="E699" s="7" t="s">
        <v>23</v>
      </c>
      <c r="F699" s="10" t="str">
        <f>VLOOKUP(E699,BASE_VEICULOS!A:G,7,0)</f>
        <v>PROF - 07001 - MANUTENÇÃO PREDIAL- PROFARMA-2025</v>
      </c>
      <c r="G699" s="11" t="str">
        <f>IFERROR(VLOOKUP(E699,BASE_VEICULOS!$A:$B,2,0),"")</f>
        <v>TEH3I02</v>
      </c>
      <c r="H699" s="19"/>
      <c r="I699" s="20">
        <f t="shared" si="2"/>
        <v>46113</v>
      </c>
    </row>
    <row r="700" ht="22.5" customHeight="1">
      <c r="A700" s="5">
        <v>46121.0</v>
      </c>
      <c r="B700" s="6">
        <f t="shared" si="1"/>
        <v>15</v>
      </c>
      <c r="C700" s="7" t="s">
        <v>9</v>
      </c>
      <c r="D700" s="8">
        <v>60.0</v>
      </c>
      <c r="E700" s="7" t="s">
        <v>18</v>
      </c>
      <c r="F700" s="10" t="str">
        <f>VLOOKUP(E700,BASE_VEICULOS!A:G,7,0)</f>
        <v>FAC - 140004 - MANUTENÇÃO PREDIAL DPSP 2025</v>
      </c>
      <c r="G700" s="11" t="str">
        <f>IFERROR(VLOOKUP(E700,BASE_VEICULOS!$A:$B,2,0),"")</f>
        <v>TEW9A29</v>
      </c>
      <c r="H700" s="19"/>
      <c r="I700" s="20">
        <f t="shared" si="2"/>
        <v>46113</v>
      </c>
    </row>
    <row r="701" ht="22.5" customHeight="1">
      <c r="A701" s="5">
        <v>46121.0</v>
      </c>
      <c r="B701" s="6">
        <f t="shared" si="1"/>
        <v>15</v>
      </c>
      <c r="C701" s="7" t="s">
        <v>9</v>
      </c>
      <c r="D701" s="8">
        <v>110.0</v>
      </c>
      <c r="E701" s="7" t="s">
        <v>15</v>
      </c>
      <c r="F701" s="10" t="str">
        <f>VLOOKUP(E701,BASE_VEICULOS!A:G,7,0)</f>
        <v>FAC - 140005 - SPOT MANUTENÇÃO DPSP 2025</v>
      </c>
      <c r="G701" s="11" t="str">
        <f>IFERROR(VLOOKUP(E701,BASE_VEICULOS!$A:$B,2,0),"")</f>
        <v>EWH1B84</v>
      </c>
      <c r="H701" s="19"/>
      <c r="I701" s="20">
        <f t="shared" si="2"/>
        <v>46113</v>
      </c>
    </row>
    <row r="702" ht="22.5" customHeight="1">
      <c r="A702" s="5">
        <v>46121.0</v>
      </c>
      <c r="B702" s="6">
        <f t="shared" si="1"/>
        <v>15</v>
      </c>
      <c r="C702" s="7" t="s">
        <v>9</v>
      </c>
      <c r="D702" s="8">
        <v>45.0</v>
      </c>
      <c r="E702" s="7" t="s">
        <v>22</v>
      </c>
      <c r="F702" s="10" t="str">
        <f>VLOOKUP(E702,BASE_VEICULOS!A:G,7,0)</f>
        <v>PROF - 07001 - MANUTENÇÃO PREDIAL- PROFARMA-2025</v>
      </c>
      <c r="G702" s="11" t="str">
        <f>IFERROR(VLOOKUP(E702,BASE_VEICULOS!$A:$B,2,0),"")</f>
        <v>TET5H37</v>
      </c>
      <c r="H702" s="19"/>
      <c r="I702" s="20">
        <f t="shared" si="2"/>
        <v>46113</v>
      </c>
    </row>
    <row r="703" ht="22.5" customHeight="1">
      <c r="A703" s="5">
        <v>46121.0</v>
      </c>
      <c r="B703" s="6">
        <f t="shared" si="1"/>
        <v>15</v>
      </c>
      <c r="C703" s="7" t="s">
        <v>9</v>
      </c>
      <c r="D703" s="8">
        <v>70.0</v>
      </c>
      <c r="E703" s="7" t="s">
        <v>34</v>
      </c>
      <c r="F703" s="10" t="str">
        <f>VLOOKUP(E703,BASE_VEICULOS!A:G,7,0)</f>
        <v>PROF - 07001 - MANUTENÇÃO PREDIAL- PROFARMA-2025</v>
      </c>
      <c r="G703" s="11" t="str">
        <f>IFERROR(VLOOKUP(E703,BASE_VEICULOS!$A:$B,2,0),"")</f>
        <v>SRU8D16</v>
      </c>
      <c r="H703" s="19"/>
      <c r="I703" s="20">
        <f t="shared" si="2"/>
        <v>46113</v>
      </c>
    </row>
    <row r="704" ht="22.5" customHeight="1">
      <c r="A704" s="5">
        <v>46121.0</v>
      </c>
      <c r="B704" s="6">
        <f t="shared" si="1"/>
        <v>15</v>
      </c>
      <c r="C704" s="7" t="s">
        <v>9</v>
      </c>
      <c r="D704" s="8">
        <v>100.0</v>
      </c>
      <c r="E704" s="7" t="s">
        <v>19</v>
      </c>
      <c r="F704" s="10" t="str">
        <f>VLOOKUP(E704,BASE_VEICULOS!A:G,7,0)</f>
        <v>PROF - 07001 - MANUTENÇÃO PREDIAL- PROFARMA-2025</v>
      </c>
      <c r="G704" s="11" t="str">
        <f>IFERROR(VLOOKUP(E704,BASE_VEICULOS!$A:$B,2,0),"")</f>
        <v>TEW9A24</v>
      </c>
      <c r="H704" s="19"/>
      <c r="I704" s="20">
        <f t="shared" si="2"/>
        <v>46113</v>
      </c>
    </row>
    <row r="705" ht="22.5" customHeight="1">
      <c r="A705" s="5">
        <v>46121.0</v>
      </c>
      <c r="B705" s="6">
        <f t="shared" si="1"/>
        <v>15</v>
      </c>
      <c r="C705" s="7" t="s">
        <v>9</v>
      </c>
      <c r="D705" s="8">
        <v>85.0</v>
      </c>
      <c r="E705" s="7" t="s">
        <v>14</v>
      </c>
      <c r="F705" s="10" t="str">
        <f>VLOOKUP(E705,BASE_VEICULOS!A:G,7,0)</f>
        <v>FAC - 140004 - MANUTENÇÃO PREDIAL DPSP 2025</v>
      </c>
      <c r="G705" s="11" t="str">
        <f>IFERROR(VLOOKUP(E705,BASE_VEICULOS!$A:$B,2,0),"")</f>
        <v>FOK8A73</v>
      </c>
      <c r="H705" s="19"/>
      <c r="I705" s="20">
        <f t="shared" si="2"/>
        <v>46113</v>
      </c>
    </row>
    <row r="706" ht="22.5" customHeight="1">
      <c r="A706" s="5">
        <v>46121.0</v>
      </c>
      <c r="B706" s="6">
        <f t="shared" si="1"/>
        <v>15</v>
      </c>
      <c r="C706" s="7" t="s">
        <v>9</v>
      </c>
      <c r="D706" s="8">
        <v>84.96</v>
      </c>
      <c r="E706" s="7" t="s">
        <v>29</v>
      </c>
      <c r="F706" s="10" t="str">
        <f>VLOOKUP(E706,BASE_VEICULOS!A:G,7,0)</f>
        <v>PROF - 07001 - MANUTENÇÃO PREDIAL- PROFARMA-2025</v>
      </c>
      <c r="G706" s="11" t="str">
        <f>IFERROR(VLOOKUP(E706,BASE_VEICULOS!$A:$B,2,0),"")</f>
        <v>TEQ2I74</v>
      </c>
      <c r="H706" s="19"/>
      <c r="I706" s="20">
        <f t="shared" si="2"/>
        <v>46113</v>
      </c>
    </row>
    <row r="707" ht="22.5" customHeight="1">
      <c r="A707" s="5">
        <v>46121.0</v>
      </c>
      <c r="B707" s="6">
        <f t="shared" si="1"/>
        <v>15</v>
      </c>
      <c r="C707" s="7" t="s">
        <v>9</v>
      </c>
      <c r="D707" s="8">
        <v>25.0</v>
      </c>
      <c r="E707" s="7" t="s">
        <v>16</v>
      </c>
      <c r="F707" s="10" t="str">
        <f>VLOOKUP(E707,BASE_VEICULOS!A:G,7,0)</f>
        <v>FAC - 140005 - SPOT MANUTENÇÃO DPSP 2025</v>
      </c>
      <c r="G707" s="11" t="str">
        <f>IFERROR(VLOOKUP(E707,BASE_VEICULOS!$A:$B,2,0),"")</f>
        <v>TEW9A27</v>
      </c>
      <c r="H707" s="19"/>
      <c r="I707" s="20">
        <f t="shared" si="2"/>
        <v>46113</v>
      </c>
    </row>
    <row r="708" ht="22.5" customHeight="1">
      <c r="A708" s="5">
        <v>46121.0</v>
      </c>
      <c r="B708" s="6">
        <f t="shared" si="1"/>
        <v>15</v>
      </c>
      <c r="C708" s="7" t="s">
        <v>9</v>
      </c>
      <c r="D708" s="8">
        <v>50.0</v>
      </c>
      <c r="E708" s="7" t="s">
        <v>21</v>
      </c>
      <c r="F708" s="10" t="str">
        <f>VLOOKUP(E708,BASE_VEICULOS!A:G,7,0)</f>
        <v>PROF - 07001 - MANUTENÇÃO PREDIAL- PROFARMA-2025</v>
      </c>
      <c r="G708" s="11" t="str">
        <f>IFERROR(VLOOKUP(E708,BASE_VEICULOS!$A:$B,2,0),"")</f>
        <v>TEW9A33</v>
      </c>
      <c r="H708" s="19"/>
      <c r="I708" s="20">
        <f t="shared" si="2"/>
        <v>46113</v>
      </c>
    </row>
    <row r="709" ht="22.5" customHeight="1">
      <c r="A709" s="5">
        <v>46122.0</v>
      </c>
      <c r="B709" s="6">
        <f t="shared" si="1"/>
        <v>15</v>
      </c>
      <c r="C709" s="7" t="s">
        <v>9</v>
      </c>
      <c r="D709" s="8">
        <v>100.0</v>
      </c>
      <c r="E709" s="7" t="s">
        <v>24</v>
      </c>
      <c r="F709" s="10" t="str">
        <f>VLOOKUP(E709,BASE_VEICULOS!A:G,7,0)</f>
        <v>PROF - 07001 - MANUTENÇÃO PREDIAL- PROFARMA-2025</v>
      </c>
      <c r="G709" s="11" t="str">
        <f>IFERROR(VLOOKUP(E709,BASE_VEICULOS!$A:$B,2,0),"")</f>
        <v>TEW9A23</v>
      </c>
      <c r="H709" s="19"/>
      <c r="I709" s="20">
        <f t="shared" si="2"/>
        <v>46113</v>
      </c>
    </row>
    <row r="710" ht="22.5" customHeight="1">
      <c r="A710" s="5">
        <v>46122.0</v>
      </c>
      <c r="B710" s="6">
        <f t="shared" si="1"/>
        <v>15</v>
      </c>
      <c r="C710" s="7" t="s">
        <v>9</v>
      </c>
      <c r="D710" s="8">
        <v>79.99</v>
      </c>
      <c r="E710" s="7" t="s">
        <v>20</v>
      </c>
      <c r="F710" s="10" t="str">
        <f>VLOOKUP(E710,BASE_VEICULOS!A:G,7,0)</f>
        <v>PROF - 07001 - MANUTENÇÃO PREDIAL- PROFARMA-2025</v>
      </c>
      <c r="G710" s="11" t="str">
        <f>IFERROR(VLOOKUP(E710,BASE_VEICULOS!$A:$B,2,0),"")</f>
        <v>TEW9A34</v>
      </c>
      <c r="H710" s="19"/>
      <c r="I710" s="20">
        <f t="shared" si="2"/>
        <v>46113</v>
      </c>
    </row>
    <row r="711" ht="22.5" customHeight="1">
      <c r="A711" s="5">
        <v>46122.0</v>
      </c>
      <c r="B711" s="6">
        <f t="shared" si="1"/>
        <v>15</v>
      </c>
      <c r="C711" s="7" t="s">
        <v>9</v>
      </c>
      <c r="D711" s="8">
        <v>85.0</v>
      </c>
      <c r="E711" s="7" t="s">
        <v>14</v>
      </c>
      <c r="F711" s="10" t="str">
        <f>VLOOKUP(E711,BASE_VEICULOS!A:G,7,0)</f>
        <v>FAC - 140004 - MANUTENÇÃO PREDIAL DPSP 2025</v>
      </c>
      <c r="G711" s="11" t="str">
        <f>IFERROR(VLOOKUP(E711,BASE_VEICULOS!$A:$B,2,0),"")</f>
        <v>FOK8A73</v>
      </c>
      <c r="H711" s="19"/>
      <c r="I711" s="20">
        <f t="shared" si="2"/>
        <v>46113</v>
      </c>
    </row>
    <row r="712" ht="22.5" customHeight="1">
      <c r="A712" s="5">
        <v>46122.0</v>
      </c>
      <c r="B712" s="6">
        <f t="shared" si="1"/>
        <v>15</v>
      </c>
      <c r="C712" s="7" t="s">
        <v>9</v>
      </c>
      <c r="D712" s="8">
        <v>65.0</v>
      </c>
      <c r="E712" s="7" t="s">
        <v>21</v>
      </c>
      <c r="F712" s="10" t="str">
        <f>VLOOKUP(E712,BASE_VEICULOS!A:G,7,0)</f>
        <v>PROF - 07001 - MANUTENÇÃO PREDIAL- PROFARMA-2025</v>
      </c>
      <c r="G712" s="11" t="str">
        <f>IFERROR(VLOOKUP(E712,BASE_VEICULOS!$A:$B,2,0),"")</f>
        <v>TEW9A33</v>
      </c>
      <c r="H712" s="19"/>
      <c r="I712" s="20">
        <f t="shared" si="2"/>
        <v>46113</v>
      </c>
    </row>
    <row r="713" ht="22.5" customHeight="1">
      <c r="A713" s="5">
        <v>46122.0</v>
      </c>
      <c r="B713" s="6">
        <f t="shared" si="1"/>
        <v>15</v>
      </c>
      <c r="C713" s="7" t="s">
        <v>9</v>
      </c>
      <c r="D713" s="8">
        <v>51.0</v>
      </c>
      <c r="E713" s="7" t="s">
        <v>33</v>
      </c>
      <c r="F713" s="10" t="str">
        <f>VLOOKUP(E713,BASE_VEICULOS!A:G,7,0)</f>
        <v>PROF - 07001 - MANUTENÇÃO PREDIAL- PROFARMA-2025</v>
      </c>
      <c r="G713" s="11" t="str">
        <f>IFERROR(VLOOKUP(E713,BASE_VEICULOS!$A:$B,2,0),"")</f>
        <v>TEW9A30</v>
      </c>
      <c r="H713" s="19"/>
      <c r="I713" s="20">
        <f t="shared" si="2"/>
        <v>46113</v>
      </c>
    </row>
    <row r="714" ht="22.5" customHeight="1">
      <c r="A714" s="5">
        <v>46122.0</v>
      </c>
      <c r="B714" s="6">
        <f t="shared" si="1"/>
        <v>15</v>
      </c>
      <c r="C714" s="7" t="s">
        <v>9</v>
      </c>
      <c r="D714" s="8">
        <v>100.0</v>
      </c>
      <c r="E714" s="7" t="s">
        <v>17</v>
      </c>
      <c r="F714" s="10" t="str">
        <f>VLOOKUP(E714,BASE_VEICULOS!A:G,7,0)</f>
        <v>#N/A</v>
      </c>
      <c r="G714" s="11" t="str">
        <f>IFERROR(VLOOKUP(E714,BASE_VEICULOS!$A:$B,2,0),"")</f>
        <v/>
      </c>
      <c r="H714" s="19"/>
      <c r="I714" s="20">
        <f t="shared" si="2"/>
        <v>46113</v>
      </c>
    </row>
    <row r="715" ht="22.5" customHeight="1">
      <c r="A715" s="5">
        <v>46122.0</v>
      </c>
      <c r="B715" s="6">
        <f t="shared" si="1"/>
        <v>15</v>
      </c>
      <c r="C715" s="7" t="s">
        <v>9</v>
      </c>
      <c r="D715" s="8">
        <v>35.0</v>
      </c>
      <c r="E715" s="7" t="s">
        <v>11</v>
      </c>
      <c r="F715" s="10" t="str">
        <f>VLOOKUP(E715,BASE_VEICULOS!A:G,7,0)</f>
        <v>PROF - 07001 - MANUTENÇÃO PREDIAL- PROFARMA-2025</v>
      </c>
      <c r="G715" s="11" t="str">
        <f>IFERROR(VLOOKUP(E715,BASE_VEICULOS!$A:$B,2,0),"")</f>
        <v>TEW9A28</v>
      </c>
      <c r="H715" s="19"/>
      <c r="I715" s="20">
        <f t="shared" si="2"/>
        <v>46113</v>
      </c>
    </row>
    <row r="716" ht="22.5" customHeight="1">
      <c r="A716" s="5">
        <v>46122.0</v>
      </c>
      <c r="B716" s="6">
        <f t="shared" si="1"/>
        <v>15</v>
      </c>
      <c r="C716" s="7" t="s">
        <v>9</v>
      </c>
      <c r="D716" s="8">
        <v>65.0</v>
      </c>
      <c r="E716" s="7" t="s">
        <v>30</v>
      </c>
      <c r="F716" s="10" t="str">
        <f>VLOOKUP(E716,BASE_VEICULOS!A:G,7,0)</f>
        <v>#N/A</v>
      </c>
      <c r="G716" s="11" t="str">
        <f>IFERROR(VLOOKUP(E716,BASE_VEICULOS!$A:$B,2,0),"")</f>
        <v/>
      </c>
      <c r="H716" s="19"/>
      <c r="I716" s="20">
        <f t="shared" si="2"/>
        <v>46113</v>
      </c>
    </row>
    <row r="717" ht="22.5" customHeight="1">
      <c r="A717" s="5">
        <v>46122.0</v>
      </c>
      <c r="B717" s="6">
        <f t="shared" si="1"/>
        <v>15</v>
      </c>
      <c r="C717" s="7" t="s">
        <v>9</v>
      </c>
      <c r="D717" s="8">
        <v>50.0</v>
      </c>
      <c r="E717" s="7" t="s">
        <v>25</v>
      </c>
      <c r="F717" s="10" t="str">
        <f>VLOOKUP(E717,BASE_VEICULOS!A:G,7,0)</f>
        <v>PROF - 07001 - MANUTENÇÃO PREDIAL- PROFARMA-2025</v>
      </c>
      <c r="G717" s="11" t="str">
        <f>IFERROR(VLOOKUP(E717,BASE_VEICULOS!$A:$B,2,0),"")</f>
        <v>TEW9A26</v>
      </c>
      <c r="H717" s="19"/>
      <c r="I717" s="20">
        <f t="shared" si="2"/>
        <v>46113</v>
      </c>
    </row>
    <row r="718" ht="22.5" customHeight="1">
      <c r="A718" s="5">
        <v>46122.0</v>
      </c>
      <c r="B718" s="6">
        <f t="shared" si="1"/>
        <v>15</v>
      </c>
      <c r="C718" s="7" t="s">
        <v>9</v>
      </c>
      <c r="D718" s="8">
        <v>150.0</v>
      </c>
      <c r="E718" s="7" t="s">
        <v>23</v>
      </c>
      <c r="F718" s="10" t="str">
        <f>VLOOKUP(E718,BASE_VEICULOS!A:G,7,0)</f>
        <v>PROF - 07001 - MANUTENÇÃO PREDIAL- PROFARMA-2025</v>
      </c>
      <c r="G718" s="11" t="str">
        <f>IFERROR(VLOOKUP(E718,BASE_VEICULOS!$A:$B,2,0),"")</f>
        <v>TEH3I02</v>
      </c>
      <c r="H718" s="19"/>
      <c r="I718" s="20">
        <f t="shared" si="2"/>
        <v>46113</v>
      </c>
    </row>
    <row r="719" ht="22.5" customHeight="1">
      <c r="A719" s="5">
        <v>46122.0</v>
      </c>
      <c r="B719" s="6">
        <f t="shared" si="1"/>
        <v>15</v>
      </c>
      <c r="C719" s="7" t="s">
        <v>9</v>
      </c>
      <c r="D719" s="8">
        <v>50.0</v>
      </c>
      <c r="E719" s="7" t="s">
        <v>34</v>
      </c>
      <c r="F719" s="10" t="str">
        <f>VLOOKUP(E719,BASE_VEICULOS!A:G,7,0)</f>
        <v>PROF - 07001 - MANUTENÇÃO PREDIAL- PROFARMA-2025</v>
      </c>
      <c r="G719" s="11" t="str">
        <f>IFERROR(VLOOKUP(E719,BASE_VEICULOS!$A:$B,2,0),"")</f>
        <v>SRU8D16</v>
      </c>
      <c r="H719" s="19"/>
      <c r="I719" s="20">
        <f t="shared" si="2"/>
        <v>46113</v>
      </c>
    </row>
    <row r="720" ht="22.5" customHeight="1">
      <c r="A720" s="5">
        <v>46122.0</v>
      </c>
      <c r="B720" s="6">
        <f t="shared" si="1"/>
        <v>15</v>
      </c>
      <c r="C720" s="7" t="s">
        <v>9</v>
      </c>
      <c r="D720" s="8">
        <v>79.99</v>
      </c>
      <c r="E720" s="7" t="s">
        <v>10</v>
      </c>
      <c r="F720" s="10" t="str">
        <f>VLOOKUP(E720,BASE_VEICULOS!A:G,7,0)</f>
        <v>FAC - 140004 - MANUTENÇÃO PREDIAL DPSP 2025</v>
      </c>
      <c r="G720" s="11" t="str">
        <f>IFERROR(VLOOKUP(E720,BASE_VEICULOS!$A:$B,2,0),"")</f>
        <v>TEW9A25</v>
      </c>
      <c r="H720" s="19"/>
      <c r="I720" s="20">
        <f t="shared" si="2"/>
        <v>46113</v>
      </c>
    </row>
    <row r="721" ht="22.5" customHeight="1">
      <c r="A721" s="5">
        <v>46122.0</v>
      </c>
      <c r="B721" s="6">
        <f t="shared" si="1"/>
        <v>15</v>
      </c>
      <c r="C721" s="7" t="s">
        <v>9</v>
      </c>
      <c r="D721" s="8">
        <v>100.0</v>
      </c>
      <c r="E721" s="7" t="s">
        <v>13</v>
      </c>
      <c r="F721" s="10" t="str">
        <f>VLOOKUP(E721,BASE_VEICULOS!A:G,7,0)</f>
        <v>FAC - 140005 - SPOT MANUTENÇÃO DPSP 2025</v>
      </c>
      <c r="G721" s="11" t="str">
        <f>IFERROR(VLOOKUP(E721,BASE_VEICULOS!$A:$B,2,0),"")</f>
        <v>FGO3C61</v>
      </c>
      <c r="H721" s="19"/>
      <c r="I721" s="20">
        <f t="shared" si="2"/>
        <v>46113</v>
      </c>
    </row>
    <row r="722" ht="22.5" customHeight="1">
      <c r="A722" s="5">
        <v>46122.0</v>
      </c>
      <c r="B722" s="6">
        <f t="shared" si="1"/>
        <v>15</v>
      </c>
      <c r="C722" s="7" t="s">
        <v>9</v>
      </c>
      <c r="D722" s="8">
        <v>140.0</v>
      </c>
      <c r="E722" s="7" t="s">
        <v>22</v>
      </c>
      <c r="F722" s="10" t="str">
        <f>VLOOKUP(E722,BASE_VEICULOS!A:G,7,0)</f>
        <v>PROF - 07001 - MANUTENÇÃO PREDIAL- PROFARMA-2025</v>
      </c>
      <c r="G722" s="11" t="str">
        <f>IFERROR(VLOOKUP(E722,BASE_VEICULOS!$A:$B,2,0),"")</f>
        <v>TET5H37</v>
      </c>
      <c r="H722" s="19"/>
      <c r="I722" s="20">
        <f t="shared" si="2"/>
        <v>46113</v>
      </c>
    </row>
    <row r="723" ht="22.5" customHeight="1">
      <c r="A723" s="5">
        <v>46122.0</v>
      </c>
      <c r="B723" s="6">
        <f t="shared" si="1"/>
        <v>15</v>
      </c>
      <c r="C723" s="7" t="s">
        <v>9</v>
      </c>
      <c r="D723" s="8">
        <v>45.0</v>
      </c>
      <c r="E723" s="7" t="s">
        <v>29</v>
      </c>
      <c r="F723" s="10" t="str">
        <f>VLOOKUP(E723,BASE_VEICULOS!A:G,7,0)</f>
        <v>PROF - 07001 - MANUTENÇÃO PREDIAL- PROFARMA-2025</v>
      </c>
      <c r="G723" s="11" t="str">
        <f>IFERROR(VLOOKUP(E723,BASE_VEICULOS!$A:$B,2,0),"")</f>
        <v>TEQ2I74</v>
      </c>
      <c r="H723" s="19"/>
      <c r="I723" s="20">
        <f t="shared" si="2"/>
        <v>46113</v>
      </c>
    </row>
    <row r="724" ht="22.5" customHeight="1">
      <c r="A724" s="5">
        <v>46122.0</v>
      </c>
      <c r="B724" s="6">
        <f t="shared" si="1"/>
        <v>15</v>
      </c>
      <c r="C724" s="7" t="s">
        <v>9</v>
      </c>
      <c r="D724" s="8">
        <v>40.0</v>
      </c>
      <c r="E724" s="7" t="s">
        <v>19</v>
      </c>
      <c r="F724" s="10" t="str">
        <f>VLOOKUP(E724,BASE_VEICULOS!A:G,7,0)</f>
        <v>PROF - 07001 - MANUTENÇÃO PREDIAL- PROFARMA-2025</v>
      </c>
      <c r="G724" s="11" t="str">
        <f>IFERROR(VLOOKUP(E724,BASE_VEICULOS!$A:$B,2,0),"")</f>
        <v>TEW9A24</v>
      </c>
      <c r="H724" s="19"/>
      <c r="I724" s="20">
        <f t="shared" si="2"/>
        <v>46113</v>
      </c>
    </row>
    <row r="725" ht="22.5" customHeight="1">
      <c r="A725" s="5">
        <v>46122.0</v>
      </c>
      <c r="B725" s="6">
        <f t="shared" si="1"/>
        <v>15</v>
      </c>
      <c r="C725" s="7" t="s">
        <v>9</v>
      </c>
      <c r="D725" s="8">
        <v>50.0</v>
      </c>
      <c r="E725" s="7" t="s">
        <v>25</v>
      </c>
      <c r="F725" s="10" t="str">
        <f>VLOOKUP(E725,BASE_VEICULOS!A:G,7,0)</f>
        <v>PROF - 07001 - MANUTENÇÃO PREDIAL- PROFARMA-2025</v>
      </c>
      <c r="G725" s="11" t="str">
        <f>IFERROR(VLOOKUP(E725,BASE_VEICULOS!$A:$B,2,0),"")</f>
        <v>TEW9A26</v>
      </c>
      <c r="H725" s="19"/>
      <c r="I725" s="20">
        <f t="shared" si="2"/>
        <v>46113</v>
      </c>
    </row>
    <row r="726" ht="22.5" customHeight="1">
      <c r="A726" s="5">
        <v>46122.0</v>
      </c>
      <c r="B726" s="6">
        <f t="shared" si="1"/>
        <v>15</v>
      </c>
      <c r="C726" s="7" t="s">
        <v>9</v>
      </c>
      <c r="D726" s="8">
        <v>30.0</v>
      </c>
      <c r="E726" s="7" t="s">
        <v>21</v>
      </c>
      <c r="F726" s="10" t="str">
        <f>VLOOKUP(E726,BASE_VEICULOS!A:G,7,0)</f>
        <v>PROF - 07001 - MANUTENÇÃO PREDIAL- PROFARMA-2025</v>
      </c>
      <c r="G726" s="11" t="str">
        <f>IFERROR(VLOOKUP(E726,BASE_VEICULOS!$A:$B,2,0),"")</f>
        <v>TEW9A33</v>
      </c>
      <c r="H726" s="19"/>
      <c r="I726" s="20">
        <f t="shared" si="2"/>
        <v>46113</v>
      </c>
    </row>
    <row r="727" ht="22.5" customHeight="1">
      <c r="A727" s="5">
        <v>46122.0</v>
      </c>
      <c r="B727" s="6">
        <f t="shared" si="1"/>
        <v>15</v>
      </c>
      <c r="C727" s="7" t="s">
        <v>9</v>
      </c>
      <c r="D727" s="8">
        <v>50.0</v>
      </c>
      <c r="E727" s="7" t="s">
        <v>34</v>
      </c>
      <c r="F727" s="10" t="str">
        <f>VLOOKUP(E727,BASE_VEICULOS!A:G,7,0)</f>
        <v>PROF - 07001 - MANUTENÇÃO PREDIAL- PROFARMA-2025</v>
      </c>
      <c r="G727" s="11" t="str">
        <f>IFERROR(VLOOKUP(E727,BASE_VEICULOS!$A:$B,2,0),"")</f>
        <v>SRU8D16</v>
      </c>
      <c r="H727" s="19"/>
      <c r="I727" s="20">
        <f t="shared" si="2"/>
        <v>46113</v>
      </c>
    </row>
    <row r="728" ht="22.5" customHeight="1">
      <c r="A728" s="5">
        <v>46122.0</v>
      </c>
      <c r="B728" s="6">
        <f t="shared" si="1"/>
        <v>15</v>
      </c>
      <c r="C728" s="7" t="s">
        <v>9</v>
      </c>
      <c r="D728" s="8">
        <v>40.0</v>
      </c>
      <c r="E728" s="7" t="s">
        <v>33</v>
      </c>
      <c r="F728" s="10" t="str">
        <f>VLOOKUP(E728,BASE_VEICULOS!A:G,7,0)</f>
        <v>PROF - 07001 - MANUTENÇÃO PREDIAL- PROFARMA-2025</v>
      </c>
      <c r="G728" s="11" t="str">
        <f>IFERROR(VLOOKUP(E728,BASE_VEICULOS!$A:$B,2,0),"")</f>
        <v>TEW9A30</v>
      </c>
      <c r="H728" s="19"/>
      <c r="I728" s="20">
        <f t="shared" si="2"/>
        <v>46113</v>
      </c>
    </row>
    <row r="729" ht="22.5" customHeight="1">
      <c r="A729" s="5">
        <v>46122.0</v>
      </c>
      <c r="B729" s="6">
        <f t="shared" si="1"/>
        <v>15</v>
      </c>
      <c r="C729" s="7" t="s">
        <v>9</v>
      </c>
      <c r="D729" s="8">
        <v>30.0</v>
      </c>
      <c r="E729" s="7" t="s">
        <v>30</v>
      </c>
      <c r="F729" s="10" t="str">
        <f>VLOOKUP(E729,BASE_VEICULOS!A:G,7,0)</f>
        <v>#N/A</v>
      </c>
      <c r="G729" s="11" t="str">
        <f>IFERROR(VLOOKUP(E729,BASE_VEICULOS!$A:$B,2,0),"")</f>
        <v/>
      </c>
      <c r="H729" s="19"/>
      <c r="I729" s="20">
        <f t="shared" si="2"/>
        <v>46113</v>
      </c>
    </row>
    <row r="730" ht="22.5" customHeight="1">
      <c r="A730" s="5">
        <v>46122.0</v>
      </c>
      <c r="B730" s="6">
        <f t="shared" si="1"/>
        <v>15</v>
      </c>
      <c r="C730" s="7" t="s">
        <v>9</v>
      </c>
      <c r="D730" s="8">
        <v>65.0</v>
      </c>
      <c r="E730" s="7" t="s">
        <v>15</v>
      </c>
      <c r="F730" s="10" t="str">
        <f>VLOOKUP(E730,BASE_VEICULOS!A:G,7,0)</f>
        <v>FAC - 140005 - SPOT MANUTENÇÃO DPSP 2025</v>
      </c>
      <c r="G730" s="11" t="str">
        <f>IFERROR(VLOOKUP(E730,BASE_VEICULOS!$A:$B,2,0),"")</f>
        <v>EWH1B84</v>
      </c>
      <c r="H730" s="19"/>
      <c r="I730" s="20">
        <f t="shared" si="2"/>
        <v>46113</v>
      </c>
    </row>
    <row r="731" ht="22.5" customHeight="1">
      <c r="A731" s="5">
        <v>46122.0</v>
      </c>
      <c r="B731" s="6">
        <f t="shared" si="1"/>
        <v>15</v>
      </c>
      <c r="C731" s="7" t="s">
        <v>9</v>
      </c>
      <c r="D731" s="8">
        <v>39.99</v>
      </c>
      <c r="E731" s="7" t="s">
        <v>33</v>
      </c>
      <c r="F731" s="10" t="str">
        <f>VLOOKUP(E731,BASE_VEICULOS!A:G,7,0)</f>
        <v>PROF - 07001 - MANUTENÇÃO PREDIAL- PROFARMA-2025</v>
      </c>
      <c r="G731" s="11" t="str">
        <f>IFERROR(VLOOKUP(E731,BASE_VEICULOS!$A:$B,2,0),"")</f>
        <v>TEW9A30</v>
      </c>
      <c r="H731" s="19"/>
      <c r="I731" s="20">
        <f t="shared" si="2"/>
        <v>46113</v>
      </c>
    </row>
    <row r="732" ht="22.5" customHeight="1">
      <c r="A732" s="5">
        <v>46122.0</v>
      </c>
      <c r="B732" s="6">
        <f t="shared" si="1"/>
        <v>15</v>
      </c>
      <c r="C732" s="7" t="s">
        <v>9</v>
      </c>
      <c r="D732" s="8">
        <v>75.31</v>
      </c>
      <c r="E732" s="7" t="s">
        <v>12</v>
      </c>
      <c r="F732" s="10" t="str">
        <f>VLOOKUP(E732,BASE_VEICULOS!A:G,7,0)</f>
        <v>FAC - 140004 - MANUTENÇÃO PREDIAL DPSP 2025</v>
      </c>
      <c r="G732" s="11" t="str">
        <f>IFERROR(VLOOKUP(E732,BASE_VEICULOS!$A:$B,2,0),"")</f>
        <v>FIL8C14</v>
      </c>
      <c r="H732" s="19"/>
      <c r="I732" s="20">
        <f t="shared" si="2"/>
        <v>46113</v>
      </c>
    </row>
    <row r="733" ht="22.5" customHeight="1">
      <c r="A733" s="5">
        <v>46122.0</v>
      </c>
      <c r="B733" s="6">
        <f t="shared" si="1"/>
        <v>15</v>
      </c>
      <c r="C733" s="7" t="s">
        <v>9</v>
      </c>
      <c r="D733" s="8">
        <v>60.0</v>
      </c>
      <c r="E733" s="7" t="s">
        <v>29</v>
      </c>
      <c r="F733" s="10" t="str">
        <f>VLOOKUP(E733,BASE_VEICULOS!A:G,7,0)</f>
        <v>PROF - 07001 - MANUTENÇÃO PREDIAL- PROFARMA-2025</v>
      </c>
      <c r="G733" s="11" t="str">
        <f>IFERROR(VLOOKUP(E733,BASE_VEICULOS!$A:$B,2,0),"")</f>
        <v>TEQ2I74</v>
      </c>
      <c r="H733" s="19"/>
      <c r="I733" s="20">
        <f t="shared" si="2"/>
        <v>46113</v>
      </c>
    </row>
    <row r="734" ht="22.5" customHeight="1">
      <c r="A734" s="5">
        <v>46123.0</v>
      </c>
      <c r="B734" s="6">
        <f t="shared" si="1"/>
        <v>15</v>
      </c>
      <c r="C734" s="7" t="s">
        <v>9</v>
      </c>
      <c r="D734" s="8">
        <v>70.0</v>
      </c>
      <c r="E734" s="7" t="s">
        <v>19</v>
      </c>
      <c r="F734" s="10" t="str">
        <f>VLOOKUP(E734,BASE_VEICULOS!A:G,7,0)</f>
        <v>PROF - 07001 - MANUTENÇÃO PREDIAL- PROFARMA-2025</v>
      </c>
      <c r="G734" s="11" t="str">
        <f>IFERROR(VLOOKUP(E734,BASE_VEICULOS!$A:$B,2,0),"")</f>
        <v>TEW9A24</v>
      </c>
      <c r="H734" s="19"/>
      <c r="I734" s="20">
        <f t="shared" si="2"/>
        <v>46113</v>
      </c>
    </row>
    <row r="735" ht="22.5" customHeight="1">
      <c r="A735" s="5">
        <v>46123.0</v>
      </c>
      <c r="B735" s="6">
        <f t="shared" si="1"/>
        <v>15</v>
      </c>
      <c r="C735" s="7" t="s">
        <v>9</v>
      </c>
      <c r="D735" s="8">
        <v>99.96</v>
      </c>
      <c r="E735" s="7" t="s">
        <v>12</v>
      </c>
      <c r="F735" s="10" t="str">
        <f>VLOOKUP(E735,BASE_VEICULOS!A:G,7,0)</f>
        <v>FAC - 140004 - MANUTENÇÃO PREDIAL DPSP 2025</v>
      </c>
      <c r="G735" s="11" t="str">
        <f>IFERROR(VLOOKUP(E735,BASE_VEICULOS!$A:$B,2,0),"")</f>
        <v>FIL8C14</v>
      </c>
      <c r="H735" s="19"/>
      <c r="I735" s="20">
        <f t="shared" si="2"/>
        <v>46113</v>
      </c>
    </row>
    <row r="736" ht="22.5" customHeight="1">
      <c r="A736" s="5">
        <v>46124.0</v>
      </c>
      <c r="B736" s="6">
        <f t="shared" si="1"/>
        <v>15</v>
      </c>
      <c r="C736" s="7" t="s">
        <v>9</v>
      </c>
      <c r="D736" s="8">
        <v>49.02</v>
      </c>
      <c r="E736" s="7" t="s">
        <v>29</v>
      </c>
      <c r="F736" s="10" t="str">
        <f>VLOOKUP(E736,BASE_VEICULOS!A:G,7,0)</f>
        <v>PROF - 07001 - MANUTENÇÃO PREDIAL- PROFARMA-2025</v>
      </c>
      <c r="G736" s="11" t="str">
        <f>IFERROR(VLOOKUP(E736,BASE_VEICULOS!$A:$B,2,0),"")</f>
        <v>TEQ2I74</v>
      </c>
      <c r="H736" s="19"/>
      <c r="I736" s="20">
        <f t="shared" si="2"/>
        <v>46113</v>
      </c>
    </row>
    <row r="737" ht="22.5" customHeight="1">
      <c r="A737" s="5">
        <v>46124.0</v>
      </c>
      <c r="B737" s="6">
        <f t="shared" si="1"/>
        <v>15</v>
      </c>
      <c r="C737" s="7" t="s">
        <v>9</v>
      </c>
      <c r="D737" s="8">
        <v>50.0</v>
      </c>
      <c r="E737" s="7" t="s">
        <v>29</v>
      </c>
      <c r="F737" s="10" t="str">
        <f>VLOOKUP(E737,BASE_VEICULOS!A:G,7,0)</f>
        <v>PROF - 07001 - MANUTENÇÃO PREDIAL- PROFARMA-2025</v>
      </c>
      <c r="G737" s="11" t="str">
        <f>IFERROR(VLOOKUP(E737,BASE_VEICULOS!$A:$B,2,0),"")</f>
        <v>TEQ2I74</v>
      </c>
      <c r="H737" s="19"/>
      <c r="I737" s="20">
        <f t="shared" si="2"/>
        <v>46113</v>
      </c>
    </row>
    <row r="738" ht="22.5" customHeight="1">
      <c r="A738" s="5">
        <v>46125.0</v>
      </c>
      <c r="B738" s="6">
        <f t="shared" si="1"/>
        <v>16</v>
      </c>
      <c r="C738" s="7" t="s">
        <v>9</v>
      </c>
      <c r="D738" s="8">
        <v>79.99</v>
      </c>
      <c r="E738" s="7" t="s">
        <v>20</v>
      </c>
      <c r="F738" s="10" t="str">
        <f>VLOOKUP(E738,BASE_VEICULOS!A:G,7,0)</f>
        <v>PROF - 07001 - MANUTENÇÃO PREDIAL- PROFARMA-2025</v>
      </c>
      <c r="G738" s="11" t="str">
        <f>IFERROR(VLOOKUP(E738,BASE_VEICULOS!$A:$B,2,0),"")</f>
        <v>TEW9A34</v>
      </c>
      <c r="H738" s="19"/>
      <c r="I738" s="20">
        <f t="shared" si="2"/>
        <v>46113</v>
      </c>
    </row>
    <row r="739" ht="22.5" customHeight="1">
      <c r="A739" s="5">
        <v>46125.0</v>
      </c>
      <c r="B739" s="6">
        <f t="shared" si="1"/>
        <v>16</v>
      </c>
      <c r="C739" s="7" t="s">
        <v>9</v>
      </c>
      <c r="D739" s="8">
        <v>217.22</v>
      </c>
      <c r="E739" s="7" t="s">
        <v>10</v>
      </c>
      <c r="F739" s="10" t="str">
        <f>VLOOKUP(E739,BASE_VEICULOS!A:G,7,0)</f>
        <v>FAC - 140004 - MANUTENÇÃO PREDIAL DPSP 2025</v>
      </c>
      <c r="G739" s="11" t="str">
        <f>IFERROR(VLOOKUP(E739,BASE_VEICULOS!$A:$B,2,0),"")</f>
        <v>TEW9A25</v>
      </c>
      <c r="H739" s="19"/>
      <c r="I739" s="20">
        <f t="shared" si="2"/>
        <v>46113</v>
      </c>
    </row>
    <row r="740" ht="22.5" customHeight="1">
      <c r="A740" s="5">
        <v>46125.0</v>
      </c>
      <c r="B740" s="6">
        <f t="shared" si="1"/>
        <v>16</v>
      </c>
      <c r="C740" s="7" t="s">
        <v>9</v>
      </c>
      <c r="D740" s="8">
        <v>100.0</v>
      </c>
      <c r="E740" s="7" t="s">
        <v>29</v>
      </c>
      <c r="F740" s="10" t="str">
        <f>VLOOKUP(E740,BASE_VEICULOS!A:G,7,0)</f>
        <v>PROF - 07001 - MANUTENÇÃO PREDIAL- PROFARMA-2025</v>
      </c>
      <c r="G740" s="11" t="str">
        <f>IFERROR(VLOOKUP(E740,BASE_VEICULOS!$A:$B,2,0),"")</f>
        <v>TEQ2I74</v>
      </c>
      <c r="H740" s="19"/>
      <c r="I740" s="20">
        <f t="shared" si="2"/>
        <v>46113</v>
      </c>
    </row>
    <row r="741" ht="22.5" customHeight="1">
      <c r="A741" s="5">
        <v>46125.0</v>
      </c>
      <c r="B741" s="6">
        <f t="shared" si="1"/>
        <v>16</v>
      </c>
      <c r="C741" s="7" t="s">
        <v>9</v>
      </c>
      <c r="D741" s="8">
        <v>100.0</v>
      </c>
      <c r="E741" s="7" t="s">
        <v>30</v>
      </c>
      <c r="F741" s="10" t="str">
        <f>VLOOKUP(E741,BASE_VEICULOS!A:G,7,0)</f>
        <v>#N/A</v>
      </c>
      <c r="G741" s="11" t="str">
        <f>IFERROR(VLOOKUP(E741,BASE_VEICULOS!$A:$B,2,0),"")</f>
        <v/>
      </c>
      <c r="H741" s="19"/>
      <c r="I741" s="20">
        <f t="shared" si="2"/>
        <v>46113</v>
      </c>
    </row>
    <row r="742" ht="22.5" customHeight="1">
      <c r="A742" s="5">
        <v>46125.0</v>
      </c>
      <c r="B742" s="6">
        <f t="shared" si="1"/>
        <v>16</v>
      </c>
      <c r="C742" s="7" t="s">
        <v>9</v>
      </c>
      <c r="D742" s="8">
        <v>202.07</v>
      </c>
      <c r="E742" s="7" t="s">
        <v>24</v>
      </c>
      <c r="F742" s="10" t="str">
        <f>VLOOKUP(E742,BASE_VEICULOS!A:G,7,0)</f>
        <v>PROF - 07001 - MANUTENÇÃO PREDIAL- PROFARMA-2025</v>
      </c>
      <c r="G742" s="11" t="str">
        <f>IFERROR(VLOOKUP(E742,BASE_VEICULOS!$A:$B,2,0),"")</f>
        <v>TEW9A23</v>
      </c>
      <c r="H742" s="19"/>
      <c r="I742" s="20">
        <f t="shared" si="2"/>
        <v>46113</v>
      </c>
    </row>
    <row r="743" ht="22.5" customHeight="1">
      <c r="A743" s="5">
        <v>46125.0</v>
      </c>
      <c r="B743" s="6">
        <f t="shared" si="1"/>
        <v>16</v>
      </c>
      <c r="C743" s="7" t="s">
        <v>9</v>
      </c>
      <c r="D743" s="8">
        <v>191.74</v>
      </c>
      <c r="E743" s="7" t="s">
        <v>23</v>
      </c>
      <c r="F743" s="10" t="str">
        <f>VLOOKUP(E743,BASE_VEICULOS!A:G,7,0)</f>
        <v>PROF - 07001 - MANUTENÇÃO PREDIAL- PROFARMA-2025</v>
      </c>
      <c r="G743" s="11" t="str">
        <f>IFERROR(VLOOKUP(E743,BASE_VEICULOS!$A:$B,2,0),"")</f>
        <v>TEH3I02</v>
      </c>
      <c r="H743" s="19"/>
      <c r="I743" s="20">
        <f t="shared" si="2"/>
        <v>46113</v>
      </c>
    </row>
    <row r="744" ht="22.5" customHeight="1">
      <c r="A744" s="5">
        <v>46125.0</v>
      </c>
      <c r="B744" s="6">
        <f t="shared" si="1"/>
        <v>16</v>
      </c>
      <c r="C744" s="7" t="s">
        <v>9</v>
      </c>
      <c r="D744" s="8">
        <v>221.42</v>
      </c>
      <c r="E744" s="7" t="s">
        <v>14</v>
      </c>
      <c r="F744" s="10" t="str">
        <f>VLOOKUP(E744,BASE_VEICULOS!A:G,7,0)</f>
        <v>FAC - 140004 - MANUTENÇÃO PREDIAL DPSP 2025</v>
      </c>
      <c r="G744" s="11" t="str">
        <f>IFERROR(VLOOKUP(E744,BASE_VEICULOS!$A:$B,2,0),"")</f>
        <v>FOK8A73</v>
      </c>
      <c r="H744" s="19"/>
      <c r="I744" s="20">
        <f t="shared" si="2"/>
        <v>46113</v>
      </c>
    </row>
    <row r="745" ht="22.5" customHeight="1">
      <c r="A745" s="5">
        <v>46125.0</v>
      </c>
      <c r="B745" s="6">
        <f t="shared" si="1"/>
        <v>16</v>
      </c>
      <c r="C745" s="7" t="s">
        <v>9</v>
      </c>
      <c r="D745" s="8">
        <v>200.0</v>
      </c>
      <c r="E745" s="7" t="s">
        <v>17</v>
      </c>
      <c r="F745" s="10" t="str">
        <f>VLOOKUP(E745,BASE_VEICULOS!A:G,7,0)</f>
        <v>#N/A</v>
      </c>
      <c r="G745" s="11" t="str">
        <f>IFERROR(VLOOKUP(E745,BASE_VEICULOS!$A:$B,2,0),"")</f>
        <v/>
      </c>
      <c r="H745" s="19"/>
      <c r="I745" s="20">
        <f t="shared" si="2"/>
        <v>46113</v>
      </c>
    </row>
    <row r="746" ht="22.5" customHeight="1">
      <c r="A746" s="5">
        <v>46125.0</v>
      </c>
      <c r="B746" s="6">
        <f t="shared" si="1"/>
        <v>16</v>
      </c>
      <c r="C746" s="7" t="s">
        <v>9</v>
      </c>
      <c r="D746" s="8">
        <v>217.27</v>
      </c>
      <c r="E746" s="7" t="s">
        <v>11</v>
      </c>
      <c r="F746" s="10" t="str">
        <f>VLOOKUP(E746,BASE_VEICULOS!A:G,7,0)</f>
        <v>PROF - 07001 - MANUTENÇÃO PREDIAL- PROFARMA-2025</v>
      </c>
      <c r="G746" s="11" t="str">
        <f>IFERROR(VLOOKUP(E746,BASE_VEICULOS!$A:$B,2,0),"")</f>
        <v>TEW9A28</v>
      </c>
      <c r="H746" s="19"/>
      <c r="I746" s="20">
        <f t="shared" si="2"/>
        <v>46113</v>
      </c>
    </row>
    <row r="747" ht="22.5" customHeight="1">
      <c r="A747" s="5">
        <v>46125.0</v>
      </c>
      <c r="B747" s="6">
        <f t="shared" si="1"/>
        <v>16</v>
      </c>
      <c r="C747" s="7" t="s">
        <v>9</v>
      </c>
      <c r="D747" s="8">
        <v>214.35</v>
      </c>
      <c r="E747" s="7" t="s">
        <v>21</v>
      </c>
      <c r="F747" s="10" t="str">
        <f>VLOOKUP(E747,BASE_VEICULOS!A:G,7,0)</f>
        <v>PROF - 07001 - MANUTENÇÃO PREDIAL- PROFARMA-2025</v>
      </c>
      <c r="G747" s="11" t="str">
        <f>IFERROR(VLOOKUP(E747,BASE_VEICULOS!$A:$B,2,0),"")</f>
        <v>TEW9A33</v>
      </c>
      <c r="H747" s="19"/>
      <c r="I747" s="20">
        <f t="shared" si="2"/>
        <v>46113</v>
      </c>
    </row>
    <row r="748" ht="22.5" customHeight="1">
      <c r="A748" s="5">
        <v>46125.0</v>
      </c>
      <c r="B748" s="6">
        <f t="shared" si="1"/>
        <v>16</v>
      </c>
      <c r="C748" s="7" t="s">
        <v>9</v>
      </c>
      <c r="D748" s="8">
        <v>124.03</v>
      </c>
      <c r="E748" s="7" t="s">
        <v>20</v>
      </c>
      <c r="F748" s="10" t="str">
        <f>VLOOKUP(E748,BASE_VEICULOS!A:G,7,0)</f>
        <v>PROF - 07001 - MANUTENÇÃO PREDIAL- PROFARMA-2025</v>
      </c>
      <c r="G748" s="11" t="str">
        <f>IFERROR(VLOOKUP(E748,BASE_VEICULOS!$A:$B,2,0),"")</f>
        <v>TEW9A34</v>
      </c>
      <c r="H748" s="19"/>
      <c r="I748" s="20">
        <f t="shared" si="2"/>
        <v>46113</v>
      </c>
    </row>
    <row r="749" ht="22.5" hidden="1" customHeight="1">
      <c r="A749" s="5">
        <v>46126.0</v>
      </c>
      <c r="B749" s="6">
        <f t="shared" si="1"/>
        <v>16</v>
      </c>
      <c r="C749" s="7" t="s">
        <v>32</v>
      </c>
      <c r="D749" s="8">
        <v>50.0</v>
      </c>
      <c r="E749" s="7" t="s">
        <v>29</v>
      </c>
      <c r="F749" s="10" t="str">
        <f>VLOOKUP(E749,BASE_VEICULOS!A:G,7,0)</f>
        <v>PROF - 07001 - MANUTENÇÃO PREDIAL- PROFARMA-2025</v>
      </c>
      <c r="G749" s="11" t="str">
        <f>IFERROR(VLOOKUP(E749,BASE_VEICULOS!$A:$B,2,0),"")</f>
        <v>TEQ2I74</v>
      </c>
      <c r="H749" s="19"/>
      <c r="I749" s="20">
        <f t="shared" si="2"/>
        <v>46113</v>
      </c>
    </row>
    <row r="750" ht="22.5" customHeight="1">
      <c r="A750" s="5">
        <v>46125.0</v>
      </c>
      <c r="B750" s="6">
        <f t="shared" si="1"/>
        <v>16</v>
      </c>
      <c r="C750" s="7" t="s">
        <v>9</v>
      </c>
      <c r="D750" s="8">
        <v>220.23</v>
      </c>
      <c r="E750" s="7" t="s">
        <v>12</v>
      </c>
      <c r="F750" s="10" t="str">
        <f>VLOOKUP(E750,BASE_VEICULOS!A:G,7,0)</f>
        <v>FAC - 140004 - MANUTENÇÃO PREDIAL DPSP 2025</v>
      </c>
      <c r="G750" s="11" t="str">
        <f>IFERROR(VLOOKUP(E750,BASE_VEICULOS!$A:$B,2,0),"")</f>
        <v>FIL8C14</v>
      </c>
      <c r="H750" s="19"/>
      <c r="I750" s="20">
        <f t="shared" si="2"/>
        <v>46113</v>
      </c>
    </row>
    <row r="751" ht="22.5" customHeight="1">
      <c r="A751" s="5">
        <v>46125.0</v>
      </c>
      <c r="B751" s="6">
        <f t="shared" si="1"/>
        <v>16</v>
      </c>
      <c r="C751" s="7" t="s">
        <v>9</v>
      </c>
      <c r="D751" s="8">
        <v>260.0</v>
      </c>
      <c r="E751" s="7" t="s">
        <v>13</v>
      </c>
      <c r="F751" s="10" t="str">
        <f>VLOOKUP(E751,BASE_VEICULOS!A:G,7,0)</f>
        <v>FAC - 140005 - SPOT MANUTENÇÃO DPSP 2025</v>
      </c>
      <c r="G751" s="11" t="str">
        <f>IFERROR(VLOOKUP(E751,BASE_VEICULOS!$A:$B,2,0),"")</f>
        <v>FGO3C61</v>
      </c>
      <c r="H751" s="19"/>
      <c r="I751" s="20">
        <f t="shared" si="2"/>
        <v>46113</v>
      </c>
    </row>
    <row r="752" ht="22.5" customHeight="1">
      <c r="A752" s="5">
        <v>46125.0</v>
      </c>
      <c r="B752" s="6">
        <f t="shared" si="1"/>
        <v>16</v>
      </c>
      <c r="C752" s="7" t="s">
        <v>9</v>
      </c>
      <c r="D752" s="8">
        <v>150.0</v>
      </c>
      <c r="E752" s="7" t="s">
        <v>18</v>
      </c>
      <c r="F752" s="10" t="str">
        <f>VLOOKUP(E752,BASE_VEICULOS!A:G,7,0)</f>
        <v>FAC - 140004 - MANUTENÇÃO PREDIAL DPSP 2025</v>
      </c>
      <c r="G752" s="11" t="str">
        <f>IFERROR(VLOOKUP(E752,BASE_VEICULOS!$A:$B,2,0),"")</f>
        <v>TEW9A29</v>
      </c>
      <c r="H752" s="19"/>
      <c r="I752" s="20">
        <f t="shared" si="2"/>
        <v>46113</v>
      </c>
    </row>
    <row r="753" ht="22.5" customHeight="1">
      <c r="A753" s="5">
        <v>46125.0</v>
      </c>
      <c r="B753" s="6">
        <f t="shared" si="1"/>
        <v>16</v>
      </c>
      <c r="C753" s="7" t="s">
        <v>9</v>
      </c>
      <c r="D753" s="8">
        <v>125.86</v>
      </c>
      <c r="E753" s="7" t="s">
        <v>34</v>
      </c>
      <c r="F753" s="10" t="str">
        <f>VLOOKUP(E753,BASE_VEICULOS!A:G,7,0)</f>
        <v>PROF - 07001 - MANUTENÇÃO PREDIAL- PROFARMA-2025</v>
      </c>
      <c r="G753" s="11" t="str">
        <f>IFERROR(VLOOKUP(E753,BASE_VEICULOS!$A:$B,2,0),"")</f>
        <v>SRU8D16</v>
      </c>
      <c r="H753" s="19"/>
      <c r="I753" s="20">
        <f t="shared" si="2"/>
        <v>46113</v>
      </c>
    </row>
    <row r="754" ht="22.5" customHeight="1">
      <c r="A754" s="5">
        <v>46125.0</v>
      </c>
      <c r="B754" s="6">
        <f t="shared" si="1"/>
        <v>16</v>
      </c>
      <c r="C754" s="7" t="s">
        <v>9</v>
      </c>
      <c r="D754" s="8">
        <v>224.83</v>
      </c>
      <c r="E754" s="7" t="s">
        <v>19</v>
      </c>
      <c r="F754" s="10" t="str">
        <f>VLOOKUP(E754,BASE_VEICULOS!A:G,7,0)</f>
        <v>PROF - 07001 - MANUTENÇÃO PREDIAL- PROFARMA-2025</v>
      </c>
      <c r="G754" s="11" t="str">
        <f>IFERROR(VLOOKUP(E754,BASE_VEICULOS!$A:$B,2,0),"")</f>
        <v>TEW9A24</v>
      </c>
      <c r="H754" s="19"/>
      <c r="I754" s="20">
        <f t="shared" si="2"/>
        <v>46113</v>
      </c>
    </row>
    <row r="755" ht="22.5" customHeight="1">
      <c r="A755" s="5">
        <v>46125.0</v>
      </c>
      <c r="B755" s="6">
        <f t="shared" si="1"/>
        <v>16</v>
      </c>
      <c r="C755" s="7" t="s">
        <v>9</v>
      </c>
      <c r="D755" s="8">
        <v>201.01</v>
      </c>
      <c r="E755" s="7" t="s">
        <v>25</v>
      </c>
      <c r="F755" s="10" t="str">
        <f>VLOOKUP(E755,BASE_VEICULOS!A:G,7,0)</f>
        <v>PROF - 07001 - MANUTENÇÃO PREDIAL- PROFARMA-2025</v>
      </c>
      <c r="G755" s="11" t="str">
        <f>IFERROR(VLOOKUP(E755,BASE_VEICULOS!$A:$B,2,0),"")</f>
        <v>TEW9A26</v>
      </c>
      <c r="H755" s="19"/>
      <c r="I755" s="20">
        <f t="shared" si="2"/>
        <v>46113</v>
      </c>
    </row>
    <row r="756" ht="22.5" customHeight="1">
      <c r="A756" s="5">
        <v>46125.0</v>
      </c>
      <c r="B756" s="6">
        <f t="shared" si="1"/>
        <v>16</v>
      </c>
      <c r="C756" s="7" t="s">
        <v>9</v>
      </c>
      <c r="D756" s="8">
        <v>209.29</v>
      </c>
      <c r="E756" s="7" t="s">
        <v>15</v>
      </c>
      <c r="F756" s="10" t="str">
        <f>VLOOKUP(E756,BASE_VEICULOS!A:G,7,0)</f>
        <v>FAC - 140005 - SPOT MANUTENÇÃO DPSP 2025</v>
      </c>
      <c r="G756" s="11" t="str">
        <f>IFERROR(VLOOKUP(E756,BASE_VEICULOS!$A:$B,2,0),"")</f>
        <v>EWH1B84</v>
      </c>
      <c r="H756" s="19"/>
      <c r="I756" s="20">
        <f t="shared" si="2"/>
        <v>46113</v>
      </c>
    </row>
    <row r="757" ht="22.5" customHeight="1">
      <c r="A757" s="5">
        <v>46125.0</v>
      </c>
      <c r="B757" s="6">
        <f t="shared" si="1"/>
        <v>16</v>
      </c>
      <c r="C757" s="7" t="s">
        <v>9</v>
      </c>
      <c r="D757" s="8">
        <v>200.0</v>
      </c>
      <c r="E757" s="7" t="s">
        <v>16</v>
      </c>
      <c r="F757" s="10" t="str">
        <f>VLOOKUP(E757,BASE_VEICULOS!A:G,7,0)</f>
        <v>FAC - 140005 - SPOT MANUTENÇÃO DPSP 2025</v>
      </c>
      <c r="G757" s="11" t="str">
        <f>IFERROR(VLOOKUP(E757,BASE_VEICULOS!$A:$B,2,0),"")</f>
        <v>TEW9A27</v>
      </c>
      <c r="H757" s="19"/>
      <c r="I757" s="20">
        <f t="shared" si="2"/>
        <v>46113</v>
      </c>
    </row>
    <row r="758" ht="22.5" customHeight="1">
      <c r="A758" s="5">
        <v>46125.0</v>
      </c>
      <c r="B758" s="6">
        <f t="shared" si="1"/>
        <v>16</v>
      </c>
      <c r="C758" s="7" t="s">
        <v>9</v>
      </c>
      <c r="D758" s="8">
        <v>92.51</v>
      </c>
      <c r="E758" s="7" t="s">
        <v>29</v>
      </c>
      <c r="F758" s="10" t="str">
        <f>VLOOKUP(E758,BASE_VEICULOS!A:G,7,0)</f>
        <v>PROF - 07001 - MANUTENÇÃO PREDIAL- PROFARMA-2025</v>
      </c>
      <c r="G758" s="11" t="str">
        <f>IFERROR(VLOOKUP(E758,BASE_VEICULOS!$A:$B,2,0),"")</f>
        <v>TEQ2I74</v>
      </c>
      <c r="H758" s="19"/>
      <c r="I758" s="20">
        <f t="shared" si="2"/>
        <v>46113</v>
      </c>
    </row>
    <row r="759" ht="22.5" customHeight="1">
      <c r="A759" s="5">
        <v>46125.0</v>
      </c>
      <c r="B759" s="6">
        <f t="shared" si="1"/>
        <v>16</v>
      </c>
      <c r="C759" s="7" t="s">
        <v>9</v>
      </c>
      <c r="D759" s="8">
        <v>150.0</v>
      </c>
      <c r="E759" s="7" t="s">
        <v>30</v>
      </c>
      <c r="F759" s="10" t="str">
        <f>VLOOKUP(E759,BASE_VEICULOS!A:G,7,0)</f>
        <v>#N/A</v>
      </c>
      <c r="G759" s="11" t="str">
        <f>IFERROR(VLOOKUP(E759,BASE_VEICULOS!$A:$B,2,0),"")</f>
        <v/>
      </c>
      <c r="H759" s="19"/>
      <c r="I759" s="20">
        <f t="shared" si="2"/>
        <v>46113</v>
      </c>
    </row>
    <row r="760" ht="22.5" customHeight="1">
      <c r="A760" s="5">
        <v>46125.0</v>
      </c>
      <c r="B760" s="6">
        <f t="shared" si="1"/>
        <v>16</v>
      </c>
      <c r="C760" s="7" t="s">
        <v>9</v>
      </c>
      <c r="D760" s="8">
        <v>191.77</v>
      </c>
      <c r="E760" s="7" t="s">
        <v>22</v>
      </c>
      <c r="F760" s="10" t="str">
        <f>VLOOKUP(E760,BASE_VEICULOS!A:G,7,0)</f>
        <v>PROF - 07001 - MANUTENÇÃO PREDIAL- PROFARMA-2025</v>
      </c>
      <c r="G760" s="11" t="str">
        <f>IFERROR(VLOOKUP(E760,BASE_VEICULOS!$A:$B,2,0),"")</f>
        <v>TET5H37</v>
      </c>
      <c r="H760" s="19"/>
      <c r="I760" s="20">
        <f t="shared" si="2"/>
        <v>46113</v>
      </c>
    </row>
    <row r="761" ht="22.5" customHeight="1">
      <c r="A761" s="5">
        <v>46125.0</v>
      </c>
      <c r="B761" s="6">
        <f t="shared" si="1"/>
        <v>16</v>
      </c>
      <c r="C761" s="7" t="s">
        <v>9</v>
      </c>
      <c r="D761" s="8">
        <v>142.11</v>
      </c>
      <c r="E761" s="7" t="s">
        <v>33</v>
      </c>
      <c r="F761" s="10" t="str">
        <f>VLOOKUP(E761,BASE_VEICULOS!A:G,7,0)</f>
        <v>PROF - 07001 - MANUTENÇÃO PREDIAL- PROFARMA-2025</v>
      </c>
      <c r="G761" s="11" t="str">
        <f>IFERROR(VLOOKUP(E761,BASE_VEICULOS!$A:$B,2,0),"")</f>
        <v>TEW9A30</v>
      </c>
      <c r="H761" s="19"/>
      <c r="I761" s="20">
        <f t="shared" si="2"/>
        <v>46113</v>
      </c>
    </row>
    <row r="762" ht="22.5" customHeight="1">
      <c r="A762" s="5">
        <v>46126.0</v>
      </c>
      <c r="B762" s="6">
        <f t="shared" si="1"/>
        <v>16</v>
      </c>
      <c r="C762" s="7" t="s">
        <v>9</v>
      </c>
      <c r="D762" s="8">
        <v>150.0</v>
      </c>
      <c r="E762" s="7" t="s">
        <v>27</v>
      </c>
      <c r="F762" s="10" t="str">
        <f>VLOOKUP(E762,BASE_VEICULOS!A:G,7,0)</f>
        <v>FAC - 140005 - SPOT MANUTENÇÃO DPSP 2025</v>
      </c>
      <c r="G762" s="11" t="str">
        <f>IFERROR(VLOOKUP(E762,BASE_VEICULOS!$A:$B,2,0),"")</f>
        <v>UDA5B37</v>
      </c>
      <c r="H762" s="19"/>
      <c r="I762" s="20">
        <f t="shared" si="2"/>
        <v>46113</v>
      </c>
    </row>
    <row r="763" ht="22.5" customHeight="1">
      <c r="A763" s="5">
        <v>46126.0</v>
      </c>
      <c r="B763" s="6">
        <f t="shared" si="1"/>
        <v>16</v>
      </c>
      <c r="C763" s="7" t="s">
        <v>9</v>
      </c>
      <c r="D763" s="8">
        <v>50.0</v>
      </c>
      <c r="E763" s="7" t="s">
        <v>17</v>
      </c>
      <c r="F763" s="10" t="str">
        <f>VLOOKUP(E763,BASE_VEICULOS!A:G,7,0)</f>
        <v>#N/A</v>
      </c>
      <c r="G763" s="11" t="str">
        <f>IFERROR(VLOOKUP(E763,BASE_VEICULOS!$A:$B,2,0),"")</f>
        <v/>
      </c>
      <c r="H763" s="19"/>
      <c r="I763" s="20">
        <f t="shared" si="2"/>
        <v>46113</v>
      </c>
    </row>
    <row r="764" ht="22.5" customHeight="1">
      <c r="A764" s="5">
        <v>46126.0</v>
      </c>
      <c r="B764" s="6">
        <f t="shared" si="1"/>
        <v>16</v>
      </c>
      <c r="C764" s="7" t="s">
        <v>9</v>
      </c>
      <c r="D764" s="8">
        <v>97.98</v>
      </c>
      <c r="E764" s="7" t="s">
        <v>33</v>
      </c>
      <c r="F764" s="10" t="str">
        <f>VLOOKUP(E764,BASE_VEICULOS!A:G,7,0)</f>
        <v>PROF - 07001 - MANUTENÇÃO PREDIAL- PROFARMA-2025</v>
      </c>
      <c r="G764" s="11" t="str">
        <f>IFERROR(VLOOKUP(E764,BASE_VEICULOS!$A:$B,2,0),"")</f>
        <v>TEW9A30</v>
      </c>
      <c r="H764" s="19"/>
      <c r="I764" s="20">
        <f t="shared" si="2"/>
        <v>46113</v>
      </c>
    </row>
    <row r="765" ht="22.5" customHeight="1">
      <c r="A765" s="5">
        <v>46126.0</v>
      </c>
      <c r="B765" s="6">
        <f t="shared" si="1"/>
        <v>16</v>
      </c>
      <c r="C765" s="7" t="s">
        <v>9</v>
      </c>
      <c r="D765" s="8">
        <v>110.0</v>
      </c>
      <c r="E765" s="7" t="s">
        <v>18</v>
      </c>
      <c r="F765" s="10" t="str">
        <f>VLOOKUP(E765,BASE_VEICULOS!A:G,7,0)</f>
        <v>FAC - 140004 - MANUTENÇÃO PREDIAL DPSP 2025</v>
      </c>
      <c r="G765" s="11" t="str">
        <f>IFERROR(VLOOKUP(E765,BASE_VEICULOS!$A:$B,2,0),"")</f>
        <v>TEW9A29</v>
      </c>
      <c r="H765" s="19"/>
      <c r="I765" s="20">
        <f t="shared" si="2"/>
        <v>46113</v>
      </c>
    </row>
    <row r="766" ht="22.5" customHeight="1">
      <c r="A766" s="5">
        <v>46126.0</v>
      </c>
      <c r="B766" s="6">
        <f t="shared" si="1"/>
        <v>16</v>
      </c>
      <c r="C766" s="7" t="s">
        <v>9</v>
      </c>
      <c r="D766" s="8">
        <v>99.63</v>
      </c>
      <c r="E766" s="7" t="s">
        <v>13</v>
      </c>
      <c r="F766" s="10" t="str">
        <f>VLOOKUP(E766,BASE_VEICULOS!A:G,7,0)</f>
        <v>FAC - 140005 - SPOT MANUTENÇÃO DPSP 2025</v>
      </c>
      <c r="G766" s="11" t="str">
        <f>IFERROR(VLOOKUP(E766,BASE_VEICULOS!$A:$B,2,0),"")</f>
        <v>FGO3C61</v>
      </c>
      <c r="H766" s="19"/>
      <c r="I766" s="20">
        <f t="shared" si="2"/>
        <v>46113</v>
      </c>
    </row>
    <row r="767" ht="22.5" customHeight="1">
      <c r="A767" s="5">
        <v>46127.0</v>
      </c>
      <c r="B767" s="6">
        <f t="shared" si="1"/>
        <v>16</v>
      </c>
      <c r="C767" s="7" t="s">
        <v>9</v>
      </c>
      <c r="D767" s="8">
        <v>77.0</v>
      </c>
      <c r="E767" s="7" t="s">
        <v>34</v>
      </c>
      <c r="F767" s="10" t="str">
        <f>VLOOKUP(E767,BASE_VEICULOS!A:G,7,0)</f>
        <v>PROF - 07001 - MANUTENÇÃO PREDIAL- PROFARMA-2025</v>
      </c>
      <c r="G767" s="11" t="str">
        <f>IFERROR(VLOOKUP(E767,BASE_VEICULOS!$A:$B,2,0),"")</f>
        <v>SRU8D16</v>
      </c>
      <c r="H767" s="19"/>
      <c r="I767" s="20">
        <f t="shared" si="2"/>
        <v>46113</v>
      </c>
    </row>
    <row r="768" ht="22.5" customHeight="1">
      <c r="A768" s="5">
        <v>46127.0</v>
      </c>
      <c r="B768" s="6">
        <f t="shared" si="1"/>
        <v>16</v>
      </c>
      <c r="C768" s="7" t="s">
        <v>9</v>
      </c>
      <c r="D768" s="8">
        <v>100.0</v>
      </c>
      <c r="E768" s="7" t="s">
        <v>17</v>
      </c>
      <c r="F768" s="10" t="str">
        <f>VLOOKUP(E768,BASE_VEICULOS!A:G,7,0)</f>
        <v>#N/A</v>
      </c>
      <c r="G768" s="11" t="str">
        <f>IFERROR(VLOOKUP(E768,BASE_VEICULOS!$A:$B,2,0),"")</f>
        <v/>
      </c>
      <c r="H768" s="19"/>
      <c r="I768" s="20">
        <f t="shared" si="2"/>
        <v>46113</v>
      </c>
    </row>
    <row r="769" ht="22.5" customHeight="1">
      <c r="A769" s="5">
        <v>46127.0</v>
      </c>
      <c r="B769" s="6">
        <f t="shared" si="1"/>
        <v>16</v>
      </c>
      <c r="C769" s="7" t="s">
        <v>9</v>
      </c>
      <c r="D769" s="8">
        <v>100.0</v>
      </c>
      <c r="E769" s="7" t="s">
        <v>13</v>
      </c>
      <c r="F769" s="10" t="str">
        <f>VLOOKUP(E769,BASE_VEICULOS!A:G,7,0)</f>
        <v>FAC - 140005 - SPOT MANUTENÇÃO DPSP 2025</v>
      </c>
      <c r="G769" s="11" t="str">
        <f>IFERROR(VLOOKUP(E769,BASE_VEICULOS!$A:$B,2,0),"")</f>
        <v>FGO3C61</v>
      </c>
      <c r="H769" s="19"/>
      <c r="I769" s="20">
        <f t="shared" si="2"/>
        <v>46113</v>
      </c>
    </row>
    <row r="770" ht="22.5" customHeight="1">
      <c r="A770" s="5">
        <v>46127.0</v>
      </c>
      <c r="B770" s="6">
        <f t="shared" si="1"/>
        <v>16</v>
      </c>
      <c r="C770" s="7" t="s">
        <v>9</v>
      </c>
      <c r="D770" s="8">
        <v>145.0</v>
      </c>
      <c r="E770" s="7" t="s">
        <v>10</v>
      </c>
      <c r="F770" s="10" t="str">
        <f>VLOOKUP(E770,BASE_VEICULOS!A:G,7,0)</f>
        <v>FAC - 140004 - MANUTENÇÃO PREDIAL DPSP 2025</v>
      </c>
      <c r="G770" s="11" t="str">
        <f>IFERROR(VLOOKUP(E770,BASE_VEICULOS!$A:$B,2,0),"")</f>
        <v>TEW9A25</v>
      </c>
      <c r="H770" s="19"/>
      <c r="I770" s="20">
        <f t="shared" si="2"/>
        <v>46113</v>
      </c>
    </row>
    <row r="771" ht="22.5" customHeight="1">
      <c r="A771" s="5">
        <v>46127.0</v>
      </c>
      <c r="B771" s="6">
        <f t="shared" si="1"/>
        <v>16</v>
      </c>
      <c r="C771" s="7" t="s">
        <v>9</v>
      </c>
      <c r="D771" s="8">
        <v>100.0</v>
      </c>
      <c r="E771" s="7" t="s">
        <v>24</v>
      </c>
      <c r="F771" s="10" t="str">
        <f>VLOOKUP(E771,BASE_VEICULOS!A:G,7,0)</f>
        <v>PROF - 07001 - MANUTENÇÃO PREDIAL- PROFARMA-2025</v>
      </c>
      <c r="G771" s="11" t="str">
        <f>IFERROR(VLOOKUP(E771,BASE_VEICULOS!$A:$B,2,0),"")</f>
        <v>TEW9A23</v>
      </c>
      <c r="H771" s="19"/>
      <c r="I771" s="20">
        <f t="shared" si="2"/>
        <v>46113</v>
      </c>
    </row>
    <row r="772" ht="22.5" customHeight="1">
      <c r="A772" s="5">
        <v>46127.0</v>
      </c>
      <c r="B772" s="6">
        <f t="shared" si="1"/>
        <v>16</v>
      </c>
      <c r="C772" s="7" t="s">
        <v>9</v>
      </c>
      <c r="D772" s="8">
        <v>90.0</v>
      </c>
      <c r="E772" s="7" t="s">
        <v>17</v>
      </c>
      <c r="F772" s="10" t="str">
        <f>VLOOKUP(E772,BASE_VEICULOS!A:G,7,0)</f>
        <v>#N/A</v>
      </c>
      <c r="G772" s="11" t="str">
        <f>IFERROR(VLOOKUP(E772,BASE_VEICULOS!$A:$B,2,0),"")</f>
        <v/>
      </c>
      <c r="H772" s="19"/>
      <c r="I772" s="20">
        <f t="shared" si="2"/>
        <v>46113</v>
      </c>
    </row>
    <row r="773" ht="22.5" customHeight="1">
      <c r="A773" s="5">
        <v>46127.0</v>
      </c>
      <c r="B773" s="6">
        <f t="shared" si="1"/>
        <v>16</v>
      </c>
      <c r="C773" s="7" t="s">
        <v>9</v>
      </c>
      <c r="D773" s="8">
        <v>89.99</v>
      </c>
      <c r="E773" s="7" t="s">
        <v>30</v>
      </c>
      <c r="F773" s="10" t="str">
        <f>VLOOKUP(E773,BASE_VEICULOS!A:G,7,0)</f>
        <v>#N/A</v>
      </c>
      <c r="G773" s="11" t="str">
        <f>IFERROR(VLOOKUP(E773,BASE_VEICULOS!$A:$B,2,0),"")</f>
        <v/>
      </c>
      <c r="H773" s="19"/>
      <c r="I773" s="20">
        <f t="shared" si="2"/>
        <v>46113</v>
      </c>
    </row>
    <row r="774" ht="22.5" customHeight="1">
      <c r="A774" s="5">
        <v>46127.0</v>
      </c>
      <c r="B774" s="6">
        <f t="shared" si="1"/>
        <v>16</v>
      </c>
      <c r="C774" s="7" t="s">
        <v>9</v>
      </c>
      <c r="D774" s="8">
        <v>119.0</v>
      </c>
      <c r="E774" s="7" t="s">
        <v>14</v>
      </c>
      <c r="F774" s="10" t="str">
        <f>VLOOKUP(E774,BASE_VEICULOS!A:G,7,0)</f>
        <v>FAC - 140004 - MANUTENÇÃO PREDIAL DPSP 2025</v>
      </c>
      <c r="G774" s="11" t="str">
        <f>IFERROR(VLOOKUP(E774,BASE_VEICULOS!$A:$B,2,0),"")</f>
        <v>FOK8A73</v>
      </c>
      <c r="H774" s="19"/>
      <c r="I774" s="20">
        <f t="shared" si="2"/>
        <v>46113</v>
      </c>
    </row>
    <row r="775" ht="22.5" customHeight="1">
      <c r="A775" s="5">
        <v>46127.0</v>
      </c>
      <c r="B775" s="6">
        <f t="shared" si="1"/>
        <v>16</v>
      </c>
      <c r="C775" s="7" t="s">
        <v>9</v>
      </c>
      <c r="D775" s="8">
        <v>90.0</v>
      </c>
      <c r="E775" s="7" t="s">
        <v>20</v>
      </c>
      <c r="F775" s="10" t="str">
        <f>VLOOKUP(E775,BASE_VEICULOS!A:G,7,0)</f>
        <v>PROF - 07001 - MANUTENÇÃO PREDIAL- PROFARMA-2025</v>
      </c>
      <c r="G775" s="11" t="str">
        <f>IFERROR(VLOOKUP(E775,BASE_VEICULOS!$A:$B,2,0),"")</f>
        <v>TEW9A34</v>
      </c>
      <c r="H775" s="19"/>
      <c r="I775" s="20">
        <f t="shared" si="2"/>
        <v>46113</v>
      </c>
    </row>
    <row r="776" ht="22.5" customHeight="1">
      <c r="A776" s="5">
        <v>46127.0</v>
      </c>
      <c r="B776" s="6">
        <f t="shared" si="1"/>
        <v>16</v>
      </c>
      <c r="C776" s="7" t="s">
        <v>9</v>
      </c>
      <c r="D776" s="8">
        <v>150.0</v>
      </c>
      <c r="E776" s="7" t="s">
        <v>27</v>
      </c>
      <c r="F776" s="10" t="str">
        <f>VLOOKUP(E776,BASE_VEICULOS!A:G,7,0)</f>
        <v>FAC - 140005 - SPOT MANUTENÇÃO DPSP 2025</v>
      </c>
      <c r="G776" s="11" t="str">
        <f>IFERROR(VLOOKUP(E776,BASE_VEICULOS!$A:$B,2,0),"")</f>
        <v>UDA5B37</v>
      </c>
      <c r="H776" s="19"/>
      <c r="I776" s="20">
        <f t="shared" si="2"/>
        <v>46113</v>
      </c>
    </row>
    <row r="777" ht="22.5" customHeight="1">
      <c r="A777" s="5">
        <v>46128.0</v>
      </c>
      <c r="B777" s="6">
        <f t="shared" si="1"/>
        <v>16</v>
      </c>
      <c r="C777" s="7" t="s">
        <v>9</v>
      </c>
      <c r="D777" s="8">
        <v>120.0</v>
      </c>
      <c r="E777" s="7" t="s">
        <v>22</v>
      </c>
      <c r="F777" s="10" t="str">
        <f>VLOOKUP(E777,BASE_VEICULOS!A:G,7,0)</f>
        <v>PROF - 07001 - MANUTENÇÃO PREDIAL- PROFARMA-2025</v>
      </c>
      <c r="G777" s="11" t="str">
        <f>IFERROR(VLOOKUP(E777,BASE_VEICULOS!$A:$B,2,0),"")</f>
        <v>TET5H37</v>
      </c>
      <c r="H777" s="19"/>
      <c r="I777" s="20">
        <f t="shared" si="2"/>
        <v>46113</v>
      </c>
    </row>
    <row r="778" ht="22.5" customHeight="1">
      <c r="A778" s="5">
        <v>46128.0</v>
      </c>
      <c r="B778" s="6">
        <f t="shared" si="1"/>
        <v>16</v>
      </c>
      <c r="C778" s="7" t="s">
        <v>9</v>
      </c>
      <c r="D778" s="8">
        <v>50.0</v>
      </c>
      <c r="E778" s="7" t="s">
        <v>25</v>
      </c>
      <c r="F778" s="10" t="str">
        <f>VLOOKUP(E778,BASE_VEICULOS!A:G,7,0)</f>
        <v>PROF - 07001 - MANUTENÇÃO PREDIAL- PROFARMA-2025</v>
      </c>
      <c r="G778" s="11" t="str">
        <f>IFERROR(VLOOKUP(E778,BASE_VEICULOS!$A:$B,2,0),"")</f>
        <v>TEW9A26</v>
      </c>
      <c r="H778" s="19"/>
      <c r="I778" s="20">
        <f t="shared" si="2"/>
        <v>46113</v>
      </c>
    </row>
    <row r="779" ht="22.5" customHeight="1">
      <c r="A779" s="5">
        <v>46128.0</v>
      </c>
      <c r="B779" s="6">
        <f t="shared" si="1"/>
        <v>16</v>
      </c>
      <c r="C779" s="7" t="s">
        <v>9</v>
      </c>
      <c r="D779" s="8">
        <v>50.0</v>
      </c>
      <c r="E779" s="7" t="s">
        <v>34</v>
      </c>
      <c r="F779" s="10" t="str">
        <f>VLOOKUP(E779,BASE_VEICULOS!A:G,7,0)</f>
        <v>PROF - 07001 - MANUTENÇÃO PREDIAL- PROFARMA-2025</v>
      </c>
      <c r="G779" s="11" t="str">
        <f>IFERROR(VLOOKUP(E779,BASE_VEICULOS!$A:$B,2,0),"")</f>
        <v>SRU8D16</v>
      </c>
      <c r="H779" s="19"/>
      <c r="I779" s="20">
        <f t="shared" si="2"/>
        <v>46113</v>
      </c>
    </row>
    <row r="780" ht="22.5" customHeight="1">
      <c r="A780" s="5">
        <v>46128.0</v>
      </c>
      <c r="B780" s="6">
        <f t="shared" si="1"/>
        <v>16</v>
      </c>
      <c r="C780" s="7" t="s">
        <v>9</v>
      </c>
      <c r="D780" s="8">
        <v>150.0</v>
      </c>
      <c r="E780" s="7" t="s">
        <v>11</v>
      </c>
      <c r="F780" s="10" t="str">
        <f>VLOOKUP(E780,BASE_VEICULOS!A:G,7,0)</f>
        <v>PROF - 07001 - MANUTENÇÃO PREDIAL- PROFARMA-2025</v>
      </c>
      <c r="G780" s="11" t="str">
        <f>IFERROR(VLOOKUP(E780,BASE_VEICULOS!$A:$B,2,0),"")</f>
        <v>TEW9A28</v>
      </c>
      <c r="H780" s="19"/>
      <c r="I780" s="20">
        <f t="shared" si="2"/>
        <v>46113</v>
      </c>
    </row>
    <row r="781" ht="22.5" customHeight="1">
      <c r="A781" s="5">
        <v>46128.0</v>
      </c>
      <c r="B781" s="6">
        <f t="shared" si="1"/>
        <v>16</v>
      </c>
      <c r="C781" s="7" t="s">
        <v>9</v>
      </c>
      <c r="D781" s="8">
        <v>180.0</v>
      </c>
      <c r="E781" s="7" t="s">
        <v>30</v>
      </c>
      <c r="F781" s="10" t="str">
        <f>VLOOKUP(E781,BASE_VEICULOS!A:G,7,0)</f>
        <v>#N/A</v>
      </c>
      <c r="G781" s="11" t="str">
        <f>IFERROR(VLOOKUP(E781,BASE_VEICULOS!$A:$B,2,0),"")</f>
        <v/>
      </c>
      <c r="H781" s="19"/>
      <c r="I781" s="20">
        <f t="shared" si="2"/>
        <v>46113</v>
      </c>
    </row>
    <row r="782" ht="22.5" customHeight="1">
      <c r="A782" s="5">
        <v>46128.0</v>
      </c>
      <c r="B782" s="6">
        <f t="shared" si="1"/>
        <v>16</v>
      </c>
      <c r="C782" s="7" t="s">
        <v>9</v>
      </c>
      <c r="D782" s="8">
        <v>102.0</v>
      </c>
      <c r="E782" s="7" t="s">
        <v>19</v>
      </c>
      <c r="F782" s="10" t="str">
        <f>VLOOKUP(E782,BASE_VEICULOS!A:G,7,0)</f>
        <v>PROF - 07001 - MANUTENÇÃO PREDIAL- PROFARMA-2025</v>
      </c>
      <c r="G782" s="11" t="str">
        <f>IFERROR(VLOOKUP(E782,BASE_VEICULOS!$A:$B,2,0),"")</f>
        <v>TEW9A24</v>
      </c>
      <c r="H782" s="19"/>
      <c r="I782" s="20">
        <f t="shared" si="2"/>
        <v>46113</v>
      </c>
    </row>
    <row r="783" ht="22.5" customHeight="1">
      <c r="A783" s="5">
        <v>46128.0</v>
      </c>
      <c r="B783" s="6">
        <f t="shared" si="1"/>
        <v>16</v>
      </c>
      <c r="C783" s="7" t="s">
        <v>9</v>
      </c>
      <c r="D783" s="8">
        <v>60.0</v>
      </c>
      <c r="E783" s="7" t="s">
        <v>24</v>
      </c>
      <c r="F783" s="10" t="str">
        <f>VLOOKUP(E783,BASE_VEICULOS!A:G,7,0)</f>
        <v>PROF - 07001 - MANUTENÇÃO PREDIAL- PROFARMA-2025</v>
      </c>
      <c r="G783" s="11" t="str">
        <f>IFERROR(VLOOKUP(E783,BASE_VEICULOS!$A:$B,2,0),"")</f>
        <v>TEW9A23</v>
      </c>
      <c r="H783" s="19"/>
      <c r="I783" s="20">
        <f t="shared" si="2"/>
        <v>46113</v>
      </c>
    </row>
    <row r="784" ht="22.5" customHeight="1">
      <c r="A784" s="5">
        <v>46128.0</v>
      </c>
      <c r="B784" s="6">
        <f t="shared" si="1"/>
        <v>16</v>
      </c>
      <c r="C784" s="7" t="s">
        <v>9</v>
      </c>
      <c r="D784" s="8">
        <v>30.0</v>
      </c>
      <c r="E784" s="7" t="s">
        <v>34</v>
      </c>
      <c r="F784" s="10" t="str">
        <f>VLOOKUP(E784,BASE_VEICULOS!A:G,7,0)</f>
        <v>PROF - 07001 - MANUTENÇÃO PREDIAL- PROFARMA-2025</v>
      </c>
      <c r="G784" s="11" t="str">
        <f>IFERROR(VLOOKUP(E784,BASE_VEICULOS!$A:$B,2,0),"")</f>
        <v>SRU8D16</v>
      </c>
      <c r="H784" s="19"/>
      <c r="I784" s="20">
        <f t="shared" si="2"/>
        <v>46113</v>
      </c>
    </row>
    <row r="785" ht="22.5" customHeight="1">
      <c r="A785" s="5">
        <v>46128.0</v>
      </c>
      <c r="B785" s="6">
        <f t="shared" si="1"/>
        <v>16</v>
      </c>
      <c r="C785" s="7" t="s">
        <v>9</v>
      </c>
      <c r="D785" s="8">
        <v>100.0</v>
      </c>
      <c r="E785" s="7" t="s">
        <v>14</v>
      </c>
      <c r="F785" s="10" t="str">
        <f>VLOOKUP(E785,BASE_VEICULOS!A:G,7,0)</f>
        <v>FAC - 140004 - MANUTENÇÃO PREDIAL DPSP 2025</v>
      </c>
      <c r="G785" s="11" t="str">
        <f>IFERROR(VLOOKUP(E785,BASE_VEICULOS!$A:$B,2,0),"")</f>
        <v>FOK8A73</v>
      </c>
      <c r="H785" s="19"/>
      <c r="I785" s="20">
        <f t="shared" si="2"/>
        <v>46113</v>
      </c>
    </row>
    <row r="786" ht="22.5" hidden="1" customHeight="1">
      <c r="A786" s="5">
        <v>46128.0</v>
      </c>
      <c r="B786" s="6">
        <f t="shared" si="1"/>
        <v>16</v>
      </c>
      <c r="C786" s="7" t="s">
        <v>32</v>
      </c>
      <c r="D786" s="8">
        <v>100.0</v>
      </c>
      <c r="E786" s="7" t="s">
        <v>34</v>
      </c>
      <c r="F786" s="10" t="str">
        <f>VLOOKUP(E786,BASE_VEICULOS!A:G,7,0)</f>
        <v>PROF - 07001 - MANUTENÇÃO PREDIAL- PROFARMA-2025</v>
      </c>
      <c r="G786" s="11" t="str">
        <f>IFERROR(VLOOKUP(E786,BASE_VEICULOS!$A:$B,2,0),"")</f>
        <v>SRU8D16</v>
      </c>
      <c r="H786" s="19"/>
      <c r="I786" s="20">
        <f t="shared" si="2"/>
        <v>46113</v>
      </c>
    </row>
    <row r="787" ht="22.5" customHeight="1">
      <c r="A787" s="5">
        <v>46128.0</v>
      </c>
      <c r="B787" s="6">
        <f t="shared" si="1"/>
        <v>16</v>
      </c>
      <c r="C787" s="7" t="s">
        <v>9</v>
      </c>
      <c r="D787" s="8">
        <v>69.99</v>
      </c>
      <c r="E787" s="7" t="s">
        <v>12</v>
      </c>
      <c r="F787" s="10" t="str">
        <f>VLOOKUP(E787,BASE_VEICULOS!A:G,7,0)</f>
        <v>FAC - 140004 - MANUTENÇÃO PREDIAL DPSP 2025</v>
      </c>
      <c r="G787" s="11" t="str">
        <f>IFERROR(VLOOKUP(E787,BASE_VEICULOS!$A:$B,2,0),"")</f>
        <v>FIL8C14</v>
      </c>
      <c r="H787" s="19"/>
      <c r="I787" s="20">
        <f t="shared" si="2"/>
        <v>46113</v>
      </c>
    </row>
    <row r="788" ht="22.5" customHeight="1">
      <c r="A788" s="5">
        <v>46128.0</v>
      </c>
      <c r="B788" s="6">
        <f t="shared" si="1"/>
        <v>16</v>
      </c>
      <c r="C788" s="7" t="s">
        <v>9</v>
      </c>
      <c r="D788" s="8">
        <v>69.99</v>
      </c>
      <c r="E788" s="7" t="s">
        <v>33</v>
      </c>
      <c r="F788" s="10" t="str">
        <f>VLOOKUP(E788,BASE_VEICULOS!A:G,7,0)</f>
        <v>PROF - 07001 - MANUTENÇÃO PREDIAL- PROFARMA-2025</v>
      </c>
      <c r="G788" s="11" t="str">
        <f>IFERROR(VLOOKUP(E788,BASE_VEICULOS!$A:$B,2,0),"")</f>
        <v>TEW9A30</v>
      </c>
      <c r="H788" s="19"/>
      <c r="I788" s="20">
        <f t="shared" si="2"/>
        <v>46113</v>
      </c>
    </row>
    <row r="789" ht="22.5" customHeight="1">
      <c r="A789" s="5">
        <v>46128.0</v>
      </c>
      <c r="B789" s="6">
        <f t="shared" si="1"/>
        <v>16</v>
      </c>
      <c r="C789" s="7" t="s">
        <v>9</v>
      </c>
      <c r="D789" s="8">
        <v>99.99</v>
      </c>
      <c r="E789" s="7" t="s">
        <v>23</v>
      </c>
      <c r="F789" s="10" t="str">
        <f>VLOOKUP(E789,BASE_VEICULOS!A:G,7,0)</f>
        <v>PROF - 07001 - MANUTENÇÃO PREDIAL- PROFARMA-2025</v>
      </c>
      <c r="G789" s="11" t="str">
        <f>IFERROR(VLOOKUP(E789,BASE_VEICULOS!$A:$B,2,0),"")</f>
        <v>TEH3I02</v>
      </c>
      <c r="H789" s="19"/>
      <c r="I789" s="20">
        <f t="shared" si="2"/>
        <v>46113</v>
      </c>
    </row>
    <row r="790" ht="22.5" customHeight="1">
      <c r="A790" s="5">
        <v>46128.0</v>
      </c>
      <c r="B790" s="6">
        <f t="shared" si="1"/>
        <v>16</v>
      </c>
      <c r="C790" s="7" t="s">
        <v>9</v>
      </c>
      <c r="D790" s="8">
        <v>39.99</v>
      </c>
      <c r="E790" s="7" t="s">
        <v>29</v>
      </c>
      <c r="F790" s="10" t="str">
        <f>VLOOKUP(E790,BASE_VEICULOS!A:G,7,0)</f>
        <v>PROF - 07001 - MANUTENÇÃO PREDIAL- PROFARMA-2025</v>
      </c>
      <c r="G790" s="11" t="str">
        <f>IFERROR(VLOOKUP(E790,BASE_VEICULOS!$A:$B,2,0),"")</f>
        <v>TEQ2I74</v>
      </c>
      <c r="H790" s="19"/>
      <c r="I790" s="20">
        <f t="shared" si="2"/>
        <v>46113</v>
      </c>
    </row>
    <row r="791" ht="22.5" customHeight="1">
      <c r="A791" s="5">
        <v>46129.0</v>
      </c>
      <c r="B791" s="6">
        <f t="shared" si="1"/>
        <v>16</v>
      </c>
      <c r="C791" s="7" t="s">
        <v>9</v>
      </c>
      <c r="D791" s="8">
        <v>110.0</v>
      </c>
      <c r="E791" s="7" t="s">
        <v>11</v>
      </c>
      <c r="F791" s="10" t="str">
        <f>VLOOKUP(E791,BASE_VEICULOS!A:G,7,0)</f>
        <v>PROF - 07001 - MANUTENÇÃO PREDIAL- PROFARMA-2025</v>
      </c>
      <c r="G791" s="11" t="str">
        <f>IFERROR(VLOOKUP(E791,BASE_VEICULOS!$A:$B,2,0),"")</f>
        <v>TEW9A28</v>
      </c>
      <c r="H791" s="19"/>
      <c r="I791" s="20">
        <f t="shared" si="2"/>
        <v>46113</v>
      </c>
    </row>
    <row r="792" ht="22.5" customHeight="1">
      <c r="A792" s="5">
        <v>46129.0</v>
      </c>
      <c r="B792" s="6">
        <f t="shared" si="1"/>
        <v>16</v>
      </c>
      <c r="C792" s="7" t="s">
        <v>9</v>
      </c>
      <c r="D792" s="8">
        <v>70.0</v>
      </c>
      <c r="E792" s="7" t="s">
        <v>20</v>
      </c>
      <c r="F792" s="10" t="str">
        <f>VLOOKUP(E792,BASE_VEICULOS!A:G,7,0)</f>
        <v>PROF - 07001 - MANUTENÇÃO PREDIAL- PROFARMA-2025</v>
      </c>
      <c r="G792" s="11" t="str">
        <f>IFERROR(VLOOKUP(E792,BASE_VEICULOS!$A:$B,2,0),"")</f>
        <v>TEW9A34</v>
      </c>
      <c r="H792" s="19"/>
      <c r="I792" s="20">
        <f t="shared" si="2"/>
        <v>46113</v>
      </c>
    </row>
    <row r="793" ht="22.5" customHeight="1">
      <c r="A793" s="5">
        <v>46129.0</v>
      </c>
      <c r="B793" s="6">
        <f t="shared" si="1"/>
        <v>16</v>
      </c>
      <c r="C793" s="7" t="s">
        <v>9</v>
      </c>
      <c r="D793" s="8">
        <v>50.0</v>
      </c>
      <c r="E793" s="7" t="s">
        <v>21</v>
      </c>
      <c r="F793" s="10" t="str">
        <f>VLOOKUP(E793,BASE_VEICULOS!A:G,7,0)</f>
        <v>PROF - 07001 - MANUTENÇÃO PREDIAL- PROFARMA-2025</v>
      </c>
      <c r="G793" s="11" t="str">
        <f>IFERROR(VLOOKUP(E793,BASE_VEICULOS!$A:$B,2,0),"")</f>
        <v>TEW9A33</v>
      </c>
      <c r="H793" s="19"/>
      <c r="I793" s="20">
        <f t="shared" si="2"/>
        <v>46113</v>
      </c>
    </row>
    <row r="794" ht="22.5" customHeight="1">
      <c r="A794" s="5">
        <v>46129.0</v>
      </c>
      <c r="B794" s="6">
        <f t="shared" si="1"/>
        <v>16</v>
      </c>
      <c r="C794" s="7" t="s">
        <v>9</v>
      </c>
      <c r="D794" s="8">
        <v>80.0</v>
      </c>
      <c r="E794" s="7" t="s">
        <v>33</v>
      </c>
      <c r="F794" s="10" t="str">
        <f>VLOOKUP(E794,BASE_VEICULOS!A:G,7,0)</f>
        <v>PROF - 07001 - MANUTENÇÃO PREDIAL- PROFARMA-2025</v>
      </c>
      <c r="G794" s="11" t="str">
        <f>IFERROR(VLOOKUP(E794,BASE_VEICULOS!$A:$B,2,0),"")</f>
        <v>TEW9A30</v>
      </c>
      <c r="H794" s="19"/>
      <c r="I794" s="20">
        <f t="shared" si="2"/>
        <v>46113</v>
      </c>
    </row>
    <row r="795" ht="22.5" customHeight="1">
      <c r="A795" s="5">
        <v>46129.0</v>
      </c>
      <c r="B795" s="6">
        <f t="shared" si="1"/>
        <v>16</v>
      </c>
      <c r="C795" s="7" t="s">
        <v>9</v>
      </c>
      <c r="D795" s="8">
        <v>50.0</v>
      </c>
      <c r="E795" s="7" t="s">
        <v>17</v>
      </c>
      <c r="F795" s="10" t="str">
        <f>VLOOKUP(E795,BASE_VEICULOS!A:G,7,0)</f>
        <v>#N/A</v>
      </c>
      <c r="G795" s="11" t="str">
        <f>IFERROR(VLOOKUP(E795,BASE_VEICULOS!$A:$B,2,0),"")</f>
        <v/>
      </c>
      <c r="H795" s="19"/>
      <c r="I795" s="20">
        <f t="shared" si="2"/>
        <v>46113</v>
      </c>
    </row>
    <row r="796" ht="22.5" customHeight="1">
      <c r="A796" s="5">
        <v>46129.0</v>
      </c>
      <c r="B796" s="6">
        <f t="shared" si="1"/>
        <v>16</v>
      </c>
      <c r="C796" s="7" t="s">
        <v>9</v>
      </c>
      <c r="D796" s="8">
        <v>130.0</v>
      </c>
      <c r="E796" s="7" t="s">
        <v>18</v>
      </c>
      <c r="F796" s="10" t="str">
        <f>VLOOKUP(E796,BASE_VEICULOS!A:G,7,0)</f>
        <v>FAC - 140004 - MANUTENÇÃO PREDIAL DPSP 2025</v>
      </c>
      <c r="G796" s="11" t="str">
        <f>IFERROR(VLOOKUP(E796,BASE_VEICULOS!$A:$B,2,0),"")</f>
        <v>TEW9A29</v>
      </c>
      <c r="H796" s="19"/>
      <c r="I796" s="20">
        <f t="shared" si="2"/>
        <v>46113</v>
      </c>
    </row>
    <row r="797" ht="22.5" customHeight="1">
      <c r="A797" s="5">
        <v>46129.0</v>
      </c>
      <c r="B797" s="6">
        <f t="shared" si="1"/>
        <v>16</v>
      </c>
      <c r="C797" s="7" t="s">
        <v>9</v>
      </c>
      <c r="D797" s="8">
        <v>45.0</v>
      </c>
      <c r="E797" s="7" t="s">
        <v>24</v>
      </c>
      <c r="F797" s="10" t="str">
        <f>VLOOKUP(E797,BASE_VEICULOS!A:G,7,0)</f>
        <v>PROF - 07001 - MANUTENÇÃO PREDIAL- PROFARMA-2025</v>
      </c>
      <c r="G797" s="11" t="str">
        <f>IFERROR(VLOOKUP(E797,BASE_VEICULOS!$A:$B,2,0),"")</f>
        <v>TEW9A23</v>
      </c>
      <c r="H797" s="19"/>
      <c r="I797" s="20">
        <f t="shared" si="2"/>
        <v>46113</v>
      </c>
    </row>
    <row r="798" ht="22.5" customHeight="1">
      <c r="A798" s="5">
        <v>46129.0</v>
      </c>
      <c r="B798" s="6">
        <f t="shared" si="1"/>
        <v>16</v>
      </c>
      <c r="C798" s="7" t="s">
        <v>9</v>
      </c>
      <c r="D798" s="8">
        <v>50.0</v>
      </c>
      <c r="E798" s="7" t="s">
        <v>30</v>
      </c>
      <c r="F798" s="10" t="str">
        <f>VLOOKUP(E798,BASE_VEICULOS!A:G,7,0)</f>
        <v>#N/A</v>
      </c>
      <c r="G798" s="11" t="str">
        <f>IFERROR(VLOOKUP(E798,BASE_VEICULOS!$A:$B,2,0),"")</f>
        <v/>
      </c>
      <c r="H798" s="19"/>
      <c r="I798" s="20">
        <f t="shared" si="2"/>
        <v>46113</v>
      </c>
    </row>
    <row r="799" ht="22.5" customHeight="1">
      <c r="A799" s="5">
        <v>46129.0</v>
      </c>
      <c r="B799" s="6">
        <f t="shared" si="1"/>
        <v>16</v>
      </c>
      <c r="C799" s="7" t="s">
        <v>9</v>
      </c>
      <c r="D799" s="8">
        <v>60.0</v>
      </c>
      <c r="E799" s="7" t="s">
        <v>15</v>
      </c>
      <c r="F799" s="10" t="str">
        <f>VLOOKUP(E799,BASE_VEICULOS!A:G,7,0)</f>
        <v>FAC - 140005 - SPOT MANUTENÇÃO DPSP 2025</v>
      </c>
      <c r="G799" s="11" t="str">
        <f>IFERROR(VLOOKUP(E799,BASE_VEICULOS!$A:$B,2,0),"")</f>
        <v>EWH1B84</v>
      </c>
      <c r="H799" s="19"/>
      <c r="I799" s="20">
        <f t="shared" si="2"/>
        <v>46113</v>
      </c>
    </row>
    <row r="800" ht="22.5" customHeight="1">
      <c r="A800" s="5">
        <v>46129.0</v>
      </c>
      <c r="B800" s="6">
        <f t="shared" si="1"/>
        <v>16</v>
      </c>
      <c r="C800" s="7" t="s">
        <v>9</v>
      </c>
      <c r="D800" s="8">
        <v>146.0</v>
      </c>
      <c r="E800" s="7" t="s">
        <v>12</v>
      </c>
      <c r="F800" s="10" t="str">
        <f>VLOOKUP(E800,BASE_VEICULOS!A:G,7,0)</f>
        <v>FAC - 140004 - MANUTENÇÃO PREDIAL DPSP 2025</v>
      </c>
      <c r="G800" s="11" t="str">
        <f>IFERROR(VLOOKUP(E800,BASE_VEICULOS!$A:$B,2,0),"")</f>
        <v>FIL8C14</v>
      </c>
      <c r="H800" s="19"/>
      <c r="I800" s="20">
        <f t="shared" si="2"/>
        <v>46113</v>
      </c>
    </row>
    <row r="801" ht="22.5" customHeight="1">
      <c r="A801" s="5">
        <v>46129.0</v>
      </c>
      <c r="B801" s="6">
        <f t="shared" si="1"/>
        <v>16</v>
      </c>
      <c r="C801" s="7" t="s">
        <v>9</v>
      </c>
      <c r="D801" s="8">
        <v>44.96</v>
      </c>
      <c r="E801" s="7" t="s">
        <v>29</v>
      </c>
      <c r="F801" s="10" t="str">
        <f>VLOOKUP(E801,BASE_VEICULOS!A:G,7,0)</f>
        <v>PROF - 07001 - MANUTENÇÃO PREDIAL- PROFARMA-2025</v>
      </c>
      <c r="G801" s="11" t="str">
        <f>IFERROR(VLOOKUP(E801,BASE_VEICULOS!$A:$B,2,0),"")</f>
        <v>TEQ2I74</v>
      </c>
      <c r="H801" s="19"/>
      <c r="I801" s="20">
        <f t="shared" si="2"/>
        <v>46113</v>
      </c>
    </row>
    <row r="802" ht="22.5" customHeight="1">
      <c r="A802" s="5">
        <v>46129.0</v>
      </c>
      <c r="B802" s="6">
        <f t="shared" si="1"/>
        <v>16</v>
      </c>
      <c r="C802" s="7" t="s">
        <v>9</v>
      </c>
      <c r="D802" s="8">
        <v>70.0</v>
      </c>
      <c r="E802" s="7" t="s">
        <v>10</v>
      </c>
      <c r="F802" s="10" t="str">
        <f>VLOOKUP(E802,BASE_VEICULOS!A:G,7,0)</f>
        <v>FAC - 140004 - MANUTENÇÃO PREDIAL DPSP 2025</v>
      </c>
      <c r="G802" s="11" t="str">
        <f>IFERROR(VLOOKUP(E802,BASE_VEICULOS!$A:$B,2,0),"")</f>
        <v>TEW9A25</v>
      </c>
      <c r="H802" s="19"/>
      <c r="I802" s="20">
        <f t="shared" si="2"/>
        <v>46113</v>
      </c>
    </row>
    <row r="803" ht="22.5" customHeight="1">
      <c r="A803" s="5">
        <v>46129.0</v>
      </c>
      <c r="B803" s="6">
        <f t="shared" si="1"/>
        <v>16</v>
      </c>
      <c r="C803" s="7" t="s">
        <v>9</v>
      </c>
      <c r="D803" s="8">
        <v>30.0</v>
      </c>
      <c r="E803" s="7" t="s">
        <v>30</v>
      </c>
      <c r="F803" s="10" t="str">
        <f>VLOOKUP(E803,BASE_VEICULOS!A:G,7,0)</f>
        <v>#N/A</v>
      </c>
      <c r="G803" s="11" t="str">
        <f>IFERROR(VLOOKUP(E803,BASE_VEICULOS!$A:$B,2,0),"")</f>
        <v/>
      </c>
      <c r="H803" s="19"/>
      <c r="I803" s="20">
        <f t="shared" si="2"/>
        <v>46113</v>
      </c>
    </row>
    <row r="804" ht="22.5" customHeight="1">
      <c r="A804" s="5">
        <v>46129.0</v>
      </c>
      <c r="B804" s="6">
        <f t="shared" si="1"/>
        <v>16</v>
      </c>
      <c r="C804" s="7" t="s">
        <v>9</v>
      </c>
      <c r="D804" s="8">
        <v>70.0</v>
      </c>
      <c r="E804" s="7" t="s">
        <v>14</v>
      </c>
      <c r="F804" s="10" t="str">
        <f>VLOOKUP(E804,BASE_VEICULOS!A:G,7,0)</f>
        <v>FAC - 140004 - MANUTENÇÃO PREDIAL DPSP 2025</v>
      </c>
      <c r="G804" s="11" t="str">
        <f>IFERROR(VLOOKUP(E804,BASE_VEICULOS!$A:$B,2,0),"")</f>
        <v>FOK8A73</v>
      </c>
      <c r="H804" s="19"/>
      <c r="I804" s="20">
        <f t="shared" si="2"/>
        <v>46113</v>
      </c>
    </row>
    <row r="805" ht="22.5" customHeight="1">
      <c r="A805" s="5">
        <v>46129.0</v>
      </c>
      <c r="B805" s="6">
        <f t="shared" si="1"/>
        <v>16</v>
      </c>
      <c r="C805" s="7" t="s">
        <v>9</v>
      </c>
      <c r="D805" s="8">
        <v>50.0</v>
      </c>
      <c r="E805" s="7" t="s">
        <v>16</v>
      </c>
      <c r="F805" s="10" t="str">
        <f>VLOOKUP(E805,BASE_VEICULOS!A:G,7,0)</f>
        <v>FAC - 140005 - SPOT MANUTENÇÃO DPSP 2025</v>
      </c>
      <c r="G805" s="11" t="str">
        <f>IFERROR(VLOOKUP(E805,BASE_VEICULOS!$A:$B,2,0),"")</f>
        <v>TEW9A27</v>
      </c>
      <c r="H805" s="19"/>
      <c r="I805" s="20">
        <f t="shared" si="2"/>
        <v>46113</v>
      </c>
    </row>
    <row r="806" ht="22.5" customHeight="1">
      <c r="A806" s="5">
        <v>46129.0</v>
      </c>
      <c r="B806" s="6">
        <f t="shared" si="1"/>
        <v>16</v>
      </c>
      <c r="C806" s="7" t="s">
        <v>9</v>
      </c>
      <c r="D806" s="8">
        <v>50.0</v>
      </c>
      <c r="E806" s="7" t="s">
        <v>21</v>
      </c>
      <c r="F806" s="10" t="str">
        <f>VLOOKUP(E806,BASE_VEICULOS!A:G,7,0)</f>
        <v>PROF - 07001 - MANUTENÇÃO PREDIAL- PROFARMA-2025</v>
      </c>
      <c r="G806" s="11" t="str">
        <f>IFERROR(VLOOKUP(E806,BASE_VEICULOS!$A:$B,2,0),"")</f>
        <v>TEW9A33</v>
      </c>
      <c r="H806" s="19"/>
      <c r="I806" s="20">
        <f t="shared" si="2"/>
        <v>46113</v>
      </c>
    </row>
    <row r="807" ht="22.5" customHeight="1">
      <c r="A807" s="5">
        <v>46129.0</v>
      </c>
      <c r="B807" s="6">
        <f t="shared" si="1"/>
        <v>16</v>
      </c>
      <c r="C807" s="7" t="s">
        <v>9</v>
      </c>
      <c r="D807" s="8">
        <v>64.96</v>
      </c>
      <c r="E807" s="7" t="s">
        <v>19</v>
      </c>
      <c r="F807" s="10" t="str">
        <f>VLOOKUP(E807,BASE_VEICULOS!A:G,7,0)</f>
        <v>PROF - 07001 - MANUTENÇÃO PREDIAL- PROFARMA-2025</v>
      </c>
      <c r="G807" s="11" t="str">
        <f>IFERROR(VLOOKUP(E807,BASE_VEICULOS!$A:$B,2,0),"")</f>
        <v>TEW9A24</v>
      </c>
      <c r="H807" s="19"/>
      <c r="I807" s="20">
        <f t="shared" si="2"/>
        <v>46113</v>
      </c>
    </row>
    <row r="808" ht="22.5" customHeight="1">
      <c r="A808" s="5">
        <v>46129.0</v>
      </c>
      <c r="B808" s="6">
        <f t="shared" si="1"/>
        <v>16</v>
      </c>
      <c r="C808" s="7" t="s">
        <v>9</v>
      </c>
      <c r="D808" s="8">
        <v>70.0</v>
      </c>
      <c r="E808" s="7" t="s">
        <v>22</v>
      </c>
      <c r="F808" s="10" t="str">
        <f>VLOOKUP(E808,BASE_VEICULOS!A:G,7,0)</f>
        <v>PROF - 07001 - MANUTENÇÃO PREDIAL- PROFARMA-2025</v>
      </c>
      <c r="G808" s="11" t="str">
        <f>IFERROR(VLOOKUP(E808,BASE_VEICULOS!$A:$B,2,0),"")</f>
        <v>TET5H37</v>
      </c>
      <c r="H808" s="19"/>
      <c r="I808" s="20">
        <f t="shared" si="2"/>
        <v>46113</v>
      </c>
    </row>
    <row r="809" ht="22.5" customHeight="1">
      <c r="A809" s="5">
        <v>46129.0</v>
      </c>
      <c r="B809" s="6">
        <f t="shared" si="1"/>
        <v>16</v>
      </c>
      <c r="C809" s="7" t="s">
        <v>9</v>
      </c>
      <c r="D809" s="8">
        <v>60.0</v>
      </c>
      <c r="E809" s="7" t="s">
        <v>29</v>
      </c>
      <c r="F809" s="10" t="str">
        <f>VLOOKUP(E809,BASE_VEICULOS!A:G,7,0)</f>
        <v>PROF - 07001 - MANUTENÇÃO PREDIAL- PROFARMA-2025</v>
      </c>
      <c r="G809" s="11" t="str">
        <f>IFERROR(VLOOKUP(E809,BASE_VEICULOS!$A:$B,2,0),"")</f>
        <v>TEQ2I74</v>
      </c>
      <c r="H809" s="19"/>
      <c r="I809" s="20">
        <f t="shared" si="2"/>
        <v>46113</v>
      </c>
    </row>
    <row r="810" ht="22.5" customHeight="1">
      <c r="A810" s="5">
        <v>46129.0</v>
      </c>
      <c r="B810" s="6">
        <f t="shared" si="1"/>
        <v>16</v>
      </c>
      <c r="C810" s="7" t="s">
        <v>9</v>
      </c>
      <c r="D810" s="8">
        <v>200.0</v>
      </c>
      <c r="E810" s="7" t="s">
        <v>23</v>
      </c>
      <c r="F810" s="10" t="str">
        <f>VLOOKUP(E810,BASE_VEICULOS!A:G,7,0)</f>
        <v>PROF - 07001 - MANUTENÇÃO PREDIAL- PROFARMA-2025</v>
      </c>
      <c r="G810" s="11" t="str">
        <f>IFERROR(VLOOKUP(E810,BASE_VEICULOS!$A:$B,2,0),"")</f>
        <v>TEH3I02</v>
      </c>
      <c r="H810" s="19"/>
      <c r="I810" s="20">
        <f t="shared" si="2"/>
        <v>46113</v>
      </c>
    </row>
    <row r="811" ht="22.5" customHeight="1">
      <c r="A811" s="5">
        <v>46129.0</v>
      </c>
      <c r="B811" s="6">
        <f t="shared" si="1"/>
        <v>16</v>
      </c>
      <c r="C811" s="7" t="s">
        <v>9</v>
      </c>
      <c r="D811" s="8">
        <v>40.0</v>
      </c>
      <c r="E811" s="7" t="s">
        <v>25</v>
      </c>
      <c r="F811" s="10" t="str">
        <f>VLOOKUP(E811,BASE_VEICULOS!A:G,7,0)</f>
        <v>PROF - 07001 - MANUTENÇÃO PREDIAL- PROFARMA-2025</v>
      </c>
      <c r="G811" s="11" t="str">
        <f>IFERROR(VLOOKUP(E811,BASE_VEICULOS!$A:$B,2,0),"")</f>
        <v>TEW9A26</v>
      </c>
      <c r="H811" s="19"/>
      <c r="I811" s="20">
        <f t="shared" si="2"/>
        <v>46113</v>
      </c>
    </row>
    <row r="812" ht="22.5" customHeight="1">
      <c r="A812" s="5">
        <v>46129.0</v>
      </c>
      <c r="B812" s="6">
        <f t="shared" si="1"/>
        <v>16</v>
      </c>
      <c r="C812" s="7" t="s">
        <v>9</v>
      </c>
      <c r="D812" s="8">
        <v>100.0</v>
      </c>
      <c r="E812" s="7" t="s">
        <v>20</v>
      </c>
      <c r="F812" s="10" t="str">
        <f>VLOOKUP(E812,BASE_VEICULOS!A:G,7,0)</f>
        <v>PROF - 07001 - MANUTENÇÃO PREDIAL- PROFARMA-2025</v>
      </c>
      <c r="G812" s="11" t="str">
        <f>IFERROR(VLOOKUP(E812,BASE_VEICULOS!$A:$B,2,0),"")</f>
        <v>TEW9A34</v>
      </c>
      <c r="H812" s="19"/>
      <c r="I812" s="20">
        <f t="shared" si="2"/>
        <v>46113</v>
      </c>
    </row>
    <row r="813" ht="22.5" customHeight="1">
      <c r="A813" s="5">
        <v>46129.0</v>
      </c>
      <c r="B813" s="6">
        <f t="shared" si="1"/>
        <v>16</v>
      </c>
      <c r="C813" s="7" t="s">
        <v>9</v>
      </c>
      <c r="D813" s="8">
        <v>55.0</v>
      </c>
      <c r="E813" s="7" t="s">
        <v>34</v>
      </c>
      <c r="F813" s="10" t="str">
        <f>VLOOKUP(E813,BASE_VEICULOS!A:G,7,0)</f>
        <v>PROF - 07001 - MANUTENÇÃO PREDIAL- PROFARMA-2025</v>
      </c>
      <c r="G813" s="11" t="str">
        <f>IFERROR(VLOOKUP(E813,BASE_VEICULOS!$A:$B,2,0),"")</f>
        <v>SRU8D16</v>
      </c>
      <c r="H813" s="19"/>
      <c r="I813" s="20">
        <f t="shared" si="2"/>
        <v>46113</v>
      </c>
    </row>
    <row r="814" ht="22.5" customHeight="1">
      <c r="A814" s="5">
        <v>46130.0</v>
      </c>
      <c r="B814" s="6">
        <f t="shared" si="1"/>
        <v>16</v>
      </c>
      <c r="C814" s="7" t="s">
        <v>9</v>
      </c>
      <c r="D814" s="8">
        <v>60.0</v>
      </c>
      <c r="E814" s="7" t="s">
        <v>29</v>
      </c>
      <c r="F814" s="10" t="str">
        <f>VLOOKUP(E814,BASE_VEICULOS!A:G,7,0)</f>
        <v>PROF - 07001 - MANUTENÇÃO PREDIAL- PROFARMA-2025</v>
      </c>
      <c r="G814" s="11" t="str">
        <f>IFERROR(VLOOKUP(E814,BASE_VEICULOS!$A:$B,2,0),"")</f>
        <v>TEQ2I74</v>
      </c>
      <c r="H814" s="19"/>
      <c r="I814" s="20">
        <f t="shared" si="2"/>
        <v>46113</v>
      </c>
    </row>
    <row r="815" ht="22.5" customHeight="1">
      <c r="A815" s="5">
        <v>46130.0</v>
      </c>
      <c r="B815" s="6">
        <f t="shared" si="1"/>
        <v>16</v>
      </c>
      <c r="C815" s="7" t="s">
        <v>9</v>
      </c>
      <c r="D815" s="8">
        <v>89.99</v>
      </c>
      <c r="E815" s="7" t="s">
        <v>14</v>
      </c>
      <c r="F815" s="10" t="str">
        <f>VLOOKUP(E815,BASE_VEICULOS!A:G,7,0)</f>
        <v>FAC - 140004 - MANUTENÇÃO PREDIAL DPSP 2025</v>
      </c>
      <c r="G815" s="11" t="str">
        <f>IFERROR(VLOOKUP(E815,BASE_VEICULOS!$A:$B,2,0),"")</f>
        <v>FOK8A73</v>
      </c>
      <c r="H815" s="19"/>
      <c r="I815" s="20">
        <f t="shared" si="2"/>
        <v>46113</v>
      </c>
    </row>
    <row r="816" ht="22.5" customHeight="1">
      <c r="A816" s="5">
        <v>46130.0</v>
      </c>
      <c r="B816" s="6">
        <f t="shared" si="1"/>
        <v>16</v>
      </c>
      <c r="C816" s="7" t="s">
        <v>9</v>
      </c>
      <c r="D816" s="8">
        <v>150.0</v>
      </c>
      <c r="E816" s="7" t="s">
        <v>25</v>
      </c>
      <c r="F816" s="10" t="str">
        <f>VLOOKUP(E816,BASE_VEICULOS!A:G,7,0)</f>
        <v>PROF - 07001 - MANUTENÇÃO PREDIAL- PROFARMA-2025</v>
      </c>
      <c r="G816" s="11" t="str">
        <f>IFERROR(VLOOKUP(E816,BASE_VEICULOS!$A:$B,2,0),"")</f>
        <v>TEW9A26</v>
      </c>
      <c r="H816" s="19"/>
      <c r="I816" s="20">
        <f t="shared" si="2"/>
        <v>46113</v>
      </c>
    </row>
    <row r="817" ht="22.5" customHeight="1">
      <c r="A817" s="5">
        <v>46130.0</v>
      </c>
      <c r="B817" s="6">
        <f t="shared" si="1"/>
        <v>16</v>
      </c>
      <c r="C817" s="7" t="s">
        <v>9</v>
      </c>
      <c r="D817" s="8">
        <v>100.0</v>
      </c>
      <c r="E817" s="7" t="s">
        <v>20</v>
      </c>
      <c r="F817" s="10" t="str">
        <f>VLOOKUP(E817,BASE_VEICULOS!A:G,7,0)</f>
        <v>PROF - 07001 - MANUTENÇÃO PREDIAL- PROFARMA-2025</v>
      </c>
      <c r="G817" s="11" t="str">
        <f>IFERROR(VLOOKUP(E817,BASE_VEICULOS!$A:$B,2,0),"")</f>
        <v>TEW9A34</v>
      </c>
      <c r="H817" s="19"/>
      <c r="I817" s="20">
        <f t="shared" si="2"/>
        <v>46113</v>
      </c>
    </row>
    <row r="818" ht="22.5" customHeight="1">
      <c r="A818" s="5">
        <v>46130.0</v>
      </c>
      <c r="B818" s="6">
        <f t="shared" si="1"/>
        <v>16</v>
      </c>
      <c r="C818" s="7" t="s">
        <v>9</v>
      </c>
      <c r="D818" s="8">
        <v>99.98</v>
      </c>
      <c r="E818" s="7" t="s">
        <v>34</v>
      </c>
      <c r="F818" s="10" t="str">
        <f>VLOOKUP(E818,BASE_VEICULOS!A:G,7,0)</f>
        <v>PROF - 07001 - MANUTENÇÃO PREDIAL- PROFARMA-2025</v>
      </c>
      <c r="G818" s="11" t="str">
        <f>IFERROR(VLOOKUP(E818,BASE_VEICULOS!$A:$B,2,0),"")</f>
        <v>SRU8D16</v>
      </c>
      <c r="H818" s="19"/>
      <c r="I818" s="20">
        <f t="shared" si="2"/>
        <v>46113</v>
      </c>
    </row>
    <row r="819" ht="22.5" customHeight="1">
      <c r="A819" s="5">
        <v>46131.0</v>
      </c>
      <c r="B819" s="6">
        <f t="shared" si="1"/>
        <v>16</v>
      </c>
      <c r="C819" s="7" t="s">
        <v>9</v>
      </c>
      <c r="D819" s="8">
        <v>100.0</v>
      </c>
      <c r="E819" s="7" t="s">
        <v>20</v>
      </c>
      <c r="F819" s="10" t="str">
        <f>VLOOKUP(E819,BASE_VEICULOS!A:G,7,0)</f>
        <v>PROF - 07001 - MANUTENÇÃO PREDIAL- PROFARMA-2025</v>
      </c>
      <c r="G819" s="11" t="str">
        <f>IFERROR(VLOOKUP(E819,BASE_VEICULOS!$A:$B,2,0),"")</f>
        <v>TEW9A34</v>
      </c>
      <c r="H819" s="19"/>
      <c r="I819" s="20">
        <f t="shared" si="2"/>
        <v>46113</v>
      </c>
    </row>
    <row r="820" ht="22.5" customHeight="1">
      <c r="A820" s="5">
        <v>46131.0</v>
      </c>
      <c r="B820" s="6">
        <f t="shared" si="1"/>
        <v>16</v>
      </c>
      <c r="C820" s="7" t="s">
        <v>9</v>
      </c>
      <c r="D820" s="8">
        <v>50.0</v>
      </c>
      <c r="E820" s="7" t="s">
        <v>23</v>
      </c>
      <c r="F820" s="10" t="str">
        <f>VLOOKUP(E820,BASE_VEICULOS!A:G,7,0)</f>
        <v>PROF - 07001 - MANUTENÇÃO PREDIAL- PROFARMA-2025</v>
      </c>
      <c r="G820" s="11" t="str">
        <f>IFERROR(VLOOKUP(E820,BASE_VEICULOS!$A:$B,2,0),"")</f>
        <v>TEH3I02</v>
      </c>
      <c r="H820" s="19"/>
      <c r="I820" s="20">
        <f t="shared" si="2"/>
        <v>46113</v>
      </c>
    </row>
    <row r="821" ht="22.5" customHeight="1">
      <c r="A821" s="5">
        <v>46132.0</v>
      </c>
      <c r="B821" s="6">
        <f t="shared" si="1"/>
        <v>17</v>
      </c>
      <c r="C821" s="7" t="s">
        <v>9</v>
      </c>
      <c r="D821" s="8">
        <v>252.0</v>
      </c>
      <c r="E821" s="7" t="s">
        <v>18</v>
      </c>
      <c r="F821" s="10" t="str">
        <f>VLOOKUP(E821,BASE_VEICULOS!A:G,7,0)</f>
        <v>FAC - 140004 - MANUTENÇÃO PREDIAL DPSP 2025</v>
      </c>
      <c r="G821" s="11" t="str">
        <f>IFERROR(VLOOKUP(E821,BASE_VEICULOS!$A:$B,2,0),"")</f>
        <v>TEW9A29</v>
      </c>
      <c r="H821" s="19"/>
      <c r="I821" s="20">
        <f t="shared" si="2"/>
        <v>46113</v>
      </c>
    </row>
    <row r="822" ht="22.5" customHeight="1">
      <c r="A822" s="5">
        <v>46132.0</v>
      </c>
      <c r="B822" s="6">
        <f t="shared" si="1"/>
        <v>17</v>
      </c>
      <c r="C822" s="7" t="s">
        <v>9</v>
      </c>
      <c r="D822" s="8">
        <v>60.0</v>
      </c>
      <c r="E822" s="7" t="s">
        <v>30</v>
      </c>
      <c r="F822" s="10" t="str">
        <f>VLOOKUP(E822,BASE_VEICULOS!A:G,7,0)</f>
        <v>#N/A</v>
      </c>
      <c r="G822" s="11" t="str">
        <f>IFERROR(VLOOKUP(E822,BASE_VEICULOS!$A:$B,2,0),"")</f>
        <v/>
      </c>
      <c r="H822" s="19"/>
      <c r="I822" s="20">
        <f t="shared" si="2"/>
        <v>46113</v>
      </c>
    </row>
    <row r="823" ht="22.5" customHeight="1">
      <c r="A823" s="5">
        <v>46132.0</v>
      </c>
      <c r="B823" s="6">
        <f t="shared" si="1"/>
        <v>17</v>
      </c>
      <c r="C823" s="7" t="s">
        <v>9</v>
      </c>
      <c r="D823" s="8">
        <v>25.0</v>
      </c>
      <c r="E823" s="7" t="s">
        <v>11</v>
      </c>
      <c r="F823" s="10" t="str">
        <f>VLOOKUP(E823,BASE_VEICULOS!A:G,7,0)</f>
        <v>PROF - 07001 - MANUTENÇÃO PREDIAL- PROFARMA-2025</v>
      </c>
      <c r="G823" s="11" t="str">
        <f>IFERROR(VLOOKUP(E823,BASE_VEICULOS!$A:$B,2,0),"")</f>
        <v>TEW9A28</v>
      </c>
      <c r="H823" s="19"/>
      <c r="I823" s="20">
        <f t="shared" si="2"/>
        <v>46113</v>
      </c>
    </row>
    <row r="824" ht="22.5" customHeight="1">
      <c r="A824" s="5">
        <v>46132.0</v>
      </c>
      <c r="B824" s="6">
        <f t="shared" si="1"/>
        <v>17</v>
      </c>
      <c r="C824" s="7" t="s">
        <v>9</v>
      </c>
      <c r="D824" s="8">
        <v>60.0</v>
      </c>
      <c r="E824" s="7" t="s">
        <v>15</v>
      </c>
      <c r="F824" s="10" t="str">
        <f>VLOOKUP(E824,BASE_VEICULOS!A:G,7,0)</f>
        <v>FAC - 140005 - SPOT MANUTENÇÃO DPSP 2025</v>
      </c>
      <c r="G824" s="11" t="str">
        <f>IFERROR(VLOOKUP(E824,BASE_VEICULOS!$A:$B,2,0),"")</f>
        <v>EWH1B84</v>
      </c>
      <c r="H824" s="19"/>
      <c r="I824" s="20">
        <f t="shared" si="2"/>
        <v>46113</v>
      </c>
    </row>
    <row r="825" ht="22.5" customHeight="1">
      <c r="A825" s="5">
        <v>46132.0</v>
      </c>
      <c r="B825" s="6">
        <f t="shared" si="1"/>
        <v>17</v>
      </c>
      <c r="C825" s="7" t="s">
        <v>9</v>
      </c>
      <c r="D825" s="8">
        <v>60.0</v>
      </c>
      <c r="E825" s="7" t="s">
        <v>21</v>
      </c>
      <c r="F825" s="10" t="str">
        <f>VLOOKUP(E825,BASE_VEICULOS!A:G,7,0)</f>
        <v>PROF - 07001 - MANUTENÇÃO PREDIAL- PROFARMA-2025</v>
      </c>
      <c r="G825" s="11" t="str">
        <f>IFERROR(VLOOKUP(E825,BASE_VEICULOS!$A:$B,2,0),"")</f>
        <v>TEW9A33</v>
      </c>
      <c r="H825" s="19"/>
      <c r="I825" s="20">
        <f t="shared" si="2"/>
        <v>46113</v>
      </c>
    </row>
    <row r="826" ht="22.5" customHeight="1">
      <c r="A826" s="5">
        <v>46132.0</v>
      </c>
      <c r="B826" s="6">
        <f t="shared" si="1"/>
        <v>17</v>
      </c>
      <c r="C826" s="7" t="s">
        <v>9</v>
      </c>
      <c r="D826" s="8">
        <v>40.02</v>
      </c>
      <c r="E826" s="7" t="s">
        <v>24</v>
      </c>
      <c r="F826" s="10" t="str">
        <f>VLOOKUP(E826,BASE_VEICULOS!A:G,7,0)</f>
        <v>PROF - 07001 - MANUTENÇÃO PREDIAL- PROFARMA-2025</v>
      </c>
      <c r="G826" s="11" t="str">
        <f>IFERROR(VLOOKUP(E826,BASE_VEICULOS!$A:$B,2,0),"")</f>
        <v>TEW9A23</v>
      </c>
      <c r="H826" s="19"/>
      <c r="I826" s="20">
        <f t="shared" si="2"/>
        <v>46113</v>
      </c>
    </row>
    <row r="827" ht="22.5" customHeight="1">
      <c r="A827" s="5">
        <v>46132.0</v>
      </c>
      <c r="B827" s="6">
        <f t="shared" si="1"/>
        <v>17</v>
      </c>
      <c r="C827" s="7" t="s">
        <v>9</v>
      </c>
      <c r="D827" s="8">
        <v>70.0</v>
      </c>
      <c r="E827" s="7" t="s">
        <v>22</v>
      </c>
      <c r="F827" s="10" t="str">
        <f>VLOOKUP(E827,BASE_VEICULOS!A:G,7,0)</f>
        <v>PROF - 07001 - MANUTENÇÃO PREDIAL- PROFARMA-2025</v>
      </c>
      <c r="G827" s="11" t="str">
        <f>IFERROR(VLOOKUP(E827,BASE_VEICULOS!$A:$B,2,0),"")</f>
        <v>TET5H37</v>
      </c>
      <c r="H827" s="19"/>
      <c r="I827" s="20">
        <f t="shared" si="2"/>
        <v>46113</v>
      </c>
    </row>
    <row r="828" ht="22.5" customHeight="1">
      <c r="A828" s="5">
        <v>46132.0</v>
      </c>
      <c r="B828" s="6">
        <f t="shared" si="1"/>
        <v>17</v>
      </c>
      <c r="C828" s="7" t="s">
        <v>9</v>
      </c>
      <c r="D828" s="8">
        <v>100.0</v>
      </c>
      <c r="E828" s="7" t="s">
        <v>29</v>
      </c>
      <c r="F828" s="10" t="str">
        <f>VLOOKUP(E828,BASE_VEICULOS!A:G,7,0)</f>
        <v>PROF - 07001 - MANUTENÇÃO PREDIAL- PROFARMA-2025</v>
      </c>
      <c r="G828" s="11" t="str">
        <f>IFERROR(VLOOKUP(E828,BASE_VEICULOS!$A:$B,2,0),"")</f>
        <v>TEQ2I74</v>
      </c>
      <c r="H828" s="19"/>
      <c r="I828" s="20">
        <f t="shared" si="2"/>
        <v>46113</v>
      </c>
    </row>
    <row r="829" ht="22.5" customHeight="1">
      <c r="A829" s="5">
        <v>46132.0</v>
      </c>
      <c r="B829" s="6">
        <f t="shared" si="1"/>
        <v>17</v>
      </c>
      <c r="C829" s="7" t="s">
        <v>9</v>
      </c>
      <c r="D829" s="8">
        <v>70.0</v>
      </c>
      <c r="E829" s="7" t="s">
        <v>16</v>
      </c>
      <c r="F829" s="10" t="str">
        <f>VLOOKUP(E829,BASE_VEICULOS!A:G,7,0)</f>
        <v>FAC - 140005 - SPOT MANUTENÇÃO DPSP 2025</v>
      </c>
      <c r="G829" s="11" t="str">
        <f>IFERROR(VLOOKUP(E829,BASE_VEICULOS!$A:$B,2,0),"")</f>
        <v>TEW9A27</v>
      </c>
      <c r="H829" s="19"/>
      <c r="I829" s="20">
        <f t="shared" si="2"/>
        <v>46113</v>
      </c>
    </row>
    <row r="830" ht="22.5" customHeight="1">
      <c r="A830" s="5">
        <v>46132.0</v>
      </c>
      <c r="B830" s="6">
        <f t="shared" si="1"/>
        <v>17</v>
      </c>
      <c r="C830" s="7" t="s">
        <v>9</v>
      </c>
      <c r="D830" s="8">
        <v>40.0</v>
      </c>
      <c r="E830" s="7" t="s">
        <v>11</v>
      </c>
      <c r="F830" s="10" t="str">
        <f>VLOOKUP(E830,BASE_VEICULOS!A:G,7,0)</f>
        <v>PROF - 07001 - MANUTENÇÃO PREDIAL- PROFARMA-2025</v>
      </c>
      <c r="G830" s="11" t="str">
        <f>IFERROR(VLOOKUP(E830,BASE_VEICULOS!$A:$B,2,0),"")</f>
        <v>TEW9A28</v>
      </c>
      <c r="H830" s="19"/>
      <c r="I830" s="20">
        <f t="shared" si="2"/>
        <v>46113</v>
      </c>
    </row>
    <row r="831" ht="22.5" customHeight="1">
      <c r="A831" s="5">
        <v>46132.0</v>
      </c>
      <c r="B831" s="6">
        <f t="shared" si="1"/>
        <v>17</v>
      </c>
      <c r="C831" s="7" t="s">
        <v>9</v>
      </c>
      <c r="D831" s="8">
        <v>40.0</v>
      </c>
      <c r="E831" s="7" t="s">
        <v>24</v>
      </c>
      <c r="F831" s="10" t="str">
        <f>VLOOKUP(E831,BASE_VEICULOS!A:G,7,0)</f>
        <v>PROF - 07001 - MANUTENÇÃO PREDIAL- PROFARMA-2025</v>
      </c>
      <c r="G831" s="11" t="str">
        <f>IFERROR(VLOOKUP(E831,BASE_VEICULOS!$A:$B,2,0),"")</f>
        <v>TEW9A23</v>
      </c>
      <c r="H831" s="19"/>
      <c r="I831" s="20">
        <f t="shared" si="2"/>
        <v>46113</v>
      </c>
    </row>
    <row r="832" ht="22.5" customHeight="1">
      <c r="A832" s="5">
        <v>46132.0</v>
      </c>
      <c r="B832" s="6">
        <f t="shared" si="1"/>
        <v>17</v>
      </c>
      <c r="C832" s="7" t="s">
        <v>9</v>
      </c>
      <c r="D832" s="8">
        <v>70.0</v>
      </c>
      <c r="E832" s="7" t="s">
        <v>20</v>
      </c>
      <c r="F832" s="10" t="str">
        <f>VLOOKUP(E832,BASE_VEICULOS!A:G,7,0)</f>
        <v>PROF - 07001 - MANUTENÇÃO PREDIAL- PROFARMA-2025</v>
      </c>
      <c r="G832" s="11" t="str">
        <f>IFERROR(VLOOKUP(E832,BASE_VEICULOS!$A:$B,2,0),"")</f>
        <v>TEW9A34</v>
      </c>
      <c r="H832" s="19"/>
      <c r="I832" s="20">
        <f t="shared" si="2"/>
        <v>46113</v>
      </c>
    </row>
    <row r="833" ht="22.5" customHeight="1">
      <c r="A833" s="5">
        <v>46132.0</v>
      </c>
      <c r="B833" s="6">
        <f t="shared" si="1"/>
        <v>17</v>
      </c>
      <c r="C833" s="7" t="s">
        <v>9</v>
      </c>
      <c r="D833" s="8">
        <v>50.0</v>
      </c>
      <c r="E833" s="7" t="s">
        <v>30</v>
      </c>
      <c r="F833" s="10" t="str">
        <f>VLOOKUP(E833,BASE_VEICULOS!A:G,7,0)</f>
        <v>#N/A</v>
      </c>
      <c r="G833" s="11" t="str">
        <f>IFERROR(VLOOKUP(E833,BASE_VEICULOS!$A:$B,2,0),"")</f>
        <v/>
      </c>
      <c r="H833" s="19"/>
      <c r="I833" s="20">
        <f t="shared" si="2"/>
        <v>46113</v>
      </c>
    </row>
    <row r="834" ht="22.5" customHeight="1">
      <c r="A834" s="5">
        <v>46132.0</v>
      </c>
      <c r="B834" s="6">
        <f t="shared" si="1"/>
        <v>17</v>
      </c>
      <c r="C834" s="7" t="s">
        <v>9</v>
      </c>
      <c r="D834" s="8">
        <v>77.99</v>
      </c>
      <c r="E834" s="7" t="s">
        <v>10</v>
      </c>
      <c r="F834" s="10" t="str">
        <f>VLOOKUP(E834,BASE_VEICULOS!A:G,7,0)</f>
        <v>FAC - 140004 - MANUTENÇÃO PREDIAL DPSP 2025</v>
      </c>
      <c r="G834" s="11" t="str">
        <f>IFERROR(VLOOKUP(E834,BASE_VEICULOS!$A:$B,2,0),"")</f>
        <v>TEW9A25</v>
      </c>
      <c r="H834" s="19"/>
      <c r="I834" s="20">
        <f t="shared" si="2"/>
        <v>46113</v>
      </c>
    </row>
    <row r="835" ht="22.5" customHeight="1">
      <c r="A835" s="5">
        <v>46132.0</v>
      </c>
      <c r="B835" s="6">
        <f t="shared" si="1"/>
        <v>17</v>
      </c>
      <c r="C835" s="7" t="s">
        <v>9</v>
      </c>
      <c r="D835" s="8">
        <v>69.02</v>
      </c>
      <c r="E835" s="7" t="s">
        <v>33</v>
      </c>
      <c r="F835" s="10" t="str">
        <f>VLOOKUP(E835,BASE_VEICULOS!A:G,7,0)</f>
        <v>PROF - 07001 - MANUTENÇÃO PREDIAL- PROFARMA-2025</v>
      </c>
      <c r="G835" s="11" t="str">
        <f>IFERROR(VLOOKUP(E835,BASE_VEICULOS!$A:$B,2,0),"")</f>
        <v>TEW9A30</v>
      </c>
      <c r="H835" s="19"/>
      <c r="I835" s="20">
        <f t="shared" si="2"/>
        <v>46113</v>
      </c>
    </row>
    <row r="836" ht="22.5" customHeight="1">
      <c r="A836" s="5">
        <v>46132.0</v>
      </c>
      <c r="B836" s="6">
        <f t="shared" si="1"/>
        <v>17</v>
      </c>
      <c r="C836" s="7" t="s">
        <v>9</v>
      </c>
      <c r="D836" s="8">
        <v>65.01</v>
      </c>
      <c r="E836" s="7" t="s">
        <v>14</v>
      </c>
      <c r="F836" s="10" t="str">
        <f>VLOOKUP(E836,BASE_VEICULOS!A:G,7,0)</f>
        <v>FAC - 140004 - MANUTENÇÃO PREDIAL DPSP 2025</v>
      </c>
      <c r="G836" s="11" t="str">
        <f>IFERROR(VLOOKUP(E836,BASE_VEICULOS!$A:$B,2,0),"")</f>
        <v>FOK8A73</v>
      </c>
      <c r="H836" s="19"/>
      <c r="I836" s="20">
        <f t="shared" si="2"/>
        <v>46113</v>
      </c>
    </row>
    <row r="837" ht="22.5" customHeight="1">
      <c r="A837" s="5">
        <v>46132.0</v>
      </c>
      <c r="B837" s="6">
        <f t="shared" si="1"/>
        <v>17</v>
      </c>
      <c r="C837" s="7" t="s">
        <v>9</v>
      </c>
      <c r="D837" s="8">
        <v>40.0</v>
      </c>
      <c r="E837" s="7" t="s">
        <v>18</v>
      </c>
      <c r="F837" s="10" t="str">
        <f>VLOOKUP(E837,BASE_VEICULOS!A:G,7,0)</f>
        <v>FAC - 140004 - MANUTENÇÃO PREDIAL DPSP 2025</v>
      </c>
      <c r="G837" s="11" t="str">
        <f>IFERROR(VLOOKUP(E837,BASE_VEICULOS!$A:$B,2,0),"")</f>
        <v>TEW9A29</v>
      </c>
      <c r="H837" s="19"/>
      <c r="I837" s="20">
        <f t="shared" si="2"/>
        <v>46113</v>
      </c>
    </row>
    <row r="838" ht="22.5" customHeight="1">
      <c r="A838" s="5">
        <v>46132.0</v>
      </c>
      <c r="B838" s="6">
        <f t="shared" si="1"/>
        <v>17</v>
      </c>
      <c r="C838" s="7" t="s">
        <v>9</v>
      </c>
      <c r="D838" s="8">
        <v>60.0</v>
      </c>
      <c r="E838" s="7" t="s">
        <v>15</v>
      </c>
      <c r="F838" s="10" t="str">
        <f>VLOOKUP(E838,BASE_VEICULOS!A:G,7,0)</f>
        <v>FAC - 140005 - SPOT MANUTENÇÃO DPSP 2025</v>
      </c>
      <c r="G838" s="11" t="str">
        <f>IFERROR(VLOOKUP(E838,BASE_VEICULOS!$A:$B,2,0),"")</f>
        <v>EWH1B84</v>
      </c>
      <c r="H838" s="19"/>
      <c r="I838" s="20">
        <f t="shared" si="2"/>
        <v>46113</v>
      </c>
    </row>
    <row r="839" ht="22.5" customHeight="1">
      <c r="A839" s="5">
        <v>46132.0</v>
      </c>
      <c r="B839" s="6">
        <f t="shared" si="1"/>
        <v>17</v>
      </c>
      <c r="C839" s="7" t="s">
        <v>9</v>
      </c>
      <c r="D839" s="8">
        <v>50.0</v>
      </c>
      <c r="E839" s="7" t="s">
        <v>19</v>
      </c>
      <c r="F839" s="10" t="str">
        <f>VLOOKUP(E839,BASE_VEICULOS!A:G,7,0)</f>
        <v>PROF - 07001 - MANUTENÇÃO PREDIAL- PROFARMA-2025</v>
      </c>
      <c r="G839" s="11" t="str">
        <f>IFERROR(VLOOKUP(E839,BASE_VEICULOS!$A:$B,2,0),"")</f>
        <v>TEW9A24</v>
      </c>
      <c r="H839" s="19"/>
      <c r="I839" s="20">
        <f t="shared" si="2"/>
        <v>46113</v>
      </c>
    </row>
    <row r="840" ht="22.5" customHeight="1">
      <c r="A840" s="5">
        <v>46132.0</v>
      </c>
      <c r="B840" s="6">
        <f t="shared" si="1"/>
        <v>17</v>
      </c>
      <c r="C840" s="7" t="s">
        <v>9</v>
      </c>
      <c r="D840" s="8">
        <v>100.0</v>
      </c>
      <c r="E840" s="7" t="s">
        <v>23</v>
      </c>
      <c r="F840" s="10" t="str">
        <f>VLOOKUP(E840,BASE_VEICULOS!A:G,7,0)</f>
        <v>PROF - 07001 - MANUTENÇÃO PREDIAL- PROFARMA-2025</v>
      </c>
      <c r="G840" s="11" t="str">
        <f>IFERROR(VLOOKUP(E840,BASE_VEICULOS!$A:$B,2,0),"")</f>
        <v>TEH3I02</v>
      </c>
      <c r="H840" s="19"/>
      <c r="I840" s="20">
        <f t="shared" si="2"/>
        <v>46113</v>
      </c>
    </row>
    <row r="841" ht="22.5" customHeight="1">
      <c r="A841" s="5">
        <v>46132.0</v>
      </c>
      <c r="B841" s="6">
        <f t="shared" si="1"/>
        <v>17</v>
      </c>
      <c r="C841" s="7" t="s">
        <v>9</v>
      </c>
      <c r="D841" s="8">
        <v>130.0</v>
      </c>
      <c r="E841" s="7" t="s">
        <v>34</v>
      </c>
      <c r="F841" s="10" t="str">
        <f>VLOOKUP(E841,BASE_VEICULOS!A:G,7,0)</f>
        <v>PROF - 07001 - MANUTENÇÃO PREDIAL- PROFARMA-2025</v>
      </c>
      <c r="G841" s="11" t="str">
        <f>IFERROR(VLOOKUP(E841,BASE_VEICULOS!$A:$B,2,0),"")</f>
        <v>SRU8D16</v>
      </c>
      <c r="H841" s="19"/>
      <c r="I841" s="20">
        <f t="shared" si="2"/>
        <v>46113</v>
      </c>
    </row>
    <row r="842" ht="22.5" customHeight="1">
      <c r="A842" s="5">
        <v>46133.0</v>
      </c>
      <c r="B842" s="6">
        <f t="shared" si="1"/>
        <v>17</v>
      </c>
      <c r="C842" s="7" t="s">
        <v>9</v>
      </c>
      <c r="D842" s="8">
        <v>150.0</v>
      </c>
      <c r="E842" s="7" t="s">
        <v>28</v>
      </c>
      <c r="F842" s="10" t="str">
        <f>VLOOKUP(E842,BASE_VEICULOS!A:G,7,0)</f>
        <v>#N/A</v>
      </c>
      <c r="G842" s="11" t="str">
        <f>IFERROR(VLOOKUP(E842,BASE_VEICULOS!$A:$B,2,0),"")</f>
        <v/>
      </c>
      <c r="H842" s="19"/>
      <c r="I842" s="20">
        <f t="shared" si="2"/>
        <v>46113</v>
      </c>
    </row>
    <row r="843" ht="22.5" customHeight="1">
      <c r="A843" s="5">
        <v>46133.0</v>
      </c>
      <c r="B843" s="6">
        <f t="shared" si="1"/>
        <v>17</v>
      </c>
      <c r="C843" s="7" t="s">
        <v>9</v>
      </c>
      <c r="D843" s="8">
        <v>70.0</v>
      </c>
      <c r="E843" s="7" t="s">
        <v>20</v>
      </c>
      <c r="F843" s="10" t="str">
        <f>VLOOKUP(E843,BASE_VEICULOS!A:G,7,0)</f>
        <v>PROF - 07001 - MANUTENÇÃO PREDIAL- PROFARMA-2025</v>
      </c>
      <c r="G843" s="11" t="str">
        <f>IFERROR(VLOOKUP(E843,BASE_VEICULOS!$A:$B,2,0),"")</f>
        <v>TEW9A34</v>
      </c>
      <c r="H843" s="19"/>
      <c r="I843" s="20">
        <f t="shared" si="2"/>
        <v>46113</v>
      </c>
    </row>
    <row r="844" ht="22.5" customHeight="1">
      <c r="A844" s="5">
        <v>46133.0</v>
      </c>
      <c r="B844" s="6">
        <f t="shared" si="1"/>
        <v>17</v>
      </c>
      <c r="C844" s="7" t="s">
        <v>9</v>
      </c>
      <c r="D844" s="8">
        <v>99.98</v>
      </c>
      <c r="E844" s="7" t="s">
        <v>25</v>
      </c>
      <c r="F844" s="10" t="str">
        <f>VLOOKUP(E844,BASE_VEICULOS!A:G,7,0)</f>
        <v>PROF - 07001 - MANUTENÇÃO PREDIAL- PROFARMA-2025</v>
      </c>
      <c r="G844" s="11" t="str">
        <f>IFERROR(VLOOKUP(E844,BASE_VEICULOS!$A:$B,2,0),"")</f>
        <v>TEW9A26</v>
      </c>
      <c r="H844" s="19"/>
      <c r="I844" s="20">
        <f t="shared" si="2"/>
        <v>46113</v>
      </c>
    </row>
    <row r="845" ht="22.5" customHeight="1">
      <c r="A845" s="5">
        <v>46133.0</v>
      </c>
      <c r="B845" s="6">
        <f t="shared" si="1"/>
        <v>17</v>
      </c>
      <c r="C845" s="7" t="s">
        <v>9</v>
      </c>
      <c r="D845" s="8">
        <v>70.0</v>
      </c>
      <c r="E845" s="7" t="s">
        <v>20</v>
      </c>
      <c r="F845" s="10" t="str">
        <f>VLOOKUP(E845,BASE_VEICULOS!A:G,7,0)</f>
        <v>PROF - 07001 - MANUTENÇÃO PREDIAL- PROFARMA-2025</v>
      </c>
      <c r="G845" s="11" t="str">
        <f>IFERROR(VLOOKUP(E845,BASE_VEICULOS!$A:$B,2,0),"")</f>
        <v>TEW9A34</v>
      </c>
      <c r="H845" s="19"/>
      <c r="I845" s="20">
        <f t="shared" si="2"/>
        <v>46113</v>
      </c>
    </row>
    <row r="846" ht="22.5" customHeight="1">
      <c r="A846" s="5">
        <v>46133.0</v>
      </c>
      <c r="B846" s="6">
        <f t="shared" si="1"/>
        <v>17</v>
      </c>
      <c r="C846" s="7" t="s">
        <v>9</v>
      </c>
      <c r="D846" s="8">
        <v>200.0</v>
      </c>
      <c r="E846" s="7" t="s">
        <v>23</v>
      </c>
      <c r="F846" s="10" t="str">
        <f>VLOOKUP(E846,BASE_VEICULOS!A:G,7,0)</f>
        <v>PROF - 07001 - MANUTENÇÃO PREDIAL- PROFARMA-2025</v>
      </c>
      <c r="G846" s="11" t="str">
        <f>IFERROR(VLOOKUP(E846,BASE_VEICULOS!$A:$B,2,0),"")</f>
        <v>TEH3I02</v>
      </c>
      <c r="H846" s="19"/>
      <c r="I846" s="20">
        <f t="shared" si="2"/>
        <v>46113</v>
      </c>
    </row>
    <row r="847" ht="22.5" customHeight="1">
      <c r="A847" s="5">
        <v>46133.0</v>
      </c>
      <c r="B847" s="6">
        <f t="shared" si="1"/>
        <v>17</v>
      </c>
      <c r="C847" s="7" t="s">
        <v>9</v>
      </c>
      <c r="D847" s="8">
        <v>80.0</v>
      </c>
      <c r="E847" s="7" t="s">
        <v>25</v>
      </c>
      <c r="F847" s="10" t="str">
        <f>VLOOKUP(E847,BASE_VEICULOS!A:G,7,0)</f>
        <v>PROF - 07001 - MANUTENÇÃO PREDIAL- PROFARMA-2025</v>
      </c>
      <c r="G847" s="11" t="str">
        <f>IFERROR(VLOOKUP(E847,BASE_VEICULOS!$A:$B,2,0),"")</f>
        <v>TEW9A26</v>
      </c>
      <c r="H847" s="19"/>
      <c r="I847" s="20">
        <f t="shared" si="2"/>
        <v>46113</v>
      </c>
    </row>
    <row r="848" ht="22.5" customHeight="1">
      <c r="A848" s="5">
        <v>46133.0</v>
      </c>
      <c r="B848" s="6">
        <f t="shared" si="1"/>
        <v>17</v>
      </c>
      <c r="C848" s="7" t="s">
        <v>9</v>
      </c>
      <c r="D848" s="8">
        <v>210.0</v>
      </c>
      <c r="E848" s="7" t="s">
        <v>30</v>
      </c>
      <c r="F848" s="10" t="str">
        <f>VLOOKUP(E848,BASE_VEICULOS!A:G,7,0)</f>
        <v>#N/A</v>
      </c>
      <c r="G848" s="11" t="str">
        <f>IFERROR(VLOOKUP(E848,BASE_VEICULOS!$A:$B,2,0),"")</f>
        <v/>
      </c>
      <c r="H848" s="19"/>
      <c r="I848" s="20">
        <f t="shared" si="2"/>
        <v>46113</v>
      </c>
    </row>
    <row r="849" ht="22.5" customHeight="1">
      <c r="A849" s="5">
        <v>46133.0</v>
      </c>
      <c r="B849" s="6">
        <f t="shared" si="1"/>
        <v>17</v>
      </c>
      <c r="C849" s="7" t="s">
        <v>9</v>
      </c>
      <c r="D849" s="8">
        <v>100.01</v>
      </c>
      <c r="E849" s="7" t="s">
        <v>34</v>
      </c>
      <c r="F849" s="10" t="str">
        <f>VLOOKUP(E849,BASE_VEICULOS!A:G,7,0)</f>
        <v>PROF - 07001 - MANUTENÇÃO PREDIAL- PROFARMA-2025</v>
      </c>
      <c r="G849" s="11" t="str">
        <f>IFERROR(VLOOKUP(E849,BASE_VEICULOS!$A:$B,2,0),"")</f>
        <v>SRU8D16</v>
      </c>
      <c r="H849" s="19"/>
      <c r="I849" s="20">
        <f t="shared" si="2"/>
        <v>46113</v>
      </c>
    </row>
    <row r="850" ht="22.5" customHeight="1">
      <c r="A850" s="5">
        <v>46134.0</v>
      </c>
      <c r="B850" s="6">
        <f t="shared" si="1"/>
        <v>17</v>
      </c>
      <c r="C850" s="7" t="s">
        <v>9</v>
      </c>
      <c r="D850" s="8">
        <v>140.0</v>
      </c>
      <c r="E850" s="7" t="s">
        <v>29</v>
      </c>
      <c r="F850" s="10" t="str">
        <f>VLOOKUP(E850,BASE_VEICULOS!A:G,7,0)</f>
        <v>PROF - 07001 - MANUTENÇÃO PREDIAL- PROFARMA-2025</v>
      </c>
      <c r="G850" s="11" t="str">
        <f>IFERROR(VLOOKUP(E850,BASE_VEICULOS!$A:$B,2,0),"")</f>
        <v>TEQ2I74</v>
      </c>
      <c r="H850" s="19"/>
      <c r="I850" s="20">
        <f t="shared" si="2"/>
        <v>46113</v>
      </c>
    </row>
    <row r="851" ht="22.5" customHeight="1">
      <c r="A851" s="5">
        <v>46134.0</v>
      </c>
      <c r="B851" s="6">
        <f t="shared" si="1"/>
        <v>17</v>
      </c>
      <c r="C851" s="7" t="s">
        <v>9</v>
      </c>
      <c r="D851" s="8">
        <v>132.24</v>
      </c>
      <c r="E851" s="7" t="s">
        <v>33</v>
      </c>
      <c r="F851" s="10" t="str">
        <f>VLOOKUP(E851,BASE_VEICULOS!A:G,7,0)</f>
        <v>PROF - 07001 - MANUTENÇÃO PREDIAL- PROFARMA-2025</v>
      </c>
      <c r="G851" s="11" t="str">
        <f>IFERROR(VLOOKUP(E851,BASE_VEICULOS!$A:$B,2,0),"")</f>
        <v>TEW9A30</v>
      </c>
      <c r="H851" s="19"/>
      <c r="I851" s="20">
        <f t="shared" si="2"/>
        <v>46113</v>
      </c>
    </row>
    <row r="852" ht="22.5" customHeight="1">
      <c r="A852" s="5">
        <v>46134.0</v>
      </c>
      <c r="B852" s="6">
        <f t="shared" si="1"/>
        <v>17</v>
      </c>
      <c r="C852" s="7" t="s">
        <v>9</v>
      </c>
      <c r="D852" s="8">
        <v>129.95</v>
      </c>
      <c r="E852" s="7" t="s">
        <v>24</v>
      </c>
      <c r="F852" s="10" t="str">
        <f>VLOOKUP(E852,BASE_VEICULOS!A:G,7,0)</f>
        <v>PROF - 07001 - MANUTENÇÃO PREDIAL- PROFARMA-2025</v>
      </c>
      <c r="G852" s="11" t="str">
        <f>IFERROR(VLOOKUP(E852,BASE_VEICULOS!$A:$B,2,0),"")</f>
        <v>TEW9A23</v>
      </c>
      <c r="H852" s="19"/>
      <c r="I852" s="20">
        <f t="shared" si="2"/>
        <v>46113</v>
      </c>
    </row>
    <row r="853" ht="22.5" customHeight="1">
      <c r="A853" s="5">
        <v>46134.0</v>
      </c>
      <c r="B853" s="6">
        <f t="shared" si="1"/>
        <v>17</v>
      </c>
      <c r="C853" s="7" t="s">
        <v>9</v>
      </c>
      <c r="D853" s="8">
        <v>70.0</v>
      </c>
      <c r="E853" s="7" t="s">
        <v>14</v>
      </c>
      <c r="F853" s="10" t="str">
        <f>VLOOKUP(E853,BASE_VEICULOS!A:G,7,0)</f>
        <v>FAC - 140004 - MANUTENÇÃO PREDIAL DPSP 2025</v>
      </c>
      <c r="G853" s="11" t="str">
        <f>IFERROR(VLOOKUP(E853,BASE_VEICULOS!$A:$B,2,0),"")</f>
        <v>FOK8A73</v>
      </c>
      <c r="H853" s="19"/>
      <c r="I853" s="20">
        <f t="shared" si="2"/>
        <v>46113</v>
      </c>
    </row>
    <row r="854" ht="22.5" customHeight="1">
      <c r="A854" s="5">
        <v>46134.0</v>
      </c>
      <c r="B854" s="6">
        <f t="shared" si="1"/>
        <v>17</v>
      </c>
      <c r="C854" s="7" t="s">
        <v>9</v>
      </c>
      <c r="D854" s="8">
        <v>150.0</v>
      </c>
      <c r="E854" s="7" t="s">
        <v>21</v>
      </c>
      <c r="F854" s="10" t="str">
        <f>VLOOKUP(E854,BASE_VEICULOS!A:G,7,0)</f>
        <v>PROF - 07001 - MANUTENÇÃO PREDIAL- PROFARMA-2025</v>
      </c>
      <c r="G854" s="11" t="str">
        <f>IFERROR(VLOOKUP(E854,BASE_VEICULOS!$A:$B,2,0),"")</f>
        <v>TEW9A33</v>
      </c>
      <c r="H854" s="19"/>
      <c r="I854" s="20">
        <f t="shared" si="2"/>
        <v>46113</v>
      </c>
    </row>
    <row r="855" ht="22.5" customHeight="1">
      <c r="A855" s="5">
        <v>46134.0</v>
      </c>
      <c r="B855" s="6">
        <f t="shared" si="1"/>
        <v>17</v>
      </c>
      <c r="C855" s="7" t="s">
        <v>9</v>
      </c>
      <c r="D855" s="8">
        <v>35.0</v>
      </c>
      <c r="E855" s="7" t="s">
        <v>11</v>
      </c>
      <c r="F855" s="10" t="str">
        <f>VLOOKUP(E855,BASE_VEICULOS!A:G,7,0)</f>
        <v>PROF - 07001 - MANUTENÇÃO PREDIAL- PROFARMA-2025</v>
      </c>
      <c r="G855" s="11" t="str">
        <f>IFERROR(VLOOKUP(E855,BASE_VEICULOS!$A:$B,2,0),"")</f>
        <v>TEW9A28</v>
      </c>
      <c r="H855" s="19"/>
      <c r="I855" s="20">
        <f t="shared" si="2"/>
        <v>46113</v>
      </c>
    </row>
    <row r="856" ht="22.5" customHeight="1">
      <c r="A856" s="5">
        <v>46134.0</v>
      </c>
      <c r="B856" s="6">
        <f t="shared" si="1"/>
        <v>17</v>
      </c>
      <c r="C856" s="7" t="s">
        <v>9</v>
      </c>
      <c r="D856" s="8">
        <v>74.97</v>
      </c>
      <c r="E856" s="7" t="s">
        <v>10</v>
      </c>
      <c r="F856" s="10" t="str">
        <f>VLOOKUP(E856,BASE_VEICULOS!A:G,7,0)</f>
        <v>FAC - 140004 - MANUTENÇÃO PREDIAL DPSP 2025</v>
      </c>
      <c r="G856" s="11" t="str">
        <f>IFERROR(VLOOKUP(E856,BASE_VEICULOS!$A:$B,2,0),"")</f>
        <v>TEW9A25</v>
      </c>
      <c r="H856" s="19"/>
      <c r="I856" s="20">
        <f t="shared" si="2"/>
        <v>46113</v>
      </c>
    </row>
    <row r="857" ht="22.5" customHeight="1">
      <c r="A857" s="5">
        <v>46134.0</v>
      </c>
      <c r="B857" s="6">
        <f t="shared" si="1"/>
        <v>17</v>
      </c>
      <c r="C857" s="7" t="s">
        <v>9</v>
      </c>
      <c r="D857" s="8">
        <v>150.0</v>
      </c>
      <c r="E857" s="7" t="s">
        <v>19</v>
      </c>
      <c r="F857" s="10" t="str">
        <f>VLOOKUP(E857,BASE_VEICULOS!A:G,7,0)</f>
        <v>PROF - 07001 - MANUTENÇÃO PREDIAL- PROFARMA-2025</v>
      </c>
      <c r="G857" s="11" t="str">
        <f>IFERROR(VLOOKUP(E857,BASE_VEICULOS!$A:$B,2,0),"")</f>
        <v>TEW9A24</v>
      </c>
      <c r="H857" s="19"/>
      <c r="I857" s="20">
        <f t="shared" si="2"/>
        <v>46113</v>
      </c>
    </row>
    <row r="858" ht="22.5" customHeight="1">
      <c r="A858" s="5">
        <v>46134.0</v>
      </c>
      <c r="B858" s="6">
        <f t="shared" si="1"/>
        <v>17</v>
      </c>
      <c r="C858" s="7" t="s">
        <v>9</v>
      </c>
      <c r="D858" s="8">
        <v>70.0</v>
      </c>
      <c r="E858" s="7" t="s">
        <v>18</v>
      </c>
      <c r="F858" s="10" t="str">
        <f>VLOOKUP(E858,BASE_VEICULOS!A:G,7,0)</f>
        <v>FAC - 140004 - MANUTENÇÃO PREDIAL DPSP 2025</v>
      </c>
      <c r="G858" s="11" t="str">
        <f>IFERROR(VLOOKUP(E858,BASE_VEICULOS!$A:$B,2,0),"")</f>
        <v>TEW9A29</v>
      </c>
      <c r="H858" s="19"/>
      <c r="I858" s="20">
        <f t="shared" si="2"/>
        <v>46113</v>
      </c>
    </row>
    <row r="859" ht="22.5" customHeight="1">
      <c r="A859" s="5">
        <v>46134.0</v>
      </c>
      <c r="B859" s="6">
        <f t="shared" si="1"/>
        <v>17</v>
      </c>
      <c r="C859" s="7" t="s">
        <v>9</v>
      </c>
      <c r="D859" s="8">
        <v>67.0</v>
      </c>
      <c r="E859" s="7" t="s">
        <v>15</v>
      </c>
      <c r="F859" s="10" t="str">
        <f>VLOOKUP(E859,BASE_VEICULOS!A:G,7,0)</f>
        <v>FAC - 140005 - SPOT MANUTENÇÃO DPSP 2025</v>
      </c>
      <c r="G859" s="11" t="str">
        <f>IFERROR(VLOOKUP(E859,BASE_VEICULOS!$A:$B,2,0),"")</f>
        <v>EWH1B84</v>
      </c>
      <c r="H859" s="19"/>
      <c r="I859" s="20">
        <f t="shared" si="2"/>
        <v>46113</v>
      </c>
    </row>
    <row r="860" ht="22.5" customHeight="1">
      <c r="A860" s="5">
        <v>46134.0</v>
      </c>
      <c r="B860" s="6">
        <f t="shared" si="1"/>
        <v>17</v>
      </c>
      <c r="C860" s="7" t="s">
        <v>9</v>
      </c>
      <c r="D860" s="8">
        <v>130.0</v>
      </c>
      <c r="E860" s="7" t="s">
        <v>20</v>
      </c>
      <c r="F860" s="10" t="str">
        <f>VLOOKUP(E860,BASE_VEICULOS!A:G,7,0)</f>
        <v>PROF - 07001 - MANUTENÇÃO PREDIAL- PROFARMA-2025</v>
      </c>
      <c r="G860" s="11" t="str">
        <f>IFERROR(VLOOKUP(E860,BASE_VEICULOS!$A:$B,2,0),"")</f>
        <v>TEW9A34</v>
      </c>
      <c r="H860" s="19"/>
      <c r="I860" s="20">
        <f t="shared" si="2"/>
        <v>46113</v>
      </c>
    </row>
    <row r="861" ht="22.5" customHeight="1">
      <c r="A861" s="5">
        <v>46134.0</v>
      </c>
      <c r="B861" s="6">
        <f t="shared" si="1"/>
        <v>17</v>
      </c>
      <c r="C861" s="7" t="s">
        <v>9</v>
      </c>
      <c r="D861" s="8">
        <v>100.0</v>
      </c>
      <c r="E861" s="7" t="s">
        <v>23</v>
      </c>
      <c r="F861" s="10" t="str">
        <f>VLOOKUP(E861,BASE_VEICULOS!A:G,7,0)</f>
        <v>PROF - 07001 - MANUTENÇÃO PREDIAL- PROFARMA-2025</v>
      </c>
      <c r="G861" s="11" t="str">
        <f>IFERROR(VLOOKUP(E861,BASE_VEICULOS!$A:$B,2,0),"")</f>
        <v>TEH3I02</v>
      </c>
      <c r="H861" s="19"/>
      <c r="I861" s="20">
        <f t="shared" si="2"/>
        <v>46113</v>
      </c>
    </row>
    <row r="862" ht="22.5" customHeight="1">
      <c r="A862" s="5">
        <v>46134.0</v>
      </c>
      <c r="B862" s="6">
        <f t="shared" si="1"/>
        <v>17</v>
      </c>
      <c r="C862" s="7" t="s">
        <v>9</v>
      </c>
      <c r="D862" s="8">
        <v>150.0</v>
      </c>
      <c r="E862" s="7" t="s">
        <v>22</v>
      </c>
      <c r="F862" s="10" t="str">
        <f>VLOOKUP(E862,BASE_VEICULOS!A:G,7,0)</f>
        <v>PROF - 07001 - MANUTENÇÃO PREDIAL- PROFARMA-2025</v>
      </c>
      <c r="G862" s="11" t="str">
        <f>IFERROR(VLOOKUP(E862,BASE_VEICULOS!$A:$B,2,0),"")</f>
        <v>TET5H37</v>
      </c>
      <c r="H862" s="19"/>
      <c r="I862" s="20">
        <f t="shared" si="2"/>
        <v>46113</v>
      </c>
    </row>
    <row r="863" ht="22.5" customHeight="1">
      <c r="A863" s="5">
        <v>46134.0</v>
      </c>
      <c r="B863" s="6">
        <f t="shared" si="1"/>
        <v>17</v>
      </c>
      <c r="C863" s="7" t="s">
        <v>9</v>
      </c>
      <c r="D863" s="8">
        <v>174.0</v>
      </c>
      <c r="E863" s="7" t="s">
        <v>12</v>
      </c>
      <c r="F863" s="10" t="str">
        <f>VLOOKUP(E863,BASE_VEICULOS!A:G,7,0)</f>
        <v>FAC - 140004 - MANUTENÇÃO PREDIAL DPSP 2025</v>
      </c>
      <c r="G863" s="11" t="str">
        <f>IFERROR(VLOOKUP(E863,BASE_VEICULOS!$A:$B,2,0),"")</f>
        <v>FIL8C14</v>
      </c>
      <c r="H863" s="19"/>
      <c r="I863" s="20">
        <f t="shared" si="2"/>
        <v>46113</v>
      </c>
    </row>
    <row r="864" ht="22.5" customHeight="1">
      <c r="A864" s="5">
        <v>46134.0</v>
      </c>
      <c r="B864" s="6">
        <f t="shared" si="1"/>
        <v>17</v>
      </c>
      <c r="C864" s="7" t="s">
        <v>9</v>
      </c>
      <c r="D864" s="8">
        <v>100.0</v>
      </c>
      <c r="E864" s="7" t="s">
        <v>34</v>
      </c>
      <c r="F864" s="10" t="str">
        <f>VLOOKUP(E864,BASE_VEICULOS!A:G,7,0)</f>
        <v>PROF - 07001 - MANUTENÇÃO PREDIAL- PROFARMA-2025</v>
      </c>
      <c r="G864" s="11" t="str">
        <f>IFERROR(VLOOKUP(E864,BASE_VEICULOS!$A:$B,2,0),"")</f>
        <v>SRU8D16</v>
      </c>
      <c r="H864" s="19"/>
      <c r="I864" s="20">
        <f t="shared" si="2"/>
        <v>46113</v>
      </c>
    </row>
    <row r="865" ht="22.5" customHeight="1">
      <c r="A865" s="5">
        <v>46134.0</v>
      </c>
      <c r="B865" s="6">
        <f t="shared" si="1"/>
        <v>17</v>
      </c>
      <c r="C865" s="7" t="s">
        <v>9</v>
      </c>
      <c r="D865" s="8">
        <v>50.0</v>
      </c>
      <c r="E865" s="7" t="s">
        <v>34</v>
      </c>
      <c r="F865" s="10" t="str">
        <f>VLOOKUP(E865,BASE_VEICULOS!A:G,7,0)</f>
        <v>PROF - 07001 - MANUTENÇÃO PREDIAL- PROFARMA-2025</v>
      </c>
      <c r="G865" s="11" t="str">
        <f>IFERROR(VLOOKUP(E865,BASE_VEICULOS!$A:$B,2,0),"")</f>
        <v>SRU8D16</v>
      </c>
      <c r="H865" s="19"/>
      <c r="I865" s="20">
        <f t="shared" si="2"/>
        <v>46113</v>
      </c>
    </row>
    <row r="866" ht="22.5" customHeight="1">
      <c r="A866" s="5">
        <v>46134.0</v>
      </c>
      <c r="B866" s="6">
        <f t="shared" si="1"/>
        <v>17</v>
      </c>
      <c r="C866" s="7" t="s">
        <v>9</v>
      </c>
      <c r="D866" s="8">
        <v>100.0</v>
      </c>
      <c r="E866" s="7" t="s">
        <v>23</v>
      </c>
      <c r="F866" s="10" t="str">
        <f>VLOOKUP(E866,BASE_VEICULOS!A:G,7,0)</f>
        <v>PROF - 07001 - MANUTENÇÃO PREDIAL- PROFARMA-2025</v>
      </c>
      <c r="G866" s="11" t="str">
        <f>IFERROR(VLOOKUP(E866,BASE_VEICULOS!$A:$B,2,0),"")</f>
        <v>TEH3I02</v>
      </c>
      <c r="H866" s="19"/>
      <c r="I866" s="20">
        <f t="shared" si="2"/>
        <v>46113</v>
      </c>
    </row>
    <row r="867" ht="22.5" customHeight="1">
      <c r="A867" s="5">
        <v>46134.0</v>
      </c>
      <c r="B867" s="6">
        <f t="shared" si="1"/>
        <v>17</v>
      </c>
      <c r="C867" s="7" t="s">
        <v>9</v>
      </c>
      <c r="D867" s="8">
        <v>30.0</v>
      </c>
      <c r="E867" s="7" t="s">
        <v>30</v>
      </c>
      <c r="F867" s="10" t="str">
        <f>VLOOKUP(E867,BASE_VEICULOS!A:G,7,0)</f>
        <v>#N/A</v>
      </c>
      <c r="G867" s="11" t="str">
        <f>IFERROR(VLOOKUP(E867,BASE_VEICULOS!$A:$B,2,0),"")</f>
        <v/>
      </c>
      <c r="H867" s="19"/>
      <c r="I867" s="20">
        <f t="shared" si="2"/>
        <v>46113</v>
      </c>
    </row>
    <row r="868" ht="22.5" customHeight="1">
      <c r="A868" s="5">
        <v>46135.0</v>
      </c>
      <c r="B868" s="6">
        <f t="shared" si="1"/>
        <v>17</v>
      </c>
      <c r="C868" s="7" t="s">
        <v>9</v>
      </c>
      <c r="D868" s="8">
        <v>129.0</v>
      </c>
      <c r="E868" s="7" t="s">
        <v>11</v>
      </c>
      <c r="F868" s="10" t="str">
        <f>VLOOKUP(E868,BASE_VEICULOS!A:G,7,0)</f>
        <v>PROF - 07001 - MANUTENÇÃO PREDIAL- PROFARMA-2025</v>
      </c>
      <c r="G868" s="11" t="str">
        <f>IFERROR(VLOOKUP(E868,BASE_VEICULOS!$A:$B,2,0),"")</f>
        <v>TEW9A28</v>
      </c>
      <c r="H868" s="19"/>
      <c r="I868" s="20">
        <f t="shared" si="2"/>
        <v>46113</v>
      </c>
    </row>
    <row r="869" ht="22.5" customHeight="1">
      <c r="A869" s="5">
        <v>46135.0</v>
      </c>
      <c r="B869" s="6">
        <f t="shared" si="1"/>
        <v>17</v>
      </c>
      <c r="C869" s="7" t="s">
        <v>9</v>
      </c>
      <c r="D869" s="8">
        <v>150.0</v>
      </c>
      <c r="E869" s="7" t="s">
        <v>34</v>
      </c>
      <c r="F869" s="10" t="str">
        <f>VLOOKUP(E869,BASE_VEICULOS!A:G,7,0)</f>
        <v>PROF - 07001 - MANUTENÇÃO PREDIAL- PROFARMA-2025</v>
      </c>
      <c r="G869" s="11" t="str">
        <f>IFERROR(VLOOKUP(E869,BASE_VEICULOS!$A:$B,2,0),"")</f>
        <v>SRU8D16</v>
      </c>
      <c r="H869" s="19"/>
      <c r="I869" s="20">
        <f t="shared" si="2"/>
        <v>46113</v>
      </c>
    </row>
    <row r="870" ht="22.5" customHeight="1">
      <c r="A870" s="5">
        <v>46135.0</v>
      </c>
      <c r="B870" s="6">
        <f t="shared" si="1"/>
        <v>17</v>
      </c>
      <c r="C870" s="7" t="s">
        <v>9</v>
      </c>
      <c r="D870" s="8">
        <v>99.99</v>
      </c>
      <c r="E870" s="7" t="s">
        <v>14</v>
      </c>
      <c r="F870" s="10" t="str">
        <f>VLOOKUP(E870,BASE_VEICULOS!A:G,7,0)</f>
        <v>FAC - 140004 - MANUTENÇÃO PREDIAL DPSP 2025</v>
      </c>
      <c r="G870" s="11" t="str">
        <f>IFERROR(VLOOKUP(E870,BASE_VEICULOS!$A:$B,2,0),"")</f>
        <v>FOK8A73</v>
      </c>
      <c r="H870" s="19"/>
      <c r="I870" s="20">
        <f t="shared" si="2"/>
        <v>46113</v>
      </c>
    </row>
    <row r="871" ht="22.5" customHeight="1">
      <c r="A871" s="5">
        <v>46135.0</v>
      </c>
      <c r="B871" s="6">
        <f t="shared" si="1"/>
        <v>17</v>
      </c>
      <c r="C871" s="7" t="s">
        <v>9</v>
      </c>
      <c r="D871" s="8">
        <v>49.98</v>
      </c>
      <c r="E871" s="7" t="s">
        <v>11</v>
      </c>
      <c r="F871" s="10" t="str">
        <f>VLOOKUP(E871,BASE_VEICULOS!A:G,7,0)</f>
        <v>PROF - 07001 - MANUTENÇÃO PREDIAL- PROFARMA-2025</v>
      </c>
      <c r="G871" s="11" t="str">
        <f>IFERROR(VLOOKUP(E871,BASE_VEICULOS!$A:$B,2,0),"")</f>
        <v>TEW9A28</v>
      </c>
      <c r="H871" s="19"/>
      <c r="I871" s="20">
        <f t="shared" si="2"/>
        <v>46113</v>
      </c>
    </row>
    <row r="872" ht="22.5" customHeight="1">
      <c r="A872" s="5">
        <v>46136.0</v>
      </c>
      <c r="B872" s="6">
        <f t="shared" si="1"/>
        <v>17</v>
      </c>
      <c r="C872" s="7" t="s">
        <v>9</v>
      </c>
      <c r="D872" s="8">
        <v>195.98</v>
      </c>
      <c r="E872" s="7" t="s">
        <v>24</v>
      </c>
      <c r="F872" s="10" t="str">
        <f>VLOOKUP(E872,BASE_VEICULOS!A:G,7,0)</f>
        <v>PROF - 07001 - MANUTENÇÃO PREDIAL- PROFARMA-2025</v>
      </c>
      <c r="G872" s="11" t="str">
        <f>IFERROR(VLOOKUP(E872,BASE_VEICULOS!$A:$B,2,0),"")</f>
        <v>TEW9A23</v>
      </c>
      <c r="H872" s="19"/>
      <c r="I872" s="20">
        <f t="shared" si="2"/>
        <v>46113</v>
      </c>
    </row>
    <row r="873" ht="22.5" customHeight="1">
      <c r="A873" s="5">
        <v>46136.0</v>
      </c>
      <c r="B873" s="6">
        <f t="shared" si="1"/>
        <v>17</v>
      </c>
      <c r="C873" s="7" t="s">
        <v>9</v>
      </c>
      <c r="D873" s="8">
        <v>211.49</v>
      </c>
      <c r="E873" s="7" t="s">
        <v>18</v>
      </c>
      <c r="F873" s="10" t="str">
        <f>VLOOKUP(E873,BASE_VEICULOS!A:G,7,0)</f>
        <v>FAC - 140004 - MANUTENÇÃO PREDIAL DPSP 2025</v>
      </c>
      <c r="G873" s="11" t="str">
        <f>IFERROR(VLOOKUP(E873,BASE_VEICULOS!$A:$B,2,0),"")</f>
        <v>TEW9A29</v>
      </c>
      <c r="H873" s="19"/>
      <c r="I873" s="20">
        <f t="shared" si="2"/>
        <v>46113</v>
      </c>
    </row>
    <row r="874" ht="22.5" customHeight="1">
      <c r="A874" s="5">
        <v>46136.0</v>
      </c>
      <c r="B874" s="6">
        <f t="shared" si="1"/>
        <v>17</v>
      </c>
      <c r="C874" s="7" t="s">
        <v>9</v>
      </c>
      <c r="D874" s="8">
        <v>75.0</v>
      </c>
      <c r="E874" s="7" t="s">
        <v>20</v>
      </c>
      <c r="F874" s="10" t="str">
        <f>VLOOKUP(E874,BASE_VEICULOS!A:G,7,0)</f>
        <v>PROF - 07001 - MANUTENÇÃO PREDIAL- PROFARMA-2025</v>
      </c>
      <c r="G874" s="11" t="str">
        <f>IFERROR(VLOOKUP(E874,BASE_VEICULOS!$A:$B,2,0),"")</f>
        <v>TEW9A34</v>
      </c>
      <c r="H874" s="19"/>
      <c r="I874" s="20">
        <f t="shared" si="2"/>
        <v>46113</v>
      </c>
    </row>
    <row r="875" ht="22.5" customHeight="1">
      <c r="A875" s="5">
        <v>46136.0</v>
      </c>
      <c r="B875" s="6">
        <f t="shared" si="1"/>
        <v>17</v>
      </c>
      <c r="C875" s="7" t="s">
        <v>9</v>
      </c>
      <c r="D875" s="8">
        <v>80.0</v>
      </c>
      <c r="E875" s="7" t="s">
        <v>29</v>
      </c>
      <c r="F875" s="10" t="str">
        <f>VLOOKUP(E875,BASE_VEICULOS!A:G,7,0)</f>
        <v>PROF - 07001 - MANUTENÇÃO PREDIAL- PROFARMA-2025</v>
      </c>
      <c r="G875" s="11" t="str">
        <f>IFERROR(VLOOKUP(E875,BASE_VEICULOS!$A:$B,2,0),"")</f>
        <v>TEQ2I74</v>
      </c>
      <c r="H875" s="19"/>
      <c r="I875" s="20">
        <f t="shared" si="2"/>
        <v>46113</v>
      </c>
    </row>
    <row r="876" ht="22.5" customHeight="1">
      <c r="A876" s="5">
        <v>46136.0</v>
      </c>
      <c r="B876" s="6">
        <f t="shared" si="1"/>
        <v>17</v>
      </c>
      <c r="C876" s="7" t="s">
        <v>9</v>
      </c>
      <c r="D876" s="8">
        <v>80.0</v>
      </c>
      <c r="E876" s="7" t="s">
        <v>12</v>
      </c>
      <c r="F876" s="10" t="str">
        <f>VLOOKUP(E876,BASE_VEICULOS!A:G,7,0)</f>
        <v>FAC - 140004 - MANUTENÇÃO PREDIAL DPSP 2025</v>
      </c>
      <c r="G876" s="11" t="str">
        <f>IFERROR(VLOOKUP(E876,BASE_VEICULOS!$A:$B,2,0),"")</f>
        <v>FIL8C14</v>
      </c>
      <c r="H876" s="19"/>
      <c r="I876" s="20">
        <f t="shared" si="2"/>
        <v>46113</v>
      </c>
    </row>
    <row r="877" ht="22.5" customHeight="1">
      <c r="A877" s="5">
        <v>46136.0</v>
      </c>
      <c r="B877" s="6">
        <f t="shared" si="1"/>
        <v>17</v>
      </c>
      <c r="C877" s="7" t="s">
        <v>9</v>
      </c>
      <c r="D877" s="8">
        <v>50.0</v>
      </c>
      <c r="E877" s="7" t="s">
        <v>19</v>
      </c>
      <c r="F877" s="10" t="str">
        <f>VLOOKUP(E877,BASE_VEICULOS!A:G,7,0)</f>
        <v>PROF - 07001 - MANUTENÇÃO PREDIAL- PROFARMA-2025</v>
      </c>
      <c r="G877" s="11" t="str">
        <f>IFERROR(VLOOKUP(E877,BASE_VEICULOS!$A:$B,2,0),"")</f>
        <v>TEW9A24</v>
      </c>
      <c r="H877" s="19"/>
      <c r="I877" s="20">
        <f t="shared" si="2"/>
        <v>46113</v>
      </c>
    </row>
    <row r="878" ht="22.5" customHeight="1">
      <c r="A878" s="5">
        <v>46136.0</v>
      </c>
      <c r="B878" s="6">
        <f t="shared" si="1"/>
        <v>17</v>
      </c>
      <c r="C878" s="7" t="s">
        <v>9</v>
      </c>
      <c r="D878" s="8">
        <v>150.0</v>
      </c>
      <c r="E878" s="7" t="s">
        <v>13</v>
      </c>
      <c r="F878" s="10" t="str">
        <f>VLOOKUP(E878,BASE_VEICULOS!A:G,7,0)</f>
        <v>FAC - 140005 - SPOT MANUTENÇÃO DPSP 2025</v>
      </c>
      <c r="G878" s="11" t="str">
        <f>IFERROR(VLOOKUP(E878,BASE_VEICULOS!$A:$B,2,0),"")</f>
        <v>FGO3C61</v>
      </c>
      <c r="H878" s="19"/>
      <c r="I878" s="20">
        <f t="shared" si="2"/>
        <v>46113</v>
      </c>
    </row>
    <row r="879" ht="22.5" customHeight="1">
      <c r="A879" s="5">
        <v>46136.0</v>
      </c>
      <c r="B879" s="6">
        <f t="shared" si="1"/>
        <v>17</v>
      </c>
      <c r="C879" s="7" t="s">
        <v>9</v>
      </c>
      <c r="D879" s="8">
        <v>110.0</v>
      </c>
      <c r="E879" s="7" t="s">
        <v>21</v>
      </c>
      <c r="F879" s="10" t="str">
        <f>VLOOKUP(E879,BASE_VEICULOS!A:G,7,0)</f>
        <v>PROF - 07001 - MANUTENÇÃO PREDIAL- PROFARMA-2025</v>
      </c>
      <c r="G879" s="11" t="str">
        <f>IFERROR(VLOOKUP(E879,BASE_VEICULOS!$A:$B,2,0),"")</f>
        <v>TEW9A33</v>
      </c>
      <c r="H879" s="19"/>
      <c r="I879" s="20">
        <f t="shared" si="2"/>
        <v>46113</v>
      </c>
    </row>
    <row r="880" ht="22.5" customHeight="1">
      <c r="A880" s="5">
        <v>46136.0</v>
      </c>
      <c r="B880" s="6">
        <f t="shared" si="1"/>
        <v>17</v>
      </c>
      <c r="C880" s="7" t="s">
        <v>9</v>
      </c>
      <c r="D880" s="8">
        <v>165.0</v>
      </c>
      <c r="E880" s="7" t="s">
        <v>30</v>
      </c>
      <c r="F880" s="10" t="str">
        <f>VLOOKUP(E880,BASE_VEICULOS!A:G,7,0)</f>
        <v>#N/A</v>
      </c>
      <c r="G880" s="11" t="str">
        <f>IFERROR(VLOOKUP(E880,BASE_VEICULOS!$A:$B,2,0),"")</f>
        <v/>
      </c>
      <c r="H880" s="19"/>
      <c r="I880" s="20">
        <f t="shared" si="2"/>
        <v>46113</v>
      </c>
    </row>
    <row r="881" ht="22.5" customHeight="1">
      <c r="A881" s="5">
        <v>46136.0</v>
      </c>
      <c r="B881" s="6">
        <f t="shared" si="1"/>
        <v>17</v>
      </c>
      <c r="C881" s="7" t="s">
        <v>9</v>
      </c>
      <c r="D881" s="8">
        <v>35.0</v>
      </c>
      <c r="E881" s="7" t="s">
        <v>16</v>
      </c>
      <c r="F881" s="10" t="str">
        <f>VLOOKUP(E881,BASE_VEICULOS!A:G,7,0)</f>
        <v>FAC - 140005 - SPOT MANUTENÇÃO DPSP 2025</v>
      </c>
      <c r="G881" s="11" t="str">
        <f>IFERROR(VLOOKUP(E881,BASE_VEICULOS!$A:$B,2,0),"")</f>
        <v>TEW9A27</v>
      </c>
      <c r="H881" s="19"/>
      <c r="I881" s="20">
        <f t="shared" si="2"/>
        <v>46113</v>
      </c>
    </row>
    <row r="882" ht="22.5" customHeight="1">
      <c r="A882" s="5">
        <v>46136.0</v>
      </c>
      <c r="B882" s="6">
        <f t="shared" si="1"/>
        <v>17</v>
      </c>
      <c r="C882" s="7" t="s">
        <v>9</v>
      </c>
      <c r="D882" s="8">
        <v>90.0</v>
      </c>
      <c r="E882" s="7" t="s">
        <v>10</v>
      </c>
      <c r="F882" s="10" t="str">
        <f>VLOOKUP(E882,BASE_VEICULOS!A:G,7,0)</f>
        <v>FAC - 140004 - MANUTENÇÃO PREDIAL DPSP 2025</v>
      </c>
      <c r="G882" s="11" t="str">
        <f>IFERROR(VLOOKUP(E882,BASE_VEICULOS!$A:$B,2,0),"")</f>
        <v>TEW9A25</v>
      </c>
      <c r="H882" s="19"/>
      <c r="I882" s="20">
        <f t="shared" si="2"/>
        <v>46113</v>
      </c>
    </row>
    <row r="883" ht="22.5" customHeight="1">
      <c r="A883" s="5">
        <v>46136.0</v>
      </c>
      <c r="B883" s="6">
        <f t="shared" si="1"/>
        <v>17</v>
      </c>
      <c r="C883" s="7" t="s">
        <v>9</v>
      </c>
      <c r="D883" s="8">
        <v>127.0</v>
      </c>
      <c r="E883" s="7" t="s">
        <v>19</v>
      </c>
      <c r="F883" s="10" t="str">
        <f>VLOOKUP(E883,BASE_VEICULOS!A:G,7,0)</f>
        <v>PROF - 07001 - MANUTENÇÃO PREDIAL- PROFARMA-2025</v>
      </c>
      <c r="G883" s="11" t="str">
        <f>IFERROR(VLOOKUP(E883,BASE_VEICULOS!$A:$B,2,0),"")</f>
        <v>TEW9A24</v>
      </c>
      <c r="H883" s="19"/>
      <c r="I883" s="20">
        <f t="shared" si="2"/>
        <v>46113</v>
      </c>
    </row>
    <row r="884" ht="22.5" customHeight="1">
      <c r="A884" s="5">
        <v>46136.0</v>
      </c>
      <c r="B884" s="6">
        <f t="shared" si="1"/>
        <v>17</v>
      </c>
      <c r="C884" s="7" t="s">
        <v>9</v>
      </c>
      <c r="D884" s="8">
        <v>69.0</v>
      </c>
      <c r="E884" s="7" t="s">
        <v>33</v>
      </c>
      <c r="F884" s="10" t="str">
        <f>VLOOKUP(E884,BASE_VEICULOS!A:G,7,0)</f>
        <v>PROF - 07001 - MANUTENÇÃO PREDIAL- PROFARMA-2025</v>
      </c>
      <c r="G884" s="11" t="str">
        <f>IFERROR(VLOOKUP(E884,BASE_VEICULOS!$A:$B,2,0),"")</f>
        <v>TEW9A30</v>
      </c>
      <c r="H884" s="19"/>
      <c r="I884" s="20">
        <f t="shared" si="2"/>
        <v>46113</v>
      </c>
    </row>
    <row r="885" ht="22.5" customHeight="1">
      <c r="A885" s="5">
        <v>46136.0</v>
      </c>
      <c r="B885" s="6">
        <f t="shared" si="1"/>
        <v>17</v>
      </c>
      <c r="C885" s="7" t="s">
        <v>9</v>
      </c>
      <c r="D885" s="8">
        <v>40.0</v>
      </c>
      <c r="E885" s="7" t="s">
        <v>15</v>
      </c>
      <c r="F885" s="10" t="str">
        <f>VLOOKUP(E885,BASE_VEICULOS!A:G,7,0)</f>
        <v>FAC - 140005 - SPOT MANUTENÇÃO DPSP 2025</v>
      </c>
      <c r="G885" s="11" t="str">
        <f>IFERROR(VLOOKUP(E885,BASE_VEICULOS!$A:$B,2,0),"")</f>
        <v>EWH1B84</v>
      </c>
      <c r="H885" s="19"/>
      <c r="I885" s="20">
        <f t="shared" si="2"/>
        <v>46113</v>
      </c>
    </row>
    <row r="886" ht="22.5" customHeight="1">
      <c r="A886" s="5">
        <v>46136.0</v>
      </c>
      <c r="B886" s="6">
        <f t="shared" si="1"/>
        <v>17</v>
      </c>
      <c r="C886" s="7" t="s">
        <v>9</v>
      </c>
      <c r="D886" s="8">
        <v>100.0</v>
      </c>
      <c r="E886" s="7" t="s">
        <v>34</v>
      </c>
      <c r="F886" s="10" t="str">
        <f>VLOOKUP(E886,BASE_VEICULOS!A:G,7,0)</f>
        <v>PROF - 07001 - MANUTENÇÃO PREDIAL- PROFARMA-2025</v>
      </c>
      <c r="G886" s="11" t="str">
        <f>IFERROR(VLOOKUP(E886,BASE_VEICULOS!$A:$B,2,0),"")</f>
        <v>SRU8D16</v>
      </c>
      <c r="H886" s="19"/>
      <c r="I886" s="20">
        <f t="shared" si="2"/>
        <v>46113</v>
      </c>
    </row>
    <row r="887" ht="22.5" customHeight="1">
      <c r="A887" s="5">
        <v>46136.0</v>
      </c>
      <c r="B887" s="6">
        <f t="shared" si="1"/>
        <v>17</v>
      </c>
      <c r="C887" s="7" t="s">
        <v>9</v>
      </c>
      <c r="D887" s="8">
        <v>80.0</v>
      </c>
      <c r="E887" s="7" t="s">
        <v>14</v>
      </c>
      <c r="F887" s="10" t="str">
        <f>VLOOKUP(E887,BASE_VEICULOS!A:G,7,0)</f>
        <v>FAC - 140004 - MANUTENÇÃO PREDIAL DPSP 2025</v>
      </c>
      <c r="G887" s="11" t="str">
        <f>IFERROR(VLOOKUP(E887,BASE_VEICULOS!$A:$B,2,0),"")</f>
        <v>FOK8A73</v>
      </c>
      <c r="H887" s="19"/>
      <c r="I887" s="20">
        <f t="shared" si="2"/>
        <v>46113</v>
      </c>
    </row>
    <row r="888" ht="22.5" customHeight="1">
      <c r="A888" s="5">
        <v>46136.0</v>
      </c>
      <c r="B888" s="6">
        <f t="shared" si="1"/>
        <v>17</v>
      </c>
      <c r="C888" s="7" t="s">
        <v>9</v>
      </c>
      <c r="D888" s="8">
        <v>50.0</v>
      </c>
      <c r="E888" s="7" t="s">
        <v>16</v>
      </c>
      <c r="F888" s="10" t="str">
        <f>VLOOKUP(E888,BASE_VEICULOS!A:G,7,0)</f>
        <v>FAC - 140005 - SPOT MANUTENÇÃO DPSP 2025</v>
      </c>
      <c r="G888" s="11" t="str">
        <f>IFERROR(VLOOKUP(E888,BASE_VEICULOS!$A:$B,2,0),"")</f>
        <v>TEW9A27</v>
      </c>
      <c r="H888" s="19"/>
      <c r="I888" s="20">
        <f t="shared" si="2"/>
        <v>46113</v>
      </c>
    </row>
    <row r="889" ht="22.5" customHeight="1">
      <c r="A889" s="5">
        <v>46136.0</v>
      </c>
      <c r="B889" s="6">
        <f t="shared" si="1"/>
        <v>17</v>
      </c>
      <c r="C889" s="7" t="s">
        <v>9</v>
      </c>
      <c r="D889" s="8">
        <v>49.95</v>
      </c>
      <c r="E889" s="7" t="s">
        <v>28</v>
      </c>
      <c r="F889" s="10" t="str">
        <f>VLOOKUP(E889,BASE_VEICULOS!A:G,7,0)</f>
        <v>#N/A</v>
      </c>
      <c r="G889" s="11" t="str">
        <f>IFERROR(VLOOKUP(E889,BASE_VEICULOS!$A:$B,2,0),"")</f>
        <v/>
      </c>
      <c r="H889" s="19"/>
      <c r="I889" s="20">
        <f t="shared" si="2"/>
        <v>46113</v>
      </c>
    </row>
    <row r="890" ht="22.5" customHeight="1">
      <c r="A890" s="5">
        <v>46136.0</v>
      </c>
      <c r="B890" s="6">
        <f t="shared" si="1"/>
        <v>17</v>
      </c>
      <c r="C890" s="7" t="s">
        <v>9</v>
      </c>
      <c r="D890" s="8">
        <v>100.0</v>
      </c>
      <c r="E890" s="7" t="s">
        <v>23</v>
      </c>
      <c r="F890" s="10" t="str">
        <f>VLOOKUP(E890,BASE_VEICULOS!A:G,7,0)</f>
        <v>PROF - 07001 - MANUTENÇÃO PREDIAL- PROFARMA-2025</v>
      </c>
      <c r="G890" s="11" t="str">
        <f>IFERROR(VLOOKUP(E890,BASE_VEICULOS!$A:$B,2,0),"")</f>
        <v>TEH3I02</v>
      </c>
      <c r="H890" s="19"/>
      <c r="I890" s="20">
        <f t="shared" si="2"/>
        <v>46113</v>
      </c>
    </row>
    <row r="891" ht="22.5" customHeight="1">
      <c r="A891" s="5">
        <v>46136.0</v>
      </c>
      <c r="B891" s="6">
        <f t="shared" si="1"/>
        <v>17</v>
      </c>
      <c r="C891" s="7" t="s">
        <v>9</v>
      </c>
      <c r="D891" s="8">
        <v>100.0</v>
      </c>
      <c r="E891" s="7" t="s">
        <v>23</v>
      </c>
      <c r="F891" s="10" t="str">
        <f>VLOOKUP(E891,BASE_VEICULOS!A:G,7,0)</f>
        <v>PROF - 07001 - MANUTENÇÃO PREDIAL- PROFARMA-2025</v>
      </c>
      <c r="G891" s="11" t="str">
        <f>IFERROR(VLOOKUP(E891,BASE_VEICULOS!$A:$B,2,0),"")</f>
        <v>TEH3I02</v>
      </c>
      <c r="H891" s="19"/>
      <c r="I891" s="20">
        <f t="shared" si="2"/>
        <v>46113</v>
      </c>
    </row>
    <row r="892" ht="22.5" customHeight="1">
      <c r="A892" s="5">
        <v>46137.0</v>
      </c>
      <c r="B892" s="6">
        <f t="shared" si="1"/>
        <v>17</v>
      </c>
      <c r="C892" s="7" t="s">
        <v>9</v>
      </c>
      <c r="D892" s="8">
        <v>100.0</v>
      </c>
      <c r="E892" s="7" t="s">
        <v>22</v>
      </c>
      <c r="F892" s="10" t="str">
        <f>VLOOKUP(E892,BASE_VEICULOS!A:G,7,0)</f>
        <v>PROF - 07001 - MANUTENÇÃO PREDIAL- PROFARMA-2025</v>
      </c>
      <c r="G892" s="11" t="str">
        <f>IFERROR(VLOOKUP(E892,BASE_VEICULOS!$A:$B,2,0),"")</f>
        <v>TET5H37</v>
      </c>
      <c r="H892" s="19"/>
      <c r="I892" s="20">
        <f t="shared" si="2"/>
        <v>46113</v>
      </c>
    </row>
    <row r="893" ht="22.5" customHeight="1">
      <c r="A893" s="5">
        <v>46137.0</v>
      </c>
      <c r="B893" s="6">
        <f t="shared" si="1"/>
        <v>17</v>
      </c>
      <c r="C893" s="7" t="s">
        <v>9</v>
      </c>
      <c r="D893" s="8">
        <v>100.0</v>
      </c>
      <c r="E893" s="7" t="s">
        <v>30</v>
      </c>
      <c r="F893" s="10" t="str">
        <f>VLOOKUP(E893,BASE_VEICULOS!A:G,7,0)</f>
        <v>#N/A</v>
      </c>
      <c r="G893" s="11" t="str">
        <f>IFERROR(VLOOKUP(E893,BASE_VEICULOS!$A:$B,2,0),"")</f>
        <v/>
      </c>
      <c r="H893" s="19"/>
      <c r="I893" s="20">
        <f t="shared" si="2"/>
        <v>46113</v>
      </c>
    </row>
    <row r="894" ht="22.5" customHeight="1">
      <c r="A894" s="5">
        <v>46137.0</v>
      </c>
      <c r="B894" s="6">
        <f t="shared" si="1"/>
        <v>17</v>
      </c>
      <c r="C894" s="7" t="s">
        <v>9</v>
      </c>
      <c r="D894" s="8">
        <v>100.0</v>
      </c>
      <c r="E894" s="7" t="s">
        <v>30</v>
      </c>
      <c r="F894" s="10" t="str">
        <f>VLOOKUP(E894,BASE_VEICULOS!A:G,7,0)</f>
        <v>#N/A</v>
      </c>
      <c r="G894" s="11" t="str">
        <f>IFERROR(VLOOKUP(E894,BASE_VEICULOS!$A:$B,2,0),"")</f>
        <v/>
      </c>
      <c r="H894" s="19"/>
      <c r="I894" s="20">
        <f t="shared" si="2"/>
        <v>46113</v>
      </c>
    </row>
    <row r="895" ht="22.5" customHeight="1">
      <c r="A895" s="5">
        <v>46137.0</v>
      </c>
      <c r="B895" s="6">
        <f t="shared" si="1"/>
        <v>17</v>
      </c>
      <c r="C895" s="7" t="s">
        <v>9</v>
      </c>
      <c r="D895" s="8">
        <v>100.0</v>
      </c>
      <c r="E895" s="7" t="s">
        <v>22</v>
      </c>
      <c r="F895" s="10" t="str">
        <f>VLOOKUP(E895,BASE_VEICULOS!A:G,7,0)</f>
        <v>PROF - 07001 - MANUTENÇÃO PREDIAL- PROFARMA-2025</v>
      </c>
      <c r="G895" s="11" t="str">
        <f>IFERROR(VLOOKUP(E895,BASE_VEICULOS!$A:$B,2,0),"")</f>
        <v>TET5H37</v>
      </c>
      <c r="H895" s="19"/>
      <c r="I895" s="20">
        <f t="shared" si="2"/>
        <v>46113</v>
      </c>
    </row>
    <row r="896" ht="22.5" customHeight="1">
      <c r="A896" s="5">
        <v>46137.0</v>
      </c>
      <c r="B896" s="6">
        <f t="shared" si="1"/>
        <v>17</v>
      </c>
      <c r="C896" s="7" t="s">
        <v>9</v>
      </c>
      <c r="D896" s="8">
        <v>100.0</v>
      </c>
      <c r="E896" s="7" t="s">
        <v>23</v>
      </c>
      <c r="F896" s="10" t="str">
        <f>VLOOKUP(E896,BASE_VEICULOS!A:G,7,0)</f>
        <v>PROF - 07001 - MANUTENÇÃO PREDIAL- PROFARMA-2025</v>
      </c>
      <c r="G896" s="11" t="str">
        <f>IFERROR(VLOOKUP(E896,BASE_VEICULOS!$A:$B,2,0),"")</f>
        <v>TEH3I02</v>
      </c>
      <c r="H896" s="19"/>
      <c r="I896" s="20">
        <f t="shared" si="2"/>
        <v>46113</v>
      </c>
    </row>
    <row r="897" ht="22.5" customHeight="1">
      <c r="A897" s="5">
        <v>46138.0</v>
      </c>
      <c r="B897" s="6">
        <f t="shared" si="1"/>
        <v>17</v>
      </c>
      <c r="C897" s="7" t="s">
        <v>9</v>
      </c>
      <c r="D897" s="8">
        <v>100.0</v>
      </c>
      <c r="E897" s="7" t="s">
        <v>22</v>
      </c>
      <c r="F897" s="10" t="str">
        <f>VLOOKUP(E897,BASE_VEICULOS!A:G,7,0)</f>
        <v>PROF - 07001 - MANUTENÇÃO PREDIAL- PROFARMA-2025</v>
      </c>
      <c r="G897" s="11" t="str">
        <f>IFERROR(VLOOKUP(E897,BASE_VEICULOS!$A:$B,2,0),"")</f>
        <v>TET5H37</v>
      </c>
      <c r="H897" s="19"/>
      <c r="I897" s="20">
        <f t="shared" si="2"/>
        <v>46113</v>
      </c>
    </row>
    <row r="898" ht="22.5" customHeight="1">
      <c r="A898" s="5">
        <v>46139.0</v>
      </c>
      <c r="B898" s="6">
        <f t="shared" si="1"/>
        <v>18</v>
      </c>
      <c r="C898" s="7" t="s">
        <v>9</v>
      </c>
      <c r="D898" s="8">
        <v>114.0</v>
      </c>
      <c r="E898" s="7" t="s">
        <v>12</v>
      </c>
      <c r="F898" s="10" t="str">
        <f>VLOOKUP(E898,BASE_VEICULOS!A:G,7,0)</f>
        <v>FAC - 140004 - MANUTENÇÃO PREDIAL DPSP 2025</v>
      </c>
      <c r="G898" s="11" t="str">
        <f>IFERROR(VLOOKUP(E898,BASE_VEICULOS!$A:$B,2,0),"")</f>
        <v>FIL8C14</v>
      </c>
      <c r="H898" s="19"/>
      <c r="I898" s="20">
        <f t="shared" si="2"/>
        <v>46113</v>
      </c>
    </row>
    <row r="899" ht="22.5" customHeight="1">
      <c r="A899" s="5">
        <v>46139.0</v>
      </c>
      <c r="B899" s="6">
        <f t="shared" si="1"/>
        <v>18</v>
      </c>
      <c r="C899" s="7" t="s">
        <v>9</v>
      </c>
      <c r="D899" s="8">
        <v>148.98</v>
      </c>
      <c r="E899" s="7" t="s">
        <v>29</v>
      </c>
      <c r="F899" s="10" t="str">
        <f>VLOOKUP(E899,BASE_VEICULOS!A:G,7,0)</f>
        <v>PROF - 07001 - MANUTENÇÃO PREDIAL- PROFARMA-2025</v>
      </c>
      <c r="G899" s="11" t="str">
        <f>IFERROR(VLOOKUP(E899,BASE_VEICULOS!$A:$B,2,0),"")</f>
        <v>TEQ2I74</v>
      </c>
      <c r="H899" s="19"/>
      <c r="I899" s="20">
        <f t="shared" si="2"/>
        <v>46113</v>
      </c>
    </row>
    <row r="900" ht="22.5" customHeight="1">
      <c r="A900" s="5">
        <v>46139.0</v>
      </c>
      <c r="B900" s="6">
        <f t="shared" si="1"/>
        <v>18</v>
      </c>
      <c r="C900" s="7" t="s">
        <v>9</v>
      </c>
      <c r="D900" s="8">
        <v>140.0</v>
      </c>
      <c r="E900" s="7" t="s">
        <v>20</v>
      </c>
      <c r="F900" s="10" t="str">
        <f>VLOOKUP(E900,BASE_VEICULOS!A:G,7,0)</f>
        <v>PROF - 07001 - MANUTENÇÃO PREDIAL- PROFARMA-2025</v>
      </c>
      <c r="G900" s="11" t="str">
        <f>IFERROR(VLOOKUP(E900,BASE_VEICULOS!$A:$B,2,0),"")</f>
        <v>TEW9A34</v>
      </c>
      <c r="H900" s="19"/>
      <c r="I900" s="20">
        <f t="shared" si="2"/>
        <v>46113</v>
      </c>
    </row>
    <row r="901" ht="22.5" customHeight="1">
      <c r="A901" s="5">
        <v>46139.0</v>
      </c>
      <c r="B901" s="6">
        <f t="shared" si="1"/>
        <v>18</v>
      </c>
      <c r="C901" s="7" t="s">
        <v>9</v>
      </c>
      <c r="D901" s="8">
        <v>169.0</v>
      </c>
      <c r="E901" s="7" t="s">
        <v>23</v>
      </c>
      <c r="F901" s="10" t="str">
        <f>VLOOKUP(E901,BASE_VEICULOS!A:G,7,0)</f>
        <v>PROF - 07001 - MANUTENÇÃO PREDIAL- PROFARMA-2025</v>
      </c>
      <c r="G901" s="11" t="str">
        <f>IFERROR(VLOOKUP(E901,BASE_VEICULOS!$A:$B,2,0),"")</f>
        <v>TEH3I02</v>
      </c>
      <c r="H901" s="19"/>
      <c r="I901" s="20">
        <f t="shared" si="2"/>
        <v>46113</v>
      </c>
    </row>
    <row r="902" ht="22.5" customHeight="1">
      <c r="A902" s="5">
        <v>46139.0</v>
      </c>
      <c r="B902" s="6">
        <f t="shared" si="1"/>
        <v>18</v>
      </c>
      <c r="C902" s="7" t="s">
        <v>9</v>
      </c>
      <c r="D902" s="8">
        <v>160.0</v>
      </c>
      <c r="E902" s="7" t="s">
        <v>21</v>
      </c>
      <c r="F902" s="10" t="str">
        <f>VLOOKUP(E902,BASE_VEICULOS!A:G,7,0)</f>
        <v>PROF - 07001 - MANUTENÇÃO PREDIAL- PROFARMA-2025</v>
      </c>
      <c r="G902" s="11" t="str">
        <f>IFERROR(VLOOKUP(E902,BASE_VEICULOS!$A:$B,2,0),"")</f>
        <v>TEW9A33</v>
      </c>
      <c r="H902" s="19"/>
      <c r="I902" s="20">
        <f t="shared" si="2"/>
        <v>46113</v>
      </c>
    </row>
    <row r="903" ht="22.5" customHeight="1">
      <c r="A903" s="5">
        <v>46139.0</v>
      </c>
      <c r="B903" s="6">
        <f t="shared" si="1"/>
        <v>18</v>
      </c>
      <c r="C903" s="7" t="s">
        <v>9</v>
      </c>
      <c r="D903" s="8">
        <v>140.0</v>
      </c>
      <c r="E903" s="7" t="s">
        <v>15</v>
      </c>
      <c r="F903" s="10" t="str">
        <f>VLOOKUP(E903,BASE_VEICULOS!A:G,7,0)</f>
        <v>FAC - 140005 - SPOT MANUTENÇÃO DPSP 2025</v>
      </c>
      <c r="G903" s="11" t="str">
        <f>IFERROR(VLOOKUP(E903,BASE_VEICULOS!$A:$B,2,0),"")</f>
        <v>EWH1B84</v>
      </c>
      <c r="H903" s="19"/>
      <c r="I903" s="20">
        <f t="shared" si="2"/>
        <v>46113</v>
      </c>
    </row>
    <row r="904" ht="22.5" customHeight="1">
      <c r="A904" s="5">
        <v>46139.0</v>
      </c>
      <c r="B904" s="6">
        <f t="shared" si="1"/>
        <v>18</v>
      </c>
      <c r="C904" s="7" t="s">
        <v>9</v>
      </c>
      <c r="D904" s="8">
        <v>192.87</v>
      </c>
      <c r="E904" s="7" t="s">
        <v>10</v>
      </c>
      <c r="F904" s="10" t="str">
        <f>VLOOKUP(E904,BASE_VEICULOS!A:G,7,0)</f>
        <v>FAC - 140004 - MANUTENÇÃO PREDIAL DPSP 2025</v>
      </c>
      <c r="G904" s="11" t="str">
        <f>IFERROR(VLOOKUP(E904,BASE_VEICULOS!$A:$B,2,0),"")</f>
        <v>TEW9A25</v>
      </c>
      <c r="H904" s="19"/>
      <c r="I904" s="20">
        <f t="shared" si="2"/>
        <v>46113</v>
      </c>
    </row>
    <row r="905" ht="22.5" customHeight="1">
      <c r="A905" s="5">
        <v>46139.0</v>
      </c>
      <c r="B905" s="6">
        <f t="shared" si="1"/>
        <v>18</v>
      </c>
      <c r="C905" s="7" t="s">
        <v>9</v>
      </c>
      <c r="D905" s="8">
        <v>150.0</v>
      </c>
      <c r="E905" s="7" t="s">
        <v>16</v>
      </c>
      <c r="F905" s="10" t="str">
        <f>VLOOKUP(E905,BASE_VEICULOS!A:G,7,0)</f>
        <v>FAC - 140005 - SPOT MANUTENÇÃO DPSP 2025</v>
      </c>
      <c r="G905" s="11" t="str">
        <f>IFERROR(VLOOKUP(E905,BASE_VEICULOS!$A:$B,2,0),"")</f>
        <v>TEW9A27</v>
      </c>
      <c r="H905" s="19"/>
      <c r="I905" s="20">
        <f t="shared" si="2"/>
        <v>46113</v>
      </c>
    </row>
    <row r="906" ht="22.5" customHeight="1">
      <c r="A906" s="5">
        <v>46139.0</v>
      </c>
      <c r="B906" s="6">
        <f t="shared" si="1"/>
        <v>18</v>
      </c>
      <c r="C906" s="7" t="s">
        <v>9</v>
      </c>
      <c r="D906" s="8">
        <v>100.0</v>
      </c>
      <c r="E906" s="7" t="s">
        <v>22</v>
      </c>
      <c r="F906" s="10" t="str">
        <f>VLOOKUP(E906,BASE_VEICULOS!A:G,7,0)</f>
        <v>PROF - 07001 - MANUTENÇÃO PREDIAL- PROFARMA-2025</v>
      </c>
      <c r="G906" s="11" t="str">
        <f>IFERROR(VLOOKUP(E906,BASE_VEICULOS!$A:$B,2,0),"")</f>
        <v>TET5H37</v>
      </c>
      <c r="H906" s="19"/>
      <c r="I906" s="20">
        <f t="shared" si="2"/>
        <v>46113</v>
      </c>
    </row>
    <row r="907" ht="22.5" customHeight="1">
      <c r="A907" s="5">
        <v>46139.0</v>
      </c>
      <c r="B907" s="6">
        <f t="shared" si="1"/>
        <v>18</v>
      </c>
      <c r="C907" s="7" t="s">
        <v>9</v>
      </c>
      <c r="D907" s="8">
        <v>150.0</v>
      </c>
      <c r="E907" s="7" t="s">
        <v>30</v>
      </c>
      <c r="F907" s="10" t="str">
        <f>VLOOKUP(E907,BASE_VEICULOS!A:G,7,0)</f>
        <v>#N/A</v>
      </c>
      <c r="G907" s="11" t="str">
        <f>IFERROR(VLOOKUP(E907,BASE_VEICULOS!$A:$B,2,0),"")</f>
        <v/>
      </c>
      <c r="H907" s="19"/>
      <c r="I907" s="20">
        <f t="shared" si="2"/>
        <v>46113</v>
      </c>
    </row>
    <row r="908" ht="22.5" customHeight="1">
      <c r="A908" s="5">
        <v>46139.0</v>
      </c>
      <c r="B908" s="6">
        <f t="shared" si="1"/>
        <v>18</v>
      </c>
      <c r="C908" s="7" t="s">
        <v>9</v>
      </c>
      <c r="D908" s="8">
        <v>199.99</v>
      </c>
      <c r="E908" s="7" t="s">
        <v>18</v>
      </c>
      <c r="F908" s="10" t="str">
        <f>VLOOKUP(E908,BASE_VEICULOS!A:G,7,0)</f>
        <v>FAC - 140004 - MANUTENÇÃO PREDIAL DPSP 2025</v>
      </c>
      <c r="G908" s="11" t="str">
        <f>IFERROR(VLOOKUP(E908,BASE_VEICULOS!$A:$B,2,0),"")</f>
        <v>TEW9A29</v>
      </c>
      <c r="H908" s="19"/>
      <c r="I908" s="20">
        <f t="shared" si="2"/>
        <v>46113</v>
      </c>
    </row>
    <row r="909" ht="22.5" customHeight="1">
      <c r="A909" s="5">
        <v>46139.0</v>
      </c>
      <c r="B909" s="6">
        <f t="shared" si="1"/>
        <v>18</v>
      </c>
      <c r="C909" s="7" t="s">
        <v>9</v>
      </c>
      <c r="D909" s="8">
        <v>200.0</v>
      </c>
      <c r="E909" s="7" t="s">
        <v>19</v>
      </c>
      <c r="F909" s="10" t="str">
        <f>VLOOKUP(E909,BASE_VEICULOS!A:G,7,0)</f>
        <v>PROF - 07001 - MANUTENÇÃO PREDIAL- PROFARMA-2025</v>
      </c>
      <c r="G909" s="11" t="str">
        <f>IFERROR(VLOOKUP(E909,BASE_VEICULOS!$A:$B,2,0),"")</f>
        <v>TEW9A24</v>
      </c>
      <c r="H909" s="19"/>
      <c r="I909" s="20">
        <f t="shared" si="2"/>
        <v>46113</v>
      </c>
    </row>
    <row r="910" ht="22.5" customHeight="1">
      <c r="A910" s="5">
        <v>46139.0</v>
      </c>
      <c r="B910" s="6">
        <f t="shared" si="1"/>
        <v>18</v>
      </c>
      <c r="C910" s="7" t="s">
        <v>9</v>
      </c>
      <c r="D910" s="8">
        <v>160.0</v>
      </c>
      <c r="E910" s="7" t="s">
        <v>13</v>
      </c>
      <c r="F910" s="10" t="str">
        <f>VLOOKUP(E910,BASE_VEICULOS!A:G,7,0)</f>
        <v>FAC - 140005 - SPOT MANUTENÇÃO DPSP 2025</v>
      </c>
      <c r="G910" s="11" t="str">
        <f>IFERROR(VLOOKUP(E910,BASE_VEICULOS!$A:$B,2,0),"")</f>
        <v>FGO3C61</v>
      </c>
      <c r="H910" s="19"/>
      <c r="I910" s="20">
        <f t="shared" si="2"/>
        <v>46113</v>
      </c>
    </row>
    <row r="911" ht="22.5" customHeight="1">
      <c r="A911" s="5">
        <v>46139.0</v>
      </c>
      <c r="B911" s="6">
        <f t="shared" si="1"/>
        <v>18</v>
      </c>
      <c r="C911" s="7" t="s">
        <v>9</v>
      </c>
      <c r="D911" s="8">
        <v>199.97</v>
      </c>
      <c r="E911" s="7" t="s">
        <v>24</v>
      </c>
      <c r="F911" s="10" t="str">
        <f>VLOOKUP(E911,BASE_VEICULOS!A:G,7,0)</f>
        <v>PROF - 07001 - MANUTENÇÃO PREDIAL- PROFARMA-2025</v>
      </c>
      <c r="G911" s="11" t="str">
        <f>IFERROR(VLOOKUP(E911,BASE_VEICULOS!$A:$B,2,0),"")</f>
        <v>TEW9A23</v>
      </c>
      <c r="H911" s="19"/>
      <c r="I911" s="20">
        <f t="shared" si="2"/>
        <v>46113</v>
      </c>
    </row>
    <row r="912" ht="22.5" customHeight="1">
      <c r="A912" s="5">
        <v>46139.0</v>
      </c>
      <c r="B912" s="6">
        <f t="shared" si="1"/>
        <v>18</v>
      </c>
      <c r="C912" s="7" t="s">
        <v>9</v>
      </c>
      <c r="D912" s="8">
        <v>163.42</v>
      </c>
      <c r="E912" s="7" t="s">
        <v>33</v>
      </c>
      <c r="F912" s="10" t="str">
        <f>VLOOKUP(E912,BASE_VEICULOS!A:G,7,0)</f>
        <v>PROF - 07001 - MANUTENÇÃO PREDIAL- PROFARMA-2025</v>
      </c>
      <c r="G912" s="11" t="str">
        <f>IFERROR(VLOOKUP(E912,BASE_VEICULOS!$A:$B,2,0),"")</f>
        <v>TEW9A30</v>
      </c>
      <c r="H912" s="19"/>
      <c r="I912" s="20">
        <f t="shared" si="2"/>
        <v>46113</v>
      </c>
    </row>
    <row r="913" ht="22.5" customHeight="1">
      <c r="A913" s="5">
        <v>46139.0</v>
      </c>
      <c r="B913" s="6">
        <f t="shared" si="1"/>
        <v>18</v>
      </c>
      <c r="C913" s="7" t="s">
        <v>9</v>
      </c>
      <c r="D913" s="8">
        <v>185.0</v>
      </c>
      <c r="E913" s="7" t="s">
        <v>14</v>
      </c>
      <c r="F913" s="10" t="str">
        <f>VLOOKUP(E913,BASE_VEICULOS!A:G,7,0)</f>
        <v>FAC - 140004 - MANUTENÇÃO PREDIAL DPSP 2025</v>
      </c>
      <c r="G913" s="11" t="str">
        <f>IFERROR(VLOOKUP(E913,BASE_VEICULOS!$A:$B,2,0),"")</f>
        <v>FOK8A73</v>
      </c>
      <c r="H913" s="19"/>
      <c r="I913" s="20">
        <f t="shared" si="2"/>
        <v>46113</v>
      </c>
    </row>
    <row r="914" ht="22.5" customHeight="1">
      <c r="A914" s="5">
        <v>46139.0</v>
      </c>
      <c r="B914" s="6">
        <f t="shared" si="1"/>
        <v>18</v>
      </c>
      <c r="C914" s="7" t="s">
        <v>9</v>
      </c>
      <c r="D914" s="8">
        <v>150.0</v>
      </c>
      <c r="E914" s="7" t="s">
        <v>25</v>
      </c>
      <c r="F914" s="10" t="str">
        <f>VLOOKUP(E914,BASE_VEICULOS!A:G,7,0)</f>
        <v>PROF - 07001 - MANUTENÇÃO PREDIAL- PROFARMA-2025</v>
      </c>
      <c r="G914" s="11" t="str">
        <f>IFERROR(VLOOKUP(E914,BASE_VEICULOS!$A:$B,2,0),"")</f>
        <v>TEW9A26</v>
      </c>
      <c r="H914" s="19"/>
      <c r="I914" s="20">
        <f t="shared" si="2"/>
        <v>46113</v>
      </c>
    </row>
    <row r="915" ht="22.5" customHeight="1">
      <c r="A915" s="5">
        <v>46139.0</v>
      </c>
      <c r="B915" s="6">
        <f t="shared" si="1"/>
        <v>18</v>
      </c>
      <c r="C915" s="7" t="s">
        <v>9</v>
      </c>
      <c r="D915" s="8">
        <v>134.69</v>
      </c>
      <c r="E915" s="7" t="s">
        <v>34</v>
      </c>
      <c r="F915" s="10" t="str">
        <f>VLOOKUP(E915,BASE_VEICULOS!A:G,7,0)</f>
        <v>PROF - 07001 - MANUTENÇÃO PREDIAL- PROFARMA-2025</v>
      </c>
      <c r="G915" s="11" t="str">
        <f>IFERROR(VLOOKUP(E915,BASE_VEICULOS!$A:$B,2,0),"")</f>
        <v>SRU8D16</v>
      </c>
      <c r="H915" s="19"/>
      <c r="I915" s="20">
        <f t="shared" si="2"/>
        <v>46113</v>
      </c>
    </row>
    <row r="916" ht="22.5" customHeight="1">
      <c r="A916" s="5">
        <v>46140.0</v>
      </c>
      <c r="B916" s="6">
        <f t="shared" si="1"/>
        <v>18</v>
      </c>
      <c r="C916" s="7" t="s">
        <v>9</v>
      </c>
      <c r="D916" s="8">
        <v>200.0</v>
      </c>
      <c r="E916" s="7" t="s">
        <v>22</v>
      </c>
      <c r="F916" s="10" t="str">
        <f>VLOOKUP(E916,BASE_VEICULOS!A:G,7,0)</f>
        <v>PROF - 07001 - MANUTENÇÃO PREDIAL- PROFARMA-2025</v>
      </c>
      <c r="G916" s="11" t="str">
        <f>IFERROR(VLOOKUP(E916,BASE_VEICULOS!$A:$B,2,0),"")</f>
        <v>TET5H37</v>
      </c>
      <c r="H916" s="19"/>
      <c r="I916" s="20">
        <f t="shared" si="2"/>
        <v>46113</v>
      </c>
    </row>
    <row r="917" ht="22.5" customHeight="1">
      <c r="A917" s="5">
        <v>46140.0</v>
      </c>
      <c r="B917" s="6">
        <f t="shared" si="1"/>
        <v>18</v>
      </c>
      <c r="C917" s="7" t="s">
        <v>9</v>
      </c>
      <c r="D917" s="8">
        <v>80.0</v>
      </c>
      <c r="E917" s="7" t="s">
        <v>30</v>
      </c>
      <c r="F917" s="10" t="str">
        <f>VLOOKUP(E917,BASE_VEICULOS!A:G,7,0)</f>
        <v>#N/A</v>
      </c>
      <c r="G917" s="11" t="str">
        <f>IFERROR(VLOOKUP(E917,BASE_VEICULOS!$A:$B,2,0),"")</f>
        <v/>
      </c>
      <c r="H917" s="19"/>
      <c r="I917" s="20">
        <f t="shared" si="2"/>
        <v>46113</v>
      </c>
    </row>
    <row r="918" ht="22.5" customHeight="1">
      <c r="A918" s="5">
        <v>46140.0</v>
      </c>
      <c r="B918" s="6">
        <f t="shared" si="1"/>
        <v>18</v>
      </c>
      <c r="C918" s="7" t="s">
        <v>9</v>
      </c>
      <c r="D918" s="8">
        <v>200.0</v>
      </c>
      <c r="E918" s="7" t="s">
        <v>19</v>
      </c>
      <c r="F918" s="10" t="str">
        <f>VLOOKUP(E918,BASE_VEICULOS!A:G,7,0)</f>
        <v>PROF - 07001 - MANUTENÇÃO PREDIAL- PROFARMA-2025</v>
      </c>
      <c r="G918" s="11" t="str">
        <f>IFERROR(VLOOKUP(E918,BASE_VEICULOS!$A:$B,2,0),"")</f>
        <v>TEW9A24</v>
      </c>
      <c r="H918" s="19"/>
      <c r="I918" s="20">
        <f t="shared" si="2"/>
        <v>46113</v>
      </c>
    </row>
    <row r="919" ht="22.5" customHeight="1">
      <c r="A919" s="5">
        <v>46140.0</v>
      </c>
      <c r="B919" s="6">
        <f t="shared" si="1"/>
        <v>18</v>
      </c>
      <c r="C919" s="7" t="s">
        <v>9</v>
      </c>
      <c r="D919" s="8">
        <v>100.0</v>
      </c>
      <c r="E919" s="7" t="s">
        <v>13</v>
      </c>
      <c r="F919" s="10" t="str">
        <f>VLOOKUP(E919,BASE_VEICULOS!A:G,7,0)</f>
        <v>FAC - 140005 - SPOT MANUTENÇÃO DPSP 2025</v>
      </c>
      <c r="G919" s="11" t="str">
        <f>IFERROR(VLOOKUP(E919,BASE_VEICULOS!$A:$B,2,0),"")</f>
        <v>FGO3C61</v>
      </c>
      <c r="H919" s="19"/>
      <c r="I919" s="20">
        <f t="shared" si="2"/>
        <v>46113</v>
      </c>
    </row>
    <row r="920" ht="22.5" customHeight="1">
      <c r="A920" s="5">
        <v>46140.0</v>
      </c>
      <c r="B920" s="6">
        <f t="shared" si="1"/>
        <v>18</v>
      </c>
      <c r="C920" s="7" t="s">
        <v>9</v>
      </c>
      <c r="D920" s="8">
        <v>114.97</v>
      </c>
      <c r="E920" s="7" t="s">
        <v>34</v>
      </c>
      <c r="F920" s="10" t="str">
        <f>VLOOKUP(E920,BASE_VEICULOS!A:G,7,0)</f>
        <v>PROF - 07001 - MANUTENÇÃO PREDIAL- PROFARMA-2025</v>
      </c>
      <c r="G920" s="11" t="str">
        <f>IFERROR(VLOOKUP(E920,BASE_VEICULOS!$A:$B,2,0),"")</f>
        <v>SRU8D16</v>
      </c>
      <c r="H920" s="19"/>
      <c r="I920" s="20">
        <f t="shared" si="2"/>
        <v>46113</v>
      </c>
    </row>
    <row r="921" ht="22.5" customHeight="1">
      <c r="A921" s="5">
        <v>46141.0</v>
      </c>
      <c r="B921" s="6">
        <f t="shared" si="1"/>
        <v>18</v>
      </c>
      <c r="C921" s="7" t="s">
        <v>9</v>
      </c>
      <c r="D921" s="8">
        <v>99.98</v>
      </c>
      <c r="E921" s="7" t="s">
        <v>15</v>
      </c>
      <c r="F921" s="10" t="str">
        <f>VLOOKUP(E921,BASE_VEICULOS!A:G,7,0)</f>
        <v>FAC - 140005 - SPOT MANUTENÇÃO DPSP 2025</v>
      </c>
      <c r="G921" s="11" t="str">
        <f>IFERROR(VLOOKUP(E921,BASE_VEICULOS!$A:$B,2,0),"")</f>
        <v>EWH1B84</v>
      </c>
      <c r="H921" s="19"/>
      <c r="I921" s="20">
        <f t="shared" si="2"/>
        <v>46113</v>
      </c>
    </row>
    <row r="922" ht="22.5" customHeight="1">
      <c r="A922" s="5">
        <v>46141.0</v>
      </c>
      <c r="B922" s="6">
        <f t="shared" si="1"/>
        <v>18</v>
      </c>
      <c r="C922" s="7" t="s">
        <v>9</v>
      </c>
      <c r="D922" s="8">
        <v>140.02</v>
      </c>
      <c r="E922" s="7" t="s">
        <v>29</v>
      </c>
      <c r="F922" s="10" t="str">
        <f>VLOOKUP(E922,BASE_VEICULOS!A:G,7,0)</f>
        <v>PROF - 07001 - MANUTENÇÃO PREDIAL- PROFARMA-2025</v>
      </c>
      <c r="G922" s="11" t="str">
        <f>IFERROR(VLOOKUP(E922,BASE_VEICULOS!$A:$B,2,0),"")</f>
        <v>TEQ2I74</v>
      </c>
      <c r="H922" s="19"/>
      <c r="I922" s="20">
        <f t="shared" si="2"/>
        <v>46113</v>
      </c>
    </row>
    <row r="923" ht="22.5" customHeight="1">
      <c r="A923" s="5">
        <v>46141.0</v>
      </c>
      <c r="B923" s="6">
        <f t="shared" si="1"/>
        <v>18</v>
      </c>
      <c r="C923" s="7" t="s">
        <v>9</v>
      </c>
      <c r="D923" s="8">
        <v>100.0</v>
      </c>
      <c r="E923" s="7" t="s">
        <v>20</v>
      </c>
      <c r="F923" s="10" t="str">
        <f>VLOOKUP(E923,BASE_VEICULOS!A:G,7,0)</f>
        <v>PROF - 07001 - MANUTENÇÃO PREDIAL- PROFARMA-2025</v>
      </c>
      <c r="G923" s="11" t="str">
        <f>IFERROR(VLOOKUP(E923,BASE_VEICULOS!$A:$B,2,0),"")</f>
        <v>TEW9A34</v>
      </c>
      <c r="H923" s="19"/>
      <c r="I923" s="20">
        <f t="shared" si="2"/>
        <v>46113</v>
      </c>
    </row>
    <row r="924" ht="22.5" customHeight="1">
      <c r="A924" s="5">
        <v>46141.0</v>
      </c>
      <c r="B924" s="6">
        <f t="shared" si="1"/>
        <v>18</v>
      </c>
      <c r="C924" s="7" t="s">
        <v>9</v>
      </c>
      <c r="D924" s="8">
        <v>119.0</v>
      </c>
      <c r="E924" s="7" t="s">
        <v>23</v>
      </c>
      <c r="F924" s="10" t="str">
        <f>VLOOKUP(E924,BASE_VEICULOS!A:G,7,0)</f>
        <v>PROF - 07001 - MANUTENÇÃO PREDIAL- PROFARMA-2025</v>
      </c>
      <c r="G924" s="11" t="str">
        <f>IFERROR(VLOOKUP(E924,BASE_VEICULOS!$A:$B,2,0),"")</f>
        <v>TEH3I02</v>
      </c>
      <c r="H924" s="19"/>
      <c r="I924" s="20">
        <f t="shared" si="2"/>
        <v>46113</v>
      </c>
    </row>
    <row r="925" ht="22.5" customHeight="1">
      <c r="A925" s="5">
        <v>46141.0</v>
      </c>
      <c r="B925" s="6">
        <f t="shared" si="1"/>
        <v>18</v>
      </c>
      <c r="C925" s="7" t="s">
        <v>9</v>
      </c>
      <c r="D925" s="8">
        <v>100.0</v>
      </c>
      <c r="E925" s="7" t="s">
        <v>21</v>
      </c>
      <c r="F925" s="10" t="str">
        <f>VLOOKUP(E925,BASE_VEICULOS!A:G,7,0)</f>
        <v>PROF - 07001 - MANUTENÇÃO PREDIAL- PROFARMA-2025</v>
      </c>
      <c r="G925" s="11" t="str">
        <f>IFERROR(VLOOKUP(E925,BASE_VEICULOS!$A:$B,2,0),"")</f>
        <v>TEW9A33</v>
      </c>
      <c r="H925" s="19"/>
      <c r="I925" s="20">
        <f t="shared" si="2"/>
        <v>46113</v>
      </c>
    </row>
    <row r="926" ht="22.5" customHeight="1">
      <c r="A926" s="5">
        <v>46141.0</v>
      </c>
      <c r="B926" s="6">
        <f t="shared" si="1"/>
        <v>18</v>
      </c>
      <c r="C926" s="7" t="s">
        <v>9</v>
      </c>
      <c r="D926" s="8">
        <v>100.0</v>
      </c>
      <c r="E926" s="7" t="s">
        <v>15</v>
      </c>
      <c r="F926" s="10" t="str">
        <f>VLOOKUP(E926,BASE_VEICULOS!A:G,7,0)</f>
        <v>FAC - 140005 - SPOT MANUTENÇÃO DPSP 2025</v>
      </c>
      <c r="G926" s="11" t="str">
        <f>IFERROR(VLOOKUP(E926,BASE_VEICULOS!$A:$B,2,0),"")</f>
        <v>EWH1B84</v>
      </c>
      <c r="H926" s="19"/>
      <c r="I926" s="20">
        <f t="shared" si="2"/>
        <v>46113</v>
      </c>
    </row>
    <row r="927" ht="22.5" customHeight="1">
      <c r="A927" s="5">
        <v>46141.0</v>
      </c>
      <c r="B927" s="6">
        <f t="shared" si="1"/>
        <v>18</v>
      </c>
      <c r="C927" s="7" t="s">
        <v>9</v>
      </c>
      <c r="D927" s="8">
        <v>99.98</v>
      </c>
      <c r="E927" s="7" t="s">
        <v>10</v>
      </c>
      <c r="F927" s="10" t="str">
        <f>VLOOKUP(E927,BASE_VEICULOS!A:G,7,0)</f>
        <v>FAC - 140004 - MANUTENÇÃO PREDIAL DPSP 2025</v>
      </c>
      <c r="G927" s="11" t="str">
        <f>IFERROR(VLOOKUP(E927,BASE_VEICULOS!$A:$B,2,0),"")</f>
        <v>TEW9A25</v>
      </c>
      <c r="H927" s="19"/>
      <c r="I927" s="20">
        <f t="shared" si="2"/>
        <v>46113</v>
      </c>
    </row>
    <row r="928" ht="22.5" customHeight="1">
      <c r="A928" s="5">
        <v>46141.0</v>
      </c>
      <c r="B928" s="6">
        <f t="shared" si="1"/>
        <v>18</v>
      </c>
      <c r="C928" s="7" t="s">
        <v>9</v>
      </c>
      <c r="D928" s="8">
        <v>90.0</v>
      </c>
      <c r="E928" s="7" t="s">
        <v>10</v>
      </c>
      <c r="F928" s="10" t="str">
        <f>VLOOKUP(E928,BASE_VEICULOS!A:G,7,0)</f>
        <v>FAC - 140004 - MANUTENÇÃO PREDIAL DPSP 2025</v>
      </c>
      <c r="G928" s="11" t="str">
        <f>IFERROR(VLOOKUP(E928,BASE_VEICULOS!$A:$B,2,0),"")</f>
        <v>TEW9A25</v>
      </c>
      <c r="H928" s="19"/>
      <c r="I928" s="20">
        <f t="shared" si="2"/>
        <v>46113</v>
      </c>
    </row>
    <row r="929" ht="22.5" customHeight="1">
      <c r="A929" s="5">
        <v>46141.0</v>
      </c>
      <c r="B929" s="6">
        <f t="shared" si="1"/>
        <v>18</v>
      </c>
      <c r="C929" s="7" t="s">
        <v>9</v>
      </c>
      <c r="D929" s="8">
        <v>149.95</v>
      </c>
      <c r="E929" s="7" t="s">
        <v>16</v>
      </c>
      <c r="F929" s="10" t="str">
        <f>VLOOKUP(E929,BASE_VEICULOS!A:G,7,0)</f>
        <v>FAC - 140005 - SPOT MANUTENÇÃO DPSP 2025</v>
      </c>
      <c r="G929" s="11" t="str">
        <f>IFERROR(VLOOKUP(E929,BASE_VEICULOS!$A:$B,2,0),"")</f>
        <v>TEW9A27</v>
      </c>
      <c r="H929" s="19"/>
      <c r="I929" s="20">
        <f t="shared" si="2"/>
        <v>46113</v>
      </c>
    </row>
    <row r="930" ht="22.5" customHeight="1">
      <c r="A930" s="5">
        <v>46141.0</v>
      </c>
      <c r="B930" s="6">
        <f t="shared" si="1"/>
        <v>18</v>
      </c>
      <c r="C930" s="7" t="s">
        <v>9</v>
      </c>
      <c r="D930" s="8">
        <v>100.0</v>
      </c>
      <c r="E930" s="7" t="s">
        <v>22</v>
      </c>
      <c r="F930" s="10" t="str">
        <f>VLOOKUP(E930,BASE_VEICULOS!A:G,7,0)</f>
        <v>PROF - 07001 - MANUTENÇÃO PREDIAL- PROFARMA-2025</v>
      </c>
      <c r="G930" s="11" t="str">
        <f>IFERROR(VLOOKUP(E930,BASE_VEICULOS!$A:$B,2,0),"")</f>
        <v>TET5H37</v>
      </c>
      <c r="H930" s="19"/>
      <c r="I930" s="20">
        <f t="shared" si="2"/>
        <v>46113</v>
      </c>
    </row>
    <row r="931" ht="22.5" customHeight="1">
      <c r="A931" s="5">
        <v>46141.0</v>
      </c>
      <c r="B931" s="6">
        <f t="shared" si="1"/>
        <v>18</v>
      </c>
      <c r="C931" s="7" t="s">
        <v>9</v>
      </c>
      <c r="D931" s="8">
        <v>100.0</v>
      </c>
      <c r="E931" s="7" t="s">
        <v>30</v>
      </c>
      <c r="F931" s="10" t="str">
        <f>VLOOKUP(E931,BASE_VEICULOS!A:G,7,0)</f>
        <v>#N/A</v>
      </c>
      <c r="G931" s="11" t="str">
        <f>IFERROR(VLOOKUP(E931,BASE_VEICULOS!$A:$B,2,0),"")</f>
        <v/>
      </c>
      <c r="H931" s="19"/>
      <c r="I931" s="20">
        <f t="shared" si="2"/>
        <v>46113</v>
      </c>
    </row>
    <row r="932" ht="22.5" customHeight="1">
      <c r="A932" s="5">
        <v>46141.0</v>
      </c>
      <c r="B932" s="6">
        <f t="shared" si="1"/>
        <v>18</v>
      </c>
      <c r="C932" s="7" t="s">
        <v>9</v>
      </c>
      <c r="D932" s="8">
        <v>140.0</v>
      </c>
      <c r="E932" s="7" t="s">
        <v>19</v>
      </c>
      <c r="F932" s="10" t="str">
        <f>VLOOKUP(E932,BASE_VEICULOS!A:G,7,0)</f>
        <v>PROF - 07001 - MANUTENÇÃO PREDIAL- PROFARMA-2025</v>
      </c>
      <c r="G932" s="11" t="str">
        <f>IFERROR(VLOOKUP(E932,BASE_VEICULOS!$A:$B,2,0),"")</f>
        <v>TEW9A24</v>
      </c>
      <c r="H932" s="19"/>
      <c r="I932" s="20">
        <f t="shared" si="2"/>
        <v>46113</v>
      </c>
    </row>
    <row r="933" ht="22.5" customHeight="1">
      <c r="A933" s="5">
        <v>46141.0</v>
      </c>
      <c r="B933" s="6">
        <f t="shared" si="1"/>
        <v>18</v>
      </c>
      <c r="C933" s="7" t="s">
        <v>9</v>
      </c>
      <c r="D933" s="8">
        <v>149.95</v>
      </c>
      <c r="E933" s="7" t="s">
        <v>24</v>
      </c>
      <c r="F933" s="10" t="str">
        <f>VLOOKUP(E933,BASE_VEICULOS!A:G,7,0)</f>
        <v>PROF - 07001 - MANUTENÇÃO PREDIAL- PROFARMA-2025</v>
      </c>
      <c r="G933" s="11" t="str">
        <f>IFERROR(VLOOKUP(E933,BASE_VEICULOS!$A:$B,2,0),"")</f>
        <v>TEW9A23</v>
      </c>
      <c r="H933" s="19"/>
      <c r="I933" s="20">
        <f t="shared" si="2"/>
        <v>46113</v>
      </c>
    </row>
    <row r="934" ht="22.5" customHeight="1">
      <c r="A934" s="5">
        <v>46141.0</v>
      </c>
      <c r="B934" s="6">
        <f t="shared" si="1"/>
        <v>18</v>
      </c>
      <c r="C934" s="7" t="s">
        <v>9</v>
      </c>
      <c r="D934" s="8">
        <v>70.0</v>
      </c>
      <c r="E934" s="7" t="s">
        <v>33</v>
      </c>
      <c r="F934" s="10" t="str">
        <f>VLOOKUP(E934,BASE_VEICULOS!A:G,7,0)</f>
        <v>PROF - 07001 - MANUTENÇÃO PREDIAL- PROFARMA-2025</v>
      </c>
      <c r="G934" s="11" t="str">
        <f>IFERROR(VLOOKUP(E934,BASE_VEICULOS!$A:$B,2,0),"")</f>
        <v>TEW9A30</v>
      </c>
      <c r="H934" s="19"/>
      <c r="I934" s="20">
        <f t="shared" si="2"/>
        <v>46113</v>
      </c>
    </row>
    <row r="935" ht="22.5" customHeight="1">
      <c r="A935" s="5">
        <v>46141.0</v>
      </c>
      <c r="B935" s="6">
        <f t="shared" si="1"/>
        <v>18</v>
      </c>
      <c r="C935" s="7" t="s">
        <v>9</v>
      </c>
      <c r="D935" s="8">
        <v>119.99</v>
      </c>
      <c r="E935" s="7" t="s">
        <v>14</v>
      </c>
      <c r="F935" s="10" t="str">
        <f>VLOOKUP(E935,BASE_VEICULOS!A:G,7,0)</f>
        <v>FAC - 140004 - MANUTENÇÃO PREDIAL DPSP 2025</v>
      </c>
      <c r="G935" s="11" t="str">
        <f>IFERROR(VLOOKUP(E935,BASE_VEICULOS!$A:$B,2,0),"")</f>
        <v>FOK8A73</v>
      </c>
      <c r="H935" s="19"/>
      <c r="I935" s="20">
        <f t="shared" si="2"/>
        <v>46113</v>
      </c>
    </row>
    <row r="936" ht="22.5" customHeight="1">
      <c r="A936" s="5">
        <v>46141.0</v>
      </c>
      <c r="B936" s="6">
        <f t="shared" si="1"/>
        <v>18</v>
      </c>
      <c r="C936" s="7" t="s">
        <v>9</v>
      </c>
      <c r="D936" s="8">
        <v>180.0</v>
      </c>
      <c r="E936" s="7" t="s">
        <v>25</v>
      </c>
      <c r="F936" s="10" t="str">
        <f>VLOOKUP(E936,BASE_VEICULOS!A:G,7,0)</f>
        <v>PROF - 07001 - MANUTENÇÃO PREDIAL- PROFARMA-2025</v>
      </c>
      <c r="G936" s="11" t="str">
        <f>IFERROR(VLOOKUP(E936,BASE_VEICULOS!$A:$B,2,0),"")</f>
        <v>TEW9A26</v>
      </c>
      <c r="H936" s="19"/>
      <c r="I936" s="20">
        <f t="shared" si="2"/>
        <v>46113</v>
      </c>
    </row>
    <row r="937" ht="22.5" customHeight="1">
      <c r="A937" s="5">
        <v>46142.0</v>
      </c>
      <c r="B937" s="6">
        <f t="shared" si="1"/>
        <v>18</v>
      </c>
      <c r="C937" s="7" t="s">
        <v>9</v>
      </c>
      <c r="D937" s="8">
        <v>60.0</v>
      </c>
      <c r="E937" s="7" t="s">
        <v>17</v>
      </c>
      <c r="F937" s="10" t="str">
        <f>VLOOKUP(E937,BASE_VEICULOS!A:G,7,0)</f>
        <v>#N/A</v>
      </c>
      <c r="G937" s="11" t="str">
        <f>IFERROR(VLOOKUP(E937,BASE_VEICULOS!$A:$B,2,0),"")</f>
        <v/>
      </c>
      <c r="H937" s="19"/>
      <c r="I937" s="20">
        <f t="shared" si="2"/>
        <v>46113</v>
      </c>
    </row>
    <row r="938" ht="22.5" customHeight="1">
      <c r="A938" s="5">
        <v>46142.0</v>
      </c>
      <c r="B938" s="6">
        <f t="shared" si="1"/>
        <v>18</v>
      </c>
      <c r="C938" s="7" t="s">
        <v>9</v>
      </c>
      <c r="D938" s="8">
        <v>90.0</v>
      </c>
      <c r="E938" s="7" t="s">
        <v>29</v>
      </c>
      <c r="F938" s="10" t="str">
        <f>VLOOKUP(E938,BASE_VEICULOS!A:G,7,0)</f>
        <v>PROF - 07001 - MANUTENÇÃO PREDIAL- PROFARMA-2025</v>
      </c>
      <c r="G938" s="11" t="str">
        <f>IFERROR(VLOOKUP(E938,BASE_VEICULOS!$A:$B,2,0),"")</f>
        <v>TEQ2I74</v>
      </c>
      <c r="H938" s="19"/>
      <c r="I938" s="20">
        <f t="shared" si="2"/>
        <v>46113</v>
      </c>
    </row>
    <row r="939" ht="22.5" customHeight="1">
      <c r="A939" s="5">
        <v>46142.0</v>
      </c>
      <c r="B939" s="6">
        <f t="shared" si="1"/>
        <v>18</v>
      </c>
      <c r="C939" s="7" t="s">
        <v>9</v>
      </c>
      <c r="D939" s="8">
        <v>50.0</v>
      </c>
      <c r="E939" s="7" t="s">
        <v>20</v>
      </c>
      <c r="F939" s="10" t="str">
        <f>VLOOKUP(E939,BASE_VEICULOS!A:G,7,0)</f>
        <v>PROF - 07001 - MANUTENÇÃO PREDIAL- PROFARMA-2025</v>
      </c>
      <c r="G939" s="11" t="str">
        <f>IFERROR(VLOOKUP(E939,BASE_VEICULOS!$A:$B,2,0),"")</f>
        <v>TEW9A34</v>
      </c>
      <c r="H939" s="19"/>
      <c r="I939" s="20">
        <f t="shared" si="2"/>
        <v>46113</v>
      </c>
    </row>
    <row r="940" ht="22.5" customHeight="1">
      <c r="A940" s="5">
        <v>46142.0</v>
      </c>
      <c r="B940" s="6">
        <f t="shared" si="1"/>
        <v>18</v>
      </c>
      <c r="C940" s="7" t="s">
        <v>9</v>
      </c>
      <c r="D940" s="8">
        <v>150.0</v>
      </c>
      <c r="E940" s="7" t="s">
        <v>23</v>
      </c>
      <c r="F940" s="10" t="str">
        <f>VLOOKUP(E940,BASE_VEICULOS!A:G,7,0)</f>
        <v>PROF - 07001 - MANUTENÇÃO PREDIAL- PROFARMA-2025</v>
      </c>
      <c r="G940" s="11" t="str">
        <f>IFERROR(VLOOKUP(E940,BASE_VEICULOS!$A:$B,2,0),"")</f>
        <v>TEH3I02</v>
      </c>
      <c r="H940" s="19"/>
      <c r="I940" s="20">
        <f t="shared" si="2"/>
        <v>46113</v>
      </c>
    </row>
    <row r="941" ht="22.5" customHeight="1">
      <c r="A941" s="5">
        <v>46142.0</v>
      </c>
      <c r="B941" s="6">
        <f t="shared" si="1"/>
        <v>18</v>
      </c>
      <c r="C941" s="7" t="s">
        <v>9</v>
      </c>
      <c r="D941" s="8">
        <v>100.0</v>
      </c>
      <c r="E941" s="7" t="s">
        <v>15</v>
      </c>
      <c r="F941" s="10" t="str">
        <f>VLOOKUP(E941,BASE_VEICULOS!A:G,7,0)</f>
        <v>FAC - 140005 - SPOT MANUTENÇÃO DPSP 2025</v>
      </c>
      <c r="G941" s="11" t="str">
        <f>IFERROR(VLOOKUP(E941,BASE_VEICULOS!$A:$B,2,0),"")</f>
        <v>EWH1B84</v>
      </c>
      <c r="H941" s="19"/>
      <c r="I941" s="20">
        <f t="shared" si="2"/>
        <v>46113</v>
      </c>
    </row>
    <row r="942" ht="22.5" customHeight="1">
      <c r="A942" s="5">
        <v>46142.0</v>
      </c>
      <c r="B942" s="6">
        <f t="shared" si="1"/>
        <v>18</v>
      </c>
      <c r="C942" s="7" t="s">
        <v>9</v>
      </c>
      <c r="D942" s="8">
        <v>110.0</v>
      </c>
      <c r="E942" s="7" t="s">
        <v>22</v>
      </c>
      <c r="F942" s="10" t="str">
        <f>VLOOKUP(E942,BASE_VEICULOS!A:G,7,0)</f>
        <v>PROF - 07001 - MANUTENÇÃO PREDIAL- PROFARMA-2025</v>
      </c>
      <c r="G942" s="11" t="str">
        <f>IFERROR(VLOOKUP(E942,BASE_VEICULOS!$A:$B,2,0),"")</f>
        <v>TET5H37</v>
      </c>
      <c r="H942" s="19"/>
      <c r="I942" s="20">
        <f t="shared" si="2"/>
        <v>46113</v>
      </c>
    </row>
    <row r="943" ht="22.5" customHeight="1">
      <c r="A943" s="5">
        <v>46142.0</v>
      </c>
      <c r="B943" s="6">
        <f t="shared" si="1"/>
        <v>18</v>
      </c>
      <c r="C943" s="7" t="s">
        <v>9</v>
      </c>
      <c r="D943" s="8">
        <v>210.0</v>
      </c>
      <c r="E943" s="7" t="s">
        <v>30</v>
      </c>
      <c r="F943" s="10" t="str">
        <f>VLOOKUP(E943,BASE_VEICULOS!A:G,7,0)</f>
        <v>#N/A</v>
      </c>
      <c r="G943" s="11" t="str">
        <f>IFERROR(VLOOKUP(E943,BASE_VEICULOS!$A:$B,2,0),"")</f>
        <v/>
      </c>
      <c r="H943" s="19"/>
      <c r="I943" s="20">
        <f t="shared" si="2"/>
        <v>46113</v>
      </c>
    </row>
    <row r="944" ht="22.5" customHeight="1">
      <c r="A944" s="5">
        <v>46142.0</v>
      </c>
      <c r="B944" s="6">
        <f t="shared" si="1"/>
        <v>18</v>
      </c>
      <c r="C944" s="7" t="s">
        <v>9</v>
      </c>
      <c r="D944" s="8">
        <v>150.0</v>
      </c>
      <c r="E944" s="7" t="s">
        <v>18</v>
      </c>
      <c r="F944" s="10" t="str">
        <f>VLOOKUP(E944,BASE_VEICULOS!A:G,7,0)</f>
        <v>FAC - 140004 - MANUTENÇÃO PREDIAL DPSP 2025</v>
      </c>
      <c r="G944" s="11" t="str">
        <f>IFERROR(VLOOKUP(E944,BASE_VEICULOS!$A:$B,2,0),"")</f>
        <v>TEW9A29</v>
      </c>
      <c r="H944" s="19"/>
      <c r="I944" s="20">
        <f t="shared" si="2"/>
        <v>46113</v>
      </c>
    </row>
    <row r="945" ht="22.5" customHeight="1">
      <c r="A945" s="5">
        <v>46142.0</v>
      </c>
      <c r="B945" s="6">
        <f t="shared" si="1"/>
        <v>18</v>
      </c>
      <c r="C945" s="7" t="s">
        <v>9</v>
      </c>
      <c r="D945" s="8">
        <v>100.0</v>
      </c>
      <c r="E945" s="7" t="s">
        <v>19</v>
      </c>
      <c r="F945" s="10" t="str">
        <f>VLOOKUP(E945,BASE_VEICULOS!A:G,7,0)</f>
        <v>PROF - 07001 - MANUTENÇÃO PREDIAL- PROFARMA-2025</v>
      </c>
      <c r="G945" s="11" t="str">
        <f>IFERROR(VLOOKUP(E945,BASE_VEICULOS!$A:$B,2,0),"")</f>
        <v>TEW9A24</v>
      </c>
      <c r="H945" s="19"/>
      <c r="I945" s="20">
        <f t="shared" si="2"/>
        <v>46113</v>
      </c>
    </row>
    <row r="946" ht="22.5" customHeight="1">
      <c r="A946" s="5">
        <v>46142.0</v>
      </c>
      <c r="B946" s="6">
        <f t="shared" si="1"/>
        <v>18</v>
      </c>
      <c r="C946" s="7" t="s">
        <v>9</v>
      </c>
      <c r="D946" s="8">
        <v>150.0</v>
      </c>
      <c r="E946" s="7" t="s">
        <v>13</v>
      </c>
      <c r="F946" s="10" t="str">
        <f>VLOOKUP(E946,BASE_VEICULOS!A:G,7,0)</f>
        <v>FAC - 140005 - SPOT MANUTENÇÃO DPSP 2025</v>
      </c>
      <c r="G946" s="11" t="str">
        <f>IFERROR(VLOOKUP(E946,BASE_VEICULOS!$A:$B,2,0),"")</f>
        <v>FGO3C61</v>
      </c>
      <c r="H946" s="19"/>
      <c r="I946" s="20">
        <f t="shared" si="2"/>
        <v>46113</v>
      </c>
    </row>
    <row r="947" ht="22.5" customHeight="1">
      <c r="A947" s="5">
        <v>46142.0</v>
      </c>
      <c r="B947" s="6">
        <f t="shared" si="1"/>
        <v>18</v>
      </c>
      <c r="C947" s="7" t="s">
        <v>9</v>
      </c>
      <c r="D947" s="8">
        <v>99.96</v>
      </c>
      <c r="E947" s="7" t="s">
        <v>24</v>
      </c>
      <c r="F947" s="10" t="str">
        <f>VLOOKUP(E947,BASE_VEICULOS!A:G,7,0)</f>
        <v>PROF - 07001 - MANUTENÇÃO PREDIAL- PROFARMA-2025</v>
      </c>
      <c r="G947" s="11" t="str">
        <f>IFERROR(VLOOKUP(E947,BASE_VEICULOS!$A:$B,2,0),"")</f>
        <v>TEW9A23</v>
      </c>
      <c r="H947" s="19"/>
      <c r="I947" s="20">
        <f t="shared" si="2"/>
        <v>46113</v>
      </c>
    </row>
    <row r="948" ht="22.5" customHeight="1">
      <c r="A948" s="5">
        <v>46142.0</v>
      </c>
      <c r="B948" s="6">
        <f t="shared" si="1"/>
        <v>18</v>
      </c>
      <c r="C948" s="7" t="s">
        <v>9</v>
      </c>
      <c r="D948" s="8">
        <v>70.0</v>
      </c>
      <c r="E948" s="7" t="s">
        <v>33</v>
      </c>
      <c r="F948" s="10" t="str">
        <f>VLOOKUP(E948,BASE_VEICULOS!A:G,7,0)</f>
        <v>PROF - 07001 - MANUTENÇÃO PREDIAL- PROFARMA-2025</v>
      </c>
      <c r="G948" s="11" t="str">
        <f>IFERROR(VLOOKUP(E948,BASE_VEICULOS!$A:$B,2,0),"")</f>
        <v>TEW9A30</v>
      </c>
      <c r="H948" s="19"/>
      <c r="I948" s="20">
        <f t="shared" si="2"/>
        <v>46113</v>
      </c>
    </row>
    <row r="949" ht="22.5" customHeight="1">
      <c r="A949" s="5">
        <v>46142.0</v>
      </c>
      <c r="B949" s="6">
        <f t="shared" si="1"/>
        <v>18</v>
      </c>
      <c r="C949" s="7" t="s">
        <v>9</v>
      </c>
      <c r="D949" s="8">
        <v>70.0</v>
      </c>
      <c r="E949" s="7" t="s">
        <v>14</v>
      </c>
      <c r="F949" s="10" t="str">
        <f>VLOOKUP(E949,BASE_VEICULOS!A:G,7,0)</f>
        <v>FAC - 140004 - MANUTENÇÃO PREDIAL DPSP 2025</v>
      </c>
      <c r="G949" s="11" t="str">
        <f>IFERROR(VLOOKUP(E949,BASE_VEICULOS!$A:$B,2,0),"")</f>
        <v>FOK8A73</v>
      </c>
      <c r="H949" s="19"/>
      <c r="I949" s="20">
        <f t="shared" si="2"/>
        <v>46113</v>
      </c>
    </row>
    <row r="950" ht="22.5" customHeight="1">
      <c r="A950" s="5">
        <v>46142.0</v>
      </c>
      <c r="B950" s="6">
        <f t="shared" si="1"/>
        <v>18</v>
      </c>
      <c r="C950" s="7" t="s">
        <v>9</v>
      </c>
      <c r="D950" s="8">
        <v>49.98</v>
      </c>
      <c r="E950" s="7" t="s">
        <v>25</v>
      </c>
      <c r="F950" s="10" t="str">
        <f>VLOOKUP(E950,BASE_VEICULOS!A:G,7,0)</f>
        <v>PROF - 07001 - MANUTENÇÃO PREDIAL- PROFARMA-2025</v>
      </c>
      <c r="G950" s="11" t="str">
        <f>IFERROR(VLOOKUP(E950,BASE_VEICULOS!$A:$B,2,0),"")</f>
        <v>TEW9A26</v>
      </c>
      <c r="H950" s="19"/>
      <c r="I950" s="20">
        <f t="shared" si="2"/>
        <v>46113</v>
      </c>
    </row>
    <row r="951" ht="22.5" customHeight="1">
      <c r="A951" s="5">
        <v>46142.0</v>
      </c>
      <c r="B951" s="6">
        <f t="shared" si="1"/>
        <v>18</v>
      </c>
      <c r="C951" s="7" t="s">
        <v>9</v>
      </c>
      <c r="D951" s="8">
        <v>119.96</v>
      </c>
      <c r="E951" s="7" t="s">
        <v>34</v>
      </c>
      <c r="F951" s="10" t="str">
        <f>VLOOKUP(E951,BASE_VEICULOS!A:G,7,0)</f>
        <v>PROF - 07001 - MANUTENÇÃO PREDIAL- PROFARMA-2025</v>
      </c>
      <c r="G951" s="11" t="str">
        <f>IFERROR(VLOOKUP(E951,BASE_VEICULOS!$A:$B,2,0),"")</f>
        <v>SRU8D16</v>
      </c>
      <c r="H951" s="19"/>
      <c r="I951" s="20">
        <f t="shared" si="2"/>
        <v>46113</v>
      </c>
    </row>
    <row r="952" ht="22.5" customHeight="1">
      <c r="A952" s="5">
        <v>46143.0</v>
      </c>
      <c r="B952" s="6">
        <f t="shared" si="1"/>
        <v>18</v>
      </c>
      <c r="C952" s="7" t="s">
        <v>9</v>
      </c>
      <c r="D952" s="8">
        <v>100.0</v>
      </c>
      <c r="E952" s="7" t="s">
        <v>21</v>
      </c>
      <c r="F952" s="10" t="str">
        <f>VLOOKUP(E952,BASE_VEICULOS!A:G,7,0)</f>
        <v>PROF - 07001 - MANUTENÇÃO PREDIAL- PROFARMA-2025</v>
      </c>
      <c r="G952" s="11" t="str">
        <f>IFERROR(VLOOKUP(E952,BASE_VEICULOS!$A:$B,2,0),"")</f>
        <v>TEW9A33</v>
      </c>
      <c r="H952" s="19"/>
      <c r="I952" s="20">
        <f t="shared" si="2"/>
        <v>46143</v>
      </c>
    </row>
    <row r="953" ht="22.5" customHeight="1">
      <c r="A953" s="5">
        <v>46143.0</v>
      </c>
      <c r="B953" s="6">
        <f t="shared" si="1"/>
        <v>18</v>
      </c>
      <c r="C953" s="7" t="s">
        <v>9</v>
      </c>
      <c r="D953" s="8">
        <v>150.0</v>
      </c>
      <c r="E953" s="7" t="s">
        <v>28</v>
      </c>
      <c r="F953" s="10" t="str">
        <f>VLOOKUP(E953,BASE_VEICULOS!A:G,7,0)</f>
        <v>#N/A</v>
      </c>
      <c r="G953" s="11" t="str">
        <f>IFERROR(VLOOKUP(E953,BASE_VEICULOS!$A:$B,2,0),"")</f>
        <v/>
      </c>
      <c r="H953" s="19"/>
      <c r="I953" s="20">
        <f t="shared" si="2"/>
        <v>46143</v>
      </c>
    </row>
    <row r="954" ht="22.5" customHeight="1">
      <c r="A954" s="5">
        <v>46143.0</v>
      </c>
      <c r="B954" s="6">
        <f t="shared" si="1"/>
        <v>18</v>
      </c>
      <c r="C954" s="7" t="s">
        <v>9</v>
      </c>
      <c r="D954" s="8">
        <v>139.99</v>
      </c>
      <c r="E954" s="7" t="s">
        <v>14</v>
      </c>
      <c r="F954" s="10" t="str">
        <f>VLOOKUP(E954,BASE_VEICULOS!A:G,7,0)</f>
        <v>FAC - 140004 - MANUTENÇÃO PREDIAL DPSP 2025</v>
      </c>
      <c r="G954" s="11" t="str">
        <f>IFERROR(VLOOKUP(E954,BASE_VEICULOS!$A:$B,2,0),"")</f>
        <v>FOK8A73</v>
      </c>
      <c r="H954" s="19"/>
      <c r="I954" s="20">
        <f t="shared" si="2"/>
        <v>46143</v>
      </c>
    </row>
    <row r="955" ht="22.5" customHeight="1">
      <c r="A955" s="5">
        <v>46143.0</v>
      </c>
      <c r="B955" s="6">
        <f t="shared" si="1"/>
        <v>18</v>
      </c>
      <c r="C955" s="7" t="s">
        <v>9</v>
      </c>
      <c r="D955" s="8">
        <v>249.98</v>
      </c>
      <c r="E955" s="7" t="s">
        <v>25</v>
      </c>
      <c r="F955" s="10" t="str">
        <f>VLOOKUP(E955,BASE_VEICULOS!A:G,7,0)</f>
        <v>PROF - 07001 - MANUTENÇÃO PREDIAL- PROFARMA-2025</v>
      </c>
      <c r="G955" s="11" t="str">
        <f>IFERROR(VLOOKUP(E955,BASE_VEICULOS!$A:$B,2,0),"")</f>
        <v>TEW9A26</v>
      </c>
      <c r="H955" s="19"/>
      <c r="I955" s="20">
        <f t="shared" si="2"/>
        <v>46143</v>
      </c>
    </row>
    <row r="956" ht="22.5" customHeight="1">
      <c r="A956" s="5">
        <v>46144.0</v>
      </c>
      <c r="B956" s="6">
        <f t="shared" si="1"/>
        <v>18</v>
      </c>
      <c r="C956" s="7" t="s">
        <v>9</v>
      </c>
      <c r="D956" s="8">
        <v>197.97</v>
      </c>
      <c r="E956" s="7" t="s">
        <v>21</v>
      </c>
      <c r="F956" s="10" t="str">
        <f>VLOOKUP(E956,BASE_VEICULOS!A:G,7,0)</f>
        <v>PROF - 07001 - MANUTENÇÃO PREDIAL- PROFARMA-2025</v>
      </c>
      <c r="G956" s="11" t="str">
        <f>IFERROR(VLOOKUP(E956,BASE_VEICULOS!$A:$B,2,0),"")</f>
        <v>TEW9A33</v>
      </c>
      <c r="H956" s="19"/>
      <c r="I956" s="20">
        <f t="shared" si="2"/>
        <v>46143</v>
      </c>
    </row>
    <row r="957" ht="22.5" customHeight="1">
      <c r="A957" s="5">
        <v>46144.0</v>
      </c>
      <c r="B957" s="6">
        <f t="shared" si="1"/>
        <v>18</v>
      </c>
      <c r="C957" s="7" t="s">
        <v>9</v>
      </c>
      <c r="D957" s="8">
        <v>60.0</v>
      </c>
      <c r="E957" s="7" t="s">
        <v>15</v>
      </c>
      <c r="F957" s="10" t="str">
        <f>VLOOKUP(E957,BASE_VEICULOS!A:G,7,0)</f>
        <v>FAC - 140005 - SPOT MANUTENÇÃO DPSP 2025</v>
      </c>
      <c r="G957" s="11" t="str">
        <f>IFERROR(VLOOKUP(E957,BASE_VEICULOS!$A:$B,2,0),"")</f>
        <v>EWH1B84</v>
      </c>
      <c r="H957" s="19"/>
      <c r="I957" s="20">
        <f t="shared" si="2"/>
        <v>46143</v>
      </c>
    </row>
    <row r="958" ht="22.5" customHeight="1">
      <c r="A958" s="5">
        <v>46144.0</v>
      </c>
      <c r="B958" s="6">
        <f t="shared" si="1"/>
        <v>18</v>
      </c>
      <c r="C958" s="7" t="s">
        <v>9</v>
      </c>
      <c r="D958" s="8">
        <v>100.0</v>
      </c>
      <c r="E958" s="7" t="s">
        <v>22</v>
      </c>
      <c r="F958" s="10" t="str">
        <f>VLOOKUP(E958,BASE_VEICULOS!A:G,7,0)</f>
        <v>PROF - 07001 - MANUTENÇÃO PREDIAL- PROFARMA-2025</v>
      </c>
      <c r="G958" s="11" t="str">
        <f>IFERROR(VLOOKUP(E958,BASE_VEICULOS!$A:$B,2,0),"")</f>
        <v>TET5H37</v>
      </c>
      <c r="H958" s="19"/>
      <c r="I958" s="20">
        <f t="shared" si="2"/>
        <v>46143</v>
      </c>
    </row>
    <row r="959" ht="22.5" customHeight="1">
      <c r="A959" s="5">
        <v>46144.0</v>
      </c>
      <c r="B959" s="6">
        <f t="shared" si="1"/>
        <v>18</v>
      </c>
      <c r="C959" s="7" t="s">
        <v>9</v>
      </c>
      <c r="D959" s="8">
        <v>149.95</v>
      </c>
      <c r="E959" s="7" t="s">
        <v>25</v>
      </c>
      <c r="F959" s="10" t="str">
        <f>VLOOKUP(E959,BASE_VEICULOS!A:G,7,0)</f>
        <v>PROF - 07001 - MANUTENÇÃO PREDIAL- PROFARMA-2025</v>
      </c>
      <c r="G959" s="11" t="str">
        <f>IFERROR(VLOOKUP(E959,BASE_VEICULOS!$A:$B,2,0),"")</f>
        <v>TEW9A26</v>
      </c>
      <c r="H959" s="19"/>
      <c r="I959" s="20">
        <f t="shared" si="2"/>
        <v>46143</v>
      </c>
    </row>
    <row r="960" ht="22.5" customHeight="1">
      <c r="A960" s="5">
        <v>46145.0</v>
      </c>
      <c r="B960" s="6">
        <f t="shared" si="1"/>
        <v>18</v>
      </c>
      <c r="C960" s="7" t="s">
        <v>9</v>
      </c>
      <c r="D960" s="8">
        <v>59.96</v>
      </c>
      <c r="E960" s="7" t="s">
        <v>12</v>
      </c>
      <c r="F960" s="10" t="str">
        <f>VLOOKUP(E960,BASE_VEICULOS!A:G,7,0)</f>
        <v>FAC - 140004 - MANUTENÇÃO PREDIAL DPSP 2025</v>
      </c>
      <c r="G960" s="11" t="str">
        <f>IFERROR(VLOOKUP(E960,BASE_VEICULOS!$A:$B,2,0),"")</f>
        <v>FIL8C14</v>
      </c>
      <c r="H960" s="19"/>
      <c r="I960" s="20">
        <f t="shared" si="2"/>
        <v>46143</v>
      </c>
    </row>
    <row r="961" ht="22.5" customHeight="1">
      <c r="A961" s="5">
        <v>46145.0</v>
      </c>
      <c r="B961" s="6">
        <f t="shared" si="1"/>
        <v>18</v>
      </c>
      <c r="C961" s="7" t="s">
        <v>9</v>
      </c>
      <c r="D961" s="8">
        <v>50.0</v>
      </c>
      <c r="E961" s="7" t="s">
        <v>14</v>
      </c>
      <c r="F961" s="10" t="str">
        <f>VLOOKUP(E961,BASE_VEICULOS!A:G,7,0)</f>
        <v>FAC - 140004 - MANUTENÇÃO PREDIAL DPSP 2025</v>
      </c>
      <c r="G961" s="11" t="str">
        <f>IFERROR(VLOOKUP(E961,BASE_VEICULOS!$A:$B,2,0),"")</f>
        <v>FOK8A73</v>
      </c>
      <c r="H961" s="19"/>
      <c r="I961" s="20">
        <f t="shared" si="2"/>
        <v>46143</v>
      </c>
    </row>
    <row r="962" ht="22.5" customHeight="1">
      <c r="A962" s="5">
        <v>46146.0</v>
      </c>
      <c r="B962" s="6">
        <f t="shared" si="1"/>
        <v>19</v>
      </c>
      <c r="C962" s="7" t="s">
        <v>9</v>
      </c>
      <c r="D962" s="8">
        <v>149.95</v>
      </c>
      <c r="E962" s="7" t="s">
        <v>12</v>
      </c>
      <c r="F962" s="10" t="str">
        <f>VLOOKUP(E962,BASE_VEICULOS!A:G,7,0)</f>
        <v>FAC - 140004 - MANUTENÇÃO PREDIAL DPSP 2025</v>
      </c>
      <c r="G962" s="11" t="str">
        <f>IFERROR(VLOOKUP(E962,BASE_VEICULOS!$A:$B,2,0),"")</f>
        <v>FIL8C14</v>
      </c>
      <c r="H962" s="19"/>
      <c r="I962" s="20">
        <f t="shared" si="2"/>
        <v>46143</v>
      </c>
    </row>
    <row r="963" ht="22.5" customHeight="1">
      <c r="A963" s="5">
        <v>46146.0</v>
      </c>
      <c r="B963" s="6">
        <f t="shared" si="1"/>
        <v>19</v>
      </c>
      <c r="C963" s="7" t="s">
        <v>9</v>
      </c>
      <c r="D963" s="8">
        <v>50.0</v>
      </c>
      <c r="E963" s="7" t="s">
        <v>17</v>
      </c>
      <c r="F963" s="10" t="str">
        <f>VLOOKUP(E963,BASE_VEICULOS!A:G,7,0)</f>
        <v>#N/A</v>
      </c>
      <c r="G963" s="11" t="str">
        <f>IFERROR(VLOOKUP(E963,BASE_VEICULOS!$A:$B,2,0),"")</f>
        <v/>
      </c>
      <c r="H963" s="19"/>
      <c r="I963" s="20">
        <f t="shared" si="2"/>
        <v>46143</v>
      </c>
    </row>
    <row r="964" ht="22.5" customHeight="1">
      <c r="A964" s="5">
        <v>46146.0</v>
      </c>
      <c r="B964" s="6">
        <f t="shared" si="1"/>
        <v>19</v>
      </c>
      <c r="C964" s="7" t="s">
        <v>9</v>
      </c>
      <c r="D964" s="8">
        <v>150.0</v>
      </c>
      <c r="E964" s="7" t="s">
        <v>29</v>
      </c>
      <c r="F964" s="10" t="str">
        <f>VLOOKUP(E964,BASE_VEICULOS!A:G,7,0)</f>
        <v>PROF - 07001 - MANUTENÇÃO PREDIAL- PROFARMA-2025</v>
      </c>
      <c r="G964" s="11" t="str">
        <f>IFERROR(VLOOKUP(E964,BASE_VEICULOS!$A:$B,2,0),"")</f>
        <v>TEQ2I74</v>
      </c>
      <c r="H964" s="19"/>
      <c r="I964" s="20">
        <f t="shared" si="2"/>
        <v>46143</v>
      </c>
    </row>
    <row r="965" ht="22.5" customHeight="1">
      <c r="A965" s="5">
        <v>46146.0</v>
      </c>
      <c r="B965" s="6">
        <f t="shared" si="1"/>
        <v>19</v>
      </c>
      <c r="C965" s="7" t="s">
        <v>9</v>
      </c>
      <c r="D965" s="8">
        <v>50.0</v>
      </c>
      <c r="E965" s="7" t="s">
        <v>20</v>
      </c>
      <c r="F965" s="10" t="str">
        <f>VLOOKUP(E965,BASE_VEICULOS!A:G,7,0)</f>
        <v>PROF - 07001 - MANUTENÇÃO PREDIAL- PROFARMA-2025</v>
      </c>
      <c r="G965" s="11" t="str">
        <f>IFERROR(VLOOKUP(E965,BASE_VEICULOS!$A:$B,2,0),"")</f>
        <v>TEW9A34</v>
      </c>
      <c r="H965" s="19"/>
      <c r="I965" s="20">
        <f t="shared" si="2"/>
        <v>46143</v>
      </c>
    </row>
    <row r="966" ht="22.5" customHeight="1">
      <c r="A966" s="5">
        <v>46146.0</v>
      </c>
      <c r="B966" s="6">
        <f t="shared" si="1"/>
        <v>19</v>
      </c>
      <c r="C966" s="7" t="s">
        <v>9</v>
      </c>
      <c r="D966" s="8">
        <v>50.0</v>
      </c>
      <c r="E966" s="7" t="s">
        <v>23</v>
      </c>
      <c r="F966" s="10" t="str">
        <f>VLOOKUP(E966,BASE_VEICULOS!A:G,7,0)</f>
        <v>PROF - 07001 - MANUTENÇÃO PREDIAL- PROFARMA-2025</v>
      </c>
      <c r="G966" s="11" t="str">
        <f>IFERROR(VLOOKUP(E966,BASE_VEICULOS!$A:$B,2,0),"")</f>
        <v>TEH3I02</v>
      </c>
      <c r="H966" s="19"/>
      <c r="I966" s="20">
        <f t="shared" si="2"/>
        <v>46143</v>
      </c>
    </row>
    <row r="967" ht="22.5" customHeight="1">
      <c r="A967" s="5">
        <v>46146.0</v>
      </c>
      <c r="B967" s="6">
        <f t="shared" si="1"/>
        <v>19</v>
      </c>
      <c r="C967" s="7" t="s">
        <v>9</v>
      </c>
      <c r="D967" s="8">
        <v>150.0</v>
      </c>
      <c r="E967" s="7" t="s">
        <v>21</v>
      </c>
      <c r="F967" s="10" t="str">
        <f>VLOOKUP(E967,BASE_VEICULOS!A:G,7,0)</f>
        <v>PROF - 07001 - MANUTENÇÃO PREDIAL- PROFARMA-2025</v>
      </c>
      <c r="G967" s="11" t="str">
        <f>IFERROR(VLOOKUP(E967,BASE_VEICULOS!$A:$B,2,0),"")</f>
        <v>TEW9A33</v>
      </c>
      <c r="H967" s="19"/>
      <c r="I967" s="20">
        <f t="shared" si="2"/>
        <v>46143</v>
      </c>
    </row>
    <row r="968" ht="22.5" customHeight="1">
      <c r="A968" s="5">
        <v>46146.0</v>
      </c>
      <c r="B968" s="6">
        <f t="shared" si="1"/>
        <v>19</v>
      </c>
      <c r="C968" s="7" t="s">
        <v>9</v>
      </c>
      <c r="D968" s="8">
        <v>50.0</v>
      </c>
      <c r="E968" s="7" t="s">
        <v>15</v>
      </c>
      <c r="F968" s="10" t="str">
        <f>VLOOKUP(E968,BASE_VEICULOS!A:G,7,0)</f>
        <v>FAC - 140005 - SPOT MANUTENÇÃO DPSP 2025</v>
      </c>
      <c r="G968" s="11" t="str">
        <f>IFERROR(VLOOKUP(E968,BASE_VEICULOS!$A:$B,2,0),"")</f>
        <v>EWH1B84</v>
      </c>
      <c r="H968" s="19"/>
      <c r="I968" s="20">
        <f t="shared" si="2"/>
        <v>46143</v>
      </c>
    </row>
    <row r="969" ht="22.5" customHeight="1">
      <c r="A969" s="5">
        <v>46146.0</v>
      </c>
      <c r="B969" s="6">
        <f t="shared" si="1"/>
        <v>19</v>
      </c>
      <c r="C969" s="7" t="s">
        <v>9</v>
      </c>
      <c r="D969" s="8">
        <v>150.0</v>
      </c>
      <c r="E969" s="7" t="s">
        <v>28</v>
      </c>
      <c r="F969" s="10" t="str">
        <f>VLOOKUP(E969,BASE_VEICULOS!A:G,7,0)</f>
        <v>#N/A</v>
      </c>
      <c r="G969" s="11" t="str">
        <f>IFERROR(VLOOKUP(E969,BASE_VEICULOS!$A:$B,2,0),"")</f>
        <v/>
      </c>
      <c r="H969" s="19"/>
      <c r="I969" s="20">
        <f t="shared" si="2"/>
        <v>46143</v>
      </c>
    </row>
    <row r="970" ht="22.5" customHeight="1">
      <c r="A970" s="5">
        <v>46146.0</v>
      </c>
      <c r="B970" s="6">
        <f t="shared" si="1"/>
        <v>19</v>
      </c>
      <c r="C970" s="7" t="s">
        <v>9</v>
      </c>
      <c r="D970" s="8">
        <v>43.41</v>
      </c>
      <c r="E970" s="7" t="s">
        <v>10</v>
      </c>
      <c r="F970" s="10" t="str">
        <f>VLOOKUP(E970,BASE_VEICULOS!A:G,7,0)</f>
        <v>FAC - 140004 - MANUTENÇÃO PREDIAL DPSP 2025</v>
      </c>
      <c r="G970" s="11" t="str">
        <f>IFERROR(VLOOKUP(E970,BASE_VEICULOS!$A:$B,2,0),"")</f>
        <v>TEW9A25</v>
      </c>
      <c r="H970" s="19"/>
      <c r="I970" s="20">
        <f t="shared" si="2"/>
        <v>46143</v>
      </c>
    </row>
    <row r="971" ht="22.5" customHeight="1">
      <c r="A971" s="5">
        <v>46146.0</v>
      </c>
      <c r="B971" s="6">
        <f t="shared" si="1"/>
        <v>19</v>
      </c>
      <c r="C971" s="7" t="s">
        <v>9</v>
      </c>
      <c r="D971" s="8">
        <v>49.99</v>
      </c>
      <c r="E971" s="7" t="s">
        <v>16</v>
      </c>
      <c r="F971" s="10" t="str">
        <f>VLOOKUP(E971,BASE_VEICULOS!A:G,7,0)</f>
        <v>FAC - 140005 - SPOT MANUTENÇÃO DPSP 2025</v>
      </c>
      <c r="G971" s="11" t="str">
        <f>IFERROR(VLOOKUP(E971,BASE_VEICULOS!$A:$B,2,0),"")</f>
        <v>TEW9A27</v>
      </c>
      <c r="H971" s="19"/>
      <c r="I971" s="20">
        <f t="shared" si="2"/>
        <v>46143</v>
      </c>
    </row>
    <row r="972" ht="22.5" customHeight="1">
      <c r="A972" s="5">
        <v>46146.0</v>
      </c>
      <c r="B972" s="6">
        <f t="shared" si="1"/>
        <v>19</v>
      </c>
      <c r="C972" s="7" t="s">
        <v>9</v>
      </c>
      <c r="D972" s="8">
        <v>50.0</v>
      </c>
      <c r="E972" s="7" t="s">
        <v>22</v>
      </c>
      <c r="F972" s="10" t="str">
        <f>VLOOKUP(E972,BASE_VEICULOS!A:G,7,0)</f>
        <v>PROF - 07001 - MANUTENÇÃO PREDIAL- PROFARMA-2025</v>
      </c>
      <c r="G972" s="11" t="str">
        <f>IFERROR(VLOOKUP(E972,BASE_VEICULOS!$A:$B,2,0),"")</f>
        <v>TET5H37</v>
      </c>
      <c r="H972" s="19"/>
      <c r="I972" s="20">
        <f t="shared" si="2"/>
        <v>46143</v>
      </c>
    </row>
    <row r="973" ht="22.5" customHeight="1">
      <c r="A973" s="5">
        <v>46146.0</v>
      </c>
      <c r="B973" s="6">
        <f t="shared" si="1"/>
        <v>19</v>
      </c>
      <c r="C973" s="7" t="s">
        <v>9</v>
      </c>
      <c r="D973" s="8">
        <v>50.0</v>
      </c>
      <c r="E973" s="7" t="s">
        <v>18</v>
      </c>
      <c r="F973" s="10" t="str">
        <f>VLOOKUP(E973,BASE_VEICULOS!A:G,7,0)</f>
        <v>FAC - 140004 - MANUTENÇÃO PREDIAL DPSP 2025</v>
      </c>
      <c r="G973" s="11" t="str">
        <f>IFERROR(VLOOKUP(E973,BASE_VEICULOS!$A:$B,2,0),"")</f>
        <v>TEW9A29</v>
      </c>
      <c r="H973" s="19"/>
      <c r="I973" s="20">
        <f t="shared" si="2"/>
        <v>46143</v>
      </c>
    </row>
    <row r="974" ht="22.5" customHeight="1">
      <c r="A974" s="5">
        <v>46146.0</v>
      </c>
      <c r="B974" s="6">
        <f t="shared" si="1"/>
        <v>19</v>
      </c>
      <c r="C974" s="7" t="s">
        <v>9</v>
      </c>
      <c r="D974" s="8">
        <v>150.0</v>
      </c>
      <c r="E974" s="7" t="s">
        <v>19</v>
      </c>
      <c r="F974" s="10" t="str">
        <f>VLOOKUP(E974,BASE_VEICULOS!A:G,7,0)</f>
        <v>PROF - 07001 - MANUTENÇÃO PREDIAL- PROFARMA-2025</v>
      </c>
      <c r="G974" s="11" t="str">
        <f>IFERROR(VLOOKUP(E974,BASE_VEICULOS!$A:$B,2,0),"")</f>
        <v>TEW9A24</v>
      </c>
      <c r="H974" s="19"/>
      <c r="I974" s="20">
        <f t="shared" si="2"/>
        <v>46143</v>
      </c>
    </row>
    <row r="975" ht="22.5" customHeight="1">
      <c r="A975" s="5">
        <v>46146.0</v>
      </c>
      <c r="B975" s="6">
        <f t="shared" si="1"/>
        <v>19</v>
      </c>
      <c r="C975" s="7" t="s">
        <v>9</v>
      </c>
      <c r="D975" s="8">
        <v>150.0</v>
      </c>
      <c r="E975" s="7" t="s">
        <v>13</v>
      </c>
      <c r="F975" s="10" t="str">
        <f>VLOOKUP(E975,BASE_VEICULOS!A:G,7,0)</f>
        <v>FAC - 140005 - SPOT MANUTENÇÃO DPSP 2025</v>
      </c>
      <c r="G975" s="11" t="str">
        <f>IFERROR(VLOOKUP(E975,BASE_VEICULOS!$A:$B,2,0),"")</f>
        <v>FGO3C61</v>
      </c>
      <c r="H975" s="19"/>
      <c r="I975" s="20">
        <f t="shared" si="2"/>
        <v>46143</v>
      </c>
    </row>
    <row r="976" ht="22.5" customHeight="1">
      <c r="A976" s="5">
        <v>46146.0</v>
      </c>
      <c r="B976" s="6">
        <f t="shared" si="1"/>
        <v>19</v>
      </c>
      <c r="C976" s="7" t="s">
        <v>9</v>
      </c>
      <c r="D976" s="8">
        <v>100.0</v>
      </c>
      <c r="E976" s="7" t="s">
        <v>24</v>
      </c>
      <c r="F976" s="10" t="str">
        <f>VLOOKUP(E976,BASE_VEICULOS!A:G,7,0)</f>
        <v>PROF - 07001 - MANUTENÇÃO PREDIAL- PROFARMA-2025</v>
      </c>
      <c r="G976" s="11" t="str">
        <f>IFERROR(VLOOKUP(E976,BASE_VEICULOS!$A:$B,2,0),"")</f>
        <v>TEW9A23</v>
      </c>
      <c r="H976" s="19"/>
      <c r="I976" s="20">
        <f t="shared" si="2"/>
        <v>46143</v>
      </c>
    </row>
    <row r="977" ht="22.5" customHeight="1">
      <c r="A977" s="5">
        <v>46146.0</v>
      </c>
      <c r="B977" s="6">
        <f t="shared" si="1"/>
        <v>19</v>
      </c>
      <c r="C977" s="7" t="s">
        <v>9</v>
      </c>
      <c r="D977" s="8">
        <v>50.0</v>
      </c>
      <c r="E977" s="7" t="s">
        <v>33</v>
      </c>
      <c r="F977" s="10" t="str">
        <f>VLOOKUP(E977,BASE_VEICULOS!A:G,7,0)</f>
        <v>PROF - 07001 - MANUTENÇÃO PREDIAL- PROFARMA-2025</v>
      </c>
      <c r="G977" s="11" t="str">
        <f>IFERROR(VLOOKUP(E977,BASE_VEICULOS!$A:$B,2,0),"")</f>
        <v>TEW9A30</v>
      </c>
      <c r="H977" s="19"/>
      <c r="I977" s="20">
        <f t="shared" si="2"/>
        <v>46143</v>
      </c>
    </row>
    <row r="978" ht="22.5" customHeight="1">
      <c r="A978" s="5">
        <v>46146.0</v>
      </c>
      <c r="B978" s="6">
        <f t="shared" si="1"/>
        <v>19</v>
      </c>
      <c r="C978" s="7" t="s">
        <v>9</v>
      </c>
      <c r="D978" s="8">
        <v>150.0</v>
      </c>
      <c r="E978" s="7" t="s">
        <v>14</v>
      </c>
      <c r="F978" s="10" t="str">
        <f>VLOOKUP(E978,BASE_VEICULOS!A:G,7,0)</f>
        <v>FAC - 140004 - MANUTENÇÃO PREDIAL DPSP 2025</v>
      </c>
      <c r="G978" s="11" t="str">
        <f>IFERROR(VLOOKUP(E978,BASE_VEICULOS!$A:$B,2,0),"")</f>
        <v>FOK8A73</v>
      </c>
      <c r="H978" s="19"/>
      <c r="I978" s="20">
        <f t="shared" si="2"/>
        <v>46143</v>
      </c>
    </row>
    <row r="979" ht="22.5" customHeight="1">
      <c r="A979" s="5">
        <v>46146.0</v>
      </c>
      <c r="B979" s="6">
        <f t="shared" si="1"/>
        <v>19</v>
      </c>
      <c r="C979" s="7" t="s">
        <v>9</v>
      </c>
      <c r="D979" s="8">
        <v>50.0</v>
      </c>
      <c r="E979" s="7" t="s">
        <v>25</v>
      </c>
      <c r="F979" s="10" t="str">
        <f>VLOOKUP(E979,BASE_VEICULOS!A:G,7,0)</f>
        <v>PROF - 07001 - MANUTENÇÃO PREDIAL- PROFARMA-2025</v>
      </c>
      <c r="G979" s="11" t="str">
        <f>IFERROR(VLOOKUP(E979,BASE_VEICULOS!$A:$B,2,0),"")</f>
        <v>TEW9A26</v>
      </c>
      <c r="H979" s="19"/>
      <c r="I979" s="20">
        <f t="shared" si="2"/>
        <v>46143</v>
      </c>
    </row>
    <row r="980" ht="22.5" customHeight="1">
      <c r="A980" s="5">
        <v>46146.0</v>
      </c>
      <c r="B980" s="6">
        <f t="shared" si="1"/>
        <v>19</v>
      </c>
      <c r="C980" s="7" t="s">
        <v>9</v>
      </c>
      <c r="D980" s="8">
        <v>149.99</v>
      </c>
      <c r="E980" s="7" t="s">
        <v>34</v>
      </c>
      <c r="F980" s="10" t="str">
        <f>VLOOKUP(E980,BASE_VEICULOS!A:G,7,0)</f>
        <v>PROF - 07001 - MANUTENÇÃO PREDIAL- PROFARMA-2025</v>
      </c>
      <c r="G980" s="11" t="str">
        <f>IFERROR(VLOOKUP(E980,BASE_VEICULOS!$A:$B,2,0),"")</f>
        <v>SRU8D16</v>
      </c>
      <c r="H980" s="19"/>
      <c r="I980" s="20">
        <f t="shared" si="2"/>
        <v>46143</v>
      </c>
    </row>
    <row r="981" ht="22.5" customHeight="1">
      <c r="A981" s="5">
        <v>46147.0</v>
      </c>
      <c r="B981" s="6">
        <f t="shared" si="1"/>
        <v>19</v>
      </c>
      <c r="C981" s="7" t="s">
        <v>9</v>
      </c>
      <c r="D981" s="8">
        <v>100.0</v>
      </c>
      <c r="E981" s="7" t="s">
        <v>17</v>
      </c>
      <c r="F981" s="10" t="str">
        <f>VLOOKUP(E981,BASE_VEICULOS!A:G,7,0)</f>
        <v>#N/A</v>
      </c>
      <c r="G981" s="11" t="str">
        <f>IFERROR(VLOOKUP(E981,BASE_VEICULOS!$A:$B,2,0),"")</f>
        <v/>
      </c>
      <c r="H981" s="19"/>
      <c r="I981" s="20">
        <f t="shared" si="2"/>
        <v>46143</v>
      </c>
    </row>
    <row r="982" ht="22.5" customHeight="1">
      <c r="A982" s="5">
        <v>46147.0</v>
      </c>
      <c r="B982" s="6">
        <f t="shared" si="1"/>
        <v>19</v>
      </c>
      <c r="C982" s="7" t="s">
        <v>9</v>
      </c>
      <c r="D982" s="8">
        <v>100.0</v>
      </c>
      <c r="E982" s="7" t="s">
        <v>29</v>
      </c>
      <c r="F982" s="10" t="str">
        <f>VLOOKUP(E982,BASE_VEICULOS!A:G,7,0)</f>
        <v>PROF - 07001 - MANUTENÇÃO PREDIAL- PROFARMA-2025</v>
      </c>
      <c r="G982" s="11" t="str">
        <f>IFERROR(VLOOKUP(E982,BASE_VEICULOS!$A:$B,2,0),"")</f>
        <v>TEQ2I74</v>
      </c>
      <c r="H982" s="19"/>
      <c r="I982" s="20">
        <f t="shared" si="2"/>
        <v>46143</v>
      </c>
    </row>
    <row r="983" ht="22.5" customHeight="1">
      <c r="A983" s="5">
        <v>46147.0</v>
      </c>
      <c r="B983" s="6">
        <f t="shared" si="1"/>
        <v>19</v>
      </c>
      <c r="C983" s="7" t="s">
        <v>9</v>
      </c>
      <c r="D983" s="8">
        <v>100.0</v>
      </c>
      <c r="E983" s="7" t="s">
        <v>20</v>
      </c>
      <c r="F983" s="10" t="str">
        <f>VLOOKUP(E983,BASE_VEICULOS!A:G,7,0)</f>
        <v>PROF - 07001 - MANUTENÇÃO PREDIAL- PROFARMA-2025</v>
      </c>
      <c r="G983" s="11" t="str">
        <f>IFERROR(VLOOKUP(E983,BASE_VEICULOS!$A:$B,2,0),"")</f>
        <v>TEW9A34</v>
      </c>
      <c r="H983" s="19"/>
      <c r="I983" s="20">
        <f t="shared" si="2"/>
        <v>46143</v>
      </c>
    </row>
    <row r="984" ht="22.5" customHeight="1">
      <c r="A984" s="5">
        <v>46147.0</v>
      </c>
      <c r="B984" s="6">
        <f t="shared" si="1"/>
        <v>19</v>
      </c>
      <c r="C984" s="7" t="s">
        <v>9</v>
      </c>
      <c r="D984" s="8">
        <v>100.0</v>
      </c>
      <c r="E984" s="7" t="s">
        <v>23</v>
      </c>
      <c r="F984" s="10" t="str">
        <f>VLOOKUP(E984,BASE_VEICULOS!A:G,7,0)</f>
        <v>PROF - 07001 - MANUTENÇÃO PREDIAL- PROFARMA-2025</v>
      </c>
      <c r="G984" s="11" t="str">
        <f>IFERROR(VLOOKUP(E984,BASE_VEICULOS!$A:$B,2,0),"")</f>
        <v>TEH3I02</v>
      </c>
      <c r="H984" s="19"/>
      <c r="I984" s="20">
        <f t="shared" si="2"/>
        <v>46143</v>
      </c>
    </row>
    <row r="985" ht="22.5" customHeight="1">
      <c r="A985" s="5">
        <v>46147.0</v>
      </c>
      <c r="B985" s="6">
        <f t="shared" si="1"/>
        <v>19</v>
      </c>
      <c r="C985" s="7" t="s">
        <v>9</v>
      </c>
      <c r="D985" s="8">
        <v>140.0</v>
      </c>
      <c r="E985" s="7" t="s">
        <v>10</v>
      </c>
      <c r="F985" s="10" t="str">
        <f>VLOOKUP(E985,BASE_VEICULOS!A:G,7,0)</f>
        <v>FAC - 140004 - MANUTENÇÃO PREDIAL DPSP 2025</v>
      </c>
      <c r="G985" s="11" t="str">
        <f>IFERROR(VLOOKUP(E985,BASE_VEICULOS!$A:$B,2,0),"")</f>
        <v>TEW9A25</v>
      </c>
      <c r="H985" s="19"/>
      <c r="I985" s="20">
        <f t="shared" si="2"/>
        <v>46143</v>
      </c>
    </row>
    <row r="986" ht="22.5" customHeight="1">
      <c r="A986" s="5">
        <v>46147.0</v>
      </c>
      <c r="B986" s="6">
        <f t="shared" si="1"/>
        <v>19</v>
      </c>
      <c r="C986" s="7" t="s">
        <v>9</v>
      </c>
      <c r="D986" s="8">
        <v>100.0</v>
      </c>
      <c r="E986" s="7" t="s">
        <v>22</v>
      </c>
      <c r="F986" s="10" t="str">
        <f>VLOOKUP(E986,BASE_VEICULOS!A:G,7,0)</f>
        <v>PROF - 07001 - MANUTENÇÃO PREDIAL- PROFARMA-2025</v>
      </c>
      <c r="G986" s="11" t="str">
        <f>IFERROR(VLOOKUP(E986,BASE_VEICULOS!$A:$B,2,0),"")</f>
        <v>TET5H37</v>
      </c>
      <c r="H986" s="19"/>
      <c r="I986" s="20">
        <f t="shared" si="2"/>
        <v>46143</v>
      </c>
    </row>
    <row r="987" ht="22.5" customHeight="1">
      <c r="A987" s="5">
        <v>46147.0</v>
      </c>
      <c r="B987" s="6">
        <f t="shared" si="1"/>
        <v>19</v>
      </c>
      <c r="C987" s="7" t="s">
        <v>9</v>
      </c>
      <c r="D987" s="8">
        <v>100.0</v>
      </c>
      <c r="E987" s="7" t="s">
        <v>30</v>
      </c>
      <c r="F987" s="10" t="str">
        <f>VLOOKUP(E987,BASE_VEICULOS!A:G,7,0)</f>
        <v>#N/A</v>
      </c>
      <c r="G987" s="11" t="str">
        <f>IFERROR(VLOOKUP(E987,BASE_VEICULOS!$A:$B,2,0),"")</f>
        <v/>
      </c>
      <c r="H987" s="19"/>
      <c r="I987" s="20">
        <f t="shared" si="2"/>
        <v>46143</v>
      </c>
    </row>
    <row r="988" ht="22.5" customHeight="1">
      <c r="A988" s="5">
        <v>46147.0</v>
      </c>
      <c r="B988" s="6">
        <f t="shared" si="1"/>
        <v>19</v>
      </c>
      <c r="C988" s="7" t="s">
        <v>9</v>
      </c>
      <c r="D988" s="8">
        <v>150.0</v>
      </c>
      <c r="E988" s="7" t="s">
        <v>18</v>
      </c>
      <c r="F988" s="10" t="str">
        <f>VLOOKUP(E988,BASE_VEICULOS!A:G,7,0)</f>
        <v>FAC - 140004 - MANUTENÇÃO PREDIAL DPSP 2025</v>
      </c>
      <c r="G988" s="11" t="str">
        <f>IFERROR(VLOOKUP(E988,BASE_VEICULOS!$A:$B,2,0),"")</f>
        <v>TEW9A29</v>
      </c>
      <c r="H988" s="19"/>
      <c r="I988" s="20">
        <f t="shared" si="2"/>
        <v>46143</v>
      </c>
    </row>
    <row r="989" ht="22.5" customHeight="1">
      <c r="A989" s="5">
        <v>46147.0</v>
      </c>
      <c r="B989" s="6">
        <f t="shared" si="1"/>
        <v>19</v>
      </c>
      <c r="C989" s="7" t="s">
        <v>9</v>
      </c>
      <c r="D989" s="8">
        <v>149.97</v>
      </c>
      <c r="E989" s="7" t="s">
        <v>19</v>
      </c>
      <c r="F989" s="10" t="str">
        <f>VLOOKUP(E989,BASE_VEICULOS!A:G,7,0)</f>
        <v>PROF - 07001 - MANUTENÇÃO PREDIAL- PROFARMA-2025</v>
      </c>
      <c r="G989" s="11" t="str">
        <f>IFERROR(VLOOKUP(E989,BASE_VEICULOS!$A:$B,2,0),"")</f>
        <v>TEW9A24</v>
      </c>
      <c r="H989" s="19"/>
      <c r="I989" s="20">
        <f t="shared" si="2"/>
        <v>46143</v>
      </c>
    </row>
    <row r="990" ht="22.5" customHeight="1">
      <c r="A990" s="5">
        <v>46147.0</v>
      </c>
      <c r="B990" s="6">
        <f t="shared" si="1"/>
        <v>19</v>
      </c>
      <c r="C990" s="7" t="s">
        <v>9</v>
      </c>
      <c r="D990" s="8">
        <v>200.02</v>
      </c>
      <c r="E990" s="7" t="s">
        <v>24</v>
      </c>
      <c r="F990" s="10" t="str">
        <f>VLOOKUP(E990,BASE_VEICULOS!A:G,7,0)</f>
        <v>PROF - 07001 - MANUTENÇÃO PREDIAL- PROFARMA-2025</v>
      </c>
      <c r="G990" s="11" t="str">
        <f>IFERROR(VLOOKUP(E990,BASE_VEICULOS!$A:$B,2,0),"")</f>
        <v>TEW9A23</v>
      </c>
      <c r="H990" s="19"/>
      <c r="I990" s="20">
        <f t="shared" si="2"/>
        <v>46143</v>
      </c>
    </row>
    <row r="991" ht="22.5" customHeight="1">
      <c r="A991" s="5">
        <v>46147.0</v>
      </c>
      <c r="B991" s="6">
        <f t="shared" si="1"/>
        <v>19</v>
      </c>
      <c r="C991" s="7" t="s">
        <v>9</v>
      </c>
      <c r="D991" s="8">
        <v>100.0</v>
      </c>
      <c r="E991" s="7" t="s">
        <v>33</v>
      </c>
      <c r="F991" s="10" t="str">
        <f>VLOOKUP(E991,BASE_VEICULOS!A:G,7,0)</f>
        <v>PROF - 07001 - MANUTENÇÃO PREDIAL- PROFARMA-2025</v>
      </c>
      <c r="G991" s="11" t="str">
        <f>IFERROR(VLOOKUP(E991,BASE_VEICULOS!$A:$B,2,0),"")</f>
        <v>TEW9A30</v>
      </c>
      <c r="H991" s="19"/>
      <c r="I991" s="20">
        <f t="shared" si="2"/>
        <v>46143</v>
      </c>
    </row>
    <row r="992" ht="22.5" customHeight="1">
      <c r="A992" s="5">
        <v>46147.0</v>
      </c>
      <c r="B992" s="6">
        <f t="shared" si="1"/>
        <v>19</v>
      </c>
      <c r="C992" s="7" t="s">
        <v>9</v>
      </c>
      <c r="D992" s="8">
        <v>99.96</v>
      </c>
      <c r="E992" s="7" t="s">
        <v>25</v>
      </c>
      <c r="F992" s="10" t="str">
        <f>VLOOKUP(E992,BASE_VEICULOS!A:G,7,0)</f>
        <v>PROF - 07001 - MANUTENÇÃO PREDIAL- PROFARMA-2025</v>
      </c>
      <c r="G992" s="11" t="str">
        <f>IFERROR(VLOOKUP(E992,BASE_VEICULOS!$A:$B,2,0),"")</f>
        <v>TEW9A26</v>
      </c>
      <c r="H992" s="19"/>
      <c r="I992" s="20">
        <f t="shared" si="2"/>
        <v>46143</v>
      </c>
    </row>
    <row r="993" ht="22.5" customHeight="1">
      <c r="A993" s="5">
        <v>46147.0</v>
      </c>
      <c r="B993" s="6">
        <f t="shared" si="1"/>
        <v>19</v>
      </c>
      <c r="C993" s="7" t="s">
        <v>9</v>
      </c>
      <c r="D993" s="8">
        <v>60.0</v>
      </c>
      <c r="E993" s="7" t="s">
        <v>34</v>
      </c>
      <c r="F993" s="10" t="str">
        <f>VLOOKUP(E993,BASE_VEICULOS!A:G,7,0)</f>
        <v>PROF - 07001 - MANUTENÇÃO PREDIAL- PROFARMA-2025</v>
      </c>
      <c r="G993" s="11" t="str">
        <f>IFERROR(VLOOKUP(E993,BASE_VEICULOS!$A:$B,2,0),"")</f>
        <v>SRU8D16</v>
      </c>
      <c r="H993" s="19"/>
      <c r="I993" s="20">
        <f t="shared" si="2"/>
        <v>46143</v>
      </c>
    </row>
    <row r="994" ht="22.5" customHeight="1">
      <c r="A994" s="5">
        <v>46148.0</v>
      </c>
      <c r="B994" s="6">
        <f t="shared" si="1"/>
        <v>19</v>
      </c>
      <c r="C994" s="7" t="s">
        <v>9</v>
      </c>
      <c r="D994" s="8">
        <v>100.0</v>
      </c>
      <c r="E994" s="7" t="s">
        <v>17</v>
      </c>
      <c r="F994" s="10" t="str">
        <f>VLOOKUP(E994,BASE_VEICULOS!A:G,7,0)</f>
        <v>#N/A</v>
      </c>
      <c r="G994" s="11" t="str">
        <f>IFERROR(VLOOKUP(E994,BASE_VEICULOS!$A:$B,2,0),"")</f>
        <v/>
      </c>
      <c r="H994" s="19"/>
      <c r="I994" s="20">
        <f t="shared" si="2"/>
        <v>46143</v>
      </c>
    </row>
    <row r="995" ht="22.5" customHeight="1">
      <c r="A995" s="5">
        <v>46148.0</v>
      </c>
      <c r="B995" s="6">
        <f t="shared" si="1"/>
        <v>19</v>
      </c>
      <c r="C995" s="7" t="s">
        <v>9</v>
      </c>
      <c r="D995" s="8">
        <v>140.0</v>
      </c>
      <c r="E995" s="7" t="s">
        <v>29</v>
      </c>
      <c r="F995" s="10" t="str">
        <f>VLOOKUP(E995,BASE_VEICULOS!A:G,7,0)</f>
        <v>PROF - 07001 - MANUTENÇÃO PREDIAL- PROFARMA-2025</v>
      </c>
      <c r="G995" s="11" t="str">
        <f>IFERROR(VLOOKUP(E995,BASE_VEICULOS!$A:$B,2,0),"")</f>
        <v>TEQ2I74</v>
      </c>
      <c r="H995" s="19"/>
      <c r="I995" s="20">
        <f t="shared" si="2"/>
        <v>46143</v>
      </c>
    </row>
    <row r="996" ht="22.5" customHeight="1">
      <c r="A996" s="5">
        <v>46148.0</v>
      </c>
      <c r="B996" s="6">
        <f t="shared" si="1"/>
        <v>19</v>
      </c>
      <c r="C996" s="7" t="s">
        <v>9</v>
      </c>
      <c r="D996" s="8">
        <v>120.0</v>
      </c>
      <c r="E996" s="7" t="s">
        <v>20</v>
      </c>
      <c r="F996" s="10" t="str">
        <f>VLOOKUP(E996,BASE_VEICULOS!A:G,7,0)</f>
        <v>PROF - 07001 - MANUTENÇÃO PREDIAL- PROFARMA-2025</v>
      </c>
      <c r="G996" s="11" t="str">
        <f>IFERROR(VLOOKUP(E996,BASE_VEICULOS!$A:$B,2,0),"")</f>
        <v>TEW9A34</v>
      </c>
      <c r="H996" s="19"/>
      <c r="I996" s="20">
        <f t="shared" si="2"/>
        <v>46143</v>
      </c>
    </row>
    <row r="997" ht="22.5" customHeight="1">
      <c r="A997" s="5">
        <v>46148.0</v>
      </c>
      <c r="B997" s="6">
        <f t="shared" si="1"/>
        <v>19</v>
      </c>
      <c r="C997" s="7" t="s">
        <v>9</v>
      </c>
      <c r="D997" s="8">
        <v>155.0</v>
      </c>
      <c r="E997" s="7" t="s">
        <v>21</v>
      </c>
      <c r="F997" s="10" t="str">
        <f>VLOOKUP(E997,BASE_VEICULOS!A:G,7,0)</f>
        <v>PROF - 07001 - MANUTENÇÃO PREDIAL- PROFARMA-2025</v>
      </c>
      <c r="G997" s="11" t="str">
        <f>IFERROR(VLOOKUP(E997,BASE_VEICULOS!$A:$B,2,0),"")</f>
        <v>TEW9A33</v>
      </c>
      <c r="H997" s="19"/>
      <c r="I997" s="20">
        <f t="shared" si="2"/>
        <v>46143</v>
      </c>
    </row>
    <row r="998" ht="22.5" customHeight="1">
      <c r="A998" s="5">
        <v>46148.0</v>
      </c>
      <c r="B998" s="6">
        <f t="shared" si="1"/>
        <v>19</v>
      </c>
      <c r="C998" s="7" t="s">
        <v>9</v>
      </c>
      <c r="D998" s="8">
        <v>160.0</v>
      </c>
      <c r="E998" s="7" t="s">
        <v>15</v>
      </c>
      <c r="F998" s="10" t="str">
        <f>VLOOKUP(E998,BASE_VEICULOS!A:G,7,0)</f>
        <v>FAC - 140005 - SPOT MANUTENÇÃO DPSP 2025</v>
      </c>
      <c r="G998" s="11" t="str">
        <f>IFERROR(VLOOKUP(E998,BASE_VEICULOS!$A:$B,2,0),"")</f>
        <v>EWH1B84</v>
      </c>
      <c r="H998" s="19"/>
      <c r="I998" s="20">
        <f t="shared" si="2"/>
        <v>46143</v>
      </c>
    </row>
    <row r="999" ht="22.5" customHeight="1">
      <c r="A999" s="5">
        <v>46148.0</v>
      </c>
      <c r="B999" s="6">
        <f t="shared" si="1"/>
        <v>19</v>
      </c>
      <c r="C999" s="7" t="s">
        <v>9</v>
      </c>
      <c r="D999" s="8">
        <v>100.0</v>
      </c>
      <c r="E999" s="7" t="s">
        <v>16</v>
      </c>
      <c r="F999" s="10" t="str">
        <f>VLOOKUP(E999,BASE_VEICULOS!A:G,7,0)</f>
        <v>FAC - 140005 - SPOT MANUTENÇÃO DPSP 2025</v>
      </c>
      <c r="G999" s="11" t="str">
        <f>IFERROR(VLOOKUP(E999,BASE_VEICULOS!$A:$B,2,0),"")</f>
        <v>TEW9A27</v>
      </c>
      <c r="H999" s="19"/>
      <c r="I999" s="20">
        <f t="shared" si="2"/>
        <v>46143</v>
      </c>
    </row>
    <row r="1000" ht="22.5" customHeight="1">
      <c r="A1000" s="5">
        <v>46148.0</v>
      </c>
      <c r="B1000" s="6">
        <f t="shared" si="1"/>
        <v>19</v>
      </c>
      <c r="C1000" s="7" t="s">
        <v>9</v>
      </c>
      <c r="D1000" s="8">
        <v>60.0</v>
      </c>
      <c r="E1000" s="7" t="s">
        <v>22</v>
      </c>
      <c r="F1000" s="10" t="str">
        <f>VLOOKUP(E1000,BASE_VEICULOS!A:G,7,0)</f>
        <v>PROF - 07001 - MANUTENÇÃO PREDIAL- PROFARMA-2025</v>
      </c>
      <c r="G1000" s="11" t="str">
        <f>IFERROR(VLOOKUP(E1000,BASE_VEICULOS!$A:$B,2,0),"")</f>
        <v>TET5H37</v>
      </c>
      <c r="H1000" s="19"/>
      <c r="I1000" s="20">
        <f t="shared" si="2"/>
        <v>46143</v>
      </c>
    </row>
    <row r="1001" ht="22.5" customHeight="1">
      <c r="A1001" s="5">
        <v>46148.0</v>
      </c>
      <c r="B1001" s="6">
        <f t="shared" si="1"/>
        <v>19</v>
      </c>
      <c r="C1001" s="7" t="s">
        <v>9</v>
      </c>
      <c r="D1001" s="8">
        <v>100.0</v>
      </c>
      <c r="E1001" s="7" t="s">
        <v>30</v>
      </c>
      <c r="F1001" s="10" t="str">
        <f>VLOOKUP(E1001,BASE_VEICULOS!A:G,7,0)</f>
        <v>#N/A</v>
      </c>
      <c r="G1001" s="11" t="str">
        <f>IFERROR(VLOOKUP(E1001,BASE_VEICULOS!$A:$B,2,0),"")</f>
        <v/>
      </c>
      <c r="H1001" s="19"/>
      <c r="I1001" s="20">
        <f t="shared" si="2"/>
        <v>46143</v>
      </c>
    </row>
    <row r="1002" ht="22.5" customHeight="1">
      <c r="A1002" s="5">
        <v>46148.0</v>
      </c>
      <c r="B1002" s="6">
        <f t="shared" si="1"/>
        <v>19</v>
      </c>
      <c r="C1002" s="7" t="s">
        <v>9</v>
      </c>
      <c r="D1002" s="8">
        <v>100.0</v>
      </c>
      <c r="E1002" s="7" t="s">
        <v>18</v>
      </c>
      <c r="F1002" s="10" t="str">
        <f>VLOOKUP(E1002,BASE_VEICULOS!A:G,7,0)</f>
        <v>FAC - 140004 - MANUTENÇÃO PREDIAL DPSP 2025</v>
      </c>
      <c r="G1002" s="11" t="str">
        <f>IFERROR(VLOOKUP(E1002,BASE_VEICULOS!$A:$B,2,0),"")</f>
        <v>TEW9A29</v>
      </c>
      <c r="H1002" s="19"/>
      <c r="I1002" s="20">
        <f t="shared" si="2"/>
        <v>46143</v>
      </c>
    </row>
    <row r="1003" ht="22.5" customHeight="1">
      <c r="A1003" s="5">
        <v>46148.0</v>
      </c>
      <c r="B1003" s="6">
        <f t="shared" si="1"/>
        <v>19</v>
      </c>
      <c r="C1003" s="7" t="s">
        <v>9</v>
      </c>
      <c r="D1003" s="8">
        <v>99.97</v>
      </c>
      <c r="E1003" s="7" t="s">
        <v>19</v>
      </c>
      <c r="F1003" s="10" t="str">
        <f>VLOOKUP(E1003,BASE_VEICULOS!A:G,7,0)</f>
        <v>PROF - 07001 - MANUTENÇÃO PREDIAL- PROFARMA-2025</v>
      </c>
      <c r="G1003" s="11" t="str">
        <f>IFERROR(VLOOKUP(E1003,BASE_VEICULOS!$A:$B,2,0),"")</f>
        <v>TEW9A24</v>
      </c>
      <c r="H1003" s="19"/>
      <c r="I1003" s="20">
        <f t="shared" si="2"/>
        <v>46143</v>
      </c>
    </row>
    <row r="1004" ht="22.5" customHeight="1">
      <c r="A1004" s="5">
        <v>46148.0</v>
      </c>
      <c r="B1004" s="6">
        <f t="shared" si="1"/>
        <v>19</v>
      </c>
      <c r="C1004" s="7" t="s">
        <v>9</v>
      </c>
      <c r="D1004" s="8">
        <v>100.0</v>
      </c>
      <c r="E1004" s="7" t="s">
        <v>13</v>
      </c>
      <c r="F1004" s="10" t="str">
        <f>VLOOKUP(E1004,BASE_VEICULOS!A:G,7,0)</f>
        <v>FAC - 140005 - SPOT MANUTENÇÃO DPSP 2025</v>
      </c>
      <c r="G1004" s="11" t="str">
        <f>IFERROR(VLOOKUP(E1004,BASE_VEICULOS!$A:$B,2,0),"")</f>
        <v>FGO3C61</v>
      </c>
      <c r="H1004" s="19"/>
      <c r="I1004" s="20">
        <f t="shared" si="2"/>
        <v>46143</v>
      </c>
    </row>
    <row r="1005" ht="22.5" customHeight="1">
      <c r="A1005" s="5">
        <v>46148.0</v>
      </c>
      <c r="B1005" s="6">
        <f t="shared" si="1"/>
        <v>19</v>
      </c>
      <c r="C1005" s="7" t="s">
        <v>9</v>
      </c>
      <c r="D1005" s="8">
        <v>100.0</v>
      </c>
      <c r="E1005" s="7" t="s">
        <v>24</v>
      </c>
      <c r="F1005" s="10" t="str">
        <f>VLOOKUP(E1005,BASE_VEICULOS!A:G,7,0)</f>
        <v>PROF - 07001 - MANUTENÇÃO PREDIAL- PROFARMA-2025</v>
      </c>
      <c r="G1005" s="11" t="str">
        <f>IFERROR(VLOOKUP(E1005,BASE_VEICULOS!$A:$B,2,0),"")</f>
        <v>TEW9A23</v>
      </c>
      <c r="H1005" s="19"/>
      <c r="I1005" s="20">
        <f t="shared" si="2"/>
        <v>46143</v>
      </c>
    </row>
    <row r="1006" ht="22.5" customHeight="1">
      <c r="A1006" s="5">
        <v>46148.0</v>
      </c>
      <c r="B1006" s="6">
        <f t="shared" si="1"/>
        <v>19</v>
      </c>
      <c r="C1006" s="7" t="s">
        <v>9</v>
      </c>
      <c r="D1006" s="8">
        <v>150.0</v>
      </c>
      <c r="E1006" s="7" t="s">
        <v>33</v>
      </c>
      <c r="F1006" s="10" t="str">
        <f>VLOOKUP(E1006,BASE_VEICULOS!A:G,7,0)</f>
        <v>PROF - 07001 - MANUTENÇÃO PREDIAL- PROFARMA-2025</v>
      </c>
      <c r="G1006" s="11" t="str">
        <f>IFERROR(VLOOKUP(E1006,BASE_VEICULOS!$A:$B,2,0),"")</f>
        <v>TEW9A30</v>
      </c>
      <c r="H1006" s="19"/>
      <c r="I1006" s="20">
        <f t="shared" si="2"/>
        <v>46143</v>
      </c>
    </row>
    <row r="1007" ht="22.5" customHeight="1">
      <c r="A1007" s="5">
        <v>46148.0</v>
      </c>
      <c r="B1007" s="6">
        <f t="shared" si="1"/>
        <v>19</v>
      </c>
      <c r="C1007" s="7" t="s">
        <v>9</v>
      </c>
      <c r="D1007" s="8">
        <v>100.0</v>
      </c>
      <c r="E1007" s="7" t="s">
        <v>14</v>
      </c>
      <c r="F1007" s="10" t="str">
        <f>VLOOKUP(E1007,BASE_VEICULOS!A:G,7,0)</f>
        <v>FAC - 140004 - MANUTENÇÃO PREDIAL DPSP 2025</v>
      </c>
      <c r="G1007" s="11" t="str">
        <f>IFERROR(VLOOKUP(E1007,BASE_VEICULOS!$A:$B,2,0),"")</f>
        <v>FOK8A73</v>
      </c>
      <c r="H1007" s="19"/>
      <c r="I1007" s="20">
        <f t="shared" si="2"/>
        <v>46143</v>
      </c>
    </row>
    <row r="1008" ht="22.5" customHeight="1">
      <c r="A1008" s="5">
        <v>46148.0</v>
      </c>
      <c r="B1008" s="6">
        <f t="shared" si="1"/>
        <v>19</v>
      </c>
      <c r="C1008" s="7" t="s">
        <v>9</v>
      </c>
      <c r="D1008" s="8">
        <v>200.01</v>
      </c>
      <c r="E1008" s="7" t="s">
        <v>25</v>
      </c>
      <c r="F1008" s="10" t="str">
        <f>VLOOKUP(E1008,BASE_VEICULOS!A:G,7,0)</f>
        <v>PROF - 07001 - MANUTENÇÃO PREDIAL- PROFARMA-2025</v>
      </c>
      <c r="G1008" s="11" t="str">
        <f>IFERROR(VLOOKUP(E1008,BASE_VEICULOS!$A:$B,2,0),"")</f>
        <v>TEW9A26</v>
      </c>
      <c r="H1008" s="19"/>
      <c r="I1008" s="20">
        <f t="shared" si="2"/>
        <v>46143</v>
      </c>
    </row>
    <row r="1009" ht="22.5" customHeight="1">
      <c r="A1009" s="5">
        <v>46148.0</v>
      </c>
      <c r="B1009" s="6">
        <f t="shared" si="1"/>
        <v>19</v>
      </c>
      <c r="C1009" s="7" t="s">
        <v>9</v>
      </c>
      <c r="D1009" s="8">
        <v>99.96</v>
      </c>
      <c r="E1009" s="7" t="s">
        <v>34</v>
      </c>
      <c r="F1009" s="10" t="str">
        <f>VLOOKUP(E1009,BASE_VEICULOS!A:G,7,0)</f>
        <v>PROF - 07001 - MANUTENÇÃO PREDIAL- PROFARMA-2025</v>
      </c>
      <c r="G1009" s="11" t="str">
        <f>IFERROR(VLOOKUP(E1009,BASE_VEICULOS!$A:$B,2,0),"")</f>
        <v>SRU8D16</v>
      </c>
      <c r="H1009" s="19"/>
      <c r="I1009" s="20">
        <f t="shared" si="2"/>
        <v>46143</v>
      </c>
    </row>
    <row r="1010" ht="22.5" customHeight="1">
      <c r="A1010" s="5">
        <v>46149.0</v>
      </c>
      <c r="B1010" s="6">
        <f t="shared" si="1"/>
        <v>19</v>
      </c>
      <c r="C1010" s="7" t="s">
        <v>9</v>
      </c>
      <c r="D1010" s="8">
        <v>50.0</v>
      </c>
      <c r="E1010" s="7" t="s">
        <v>12</v>
      </c>
      <c r="F1010" s="10" t="str">
        <f>VLOOKUP(E1010,BASE_VEICULOS!A:G,7,0)</f>
        <v>FAC - 140004 - MANUTENÇÃO PREDIAL DPSP 2025</v>
      </c>
      <c r="G1010" s="11" t="str">
        <f>IFERROR(VLOOKUP(E1010,BASE_VEICULOS!$A:$B,2,0),"")</f>
        <v>FIL8C14</v>
      </c>
      <c r="H1010" s="19"/>
      <c r="I1010" s="20">
        <f t="shared" si="2"/>
        <v>46143</v>
      </c>
    </row>
    <row r="1011" ht="22.5" customHeight="1">
      <c r="A1011" s="5">
        <v>46149.0</v>
      </c>
      <c r="B1011" s="6">
        <f t="shared" si="1"/>
        <v>19</v>
      </c>
      <c r="C1011" s="7" t="s">
        <v>9</v>
      </c>
      <c r="D1011" s="8">
        <v>149.15</v>
      </c>
      <c r="E1011" s="7" t="s">
        <v>17</v>
      </c>
      <c r="F1011" s="10" t="str">
        <f>VLOOKUP(E1011,BASE_VEICULOS!A:G,7,0)</f>
        <v>#N/A</v>
      </c>
      <c r="G1011" s="11" t="str">
        <f>IFERROR(VLOOKUP(E1011,BASE_VEICULOS!$A:$B,2,0),"")</f>
        <v/>
      </c>
      <c r="H1011" s="19"/>
      <c r="I1011" s="20">
        <f t="shared" si="2"/>
        <v>46143</v>
      </c>
    </row>
    <row r="1012" ht="22.5" customHeight="1">
      <c r="A1012" s="5">
        <v>46149.0</v>
      </c>
      <c r="B1012" s="6">
        <f t="shared" si="1"/>
        <v>19</v>
      </c>
      <c r="C1012" s="7" t="s">
        <v>9</v>
      </c>
      <c r="D1012" s="8">
        <v>70.0</v>
      </c>
      <c r="E1012" s="7" t="s">
        <v>29</v>
      </c>
      <c r="F1012" s="10" t="str">
        <f>VLOOKUP(E1012,BASE_VEICULOS!A:G,7,0)</f>
        <v>PROF - 07001 - MANUTENÇÃO PREDIAL- PROFARMA-2025</v>
      </c>
      <c r="G1012" s="11" t="str">
        <f>IFERROR(VLOOKUP(E1012,BASE_VEICULOS!$A:$B,2,0),"")</f>
        <v>TEQ2I74</v>
      </c>
      <c r="H1012" s="19"/>
      <c r="I1012" s="20">
        <f t="shared" si="2"/>
        <v>46143</v>
      </c>
    </row>
    <row r="1013" ht="22.5" customHeight="1">
      <c r="A1013" s="5">
        <v>46149.0</v>
      </c>
      <c r="B1013" s="6">
        <f t="shared" si="1"/>
        <v>19</v>
      </c>
      <c r="C1013" s="7" t="s">
        <v>9</v>
      </c>
      <c r="D1013" s="8">
        <v>58.7</v>
      </c>
      <c r="E1013" s="7" t="s">
        <v>20</v>
      </c>
      <c r="F1013" s="10" t="str">
        <f>VLOOKUP(E1013,BASE_VEICULOS!A:G,7,0)</f>
        <v>PROF - 07001 - MANUTENÇÃO PREDIAL- PROFARMA-2025</v>
      </c>
      <c r="G1013" s="11" t="str">
        <f>IFERROR(VLOOKUP(E1013,BASE_VEICULOS!$A:$B,2,0),"")</f>
        <v>TEW9A34</v>
      </c>
      <c r="H1013" s="19"/>
      <c r="I1013" s="20">
        <f t="shared" si="2"/>
        <v>46143</v>
      </c>
    </row>
    <row r="1014" ht="22.5" customHeight="1">
      <c r="A1014" s="5">
        <v>46149.0</v>
      </c>
      <c r="B1014" s="6">
        <f t="shared" si="1"/>
        <v>19</v>
      </c>
      <c r="C1014" s="7" t="s">
        <v>9</v>
      </c>
      <c r="D1014" s="8">
        <v>50.0</v>
      </c>
      <c r="E1014" s="7" t="s">
        <v>21</v>
      </c>
      <c r="F1014" s="10" t="str">
        <f>VLOOKUP(E1014,BASE_VEICULOS!A:G,7,0)</f>
        <v>PROF - 07001 - MANUTENÇÃO PREDIAL- PROFARMA-2025</v>
      </c>
      <c r="G1014" s="11" t="str">
        <f>IFERROR(VLOOKUP(E1014,BASE_VEICULOS!$A:$B,2,0),"")</f>
        <v>TEW9A33</v>
      </c>
      <c r="H1014" s="19"/>
      <c r="I1014" s="20">
        <f t="shared" si="2"/>
        <v>46143</v>
      </c>
    </row>
    <row r="1015" ht="22.5" customHeight="1">
      <c r="A1015" s="5">
        <v>46149.0</v>
      </c>
      <c r="B1015" s="6">
        <f t="shared" si="1"/>
        <v>19</v>
      </c>
      <c r="C1015" s="7" t="s">
        <v>9</v>
      </c>
      <c r="D1015" s="8">
        <v>50.0</v>
      </c>
      <c r="E1015" s="7" t="s">
        <v>30</v>
      </c>
      <c r="F1015" s="10" t="str">
        <f>VLOOKUP(E1015,BASE_VEICULOS!A:G,7,0)</f>
        <v>#N/A</v>
      </c>
      <c r="G1015" s="11" t="str">
        <f>IFERROR(VLOOKUP(E1015,BASE_VEICULOS!$A:$B,2,0),"")</f>
        <v/>
      </c>
      <c r="H1015" s="19"/>
      <c r="I1015" s="20">
        <f t="shared" si="2"/>
        <v>46143</v>
      </c>
    </row>
    <row r="1016" ht="22.5" customHeight="1">
      <c r="A1016" s="5">
        <v>46149.0</v>
      </c>
      <c r="B1016" s="6">
        <f t="shared" si="1"/>
        <v>19</v>
      </c>
      <c r="C1016" s="7" t="s">
        <v>9</v>
      </c>
      <c r="D1016" s="8">
        <v>50.0</v>
      </c>
      <c r="E1016" s="7" t="s">
        <v>13</v>
      </c>
      <c r="F1016" s="10" t="str">
        <f>VLOOKUP(E1016,BASE_VEICULOS!A:G,7,0)</f>
        <v>FAC - 140005 - SPOT MANUTENÇÃO DPSP 2025</v>
      </c>
      <c r="G1016" s="11" t="str">
        <f>IFERROR(VLOOKUP(E1016,BASE_VEICULOS!$A:$B,2,0),"")</f>
        <v>FGO3C61</v>
      </c>
      <c r="H1016" s="19"/>
      <c r="I1016" s="20">
        <f t="shared" si="2"/>
        <v>46143</v>
      </c>
    </row>
    <row r="1017" ht="22.5" customHeight="1">
      <c r="A1017" s="5">
        <v>46149.0</v>
      </c>
      <c r="B1017" s="6">
        <f t="shared" si="1"/>
        <v>19</v>
      </c>
      <c r="C1017" s="7" t="s">
        <v>9</v>
      </c>
      <c r="D1017" s="8">
        <v>120.0</v>
      </c>
      <c r="E1017" s="7" t="s">
        <v>24</v>
      </c>
      <c r="F1017" s="10" t="str">
        <f>VLOOKUP(E1017,BASE_VEICULOS!A:G,7,0)</f>
        <v>PROF - 07001 - MANUTENÇÃO PREDIAL- PROFARMA-2025</v>
      </c>
      <c r="G1017" s="11" t="str">
        <f>IFERROR(VLOOKUP(E1017,BASE_VEICULOS!$A:$B,2,0),"")</f>
        <v>TEW9A23</v>
      </c>
      <c r="H1017" s="19"/>
      <c r="I1017" s="20">
        <f t="shared" si="2"/>
        <v>46143</v>
      </c>
    </row>
    <row r="1018" ht="22.5" customHeight="1">
      <c r="A1018" s="5">
        <v>46150.0</v>
      </c>
      <c r="B1018" s="6">
        <f t="shared" si="1"/>
        <v>19</v>
      </c>
      <c r="C1018" s="7" t="s">
        <v>9</v>
      </c>
      <c r="D1018" s="8">
        <v>50.0</v>
      </c>
      <c r="E1018" s="7" t="s">
        <v>11</v>
      </c>
      <c r="F1018" s="10" t="str">
        <f>VLOOKUP(E1018,BASE_VEICULOS!A:G,7,0)</f>
        <v>PROF - 07001 - MANUTENÇÃO PREDIAL- PROFARMA-2025</v>
      </c>
      <c r="G1018" s="11" t="str">
        <f>IFERROR(VLOOKUP(E1018,BASE_VEICULOS!$A:$B,2,0),"")</f>
        <v>TEW9A28</v>
      </c>
      <c r="H1018" s="19"/>
      <c r="I1018" s="20">
        <f t="shared" si="2"/>
        <v>46143</v>
      </c>
    </row>
    <row r="1019" ht="22.5" customHeight="1">
      <c r="A1019" s="5">
        <v>46150.0</v>
      </c>
      <c r="B1019" s="6">
        <f t="shared" si="1"/>
        <v>19</v>
      </c>
      <c r="C1019" s="7" t="s">
        <v>9</v>
      </c>
      <c r="D1019" s="8">
        <v>30.0</v>
      </c>
      <c r="E1019" s="7" t="s">
        <v>34</v>
      </c>
      <c r="F1019" s="10" t="str">
        <f>VLOOKUP(E1019,BASE_VEICULOS!A:G,7,0)</f>
        <v>PROF - 07001 - MANUTENÇÃO PREDIAL- PROFARMA-2025</v>
      </c>
      <c r="G1019" s="11" t="str">
        <f>IFERROR(VLOOKUP(E1019,BASE_VEICULOS!$A:$B,2,0),"")</f>
        <v>SRU8D16</v>
      </c>
      <c r="H1019" s="19"/>
      <c r="I1019" s="20">
        <f t="shared" si="2"/>
        <v>46143</v>
      </c>
    </row>
    <row r="1020" ht="22.5" customHeight="1">
      <c r="A1020" s="5">
        <v>46150.0</v>
      </c>
      <c r="B1020" s="6">
        <f t="shared" si="1"/>
        <v>19</v>
      </c>
      <c r="C1020" s="7" t="s">
        <v>9</v>
      </c>
      <c r="D1020" s="8">
        <v>50.0</v>
      </c>
      <c r="E1020" s="7" t="s">
        <v>12</v>
      </c>
      <c r="F1020" s="10" t="str">
        <f>VLOOKUP(E1020,BASE_VEICULOS!A:G,7,0)</f>
        <v>FAC - 140004 - MANUTENÇÃO PREDIAL DPSP 2025</v>
      </c>
      <c r="G1020" s="11" t="str">
        <f>IFERROR(VLOOKUP(E1020,BASE_VEICULOS!$A:$B,2,0),"")</f>
        <v>FIL8C14</v>
      </c>
      <c r="H1020" s="19"/>
      <c r="I1020" s="20">
        <f t="shared" si="2"/>
        <v>46143</v>
      </c>
    </row>
    <row r="1021" ht="22.5" customHeight="1">
      <c r="A1021" s="5">
        <v>46150.0</v>
      </c>
      <c r="B1021" s="6">
        <f t="shared" si="1"/>
        <v>19</v>
      </c>
      <c r="C1021" s="7" t="s">
        <v>9</v>
      </c>
      <c r="D1021" s="8">
        <v>60.0</v>
      </c>
      <c r="E1021" s="7" t="s">
        <v>17</v>
      </c>
      <c r="F1021" s="10" t="str">
        <f>VLOOKUP(E1021,BASE_VEICULOS!A:G,7,0)</f>
        <v>#N/A</v>
      </c>
      <c r="G1021" s="11" t="str">
        <f>IFERROR(VLOOKUP(E1021,BASE_VEICULOS!$A:$B,2,0),"")</f>
        <v/>
      </c>
      <c r="H1021" s="19"/>
      <c r="I1021" s="20">
        <f t="shared" si="2"/>
        <v>46143</v>
      </c>
    </row>
    <row r="1022" ht="22.5" customHeight="1">
      <c r="A1022" s="5">
        <v>46150.0</v>
      </c>
      <c r="B1022" s="6">
        <f t="shared" si="1"/>
        <v>19</v>
      </c>
      <c r="C1022" s="7" t="s">
        <v>9</v>
      </c>
      <c r="D1022" s="8">
        <v>149.82</v>
      </c>
      <c r="E1022" s="7" t="s">
        <v>29</v>
      </c>
      <c r="F1022" s="10" t="str">
        <f>VLOOKUP(E1022,BASE_VEICULOS!A:G,7,0)</f>
        <v>PROF - 07001 - MANUTENÇÃO PREDIAL- PROFARMA-2025</v>
      </c>
      <c r="G1022" s="11" t="str">
        <f>IFERROR(VLOOKUP(E1022,BASE_VEICULOS!$A:$B,2,0),"")</f>
        <v>TEQ2I74</v>
      </c>
      <c r="H1022" s="19"/>
      <c r="I1022" s="20">
        <f t="shared" si="2"/>
        <v>46143</v>
      </c>
    </row>
    <row r="1023" ht="22.5" customHeight="1">
      <c r="A1023" s="5">
        <v>46150.0</v>
      </c>
      <c r="B1023" s="6">
        <f t="shared" si="1"/>
        <v>19</v>
      </c>
      <c r="C1023" s="7" t="s">
        <v>9</v>
      </c>
      <c r="D1023" s="8">
        <v>60.0</v>
      </c>
      <c r="E1023" s="7" t="s">
        <v>20</v>
      </c>
      <c r="F1023" s="10" t="str">
        <f>VLOOKUP(E1023,BASE_VEICULOS!A:G,7,0)</f>
        <v>PROF - 07001 - MANUTENÇÃO PREDIAL- PROFARMA-2025</v>
      </c>
      <c r="G1023" s="11" t="str">
        <f>IFERROR(VLOOKUP(E1023,BASE_VEICULOS!$A:$B,2,0),"")</f>
        <v>TEW9A34</v>
      </c>
      <c r="H1023" s="19"/>
      <c r="I1023" s="20">
        <f t="shared" si="2"/>
        <v>46143</v>
      </c>
    </row>
    <row r="1024" ht="22.5" customHeight="1">
      <c r="A1024" s="5">
        <v>46150.0</v>
      </c>
      <c r="B1024" s="6">
        <f t="shared" si="1"/>
        <v>19</v>
      </c>
      <c r="C1024" s="7" t="s">
        <v>9</v>
      </c>
      <c r="D1024" s="8">
        <v>49.99</v>
      </c>
      <c r="E1024" s="7" t="s">
        <v>23</v>
      </c>
      <c r="F1024" s="10" t="str">
        <f>VLOOKUP(E1024,BASE_VEICULOS!A:G,7,0)</f>
        <v>PROF - 07001 - MANUTENÇÃO PREDIAL- PROFARMA-2025</v>
      </c>
      <c r="G1024" s="11" t="str">
        <f>IFERROR(VLOOKUP(E1024,BASE_VEICULOS!$A:$B,2,0),"")</f>
        <v>TEH3I02</v>
      </c>
      <c r="H1024" s="19"/>
      <c r="I1024" s="20">
        <f t="shared" si="2"/>
        <v>46143</v>
      </c>
    </row>
    <row r="1025" ht="22.5" customHeight="1">
      <c r="A1025" s="5">
        <v>46150.0</v>
      </c>
      <c r="B1025" s="6">
        <f t="shared" si="1"/>
        <v>19</v>
      </c>
      <c r="C1025" s="7" t="s">
        <v>9</v>
      </c>
      <c r="D1025" s="8">
        <v>78.94</v>
      </c>
      <c r="E1025" s="7" t="s">
        <v>21</v>
      </c>
      <c r="F1025" s="10" t="str">
        <f>VLOOKUP(E1025,BASE_VEICULOS!A:G,7,0)</f>
        <v>PROF - 07001 - MANUTENÇÃO PREDIAL- PROFARMA-2025</v>
      </c>
      <c r="G1025" s="11" t="str">
        <f>IFERROR(VLOOKUP(E1025,BASE_VEICULOS!$A:$B,2,0),"")</f>
        <v>TEW9A33</v>
      </c>
      <c r="H1025" s="19"/>
      <c r="I1025" s="20">
        <f t="shared" si="2"/>
        <v>46143</v>
      </c>
    </row>
    <row r="1026" ht="22.5" customHeight="1">
      <c r="A1026" s="5">
        <v>46150.0</v>
      </c>
      <c r="B1026" s="6">
        <f t="shared" si="1"/>
        <v>19</v>
      </c>
      <c r="C1026" s="7" t="s">
        <v>9</v>
      </c>
      <c r="D1026" s="8">
        <v>50.0</v>
      </c>
      <c r="E1026" s="7" t="s">
        <v>11</v>
      </c>
      <c r="F1026" s="10" t="str">
        <f>VLOOKUP(E1026,BASE_VEICULOS!A:G,7,0)</f>
        <v>PROF - 07001 - MANUTENÇÃO PREDIAL- PROFARMA-2025</v>
      </c>
      <c r="G1026" s="11" t="str">
        <f>IFERROR(VLOOKUP(E1026,BASE_VEICULOS!$A:$B,2,0),"")</f>
        <v>TEW9A28</v>
      </c>
      <c r="H1026" s="19"/>
      <c r="I1026" s="20">
        <f t="shared" si="2"/>
        <v>46143</v>
      </c>
    </row>
    <row r="1027" ht="22.5" customHeight="1">
      <c r="A1027" s="5">
        <v>46150.0</v>
      </c>
      <c r="B1027" s="6">
        <f t="shared" si="1"/>
        <v>19</v>
      </c>
      <c r="C1027" s="7" t="s">
        <v>9</v>
      </c>
      <c r="D1027" s="8">
        <v>79.96</v>
      </c>
      <c r="E1027" s="7" t="s">
        <v>10</v>
      </c>
      <c r="F1027" s="10" t="str">
        <f>VLOOKUP(E1027,BASE_VEICULOS!A:G,7,0)</f>
        <v>FAC - 140004 - MANUTENÇÃO PREDIAL DPSP 2025</v>
      </c>
      <c r="G1027" s="11" t="str">
        <f>IFERROR(VLOOKUP(E1027,BASE_VEICULOS!$A:$B,2,0),"")</f>
        <v>TEW9A25</v>
      </c>
      <c r="H1027" s="19"/>
      <c r="I1027" s="20">
        <f t="shared" si="2"/>
        <v>46143</v>
      </c>
    </row>
    <row r="1028" ht="22.5" customHeight="1">
      <c r="A1028" s="5">
        <v>46150.0</v>
      </c>
      <c r="B1028" s="6">
        <f t="shared" si="1"/>
        <v>19</v>
      </c>
      <c r="C1028" s="7" t="s">
        <v>9</v>
      </c>
      <c r="D1028" s="8">
        <v>199.97</v>
      </c>
      <c r="E1028" s="7" t="s">
        <v>35</v>
      </c>
      <c r="F1028" s="10" t="str">
        <f>VLOOKUP(E1028,BASE_VEICULOS!A:G,7,0)</f>
        <v>#N/A</v>
      </c>
      <c r="G1028" s="11" t="str">
        <f>IFERROR(VLOOKUP(E1028,BASE_VEICULOS!$A:$B,2,0),"")</f>
        <v/>
      </c>
      <c r="H1028" s="19"/>
      <c r="I1028" s="20">
        <f t="shared" si="2"/>
        <v>46143</v>
      </c>
    </row>
    <row r="1029" ht="22.5" customHeight="1">
      <c r="A1029" s="5">
        <v>46150.0</v>
      </c>
      <c r="B1029" s="6">
        <f t="shared" si="1"/>
        <v>19</v>
      </c>
      <c r="C1029" s="7" t="s">
        <v>9</v>
      </c>
      <c r="D1029" s="8">
        <v>35.0</v>
      </c>
      <c r="E1029" s="7" t="s">
        <v>16</v>
      </c>
      <c r="F1029" s="10" t="str">
        <f>VLOOKUP(E1029,BASE_VEICULOS!A:G,7,0)</f>
        <v>FAC - 140005 - SPOT MANUTENÇÃO DPSP 2025</v>
      </c>
      <c r="G1029" s="11" t="str">
        <f>IFERROR(VLOOKUP(E1029,BASE_VEICULOS!$A:$B,2,0),"")</f>
        <v>TEW9A27</v>
      </c>
      <c r="H1029" s="19"/>
      <c r="I1029" s="20">
        <f t="shared" si="2"/>
        <v>46143</v>
      </c>
    </row>
    <row r="1030" ht="22.5" customHeight="1">
      <c r="A1030" s="5">
        <v>46150.0</v>
      </c>
      <c r="B1030" s="6">
        <f t="shared" si="1"/>
        <v>19</v>
      </c>
      <c r="C1030" s="7" t="s">
        <v>9</v>
      </c>
      <c r="D1030" s="8">
        <v>50.0</v>
      </c>
      <c r="E1030" s="7" t="s">
        <v>25</v>
      </c>
      <c r="F1030" s="10" t="str">
        <f>VLOOKUP(E1030,BASE_VEICULOS!A:G,7,0)</f>
        <v>PROF - 07001 - MANUTENÇÃO PREDIAL- PROFARMA-2025</v>
      </c>
      <c r="G1030" s="11" t="str">
        <f>IFERROR(VLOOKUP(E1030,BASE_VEICULOS!$A:$B,2,0),"")</f>
        <v>TEW9A26</v>
      </c>
      <c r="H1030" s="19"/>
      <c r="I1030" s="20">
        <f t="shared" si="2"/>
        <v>46143</v>
      </c>
    </row>
    <row r="1031" ht="22.5" customHeight="1">
      <c r="A1031" s="5">
        <v>46150.0</v>
      </c>
      <c r="B1031" s="6">
        <f t="shared" si="1"/>
        <v>19</v>
      </c>
      <c r="C1031" s="7" t="s">
        <v>9</v>
      </c>
      <c r="D1031" s="8">
        <v>20.0</v>
      </c>
      <c r="E1031" s="7" t="s">
        <v>30</v>
      </c>
      <c r="F1031" s="10" t="str">
        <f>VLOOKUP(E1031,BASE_VEICULOS!A:G,7,0)</f>
        <v>#N/A</v>
      </c>
      <c r="G1031" s="11" t="str">
        <f>IFERROR(VLOOKUP(E1031,BASE_VEICULOS!$A:$B,2,0),"")</f>
        <v/>
      </c>
      <c r="H1031" s="19"/>
      <c r="I1031" s="20">
        <f t="shared" si="2"/>
        <v>46143</v>
      </c>
    </row>
    <row r="1032" ht="22.5" customHeight="1">
      <c r="A1032" s="5">
        <v>46150.0</v>
      </c>
      <c r="B1032" s="6">
        <f t="shared" si="1"/>
        <v>19</v>
      </c>
      <c r="C1032" s="7" t="s">
        <v>9</v>
      </c>
      <c r="D1032" s="8">
        <v>129.96</v>
      </c>
      <c r="E1032" s="7" t="s">
        <v>18</v>
      </c>
      <c r="F1032" s="10" t="str">
        <f>VLOOKUP(E1032,BASE_VEICULOS!A:G,7,0)</f>
        <v>FAC - 140004 - MANUTENÇÃO PREDIAL DPSP 2025</v>
      </c>
      <c r="G1032" s="11" t="str">
        <f>IFERROR(VLOOKUP(E1032,BASE_VEICULOS!$A:$B,2,0),"")</f>
        <v>TEW9A29</v>
      </c>
      <c r="H1032" s="19"/>
      <c r="I1032" s="20">
        <f t="shared" si="2"/>
        <v>46143</v>
      </c>
    </row>
    <row r="1033" ht="22.5" customHeight="1">
      <c r="A1033" s="5">
        <v>46150.0</v>
      </c>
      <c r="B1033" s="6">
        <f t="shared" si="1"/>
        <v>19</v>
      </c>
      <c r="C1033" s="7" t="s">
        <v>9</v>
      </c>
      <c r="D1033" s="8">
        <v>99.91</v>
      </c>
      <c r="E1033" s="7" t="s">
        <v>19</v>
      </c>
      <c r="F1033" s="10" t="str">
        <f>VLOOKUP(E1033,BASE_VEICULOS!A:G,7,0)</f>
        <v>PROF - 07001 - MANUTENÇÃO PREDIAL- PROFARMA-2025</v>
      </c>
      <c r="G1033" s="11" t="str">
        <f>IFERROR(VLOOKUP(E1033,BASE_VEICULOS!$A:$B,2,0),"")</f>
        <v>TEW9A24</v>
      </c>
      <c r="H1033" s="19"/>
      <c r="I1033" s="20">
        <f t="shared" si="2"/>
        <v>46143</v>
      </c>
    </row>
    <row r="1034" ht="22.5" customHeight="1">
      <c r="A1034" s="5">
        <v>46150.0</v>
      </c>
      <c r="B1034" s="6">
        <f t="shared" si="1"/>
        <v>19</v>
      </c>
      <c r="C1034" s="7" t="s">
        <v>9</v>
      </c>
      <c r="D1034" s="8">
        <v>60.0</v>
      </c>
      <c r="E1034" s="7" t="s">
        <v>13</v>
      </c>
      <c r="F1034" s="10" t="str">
        <f>VLOOKUP(E1034,BASE_VEICULOS!A:G,7,0)</f>
        <v>FAC - 140005 - SPOT MANUTENÇÃO DPSP 2025</v>
      </c>
      <c r="G1034" s="11" t="str">
        <f>IFERROR(VLOOKUP(E1034,BASE_VEICULOS!$A:$B,2,0),"")</f>
        <v>FGO3C61</v>
      </c>
      <c r="H1034" s="19"/>
      <c r="I1034" s="20">
        <f t="shared" si="2"/>
        <v>46143</v>
      </c>
    </row>
    <row r="1035" ht="22.5" customHeight="1">
      <c r="A1035" s="5">
        <v>46150.0</v>
      </c>
      <c r="B1035" s="6">
        <f t="shared" si="1"/>
        <v>19</v>
      </c>
      <c r="C1035" s="7" t="s">
        <v>9</v>
      </c>
      <c r="D1035" s="8">
        <v>119.99</v>
      </c>
      <c r="E1035" s="7" t="s">
        <v>24</v>
      </c>
      <c r="F1035" s="10" t="str">
        <f>VLOOKUP(E1035,BASE_VEICULOS!A:G,7,0)</f>
        <v>PROF - 07001 - MANUTENÇÃO PREDIAL- PROFARMA-2025</v>
      </c>
      <c r="G1035" s="11" t="str">
        <f>IFERROR(VLOOKUP(E1035,BASE_VEICULOS!$A:$B,2,0),"")</f>
        <v>TEW9A23</v>
      </c>
      <c r="H1035" s="19"/>
      <c r="I1035" s="20">
        <f t="shared" si="2"/>
        <v>46143</v>
      </c>
    </row>
    <row r="1036" ht="22.5" customHeight="1">
      <c r="A1036" s="5">
        <v>46150.0</v>
      </c>
      <c r="B1036" s="6">
        <f t="shared" si="1"/>
        <v>19</v>
      </c>
      <c r="C1036" s="7" t="s">
        <v>9</v>
      </c>
      <c r="D1036" s="8">
        <v>50.0</v>
      </c>
      <c r="E1036" s="7" t="s">
        <v>33</v>
      </c>
      <c r="F1036" s="10" t="str">
        <f>VLOOKUP(E1036,BASE_VEICULOS!A:G,7,0)</f>
        <v>PROF - 07001 - MANUTENÇÃO PREDIAL- PROFARMA-2025</v>
      </c>
      <c r="G1036" s="11" t="str">
        <f>IFERROR(VLOOKUP(E1036,BASE_VEICULOS!$A:$B,2,0),"")</f>
        <v>TEW9A30</v>
      </c>
      <c r="H1036" s="19"/>
      <c r="I1036" s="20">
        <f t="shared" si="2"/>
        <v>46143</v>
      </c>
    </row>
    <row r="1037" ht="22.5" customHeight="1">
      <c r="A1037" s="5">
        <v>46150.0</v>
      </c>
      <c r="B1037" s="6">
        <f t="shared" si="1"/>
        <v>19</v>
      </c>
      <c r="C1037" s="7" t="s">
        <v>9</v>
      </c>
      <c r="D1037" s="8">
        <v>169.97</v>
      </c>
      <c r="E1037" s="7" t="s">
        <v>33</v>
      </c>
      <c r="F1037" s="10" t="str">
        <f>VLOOKUP(E1037,BASE_VEICULOS!A:G,7,0)</f>
        <v>PROF - 07001 - MANUTENÇÃO PREDIAL- PROFARMA-2025</v>
      </c>
      <c r="G1037" s="11" t="str">
        <f>IFERROR(VLOOKUP(E1037,BASE_VEICULOS!$A:$B,2,0),"")</f>
        <v>TEW9A30</v>
      </c>
      <c r="H1037" s="19"/>
      <c r="I1037" s="20">
        <f t="shared" si="2"/>
        <v>46143</v>
      </c>
    </row>
    <row r="1038" ht="22.5" customHeight="1">
      <c r="A1038" s="5">
        <v>46150.0</v>
      </c>
      <c r="B1038" s="6">
        <f t="shared" si="1"/>
        <v>19</v>
      </c>
      <c r="C1038" s="7" t="s">
        <v>9</v>
      </c>
      <c r="D1038" s="8">
        <v>50.0</v>
      </c>
      <c r="E1038" s="7" t="s">
        <v>27</v>
      </c>
      <c r="F1038" s="10" t="str">
        <f>VLOOKUP(E1038,BASE_VEICULOS!A:G,7,0)</f>
        <v>FAC - 140005 - SPOT MANUTENÇÃO DPSP 2025</v>
      </c>
      <c r="G1038" s="11" t="str">
        <f>IFERROR(VLOOKUP(E1038,BASE_VEICULOS!$A:$B,2,0),"")</f>
        <v>UDA5B37</v>
      </c>
      <c r="H1038" s="19"/>
      <c r="I1038" s="20">
        <f t="shared" si="2"/>
        <v>46143</v>
      </c>
    </row>
    <row r="1039" ht="22.5" customHeight="1">
      <c r="A1039" s="5">
        <v>46151.0</v>
      </c>
      <c r="B1039" s="6">
        <f t="shared" si="1"/>
        <v>19</v>
      </c>
      <c r="C1039" s="7" t="s">
        <v>9</v>
      </c>
      <c r="D1039" s="8">
        <v>100.0</v>
      </c>
      <c r="E1039" s="7" t="s">
        <v>29</v>
      </c>
      <c r="F1039" s="10" t="str">
        <f>VLOOKUP(E1039,BASE_VEICULOS!A:G,7,0)</f>
        <v>PROF - 07001 - MANUTENÇÃO PREDIAL- PROFARMA-2025</v>
      </c>
      <c r="G1039" s="11" t="str">
        <f>IFERROR(VLOOKUP(E1039,BASE_VEICULOS!$A:$B,2,0),"")</f>
        <v>TEQ2I74</v>
      </c>
      <c r="H1039" s="19"/>
      <c r="I1039" s="20">
        <f t="shared" si="2"/>
        <v>46143</v>
      </c>
    </row>
    <row r="1040" ht="22.5" customHeight="1">
      <c r="A1040" s="5">
        <v>46151.0</v>
      </c>
      <c r="B1040" s="6">
        <f t="shared" si="1"/>
        <v>19</v>
      </c>
      <c r="C1040" s="7" t="s">
        <v>9</v>
      </c>
      <c r="D1040" s="8">
        <v>70.0</v>
      </c>
      <c r="E1040" s="7" t="s">
        <v>36</v>
      </c>
      <c r="F1040" s="10" t="str">
        <f>VLOOKUP(E1040,BASE_VEICULOS!A:G,7,0)</f>
        <v>#N/A</v>
      </c>
      <c r="G1040" s="11" t="str">
        <f>IFERROR(VLOOKUP(E1040,BASE_VEICULOS!$A:$B,2,0),"")</f>
        <v/>
      </c>
      <c r="H1040" s="19"/>
      <c r="I1040" s="20">
        <f t="shared" si="2"/>
        <v>46143</v>
      </c>
    </row>
    <row r="1041" ht="22.5" customHeight="1">
      <c r="A1041" s="5">
        <v>46151.0</v>
      </c>
      <c r="B1041" s="6">
        <f t="shared" si="1"/>
        <v>19</v>
      </c>
      <c r="C1041" s="7" t="s">
        <v>9</v>
      </c>
      <c r="D1041" s="8">
        <v>29.99</v>
      </c>
      <c r="E1041" s="7" t="s">
        <v>28</v>
      </c>
      <c r="F1041" s="10" t="str">
        <f>VLOOKUP(E1041,BASE_VEICULOS!A:G,7,0)</f>
        <v>#N/A</v>
      </c>
      <c r="G1041" s="11" t="str">
        <f>IFERROR(VLOOKUP(E1041,BASE_VEICULOS!$A:$B,2,0),"")</f>
        <v/>
      </c>
      <c r="H1041" s="19"/>
      <c r="I1041" s="20">
        <f t="shared" si="2"/>
        <v>46143</v>
      </c>
    </row>
    <row r="1042" ht="22.5" customHeight="1">
      <c r="A1042" s="5">
        <v>46151.0</v>
      </c>
      <c r="B1042" s="6">
        <f t="shared" si="1"/>
        <v>19</v>
      </c>
      <c r="C1042" s="7" t="s">
        <v>9</v>
      </c>
      <c r="D1042" s="8">
        <v>40.0</v>
      </c>
      <c r="E1042" s="7" t="s">
        <v>19</v>
      </c>
      <c r="F1042" s="10" t="str">
        <f>VLOOKUP(E1042,BASE_VEICULOS!A:G,7,0)</f>
        <v>PROF - 07001 - MANUTENÇÃO PREDIAL- PROFARMA-2025</v>
      </c>
      <c r="G1042" s="11" t="str">
        <f>IFERROR(VLOOKUP(E1042,BASE_VEICULOS!$A:$B,2,0),"")</f>
        <v>TEW9A24</v>
      </c>
      <c r="H1042" s="19"/>
      <c r="I1042" s="20">
        <f t="shared" si="2"/>
        <v>46143</v>
      </c>
    </row>
    <row r="1043" ht="22.5" customHeight="1">
      <c r="A1043" s="5">
        <v>46151.0</v>
      </c>
      <c r="B1043" s="6">
        <f t="shared" si="1"/>
        <v>19</v>
      </c>
      <c r="C1043" s="7" t="s">
        <v>9</v>
      </c>
      <c r="D1043" s="8">
        <v>100.0</v>
      </c>
      <c r="E1043" s="7" t="s">
        <v>18</v>
      </c>
      <c r="F1043" s="10" t="str">
        <f>VLOOKUP(E1043,BASE_VEICULOS!A:G,7,0)</f>
        <v>FAC - 140004 - MANUTENÇÃO PREDIAL DPSP 2025</v>
      </c>
      <c r="G1043" s="11" t="str">
        <f>IFERROR(VLOOKUP(E1043,BASE_VEICULOS!$A:$B,2,0),"")</f>
        <v>TEW9A29</v>
      </c>
      <c r="H1043" s="19"/>
      <c r="I1043" s="20">
        <f t="shared" si="2"/>
        <v>46143</v>
      </c>
    </row>
    <row r="1044" ht="22.5" customHeight="1">
      <c r="A1044" s="5">
        <v>46152.0</v>
      </c>
      <c r="B1044" s="6">
        <f t="shared" si="1"/>
        <v>19</v>
      </c>
      <c r="C1044" s="7" t="s">
        <v>9</v>
      </c>
      <c r="D1044" s="8">
        <v>100.0</v>
      </c>
      <c r="E1044" s="7" t="s">
        <v>29</v>
      </c>
      <c r="F1044" s="10" t="str">
        <f>VLOOKUP(E1044,BASE_VEICULOS!A:G,7,0)</f>
        <v>PROF - 07001 - MANUTENÇÃO PREDIAL- PROFARMA-2025</v>
      </c>
      <c r="G1044" s="11" t="str">
        <f>IFERROR(VLOOKUP(E1044,BASE_VEICULOS!$A:$B,2,0),"")</f>
        <v>TEQ2I74</v>
      </c>
      <c r="H1044" s="19"/>
      <c r="I1044" s="20">
        <f t="shared" si="2"/>
        <v>46143</v>
      </c>
    </row>
    <row r="1045" ht="22.5" customHeight="1">
      <c r="A1045" s="5">
        <v>46152.0</v>
      </c>
      <c r="B1045" s="6">
        <f t="shared" si="1"/>
        <v>19</v>
      </c>
      <c r="C1045" s="7" t="s">
        <v>9</v>
      </c>
      <c r="D1045" s="8">
        <v>100.0</v>
      </c>
      <c r="E1045" s="7" t="s">
        <v>14</v>
      </c>
      <c r="F1045" s="10" t="str">
        <f>VLOOKUP(E1045,BASE_VEICULOS!A:G,7,0)</f>
        <v>FAC - 140004 - MANUTENÇÃO PREDIAL DPSP 2025</v>
      </c>
      <c r="G1045" s="11" t="str">
        <f>IFERROR(VLOOKUP(E1045,BASE_VEICULOS!$A:$B,2,0),"")</f>
        <v>FOK8A73</v>
      </c>
      <c r="H1045" s="19"/>
      <c r="I1045" s="20">
        <f t="shared" si="2"/>
        <v>46143</v>
      </c>
    </row>
    <row r="1046" ht="22.5" customHeight="1">
      <c r="A1046" s="5">
        <v>46153.0</v>
      </c>
      <c r="B1046" s="6">
        <f t="shared" si="1"/>
        <v>20</v>
      </c>
      <c r="C1046" s="7" t="s">
        <v>9</v>
      </c>
      <c r="D1046" s="8">
        <v>70.01</v>
      </c>
      <c r="E1046" s="7" t="s">
        <v>12</v>
      </c>
      <c r="F1046" s="10" t="str">
        <f>VLOOKUP(E1046,BASE_VEICULOS!A:G,7,0)</f>
        <v>FAC - 140004 - MANUTENÇÃO PREDIAL DPSP 2025</v>
      </c>
      <c r="G1046" s="11" t="str">
        <f>IFERROR(VLOOKUP(E1046,BASE_VEICULOS!$A:$B,2,0),"")</f>
        <v>FIL8C14</v>
      </c>
      <c r="H1046" s="19"/>
      <c r="I1046" s="20">
        <f t="shared" si="2"/>
        <v>46143</v>
      </c>
    </row>
    <row r="1047" ht="22.5" customHeight="1">
      <c r="A1047" s="5">
        <v>46153.0</v>
      </c>
      <c r="B1047" s="6">
        <f t="shared" si="1"/>
        <v>20</v>
      </c>
      <c r="C1047" s="7" t="s">
        <v>9</v>
      </c>
      <c r="D1047" s="8">
        <v>59.88</v>
      </c>
      <c r="E1047" s="7" t="s">
        <v>17</v>
      </c>
      <c r="F1047" s="10" t="str">
        <f>VLOOKUP(E1047,BASE_VEICULOS!A:G,7,0)</f>
        <v>#N/A</v>
      </c>
      <c r="G1047" s="11" t="str">
        <f>IFERROR(VLOOKUP(E1047,BASE_VEICULOS!$A:$B,2,0),"")</f>
        <v/>
      </c>
      <c r="H1047" s="19"/>
      <c r="I1047" s="20">
        <f t="shared" si="2"/>
        <v>46143</v>
      </c>
    </row>
    <row r="1048" ht="22.5" customHeight="1">
      <c r="A1048" s="5">
        <v>46153.0</v>
      </c>
      <c r="B1048" s="6">
        <f t="shared" si="1"/>
        <v>20</v>
      </c>
      <c r="C1048" s="7" t="s">
        <v>9</v>
      </c>
      <c r="D1048" s="8">
        <v>60.0</v>
      </c>
      <c r="E1048" s="7" t="s">
        <v>29</v>
      </c>
      <c r="F1048" s="10" t="str">
        <f>VLOOKUP(E1048,BASE_VEICULOS!A:G,7,0)</f>
        <v>PROF - 07001 - MANUTENÇÃO PREDIAL- PROFARMA-2025</v>
      </c>
      <c r="G1048" s="11" t="str">
        <f>IFERROR(VLOOKUP(E1048,BASE_VEICULOS!$A:$B,2,0),"")</f>
        <v>TEQ2I74</v>
      </c>
      <c r="H1048" s="19"/>
      <c r="I1048" s="20">
        <f t="shared" si="2"/>
        <v>46143</v>
      </c>
    </row>
    <row r="1049" ht="22.5" customHeight="1">
      <c r="A1049" s="5">
        <v>46153.0</v>
      </c>
      <c r="B1049" s="6">
        <f t="shared" si="1"/>
        <v>20</v>
      </c>
      <c r="C1049" s="7" t="s">
        <v>9</v>
      </c>
      <c r="D1049" s="8">
        <v>70.0</v>
      </c>
      <c r="E1049" s="7" t="s">
        <v>20</v>
      </c>
      <c r="F1049" s="10" t="str">
        <f>VLOOKUP(E1049,BASE_VEICULOS!A:G,7,0)</f>
        <v>PROF - 07001 - MANUTENÇÃO PREDIAL- PROFARMA-2025</v>
      </c>
      <c r="G1049" s="11" t="str">
        <f>IFERROR(VLOOKUP(E1049,BASE_VEICULOS!$A:$B,2,0),"")</f>
        <v>TEW9A34</v>
      </c>
      <c r="H1049" s="19"/>
      <c r="I1049" s="20">
        <f t="shared" si="2"/>
        <v>46143</v>
      </c>
    </row>
    <row r="1050" ht="22.5" customHeight="1">
      <c r="A1050" s="5">
        <v>46153.0</v>
      </c>
      <c r="B1050" s="6">
        <f t="shared" si="1"/>
        <v>20</v>
      </c>
      <c r="C1050" s="7" t="s">
        <v>9</v>
      </c>
      <c r="D1050" s="8">
        <v>70.0</v>
      </c>
      <c r="E1050" s="7" t="s">
        <v>21</v>
      </c>
      <c r="F1050" s="10" t="str">
        <f>VLOOKUP(E1050,BASE_VEICULOS!A:G,7,0)</f>
        <v>PROF - 07001 - MANUTENÇÃO PREDIAL- PROFARMA-2025</v>
      </c>
      <c r="G1050" s="11" t="str">
        <f>IFERROR(VLOOKUP(E1050,BASE_VEICULOS!$A:$B,2,0),"")</f>
        <v>TEW9A33</v>
      </c>
      <c r="H1050" s="19"/>
      <c r="I1050" s="20">
        <f t="shared" si="2"/>
        <v>46143</v>
      </c>
    </row>
    <row r="1051" ht="22.5" customHeight="1">
      <c r="A1051" s="5">
        <v>46153.0</v>
      </c>
      <c r="B1051" s="6">
        <f t="shared" si="1"/>
        <v>20</v>
      </c>
      <c r="C1051" s="7" t="s">
        <v>9</v>
      </c>
      <c r="D1051" s="8">
        <v>70.0</v>
      </c>
      <c r="E1051" s="7" t="s">
        <v>15</v>
      </c>
      <c r="F1051" s="10" t="str">
        <f>VLOOKUP(E1051,BASE_VEICULOS!A:G,7,0)</f>
        <v>FAC - 140005 - SPOT MANUTENÇÃO DPSP 2025</v>
      </c>
      <c r="G1051" s="11" t="str">
        <f>IFERROR(VLOOKUP(E1051,BASE_VEICULOS!$A:$B,2,0),"")</f>
        <v>EWH1B84</v>
      </c>
      <c r="H1051" s="19"/>
      <c r="I1051" s="20">
        <f t="shared" si="2"/>
        <v>46143</v>
      </c>
    </row>
    <row r="1052" ht="22.5" customHeight="1">
      <c r="A1052" s="5">
        <v>46153.0</v>
      </c>
      <c r="B1052" s="6">
        <f t="shared" si="1"/>
        <v>20</v>
      </c>
      <c r="C1052" s="7" t="s">
        <v>9</v>
      </c>
      <c r="D1052" s="8">
        <v>109.98</v>
      </c>
      <c r="E1052" s="7" t="s">
        <v>10</v>
      </c>
      <c r="F1052" s="10" t="str">
        <f>VLOOKUP(E1052,BASE_VEICULOS!A:G,7,0)</f>
        <v>FAC - 140004 - MANUTENÇÃO PREDIAL DPSP 2025</v>
      </c>
      <c r="G1052" s="11" t="str">
        <f>IFERROR(VLOOKUP(E1052,BASE_VEICULOS!$A:$B,2,0),"")</f>
        <v>TEW9A25</v>
      </c>
      <c r="H1052" s="19"/>
      <c r="I1052" s="20">
        <f t="shared" si="2"/>
        <v>46143</v>
      </c>
    </row>
    <row r="1053" ht="22.5" customHeight="1">
      <c r="A1053" s="5">
        <v>46153.0</v>
      </c>
      <c r="B1053" s="6">
        <f t="shared" si="1"/>
        <v>20</v>
      </c>
      <c r="C1053" s="7" t="s">
        <v>9</v>
      </c>
      <c r="D1053" s="8">
        <v>100.0</v>
      </c>
      <c r="E1053" s="7" t="s">
        <v>35</v>
      </c>
      <c r="F1053" s="10" t="str">
        <f>VLOOKUP(E1053,BASE_VEICULOS!A:G,7,0)</f>
        <v>#N/A</v>
      </c>
      <c r="G1053" s="11" t="str">
        <f>IFERROR(VLOOKUP(E1053,BASE_VEICULOS!$A:$B,2,0),"")</f>
        <v/>
      </c>
      <c r="H1053" s="19"/>
      <c r="I1053" s="20">
        <f t="shared" si="2"/>
        <v>46143</v>
      </c>
    </row>
    <row r="1054" ht="22.5" customHeight="1">
      <c r="A1054" s="5">
        <v>46153.0</v>
      </c>
      <c r="B1054" s="6">
        <f t="shared" si="1"/>
        <v>20</v>
      </c>
      <c r="C1054" s="7" t="s">
        <v>9</v>
      </c>
      <c r="D1054" s="8">
        <v>40.0</v>
      </c>
      <c r="E1054" s="7" t="s">
        <v>16</v>
      </c>
      <c r="F1054" s="10" t="str">
        <f>VLOOKUP(E1054,BASE_VEICULOS!A:G,7,0)</f>
        <v>FAC - 140005 - SPOT MANUTENÇÃO DPSP 2025</v>
      </c>
      <c r="G1054" s="11" t="str">
        <f>IFERROR(VLOOKUP(E1054,BASE_VEICULOS!$A:$B,2,0),"")</f>
        <v>TEW9A27</v>
      </c>
      <c r="H1054" s="19"/>
      <c r="I1054" s="20">
        <f t="shared" si="2"/>
        <v>46143</v>
      </c>
    </row>
    <row r="1055" ht="22.5" customHeight="1">
      <c r="A1055" s="5">
        <v>46153.0</v>
      </c>
      <c r="B1055" s="6">
        <f t="shared" si="1"/>
        <v>20</v>
      </c>
      <c r="C1055" s="7" t="s">
        <v>9</v>
      </c>
      <c r="D1055" s="8">
        <v>60.0</v>
      </c>
      <c r="E1055" s="7" t="s">
        <v>22</v>
      </c>
      <c r="F1055" s="10" t="str">
        <f>VLOOKUP(E1055,BASE_VEICULOS!A:G,7,0)</f>
        <v>PROF - 07001 - MANUTENÇÃO PREDIAL- PROFARMA-2025</v>
      </c>
      <c r="G1055" s="11" t="str">
        <f>IFERROR(VLOOKUP(E1055,BASE_VEICULOS!$A:$B,2,0),"")</f>
        <v>TET5H37</v>
      </c>
      <c r="H1055" s="19"/>
      <c r="I1055" s="20">
        <f t="shared" si="2"/>
        <v>46143</v>
      </c>
    </row>
    <row r="1056" ht="22.5" customHeight="1">
      <c r="A1056" s="5">
        <v>46153.0</v>
      </c>
      <c r="B1056" s="6">
        <f t="shared" si="1"/>
        <v>20</v>
      </c>
      <c r="C1056" s="7" t="s">
        <v>9</v>
      </c>
      <c r="D1056" s="8">
        <v>69.96</v>
      </c>
      <c r="E1056" s="7" t="s">
        <v>25</v>
      </c>
      <c r="F1056" s="10" t="str">
        <f>VLOOKUP(E1056,BASE_VEICULOS!A:G,7,0)</f>
        <v>PROF - 07001 - MANUTENÇÃO PREDIAL- PROFARMA-2025</v>
      </c>
      <c r="G1056" s="11" t="str">
        <f>IFERROR(VLOOKUP(E1056,BASE_VEICULOS!$A:$B,2,0),"")</f>
        <v>TEW9A26</v>
      </c>
      <c r="H1056" s="19"/>
      <c r="I1056" s="20">
        <f t="shared" si="2"/>
        <v>46143</v>
      </c>
    </row>
    <row r="1057" ht="22.5" customHeight="1">
      <c r="A1057" s="5">
        <v>46153.0</v>
      </c>
      <c r="B1057" s="6">
        <f t="shared" si="1"/>
        <v>20</v>
      </c>
      <c r="C1057" s="7" t="s">
        <v>9</v>
      </c>
      <c r="D1057" s="8">
        <v>59.98</v>
      </c>
      <c r="E1057" s="7" t="s">
        <v>26</v>
      </c>
      <c r="F1057" s="10" t="str">
        <f>VLOOKUP(E1057,BASE_VEICULOS!A:G,7,0)</f>
        <v>#N/A</v>
      </c>
      <c r="G1057" s="11" t="str">
        <f>IFERROR(VLOOKUP(E1057,BASE_VEICULOS!$A:$B,2,0),"")</f>
        <v/>
      </c>
      <c r="H1057" s="19"/>
      <c r="I1057" s="20">
        <f t="shared" si="2"/>
        <v>46143</v>
      </c>
    </row>
    <row r="1058" ht="22.5" customHeight="1">
      <c r="A1058" s="5">
        <v>46153.0</v>
      </c>
      <c r="B1058" s="6">
        <f t="shared" si="1"/>
        <v>20</v>
      </c>
      <c r="C1058" s="7" t="s">
        <v>9</v>
      </c>
      <c r="D1058" s="8">
        <v>60.0</v>
      </c>
      <c r="E1058" s="7" t="s">
        <v>30</v>
      </c>
      <c r="F1058" s="10" t="str">
        <f>VLOOKUP(E1058,BASE_VEICULOS!A:G,7,0)</f>
        <v>#N/A</v>
      </c>
      <c r="G1058" s="11" t="str">
        <f>IFERROR(VLOOKUP(E1058,BASE_VEICULOS!$A:$B,2,0),"")</f>
        <v/>
      </c>
      <c r="H1058" s="19"/>
      <c r="I1058" s="20">
        <f t="shared" si="2"/>
        <v>46143</v>
      </c>
    </row>
    <row r="1059" ht="22.5" customHeight="1">
      <c r="A1059" s="5">
        <v>46153.0</v>
      </c>
      <c r="B1059" s="6">
        <f t="shared" si="1"/>
        <v>20</v>
      </c>
      <c r="C1059" s="7" t="s">
        <v>9</v>
      </c>
      <c r="D1059" s="8">
        <v>200.0</v>
      </c>
      <c r="E1059" s="7" t="s">
        <v>18</v>
      </c>
      <c r="F1059" s="10" t="str">
        <f>VLOOKUP(E1059,BASE_VEICULOS!A:G,7,0)</f>
        <v>FAC - 140004 - MANUTENÇÃO PREDIAL DPSP 2025</v>
      </c>
      <c r="G1059" s="11" t="str">
        <f>IFERROR(VLOOKUP(E1059,BASE_VEICULOS!$A:$B,2,0),"")</f>
        <v>TEW9A29</v>
      </c>
      <c r="H1059" s="19"/>
      <c r="I1059" s="20">
        <f t="shared" si="2"/>
        <v>46143</v>
      </c>
    </row>
    <row r="1060" ht="22.5" customHeight="1">
      <c r="A1060" s="5">
        <v>46153.0</v>
      </c>
      <c r="B1060" s="6">
        <f t="shared" si="1"/>
        <v>20</v>
      </c>
      <c r="C1060" s="7" t="s">
        <v>9</v>
      </c>
      <c r="D1060" s="8">
        <v>70.0</v>
      </c>
      <c r="E1060" s="7" t="s">
        <v>19</v>
      </c>
      <c r="F1060" s="10" t="str">
        <f>VLOOKUP(E1060,BASE_VEICULOS!A:G,7,0)</f>
        <v>PROF - 07001 - MANUTENÇÃO PREDIAL- PROFARMA-2025</v>
      </c>
      <c r="G1060" s="11" t="str">
        <f>IFERROR(VLOOKUP(E1060,BASE_VEICULOS!$A:$B,2,0),"")</f>
        <v>TEW9A24</v>
      </c>
      <c r="H1060" s="19"/>
      <c r="I1060" s="20">
        <f t="shared" si="2"/>
        <v>46143</v>
      </c>
    </row>
    <row r="1061" ht="22.5" customHeight="1">
      <c r="A1061" s="5">
        <v>46153.0</v>
      </c>
      <c r="B1061" s="6">
        <f t="shared" si="1"/>
        <v>20</v>
      </c>
      <c r="C1061" s="7" t="s">
        <v>9</v>
      </c>
      <c r="D1061" s="8">
        <v>70.0</v>
      </c>
      <c r="E1061" s="7" t="s">
        <v>13</v>
      </c>
      <c r="F1061" s="10" t="str">
        <f>VLOOKUP(E1061,BASE_VEICULOS!A:G,7,0)</f>
        <v>FAC - 140005 - SPOT MANUTENÇÃO DPSP 2025</v>
      </c>
      <c r="G1061" s="11" t="str">
        <f>IFERROR(VLOOKUP(E1061,BASE_VEICULOS!$A:$B,2,0),"")</f>
        <v>FGO3C61</v>
      </c>
      <c r="H1061" s="19"/>
      <c r="I1061" s="20">
        <f t="shared" si="2"/>
        <v>46143</v>
      </c>
    </row>
    <row r="1062" ht="22.5" customHeight="1">
      <c r="A1062" s="5">
        <v>46153.0</v>
      </c>
      <c r="B1062" s="6">
        <f t="shared" si="1"/>
        <v>20</v>
      </c>
      <c r="C1062" s="7" t="s">
        <v>9</v>
      </c>
      <c r="D1062" s="8">
        <v>69.99</v>
      </c>
      <c r="E1062" s="7" t="s">
        <v>24</v>
      </c>
      <c r="F1062" s="10" t="str">
        <f>VLOOKUP(E1062,BASE_VEICULOS!A:G,7,0)</f>
        <v>PROF - 07001 - MANUTENÇÃO PREDIAL- PROFARMA-2025</v>
      </c>
      <c r="G1062" s="11" t="str">
        <f>IFERROR(VLOOKUP(E1062,BASE_VEICULOS!$A:$B,2,0),"")</f>
        <v>TEW9A23</v>
      </c>
      <c r="H1062" s="19"/>
      <c r="I1062" s="20">
        <f t="shared" si="2"/>
        <v>46143</v>
      </c>
    </row>
    <row r="1063" ht="22.5" customHeight="1">
      <c r="A1063" s="5">
        <v>46153.0</v>
      </c>
      <c r="B1063" s="6">
        <f t="shared" si="1"/>
        <v>20</v>
      </c>
      <c r="C1063" s="7" t="s">
        <v>9</v>
      </c>
      <c r="D1063" s="8">
        <v>70.0</v>
      </c>
      <c r="E1063" s="7" t="s">
        <v>33</v>
      </c>
      <c r="F1063" s="10" t="str">
        <f>VLOOKUP(E1063,BASE_VEICULOS!A:G,7,0)</f>
        <v>PROF - 07001 - MANUTENÇÃO PREDIAL- PROFARMA-2025</v>
      </c>
      <c r="G1063" s="11" t="str">
        <f>IFERROR(VLOOKUP(E1063,BASE_VEICULOS!$A:$B,2,0),"")</f>
        <v>TEW9A30</v>
      </c>
      <c r="H1063" s="19"/>
      <c r="I1063" s="20">
        <f t="shared" si="2"/>
        <v>46143</v>
      </c>
    </row>
    <row r="1064" ht="22.5" customHeight="1">
      <c r="A1064" s="5">
        <v>46153.0</v>
      </c>
      <c r="B1064" s="6">
        <f t="shared" si="1"/>
        <v>20</v>
      </c>
      <c r="C1064" s="7" t="s">
        <v>9</v>
      </c>
      <c r="D1064" s="8">
        <v>120.0</v>
      </c>
      <c r="E1064" s="7" t="s">
        <v>14</v>
      </c>
      <c r="F1064" s="10" t="str">
        <f>VLOOKUP(E1064,BASE_VEICULOS!A:G,7,0)</f>
        <v>FAC - 140004 - MANUTENÇÃO PREDIAL DPSP 2025</v>
      </c>
      <c r="G1064" s="11" t="str">
        <f>IFERROR(VLOOKUP(E1064,BASE_VEICULOS!$A:$B,2,0),"")</f>
        <v>FOK8A73</v>
      </c>
      <c r="H1064" s="19"/>
      <c r="I1064" s="20">
        <f t="shared" si="2"/>
        <v>46143</v>
      </c>
    </row>
    <row r="1065" ht="22.5" customHeight="1">
      <c r="A1065" s="5">
        <v>46153.0</v>
      </c>
      <c r="B1065" s="6">
        <f t="shared" si="1"/>
        <v>20</v>
      </c>
      <c r="C1065" s="7" t="s">
        <v>9</v>
      </c>
      <c r="D1065" s="8">
        <v>100.01</v>
      </c>
      <c r="E1065" s="7" t="s">
        <v>34</v>
      </c>
      <c r="F1065" s="10" t="str">
        <f>VLOOKUP(E1065,BASE_VEICULOS!A:G,7,0)</f>
        <v>PROF - 07001 - MANUTENÇÃO PREDIAL- PROFARMA-2025</v>
      </c>
      <c r="G1065" s="11" t="str">
        <f>IFERROR(VLOOKUP(E1065,BASE_VEICULOS!$A:$B,2,0),"")</f>
        <v>SRU8D16</v>
      </c>
      <c r="H1065" s="19"/>
      <c r="I1065" s="20">
        <f t="shared" si="2"/>
        <v>46143</v>
      </c>
    </row>
    <row r="1066" ht="22.5" customHeight="1">
      <c r="A1066" s="5">
        <v>46153.0</v>
      </c>
      <c r="B1066" s="6">
        <f t="shared" si="1"/>
        <v>20</v>
      </c>
      <c r="C1066" s="7" t="s">
        <v>9</v>
      </c>
      <c r="D1066" s="8">
        <v>70.0</v>
      </c>
      <c r="E1066" s="7" t="s">
        <v>27</v>
      </c>
      <c r="F1066" s="10" t="str">
        <f>VLOOKUP(E1066,BASE_VEICULOS!A:G,7,0)</f>
        <v>FAC - 140005 - SPOT MANUTENÇÃO DPSP 2025</v>
      </c>
      <c r="G1066" s="11" t="str">
        <f>IFERROR(VLOOKUP(E1066,BASE_VEICULOS!$A:$B,2,0),"")</f>
        <v>UDA5B37</v>
      </c>
      <c r="H1066" s="19"/>
      <c r="I1066" s="20">
        <f t="shared" si="2"/>
        <v>46143</v>
      </c>
    </row>
    <row r="1067" ht="22.5" customHeight="1">
      <c r="A1067" s="5">
        <v>46154.0</v>
      </c>
      <c r="B1067" s="6">
        <f t="shared" si="1"/>
        <v>20</v>
      </c>
      <c r="C1067" s="7" t="s">
        <v>9</v>
      </c>
      <c r="D1067" s="8">
        <v>69.98</v>
      </c>
      <c r="E1067" s="7" t="s">
        <v>12</v>
      </c>
      <c r="F1067" s="10" t="str">
        <f>VLOOKUP(E1067,BASE_VEICULOS!A:G,7,0)</f>
        <v>FAC - 140004 - MANUTENÇÃO PREDIAL DPSP 2025</v>
      </c>
      <c r="G1067" s="11" t="str">
        <f>IFERROR(VLOOKUP(E1067,BASE_VEICULOS!$A:$B,2,0),"")</f>
        <v>FIL8C14</v>
      </c>
      <c r="H1067" s="19"/>
      <c r="I1067" s="20">
        <f t="shared" si="2"/>
        <v>46143</v>
      </c>
    </row>
    <row r="1068" ht="22.5" customHeight="1">
      <c r="A1068" s="5">
        <v>46154.0</v>
      </c>
      <c r="B1068" s="6">
        <f t="shared" si="1"/>
        <v>20</v>
      </c>
      <c r="C1068" s="7" t="s">
        <v>9</v>
      </c>
      <c r="D1068" s="8">
        <v>70.0</v>
      </c>
      <c r="E1068" s="7" t="s">
        <v>29</v>
      </c>
      <c r="F1068" s="10" t="str">
        <f>VLOOKUP(E1068,BASE_VEICULOS!A:G,7,0)</f>
        <v>PROF - 07001 - MANUTENÇÃO PREDIAL- PROFARMA-2025</v>
      </c>
      <c r="G1068" s="11" t="str">
        <f>IFERROR(VLOOKUP(E1068,BASE_VEICULOS!$A:$B,2,0),"")</f>
        <v>TEQ2I74</v>
      </c>
      <c r="H1068" s="19"/>
      <c r="I1068" s="20">
        <f t="shared" si="2"/>
        <v>46143</v>
      </c>
    </row>
    <row r="1069" ht="22.5" customHeight="1">
      <c r="A1069" s="5">
        <v>46154.0</v>
      </c>
      <c r="B1069" s="6">
        <f t="shared" si="1"/>
        <v>20</v>
      </c>
      <c r="C1069" s="7" t="s">
        <v>9</v>
      </c>
      <c r="D1069" s="8">
        <v>70.0</v>
      </c>
      <c r="E1069" s="7" t="s">
        <v>20</v>
      </c>
      <c r="F1069" s="10" t="str">
        <f>VLOOKUP(E1069,BASE_VEICULOS!A:G,7,0)</f>
        <v>PROF - 07001 - MANUTENÇÃO PREDIAL- PROFARMA-2025</v>
      </c>
      <c r="G1069" s="11" t="str">
        <f>IFERROR(VLOOKUP(E1069,BASE_VEICULOS!$A:$B,2,0),"")</f>
        <v>TEW9A34</v>
      </c>
      <c r="H1069" s="19"/>
      <c r="I1069" s="20">
        <f t="shared" si="2"/>
        <v>46143</v>
      </c>
    </row>
    <row r="1070" ht="22.5" customHeight="1">
      <c r="A1070" s="5">
        <v>46154.0</v>
      </c>
      <c r="B1070" s="6">
        <f t="shared" si="1"/>
        <v>20</v>
      </c>
      <c r="C1070" s="7" t="s">
        <v>9</v>
      </c>
      <c r="D1070" s="8">
        <v>70.0</v>
      </c>
      <c r="E1070" s="7" t="s">
        <v>23</v>
      </c>
      <c r="F1070" s="10" t="str">
        <f>VLOOKUP(E1070,BASE_VEICULOS!A:G,7,0)</f>
        <v>PROF - 07001 - MANUTENÇÃO PREDIAL- PROFARMA-2025</v>
      </c>
      <c r="G1070" s="11" t="str">
        <f>IFERROR(VLOOKUP(E1070,BASE_VEICULOS!$A:$B,2,0),"")</f>
        <v>TEH3I02</v>
      </c>
      <c r="H1070" s="19"/>
      <c r="I1070" s="20">
        <f t="shared" si="2"/>
        <v>46143</v>
      </c>
    </row>
    <row r="1071" ht="22.5" customHeight="1">
      <c r="A1071" s="5">
        <v>46154.0</v>
      </c>
      <c r="B1071" s="6">
        <f t="shared" si="1"/>
        <v>20</v>
      </c>
      <c r="C1071" s="7" t="s">
        <v>9</v>
      </c>
      <c r="D1071" s="8">
        <v>70.0</v>
      </c>
      <c r="E1071" s="7" t="s">
        <v>21</v>
      </c>
      <c r="F1071" s="10" t="str">
        <f>VLOOKUP(E1071,BASE_VEICULOS!A:G,7,0)</f>
        <v>PROF - 07001 - MANUTENÇÃO PREDIAL- PROFARMA-2025</v>
      </c>
      <c r="G1071" s="11" t="str">
        <f>IFERROR(VLOOKUP(E1071,BASE_VEICULOS!$A:$B,2,0),"")</f>
        <v>TEW9A33</v>
      </c>
      <c r="H1071" s="19"/>
      <c r="I1071" s="20">
        <f t="shared" si="2"/>
        <v>46143</v>
      </c>
    </row>
    <row r="1072" ht="22.5" customHeight="1">
      <c r="A1072" s="5">
        <v>46154.0</v>
      </c>
      <c r="B1072" s="6">
        <f t="shared" si="1"/>
        <v>20</v>
      </c>
      <c r="C1072" s="7" t="s">
        <v>9</v>
      </c>
      <c r="D1072" s="8">
        <v>70.0</v>
      </c>
      <c r="E1072" s="7" t="s">
        <v>15</v>
      </c>
      <c r="F1072" s="10" t="str">
        <f>VLOOKUP(E1072,BASE_VEICULOS!A:G,7,0)</f>
        <v>FAC - 140005 - SPOT MANUTENÇÃO DPSP 2025</v>
      </c>
      <c r="G1072" s="11" t="str">
        <f>IFERROR(VLOOKUP(E1072,BASE_VEICULOS!$A:$B,2,0),"")</f>
        <v>EWH1B84</v>
      </c>
      <c r="H1072" s="19"/>
      <c r="I1072" s="20">
        <f t="shared" si="2"/>
        <v>46143</v>
      </c>
    </row>
    <row r="1073" ht="22.5" customHeight="1">
      <c r="A1073" s="5">
        <v>46154.0</v>
      </c>
      <c r="B1073" s="6">
        <f t="shared" si="1"/>
        <v>20</v>
      </c>
      <c r="C1073" s="7" t="s">
        <v>9</v>
      </c>
      <c r="D1073" s="8">
        <v>150.0</v>
      </c>
      <c r="E1073" s="7" t="s">
        <v>28</v>
      </c>
      <c r="F1073" s="10" t="str">
        <f>VLOOKUP(E1073,BASE_VEICULOS!A:G,7,0)</f>
        <v>#N/A</v>
      </c>
      <c r="G1073" s="11" t="str">
        <f>IFERROR(VLOOKUP(E1073,BASE_VEICULOS!$A:$B,2,0),"")</f>
        <v/>
      </c>
      <c r="H1073" s="19"/>
      <c r="I1073" s="20">
        <f t="shared" si="2"/>
        <v>46143</v>
      </c>
    </row>
    <row r="1074" ht="22.5" customHeight="1">
      <c r="A1074" s="5">
        <v>46154.0</v>
      </c>
      <c r="B1074" s="6">
        <f t="shared" si="1"/>
        <v>20</v>
      </c>
      <c r="C1074" s="7" t="s">
        <v>9</v>
      </c>
      <c r="D1074" s="8">
        <v>50.0</v>
      </c>
      <c r="E1074" s="7" t="s">
        <v>11</v>
      </c>
      <c r="F1074" s="10" t="str">
        <f>VLOOKUP(E1074,BASE_VEICULOS!A:G,7,0)</f>
        <v>PROF - 07001 - MANUTENÇÃO PREDIAL- PROFARMA-2025</v>
      </c>
      <c r="G1074" s="11" t="str">
        <f>IFERROR(VLOOKUP(E1074,BASE_VEICULOS!$A:$B,2,0),"")</f>
        <v>TEW9A28</v>
      </c>
      <c r="H1074" s="19"/>
      <c r="I1074" s="20">
        <f t="shared" si="2"/>
        <v>46143</v>
      </c>
    </row>
    <row r="1075" ht="22.5" customHeight="1">
      <c r="A1075" s="5">
        <v>46154.0</v>
      </c>
      <c r="B1075" s="6">
        <f t="shared" si="1"/>
        <v>20</v>
      </c>
      <c r="C1075" s="7" t="s">
        <v>9</v>
      </c>
      <c r="D1075" s="8">
        <v>70.0</v>
      </c>
      <c r="E1075" s="7" t="s">
        <v>10</v>
      </c>
      <c r="F1075" s="10" t="str">
        <f>VLOOKUP(E1075,BASE_VEICULOS!A:G,7,0)</f>
        <v>FAC - 140004 - MANUTENÇÃO PREDIAL DPSP 2025</v>
      </c>
      <c r="G1075" s="11" t="str">
        <f>IFERROR(VLOOKUP(E1075,BASE_VEICULOS!$A:$B,2,0),"")</f>
        <v>TEW9A25</v>
      </c>
      <c r="H1075" s="19"/>
      <c r="I1075" s="20">
        <f t="shared" si="2"/>
        <v>46143</v>
      </c>
    </row>
    <row r="1076" ht="22.5" customHeight="1">
      <c r="A1076" s="5">
        <v>46154.0</v>
      </c>
      <c r="B1076" s="6">
        <f t="shared" si="1"/>
        <v>20</v>
      </c>
      <c r="C1076" s="7" t="s">
        <v>9</v>
      </c>
      <c r="D1076" s="8">
        <v>200.0</v>
      </c>
      <c r="E1076" s="7" t="s">
        <v>35</v>
      </c>
      <c r="F1076" s="10" t="str">
        <f>VLOOKUP(E1076,BASE_VEICULOS!A:G,7,0)</f>
        <v>#N/A</v>
      </c>
      <c r="G1076" s="11" t="str">
        <f>IFERROR(VLOOKUP(E1076,BASE_VEICULOS!$A:$B,2,0),"")</f>
        <v/>
      </c>
      <c r="H1076" s="19"/>
      <c r="I1076" s="20">
        <f t="shared" si="2"/>
        <v>46143</v>
      </c>
    </row>
    <row r="1077" ht="22.5" customHeight="1">
      <c r="A1077" s="5">
        <v>46154.0</v>
      </c>
      <c r="B1077" s="6">
        <f t="shared" si="1"/>
        <v>20</v>
      </c>
      <c r="C1077" s="7" t="s">
        <v>9</v>
      </c>
      <c r="D1077" s="8">
        <v>120.0</v>
      </c>
      <c r="E1077" s="7" t="s">
        <v>16</v>
      </c>
      <c r="F1077" s="10" t="str">
        <f>VLOOKUP(E1077,BASE_VEICULOS!A:G,7,0)</f>
        <v>FAC - 140005 - SPOT MANUTENÇÃO DPSP 2025</v>
      </c>
      <c r="G1077" s="11" t="str">
        <f>IFERROR(VLOOKUP(E1077,BASE_VEICULOS!$A:$B,2,0),"")</f>
        <v>TEW9A27</v>
      </c>
      <c r="H1077" s="19"/>
      <c r="I1077" s="20">
        <f t="shared" si="2"/>
        <v>46143</v>
      </c>
    </row>
    <row r="1078" ht="22.5" customHeight="1">
      <c r="A1078" s="5">
        <v>46154.0</v>
      </c>
      <c r="B1078" s="6">
        <f t="shared" si="1"/>
        <v>20</v>
      </c>
      <c r="C1078" s="7" t="s">
        <v>9</v>
      </c>
      <c r="D1078" s="8">
        <v>60.0</v>
      </c>
      <c r="E1078" s="7" t="s">
        <v>22</v>
      </c>
      <c r="F1078" s="10" t="str">
        <f>VLOOKUP(E1078,BASE_VEICULOS!A:G,7,0)</f>
        <v>PROF - 07001 - MANUTENÇÃO PREDIAL- PROFARMA-2025</v>
      </c>
      <c r="G1078" s="11" t="str">
        <f>IFERROR(VLOOKUP(E1078,BASE_VEICULOS!$A:$B,2,0),"")</f>
        <v>TET5H37</v>
      </c>
      <c r="H1078" s="19"/>
      <c r="I1078" s="20">
        <f t="shared" si="2"/>
        <v>46143</v>
      </c>
    </row>
    <row r="1079" ht="22.5" customHeight="1">
      <c r="A1079" s="5">
        <v>46154.0</v>
      </c>
      <c r="B1079" s="6">
        <f t="shared" si="1"/>
        <v>20</v>
      </c>
      <c r="C1079" s="7" t="s">
        <v>9</v>
      </c>
      <c r="D1079" s="8">
        <v>69.9</v>
      </c>
      <c r="E1079" s="7" t="s">
        <v>25</v>
      </c>
      <c r="F1079" s="10" t="str">
        <f>VLOOKUP(E1079,BASE_VEICULOS!A:G,7,0)</f>
        <v>PROF - 07001 - MANUTENÇÃO PREDIAL- PROFARMA-2025</v>
      </c>
      <c r="G1079" s="11" t="str">
        <f>IFERROR(VLOOKUP(E1079,BASE_VEICULOS!$A:$B,2,0),"")</f>
        <v>TEW9A26</v>
      </c>
      <c r="H1079" s="19"/>
      <c r="I1079" s="20">
        <f t="shared" si="2"/>
        <v>46143</v>
      </c>
    </row>
    <row r="1080" ht="22.5" customHeight="1">
      <c r="A1080" s="5">
        <v>46154.0</v>
      </c>
      <c r="B1080" s="6">
        <f t="shared" si="1"/>
        <v>20</v>
      </c>
      <c r="C1080" s="7" t="s">
        <v>9</v>
      </c>
      <c r="D1080" s="8">
        <v>69.99</v>
      </c>
      <c r="E1080" s="7" t="s">
        <v>30</v>
      </c>
      <c r="F1080" s="10" t="str">
        <f>VLOOKUP(E1080,BASE_VEICULOS!A:G,7,0)</f>
        <v>#N/A</v>
      </c>
      <c r="G1080" s="11" t="str">
        <f>IFERROR(VLOOKUP(E1080,BASE_VEICULOS!$A:$B,2,0),"")</f>
        <v/>
      </c>
      <c r="H1080" s="19"/>
      <c r="I1080" s="20">
        <f t="shared" si="2"/>
        <v>46143</v>
      </c>
    </row>
    <row r="1081" ht="22.5" customHeight="1">
      <c r="A1081" s="5">
        <v>46154.0</v>
      </c>
      <c r="B1081" s="6">
        <f t="shared" si="1"/>
        <v>20</v>
      </c>
      <c r="C1081" s="7" t="s">
        <v>9</v>
      </c>
      <c r="D1081" s="8">
        <v>30.0</v>
      </c>
      <c r="E1081" s="7" t="s">
        <v>19</v>
      </c>
      <c r="F1081" s="10" t="str">
        <f>VLOOKUP(E1081,BASE_VEICULOS!A:G,7,0)</f>
        <v>PROF - 07001 - MANUTENÇÃO PREDIAL- PROFARMA-2025</v>
      </c>
      <c r="G1081" s="11" t="str">
        <f>IFERROR(VLOOKUP(E1081,BASE_VEICULOS!$A:$B,2,0),"")</f>
        <v>TEW9A24</v>
      </c>
      <c r="H1081" s="19"/>
      <c r="I1081" s="20">
        <f t="shared" si="2"/>
        <v>46143</v>
      </c>
    </row>
    <row r="1082" ht="22.5" customHeight="1">
      <c r="A1082" s="5">
        <v>46154.0</v>
      </c>
      <c r="B1082" s="6">
        <f t="shared" si="1"/>
        <v>20</v>
      </c>
      <c r="C1082" s="7" t="s">
        <v>9</v>
      </c>
      <c r="D1082" s="8">
        <v>110.0</v>
      </c>
      <c r="E1082" s="7" t="s">
        <v>13</v>
      </c>
      <c r="F1082" s="10" t="str">
        <f>VLOOKUP(E1082,BASE_VEICULOS!A:G,7,0)</f>
        <v>FAC - 140005 - SPOT MANUTENÇÃO DPSP 2025</v>
      </c>
      <c r="G1082" s="11" t="str">
        <f>IFERROR(VLOOKUP(E1082,BASE_VEICULOS!$A:$B,2,0),"")</f>
        <v>FGO3C61</v>
      </c>
      <c r="H1082" s="19"/>
      <c r="I1082" s="20">
        <f t="shared" si="2"/>
        <v>46143</v>
      </c>
    </row>
    <row r="1083" ht="22.5" customHeight="1">
      <c r="A1083" s="5">
        <v>46154.0</v>
      </c>
      <c r="B1083" s="6">
        <f t="shared" si="1"/>
        <v>20</v>
      </c>
      <c r="C1083" s="7" t="s">
        <v>9</v>
      </c>
      <c r="D1083" s="8">
        <v>109.99</v>
      </c>
      <c r="E1083" s="7" t="s">
        <v>24</v>
      </c>
      <c r="F1083" s="10" t="str">
        <f>VLOOKUP(E1083,BASE_VEICULOS!A:G,7,0)</f>
        <v>PROF - 07001 - MANUTENÇÃO PREDIAL- PROFARMA-2025</v>
      </c>
      <c r="G1083" s="11" t="str">
        <f>IFERROR(VLOOKUP(E1083,BASE_VEICULOS!$A:$B,2,0),"")</f>
        <v>TEW9A23</v>
      </c>
      <c r="H1083" s="19"/>
      <c r="I1083" s="20">
        <f t="shared" si="2"/>
        <v>46143</v>
      </c>
    </row>
    <row r="1084" ht="22.5" customHeight="1">
      <c r="A1084" s="5">
        <v>46154.0</v>
      </c>
      <c r="B1084" s="6">
        <f t="shared" si="1"/>
        <v>20</v>
      </c>
      <c r="C1084" s="7" t="s">
        <v>9</v>
      </c>
      <c r="D1084" s="8">
        <v>70.0</v>
      </c>
      <c r="E1084" s="7" t="s">
        <v>33</v>
      </c>
      <c r="F1084" s="10" t="str">
        <f>VLOOKUP(E1084,BASE_VEICULOS!A:G,7,0)</f>
        <v>PROF - 07001 - MANUTENÇÃO PREDIAL- PROFARMA-2025</v>
      </c>
      <c r="G1084" s="11" t="str">
        <f>IFERROR(VLOOKUP(E1084,BASE_VEICULOS!$A:$B,2,0),"")</f>
        <v>TEW9A30</v>
      </c>
      <c r="H1084" s="19"/>
      <c r="I1084" s="20">
        <f t="shared" si="2"/>
        <v>46143</v>
      </c>
    </row>
    <row r="1085" ht="22.5" customHeight="1">
      <c r="A1085" s="5">
        <v>46154.0</v>
      </c>
      <c r="B1085" s="6">
        <f t="shared" si="1"/>
        <v>20</v>
      </c>
      <c r="C1085" s="7" t="s">
        <v>9</v>
      </c>
      <c r="D1085" s="8">
        <v>140.01</v>
      </c>
      <c r="E1085" s="7" t="s">
        <v>14</v>
      </c>
      <c r="F1085" s="10" t="str">
        <f>VLOOKUP(E1085,BASE_VEICULOS!A:G,7,0)</f>
        <v>FAC - 140004 - MANUTENÇÃO PREDIAL DPSP 2025</v>
      </c>
      <c r="G1085" s="11" t="str">
        <f>IFERROR(VLOOKUP(E1085,BASE_VEICULOS!$A:$B,2,0),"")</f>
        <v>FOK8A73</v>
      </c>
      <c r="H1085" s="19"/>
      <c r="I1085" s="20">
        <f t="shared" si="2"/>
        <v>46143</v>
      </c>
    </row>
    <row r="1086" ht="22.5" customHeight="1">
      <c r="A1086" s="5">
        <v>46154.0</v>
      </c>
      <c r="B1086" s="6">
        <f t="shared" si="1"/>
        <v>20</v>
      </c>
      <c r="C1086" s="7" t="s">
        <v>9</v>
      </c>
      <c r="D1086" s="8">
        <v>120.0</v>
      </c>
      <c r="E1086" s="7" t="s">
        <v>27</v>
      </c>
      <c r="F1086" s="10" t="str">
        <f>VLOOKUP(E1086,BASE_VEICULOS!A:G,7,0)</f>
        <v>FAC - 140005 - SPOT MANUTENÇÃO DPSP 2025</v>
      </c>
      <c r="G1086" s="11" t="str">
        <f>IFERROR(VLOOKUP(E1086,BASE_VEICULOS!$A:$B,2,0),"")</f>
        <v>UDA5B37</v>
      </c>
      <c r="H1086" s="19"/>
      <c r="I1086" s="20">
        <f t="shared" si="2"/>
        <v>46143</v>
      </c>
    </row>
    <row r="1087" ht="22.5" customHeight="1">
      <c r="A1087" s="5">
        <v>46155.0</v>
      </c>
      <c r="B1087" s="6">
        <f t="shared" si="1"/>
        <v>20</v>
      </c>
      <c r="C1087" s="7" t="s">
        <v>9</v>
      </c>
      <c r="D1087" s="8">
        <v>70.0</v>
      </c>
      <c r="E1087" s="7" t="s">
        <v>12</v>
      </c>
      <c r="F1087" s="10" t="str">
        <f>VLOOKUP(E1087,BASE_VEICULOS!A:G,7,0)</f>
        <v>FAC - 140004 - MANUTENÇÃO PREDIAL DPSP 2025</v>
      </c>
      <c r="G1087" s="11" t="str">
        <f>IFERROR(VLOOKUP(E1087,BASE_VEICULOS!$A:$B,2,0),"")</f>
        <v>FIL8C14</v>
      </c>
      <c r="H1087" s="19"/>
      <c r="I1087" s="20">
        <f t="shared" si="2"/>
        <v>46143</v>
      </c>
    </row>
    <row r="1088" ht="22.5" customHeight="1">
      <c r="A1088" s="5">
        <v>46155.0</v>
      </c>
      <c r="B1088" s="6">
        <f t="shared" si="1"/>
        <v>20</v>
      </c>
      <c r="C1088" s="7" t="s">
        <v>9</v>
      </c>
      <c r="D1088" s="8">
        <v>60.0</v>
      </c>
      <c r="E1088" s="7" t="s">
        <v>29</v>
      </c>
      <c r="F1088" s="10" t="str">
        <f>VLOOKUP(E1088,BASE_VEICULOS!A:G,7,0)</f>
        <v>PROF - 07001 - MANUTENÇÃO PREDIAL- PROFARMA-2025</v>
      </c>
      <c r="G1088" s="11" t="str">
        <f>IFERROR(VLOOKUP(E1088,BASE_VEICULOS!$A:$B,2,0),"")</f>
        <v>TEQ2I74</v>
      </c>
      <c r="H1088" s="19"/>
      <c r="I1088" s="20">
        <f t="shared" si="2"/>
        <v>46143</v>
      </c>
    </row>
    <row r="1089" ht="22.5" customHeight="1">
      <c r="A1089" s="5">
        <v>46155.0</v>
      </c>
      <c r="B1089" s="6">
        <f t="shared" si="1"/>
        <v>20</v>
      </c>
      <c r="C1089" s="7" t="s">
        <v>9</v>
      </c>
      <c r="D1089" s="8">
        <v>70.0</v>
      </c>
      <c r="E1089" s="7" t="s">
        <v>20</v>
      </c>
      <c r="F1089" s="10" t="str">
        <f>VLOOKUP(E1089,BASE_VEICULOS!A:G,7,0)</f>
        <v>PROF - 07001 - MANUTENÇÃO PREDIAL- PROFARMA-2025</v>
      </c>
      <c r="G1089" s="11" t="str">
        <f>IFERROR(VLOOKUP(E1089,BASE_VEICULOS!$A:$B,2,0),"")</f>
        <v>TEW9A34</v>
      </c>
      <c r="H1089" s="19"/>
      <c r="I1089" s="20">
        <f t="shared" si="2"/>
        <v>46143</v>
      </c>
    </row>
    <row r="1090" ht="22.5" customHeight="1">
      <c r="A1090" s="5">
        <v>46155.0</v>
      </c>
      <c r="B1090" s="6">
        <f t="shared" si="1"/>
        <v>20</v>
      </c>
      <c r="C1090" s="7" t="s">
        <v>9</v>
      </c>
      <c r="D1090" s="8">
        <v>140.0</v>
      </c>
      <c r="E1090" s="7" t="s">
        <v>23</v>
      </c>
      <c r="F1090" s="10" t="str">
        <f>VLOOKUP(E1090,BASE_VEICULOS!A:G,7,0)</f>
        <v>PROF - 07001 - MANUTENÇÃO PREDIAL- PROFARMA-2025</v>
      </c>
      <c r="G1090" s="11" t="str">
        <f>IFERROR(VLOOKUP(E1090,BASE_VEICULOS!$A:$B,2,0),"")</f>
        <v>TEH3I02</v>
      </c>
      <c r="H1090" s="19"/>
      <c r="I1090" s="20">
        <f t="shared" si="2"/>
        <v>46143</v>
      </c>
    </row>
    <row r="1091" ht="22.5" customHeight="1">
      <c r="A1091" s="5">
        <v>46155.0</v>
      </c>
      <c r="B1091" s="6">
        <f t="shared" si="1"/>
        <v>20</v>
      </c>
      <c r="C1091" s="7" t="s">
        <v>9</v>
      </c>
      <c r="D1091" s="8">
        <v>70.0</v>
      </c>
      <c r="E1091" s="7" t="s">
        <v>21</v>
      </c>
      <c r="F1091" s="10" t="str">
        <f>VLOOKUP(E1091,BASE_VEICULOS!A:G,7,0)</f>
        <v>PROF - 07001 - MANUTENÇÃO PREDIAL- PROFARMA-2025</v>
      </c>
      <c r="G1091" s="11" t="str">
        <f>IFERROR(VLOOKUP(E1091,BASE_VEICULOS!$A:$B,2,0),"")</f>
        <v>TEW9A33</v>
      </c>
      <c r="H1091" s="19"/>
      <c r="I1091" s="20">
        <f t="shared" si="2"/>
        <v>46143</v>
      </c>
    </row>
    <row r="1092" ht="22.5" customHeight="1">
      <c r="A1092" s="5">
        <v>46155.0</v>
      </c>
      <c r="B1092" s="6">
        <f t="shared" si="1"/>
        <v>20</v>
      </c>
      <c r="C1092" s="7" t="s">
        <v>9</v>
      </c>
      <c r="D1092" s="8">
        <v>120.0</v>
      </c>
      <c r="E1092" s="7" t="s">
        <v>15</v>
      </c>
      <c r="F1092" s="10" t="str">
        <f>VLOOKUP(E1092,BASE_VEICULOS!A:G,7,0)</f>
        <v>FAC - 140005 - SPOT MANUTENÇÃO DPSP 2025</v>
      </c>
      <c r="G1092" s="11" t="str">
        <f>IFERROR(VLOOKUP(E1092,BASE_VEICULOS!$A:$B,2,0),"")</f>
        <v>EWH1B84</v>
      </c>
      <c r="H1092" s="19"/>
      <c r="I1092" s="20">
        <f t="shared" si="2"/>
        <v>46143</v>
      </c>
    </row>
    <row r="1093" ht="22.5" customHeight="1">
      <c r="A1093" s="5">
        <v>46155.0</v>
      </c>
      <c r="B1093" s="6">
        <f t="shared" si="1"/>
        <v>20</v>
      </c>
      <c r="C1093" s="7" t="s">
        <v>9</v>
      </c>
      <c r="D1093" s="8">
        <v>50.0</v>
      </c>
      <c r="E1093" s="7" t="s">
        <v>11</v>
      </c>
      <c r="F1093" s="10" t="str">
        <f>VLOOKUP(E1093,BASE_VEICULOS!A:G,7,0)</f>
        <v>PROF - 07001 - MANUTENÇÃO PREDIAL- PROFARMA-2025</v>
      </c>
      <c r="G1093" s="11" t="str">
        <f>IFERROR(VLOOKUP(E1093,BASE_VEICULOS!$A:$B,2,0),"")</f>
        <v>TEW9A28</v>
      </c>
      <c r="H1093" s="19"/>
      <c r="I1093" s="20">
        <f t="shared" si="2"/>
        <v>46143</v>
      </c>
    </row>
    <row r="1094" ht="22.5" customHeight="1">
      <c r="A1094" s="5">
        <v>46155.0</v>
      </c>
      <c r="B1094" s="6">
        <f t="shared" si="1"/>
        <v>20</v>
      </c>
      <c r="C1094" s="7" t="s">
        <v>9</v>
      </c>
      <c r="D1094" s="8">
        <v>70.0</v>
      </c>
      <c r="E1094" s="7" t="s">
        <v>10</v>
      </c>
      <c r="F1094" s="10" t="str">
        <f>VLOOKUP(E1094,BASE_VEICULOS!A:G,7,0)</f>
        <v>FAC - 140004 - MANUTENÇÃO PREDIAL DPSP 2025</v>
      </c>
      <c r="G1094" s="11" t="str">
        <f>IFERROR(VLOOKUP(E1094,BASE_VEICULOS!$A:$B,2,0),"")</f>
        <v>TEW9A25</v>
      </c>
      <c r="H1094" s="19"/>
      <c r="I1094" s="20">
        <f t="shared" si="2"/>
        <v>46143</v>
      </c>
    </row>
    <row r="1095" ht="22.5" customHeight="1">
      <c r="A1095" s="5">
        <v>46155.0</v>
      </c>
      <c r="B1095" s="6">
        <f t="shared" si="1"/>
        <v>20</v>
      </c>
      <c r="C1095" s="7" t="s">
        <v>9</v>
      </c>
      <c r="D1095" s="8">
        <v>50.0</v>
      </c>
      <c r="E1095" s="7" t="s">
        <v>16</v>
      </c>
      <c r="F1095" s="10" t="str">
        <f>VLOOKUP(E1095,BASE_VEICULOS!A:G,7,0)</f>
        <v>FAC - 140005 - SPOT MANUTENÇÃO DPSP 2025</v>
      </c>
      <c r="G1095" s="11" t="str">
        <f>IFERROR(VLOOKUP(E1095,BASE_VEICULOS!$A:$B,2,0),"")</f>
        <v>TEW9A27</v>
      </c>
      <c r="H1095" s="19"/>
      <c r="I1095" s="20">
        <f t="shared" si="2"/>
        <v>46143</v>
      </c>
    </row>
    <row r="1096" ht="22.5" customHeight="1">
      <c r="A1096" s="5">
        <v>46155.0</v>
      </c>
      <c r="B1096" s="6">
        <f t="shared" si="1"/>
        <v>20</v>
      </c>
      <c r="C1096" s="7" t="s">
        <v>9</v>
      </c>
      <c r="D1096" s="8">
        <v>70.0</v>
      </c>
      <c r="E1096" s="7" t="s">
        <v>22</v>
      </c>
      <c r="F1096" s="10" t="str">
        <f>VLOOKUP(E1096,BASE_VEICULOS!A:G,7,0)</f>
        <v>PROF - 07001 - MANUTENÇÃO PREDIAL- PROFARMA-2025</v>
      </c>
      <c r="G1096" s="11" t="str">
        <f>IFERROR(VLOOKUP(E1096,BASE_VEICULOS!$A:$B,2,0),"")</f>
        <v>TET5H37</v>
      </c>
      <c r="H1096" s="19"/>
      <c r="I1096" s="20">
        <f t="shared" si="2"/>
        <v>46143</v>
      </c>
    </row>
    <row r="1097" ht="22.5" customHeight="1">
      <c r="A1097" s="5">
        <v>46155.0</v>
      </c>
      <c r="B1097" s="6">
        <f t="shared" si="1"/>
        <v>20</v>
      </c>
      <c r="C1097" s="7" t="s">
        <v>9</v>
      </c>
      <c r="D1097" s="8">
        <v>100.0</v>
      </c>
      <c r="E1097" s="7" t="s">
        <v>25</v>
      </c>
      <c r="F1097" s="10" t="str">
        <f>VLOOKUP(E1097,BASE_VEICULOS!A:G,7,0)</f>
        <v>PROF - 07001 - MANUTENÇÃO PREDIAL- PROFARMA-2025</v>
      </c>
      <c r="G1097" s="11" t="str">
        <f>IFERROR(VLOOKUP(E1097,BASE_VEICULOS!$A:$B,2,0),"")</f>
        <v>TEW9A26</v>
      </c>
      <c r="H1097" s="19"/>
      <c r="I1097" s="20">
        <f t="shared" si="2"/>
        <v>46143</v>
      </c>
    </row>
    <row r="1098" ht="22.5" customHeight="1">
      <c r="A1098" s="5">
        <v>46155.0</v>
      </c>
      <c r="B1098" s="6">
        <f t="shared" si="1"/>
        <v>20</v>
      </c>
      <c r="C1098" s="7" t="s">
        <v>9</v>
      </c>
      <c r="D1098" s="8">
        <v>120.0</v>
      </c>
      <c r="E1098" s="7" t="s">
        <v>26</v>
      </c>
      <c r="F1098" s="10" t="str">
        <f>VLOOKUP(E1098,BASE_VEICULOS!A:G,7,0)</f>
        <v>#N/A</v>
      </c>
      <c r="G1098" s="11" t="str">
        <f>IFERROR(VLOOKUP(E1098,BASE_VEICULOS!$A:$B,2,0),"")</f>
        <v/>
      </c>
      <c r="H1098" s="19"/>
      <c r="I1098" s="20">
        <f t="shared" si="2"/>
        <v>46143</v>
      </c>
    </row>
    <row r="1099" ht="22.5" customHeight="1">
      <c r="A1099" s="5">
        <v>46155.0</v>
      </c>
      <c r="B1099" s="6">
        <f t="shared" si="1"/>
        <v>20</v>
      </c>
      <c r="C1099" s="7" t="s">
        <v>9</v>
      </c>
      <c r="D1099" s="8">
        <v>100.0</v>
      </c>
      <c r="E1099" s="7" t="s">
        <v>30</v>
      </c>
      <c r="F1099" s="10" t="str">
        <f>VLOOKUP(E1099,BASE_VEICULOS!A:G,7,0)</f>
        <v>#N/A</v>
      </c>
      <c r="G1099" s="11" t="str">
        <f>IFERROR(VLOOKUP(E1099,BASE_VEICULOS!$A:$B,2,0),"")</f>
        <v/>
      </c>
      <c r="H1099" s="19"/>
      <c r="I1099" s="20">
        <f t="shared" si="2"/>
        <v>46143</v>
      </c>
    </row>
    <row r="1100" ht="22.5" customHeight="1">
      <c r="A1100" s="5">
        <v>46155.0</v>
      </c>
      <c r="B1100" s="6">
        <f t="shared" si="1"/>
        <v>20</v>
      </c>
      <c r="C1100" s="7" t="s">
        <v>9</v>
      </c>
      <c r="D1100" s="8">
        <v>99.99</v>
      </c>
      <c r="E1100" s="7" t="s">
        <v>19</v>
      </c>
      <c r="F1100" s="10" t="str">
        <f>VLOOKUP(E1100,BASE_VEICULOS!A:G,7,0)</f>
        <v>PROF - 07001 - MANUTENÇÃO PREDIAL- PROFARMA-2025</v>
      </c>
      <c r="G1100" s="11" t="str">
        <f>IFERROR(VLOOKUP(E1100,BASE_VEICULOS!$A:$B,2,0),"")</f>
        <v>TEW9A24</v>
      </c>
      <c r="H1100" s="19"/>
      <c r="I1100" s="20">
        <f t="shared" si="2"/>
        <v>46143</v>
      </c>
    </row>
    <row r="1101" ht="22.5" customHeight="1">
      <c r="A1101" s="5">
        <v>46155.0</v>
      </c>
      <c r="B1101" s="6">
        <f t="shared" si="1"/>
        <v>20</v>
      </c>
      <c r="C1101" s="7" t="s">
        <v>9</v>
      </c>
      <c r="D1101" s="8">
        <v>70.01</v>
      </c>
      <c r="E1101" s="7" t="s">
        <v>24</v>
      </c>
      <c r="F1101" s="10" t="str">
        <f>VLOOKUP(E1101,BASE_VEICULOS!A:G,7,0)</f>
        <v>PROF - 07001 - MANUTENÇÃO PREDIAL- PROFARMA-2025</v>
      </c>
      <c r="G1101" s="11" t="str">
        <f>IFERROR(VLOOKUP(E1101,BASE_VEICULOS!$A:$B,2,0),"")</f>
        <v>TEW9A23</v>
      </c>
      <c r="H1101" s="19"/>
      <c r="I1101" s="20">
        <f t="shared" si="2"/>
        <v>46143</v>
      </c>
    </row>
    <row r="1102" ht="22.5" customHeight="1">
      <c r="A1102" s="5">
        <v>46155.0</v>
      </c>
      <c r="B1102" s="6">
        <f t="shared" si="1"/>
        <v>20</v>
      </c>
      <c r="C1102" s="7" t="s">
        <v>9</v>
      </c>
      <c r="D1102" s="8">
        <v>70.0</v>
      </c>
      <c r="E1102" s="7" t="s">
        <v>33</v>
      </c>
      <c r="F1102" s="10" t="str">
        <f>VLOOKUP(E1102,BASE_VEICULOS!A:G,7,0)</f>
        <v>PROF - 07001 - MANUTENÇÃO PREDIAL- PROFARMA-2025</v>
      </c>
      <c r="G1102" s="11" t="str">
        <f>IFERROR(VLOOKUP(E1102,BASE_VEICULOS!$A:$B,2,0),"")</f>
        <v>TEW9A30</v>
      </c>
      <c r="H1102" s="19"/>
      <c r="I1102" s="20">
        <f t="shared" si="2"/>
        <v>46143</v>
      </c>
    </row>
    <row r="1103" ht="22.5" customHeight="1">
      <c r="A1103" s="5">
        <v>46155.0</v>
      </c>
      <c r="B1103" s="6">
        <f t="shared" si="1"/>
        <v>20</v>
      </c>
      <c r="C1103" s="7" t="s">
        <v>9</v>
      </c>
      <c r="D1103" s="8">
        <v>70.0</v>
      </c>
      <c r="E1103" s="7" t="s">
        <v>14</v>
      </c>
      <c r="F1103" s="10" t="str">
        <f>VLOOKUP(E1103,BASE_VEICULOS!A:G,7,0)</f>
        <v>FAC - 140004 - MANUTENÇÃO PREDIAL DPSP 2025</v>
      </c>
      <c r="G1103" s="11" t="str">
        <f>IFERROR(VLOOKUP(E1103,BASE_VEICULOS!$A:$B,2,0),"")</f>
        <v>FOK8A73</v>
      </c>
      <c r="H1103" s="19"/>
      <c r="I1103" s="20">
        <f t="shared" si="2"/>
        <v>46143</v>
      </c>
    </row>
    <row r="1104" ht="22.5" customHeight="1">
      <c r="A1104" s="5">
        <v>46155.0</v>
      </c>
      <c r="B1104" s="6">
        <f t="shared" si="1"/>
        <v>20</v>
      </c>
      <c r="C1104" s="7" t="s">
        <v>9</v>
      </c>
      <c r="D1104" s="8">
        <v>70.0</v>
      </c>
      <c r="E1104" s="7" t="s">
        <v>34</v>
      </c>
      <c r="F1104" s="10" t="str">
        <f>VLOOKUP(E1104,BASE_VEICULOS!A:G,7,0)</f>
        <v>PROF - 07001 - MANUTENÇÃO PREDIAL- PROFARMA-2025</v>
      </c>
      <c r="G1104" s="11" t="str">
        <f>IFERROR(VLOOKUP(E1104,BASE_VEICULOS!$A:$B,2,0),"")</f>
        <v>SRU8D16</v>
      </c>
      <c r="H1104" s="19"/>
      <c r="I1104" s="20">
        <f t="shared" si="2"/>
        <v>46143</v>
      </c>
    </row>
    <row r="1105" ht="22.5" customHeight="1">
      <c r="A1105" s="5">
        <v>46156.0</v>
      </c>
      <c r="B1105" s="6">
        <f t="shared" si="1"/>
        <v>20</v>
      </c>
      <c r="C1105" s="7" t="s">
        <v>9</v>
      </c>
      <c r="D1105" s="8">
        <v>69.96</v>
      </c>
      <c r="E1105" s="7" t="s">
        <v>12</v>
      </c>
      <c r="F1105" s="10" t="str">
        <f>VLOOKUP(E1105,BASE_VEICULOS!A:G,7,0)</f>
        <v>FAC - 140004 - MANUTENÇÃO PREDIAL DPSP 2025</v>
      </c>
      <c r="G1105" s="11" t="str">
        <f>IFERROR(VLOOKUP(E1105,BASE_VEICULOS!$A:$B,2,0),"")</f>
        <v>FIL8C14</v>
      </c>
      <c r="H1105" s="19"/>
      <c r="I1105" s="20">
        <f t="shared" si="2"/>
        <v>46143</v>
      </c>
    </row>
    <row r="1106" ht="22.5" customHeight="1">
      <c r="A1106" s="5">
        <v>46156.0</v>
      </c>
      <c r="B1106" s="6">
        <f t="shared" si="1"/>
        <v>20</v>
      </c>
      <c r="C1106" s="7" t="s">
        <v>9</v>
      </c>
      <c r="D1106" s="8">
        <v>130.0</v>
      </c>
      <c r="E1106" s="7" t="s">
        <v>29</v>
      </c>
      <c r="F1106" s="10" t="str">
        <f>VLOOKUP(E1106,BASE_VEICULOS!A:G,7,0)</f>
        <v>PROF - 07001 - MANUTENÇÃO PREDIAL- PROFARMA-2025</v>
      </c>
      <c r="G1106" s="11" t="str">
        <f>IFERROR(VLOOKUP(E1106,BASE_VEICULOS!$A:$B,2,0),"")</f>
        <v>TEQ2I74</v>
      </c>
      <c r="H1106" s="19"/>
      <c r="I1106" s="20">
        <f t="shared" si="2"/>
        <v>46143</v>
      </c>
    </row>
    <row r="1107" ht="22.5" customHeight="1">
      <c r="A1107" s="5">
        <v>46156.0</v>
      </c>
      <c r="B1107" s="6">
        <f t="shared" si="1"/>
        <v>20</v>
      </c>
      <c r="C1107" s="7" t="s">
        <v>9</v>
      </c>
      <c r="D1107" s="8">
        <v>70.0</v>
      </c>
      <c r="E1107" s="7" t="s">
        <v>20</v>
      </c>
      <c r="F1107" s="10" t="str">
        <f>VLOOKUP(E1107,BASE_VEICULOS!A:G,7,0)</f>
        <v>PROF - 07001 - MANUTENÇÃO PREDIAL- PROFARMA-2025</v>
      </c>
      <c r="G1107" s="11" t="str">
        <f>IFERROR(VLOOKUP(E1107,BASE_VEICULOS!$A:$B,2,0),"")</f>
        <v>TEW9A34</v>
      </c>
      <c r="H1107" s="19"/>
      <c r="I1107" s="20">
        <f t="shared" si="2"/>
        <v>46143</v>
      </c>
    </row>
    <row r="1108" ht="22.5" customHeight="1">
      <c r="A1108" s="5">
        <v>46156.0</v>
      </c>
      <c r="B1108" s="6">
        <f t="shared" si="1"/>
        <v>20</v>
      </c>
      <c r="C1108" s="7" t="s">
        <v>9</v>
      </c>
      <c r="D1108" s="8">
        <v>140.0</v>
      </c>
      <c r="E1108" s="7" t="s">
        <v>23</v>
      </c>
      <c r="F1108" s="10" t="str">
        <f>VLOOKUP(E1108,BASE_VEICULOS!A:G,7,0)</f>
        <v>PROF - 07001 - MANUTENÇÃO PREDIAL- PROFARMA-2025</v>
      </c>
      <c r="G1108" s="11" t="str">
        <f>IFERROR(VLOOKUP(E1108,BASE_VEICULOS!$A:$B,2,0),"")</f>
        <v>TEH3I02</v>
      </c>
      <c r="H1108" s="19"/>
      <c r="I1108" s="20">
        <f t="shared" si="2"/>
        <v>46143</v>
      </c>
    </row>
    <row r="1109" ht="22.5" customHeight="1">
      <c r="A1109" s="5">
        <v>46156.0</v>
      </c>
      <c r="B1109" s="6">
        <f t="shared" si="1"/>
        <v>20</v>
      </c>
      <c r="C1109" s="7" t="s">
        <v>9</v>
      </c>
      <c r="D1109" s="8">
        <v>70.0</v>
      </c>
      <c r="E1109" s="7" t="s">
        <v>21</v>
      </c>
      <c r="F1109" s="10" t="str">
        <f>VLOOKUP(E1109,BASE_VEICULOS!A:G,7,0)</f>
        <v>PROF - 07001 - MANUTENÇÃO PREDIAL- PROFARMA-2025</v>
      </c>
      <c r="G1109" s="11" t="str">
        <f>IFERROR(VLOOKUP(E1109,BASE_VEICULOS!$A:$B,2,0),"")</f>
        <v>TEW9A33</v>
      </c>
      <c r="H1109" s="19"/>
      <c r="I1109" s="20">
        <f t="shared" si="2"/>
        <v>46143</v>
      </c>
    </row>
    <row r="1110" ht="22.5" customHeight="1">
      <c r="A1110" s="5">
        <v>46156.0</v>
      </c>
      <c r="B1110" s="6">
        <f t="shared" si="1"/>
        <v>20</v>
      </c>
      <c r="C1110" s="7" t="s">
        <v>9</v>
      </c>
      <c r="D1110" s="8">
        <v>70.0</v>
      </c>
      <c r="E1110" s="7" t="s">
        <v>15</v>
      </c>
      <c r="F1110" s="10" t="str">
        <f>VLOOKUP(E1110,BASE_VEICULOS!A:G,7,0)</f>
        <v>FAC - 140005 - SPOT MANUTENÇÃO DPSP 2025</v>
      </c>
      <c r="G1110" s="11" t="str">
        <f>IFERROR(VLOOKUP(E1110,BASE_VEICULOS!$A:$B,2,0),"")</f>
        <v>EWH1B84</v>
      </c>
      <c r="H1110" s="19"/>
      <c r="I1110" s="20">
        <f t="shared" si="2"/>
        <v>46143</v>
      </c>
    </row>
    <row r="1111" ht="22.5" customHeight="1">
      <c r="A1111" s="5">
        <v>46156.0</v>
      </c>
      <c r="B1111" s="6">
        <f t="shared" si="1"/>
        <v>20</v>
      </c>
      <c r="C1111" s="7" t="s">
        <v>9</v>
      </c>
      <c r="D1111" s="8">
        <v>50.0</v>
      </c>
      <c r="E1111" s="7" t="s">
        <v>11</v>
      </c>
      <c r="F1111" s="10" t="str">
        <f>VLOOKUP(E1111,BASE_VEICULOS!A:G,7,0)</f>
        <v>PROF - 07001 - MANUTENÇÃO PREDIAL- PROFARMA-2025</v>
      </c>
      <c r="G1111" s="11" t="str">
        <f>IFERROR(VLOOKUP(E1111,BASE_VEICULOS!$A:$B,2,0),"")</f>
        <v>TEW9A28</v>
      </c>
      <c r="H1111" s="19"/>
      <c r="I1111" s="20">
        <f t="shared" si="2"/>
        <v>46143</v>
      </c>
    </row>
    <row r="1112" ht="22.5" customHeight="1">
      <c r="A1112" s="5">
        <v>46156.0</v>
      </c>
      <c r="B1112" s="6">
        <f t="shared" si="1"/>
        <v>20</v>
      </c>
      <c r="C1112" s="7" t="s">
        <v>9</v>
      </c>
      <c r="D1112" s="8">
        <v>70.0</v>
      </c>
      <c r="E1112" s="7" t="s">
        <v>10</v>
      </c>
      <c r="F1112" s="10" t="str">
        <f>VLOOKUP(E1112,BASE_VEICULOS!A:G,7,0)</f>
        <v>FAC - 140004 - MANUTENÇÃO PREDIAL DPSP 2025</v>
      </c>
      <c r="G1112" s="11" t="str">
        <f>IFERROR(VLOOKUP(E1112,BASE_VEICULOS!$A:$B,2,0),"")</f>
        <v>TEW9A25</v>
      </c>
      <c r="H1112" s="19"/>
      <c r="I1112" s="20">
        <f t="shared" si="2"/>
        <v>46143</v>
      </c>
    </row>
    <row r="1113" ht="22.5" customHeight="1">
      <c r="A1113" s="5">
        <v>46156.0</v>
      </c>
      <c r="B1113" s="6">
        <f t="shared" si="1"/>
        <v>20</v>
      </c>
      <c r="C1113" s="7" t="s">
        <v>9</v>
      </c>
      <c r="D1113" s="8">
        <v>100.0</v>
      </c>
      <c r="E1113" s="7" t="s">
        <v>35</v>
      </c>
      <c r="F1113" s="10" t="str">
        <f>VLOOKUP(E1113,BASE_VEICULOS!A:G,7,0)</f>
        <v>#N/A</v>
      </c>
      <c r="G1113" s="11" t="str">
        <f>IFERROR(VLOOKUP(E1113,BASE_VEICULOS!$A:$B,2,0),"")</f>
        <v/>
      </c>
      <c r="H1113" s="19"/>
      <c r="I1113" s="20">
        <f t="shared" si="2"/>
        <v>46143</v>
      </c>
    </row>
    <row r="1114" ht="22.5" customHeight="1">
      <c r="A1114" s="5">
        <v>46156.0</v>
      </c>
      <c r="B1114" s="6">
        <f t="shared" si="1"/>
        <v>20</v>
      </c>
      <c r="C1114" s="7" t="s">
        <v>9</v>
      </c>
      <c r="D1114" s="8">
        <v>50.0</v>
      </c>
      <c r="E1114" s="7" t="s">
        <v>16</v>
      </c>
      <c r="F1114" s="10" t="str">
        <f>VLOOKUP(E1114,BASE_VEICULOS!A:G,7,0)</f>
        <v>FAC - 140005 - SPOT MANUTENÇÃO DPSP 2025</v>
      </c>
      <c r="G1114" s="11" t="str">
        <f>IFERROR(VLOOKUP(E1114,BASE_VEICULOS!$A:$B,2,0),"")</f>
        <v>TEW9A27</v>
      </c>
      <c r="H1114" s="19"/>
      <c r="I1114" s="20">
        <f t="shared" si="2"/>
        <v>46143</v>
      </c>
    </row>
    <row r="1115" ht="22.5" customHeight="1">
      <c r="A1115" s="5">
        <v>46156.0</v>
      </c>
      <c r="B1115" s="6">
        <f t="shared" si="1"/>
        <v>20</v>
      </c>
      <c r="C1115" s="7" t="s">
        <v>9</v>
      </c>
      <c r="D1115" s="8">
        <v>60.0</v>
      </c>
      <c r="E1115" s="7" t="s">
        <v>22</v>
      </c>
      <c r="F1115" s="10" t="str">
        <f>VLOOKUP(E1115,BASE_VEICULOS!A:G,7,0)</f>
        <v>PROF - 07001 - MANUTENÇÃO PREDIAL- PROFARMA-2025</v>
      </c>
      <c r="G1115" s="11" t="str">
        <f>IFERROR(VLOOKUP(E1115,BASE_VEICULOS!$A:$B,2,0),"")</f>
        <v>TET5H37</v>
      </c>
      <c r="H1115" s="19"/>
      <c r="I1115" s="20">
        <f t="shared" si="2"/>
        <v>46143</v>
      </c>
    </row>
    <row r="1116" ht="22.5" customHeight="1">
      <c r="A1116" s="5">
        <v>46156.0</v>
      </c>
      <c r="B1116" s="6">
        <f t="shared" si="1"/>
        <v>20</v>
      </c>
      <c r="C1116" s="7" t="s">
        <v>9</v>
      </c>
      <c r="D1116" s="8">
        <v>69.99</v>
      </c>
      <c r="E1116" s="7" t="s">
        <v>19</v>
      </c>
      <c r="F1116" s="10" t="str">
        <f>VLOOKUP(E1116,BASE_VEICULOS!A:G,7,0)</f>
        <v>PROF - 07001 - MANUTENÇÃO PREDIAL- PROFARMA-2025</v>
      </c>
      <c r="G1116" s="11" t="str">
        <f>IFERROR(VLOOKUP(E1116,BASE_VEICULOS!$A:$B,2,0),"")</f>
        <v>TEW9A24</v>
      </c>
      <c r="H1116" s="19"/>
      <c r="I1116" s="20">
        <f t="shared" si="2"/>
        <v>46143</v>
      </c>
    </row>
    <row r="1117" ht="22.5" customHeight="1">
      <c r="A1117" s="5">
        <v>46156.0</v>
      </c>
      <c r="B1117" s="6">
        <f t="shared" si="1"/>
        <v>20</v>
      </c>
      <c r="C1117" s="7" t="s">
        <v>9</v>
      </c>
      <c r="D1117" s="8">
        <v>130.0</v>
      </c>
      <c r="E1117" s="7" t="s">
        <v>13</v>
      </c>
      <c r="F1117" s="10" t="str">
        <f>VLOOKUP(E1117,BASE_VEICULOS!A:G,7,0)</f>
        <v>FAC - 140005 - SPOT MANUTENÇÃO DPSP 2025</v>
      </c>
      <c r="G1117" s="11" t="str">
        <f>IFERROR(VLOOKUP(E1117,BASE_VEICULOS!$A:$B,2,0),"")</f>
        <v>FGO3C61</v>
      </c>
      <c r="H1117" s="19"/>
      <c r="I1117" s="20">
        <f t="shared" si="2"/>
        <v>46143</v>
      </c>
    </row>
    <row r="1118" ht="22.5" customHeight="1">
      <c r="A1118" s="5">
        <v>46156.0</v>
      </c>
      <c r="B1118" s="6">
        <f t="shared" si="1"/>
        <v>20</v>
      </c>
      <c r="C1118" s="7" t="s">
        <v>9</v>
      </c>
      <c r="D1118" s="8">
        <v>100.01</v>
      </c>
      <c r="E1118" s="7" t="s">
        <v>24</v>
      </c>
      <c r="F1118" s="10" t="str">
        <f>VLOOKUP(E1118,BASE_VEICULOS!A:G,7,0)</f>
        <v>PROF - 07001 - MANUTENÇÃO PREDIAL- PROFARMA-2025</v>
      </c>
      <c r="G1118" s="11" t="str">
        <f>IFERROR(VLOOKUP(E1118,BASE_VEICULOS!$A:$B,2,0),"")</f>
        <v>TEW9A23</v>
      </c>
      <c r="H1118" s="19"/>
      <c r="I1118" s="20">
        <f t="shared" si="2"/>
        <v>46143</v>
      </c>
    </row>
    <row r="1119" ht="22.5" customHeight="1">
      <c r="A1119" s="5">
        <v>46156.0</v>
      </c>
      <c r="B1119" s="6">
        <f t="shared" si="1"/>
        <v>20</v>
      </c>
      <c r="C1119" s="7" t="s">
        <v>9</v>
      </c>
      <c r="D1119" s="8">
        <v>70.0</v>
      </c>
      <c r="E1119" s="7" t="s">
        <v>33</v>
      </c>
      <c r="F1119" s="10" t="str">
        <f>VLOOKUP(E1119,BASE_VEICULOS!A:G,7,0)</f>
        <v>PROF - 07001 - MANUTENÇÃO PREDIAL- PROFARMA-2025</v>
      </c>
      <c r="G1119" s="11" t="str">
        <f>IFERROR(VLOOKUP(E1119,BASE_VEICULOS!$A:$B,2,0),"")</f>
        <v>TEW9A30</v>
      </c>
      <c r="H1119" s="19"/>
      <c r="I1119" s="20">
        <f t="shared" si="2"/>
        <v>46143</v>
      </c>
    </row>
    <row r="1120" ht="22.5" customHeight="1">
      <c r="A1120" s="5">
        <v>46156.0</v>
      </c>
      <c r="B1120" s="6">
        <f t="shared" si="1"/>
        <v>20</v>
      </c>
      <c r="C1120" s="7" t="s">
        <v>9</v>
      </c>
      <c r="D1120" s="8">
        <v>70.0</v>
      </c>
      <c r="E1120" s="7" t="s">
        <v>14</v>
      </c>
      <c r="F1120" s="10" t="str">
        <f>VLOOKUP(E1120,BASE_VEICULOS!A:G,7,0)</f>
        <v>FAC - 140004 - MANUTENÇÃO PREDIAL DPSP 2025</v>
      </c>
      <c r="G1120" s="11" t="str">
        <f>IFERROR(VLOOKUP(E1120,BASE_VEICULOS!$A:$B,2,0),"")</f>
        <v>FOK8A73</v>
      </c>
      <c r="H1120" s="19"/>
      <c r="I1120" s="20">
        <f t="shared" si="2"/>
        <v>46143</v>
      </c>
    </row>
    <row r="1121" ht="22.5" customHeight="1">
      <c r="A1121" s="5">
        <v>46156.0</v>
      </c>
      <c r="B1121" s="6">
        <f t="shared" si="1"/>
        <v>20</v>
      </c>
      <c r="C1121" s="7" t="s">
        <v>9</v>
      </c>
      <c r="D1121" s="8">
        <v>70.0</v>
      </c>
      <c r="E1121" s="7" t="s">
        <v>34</v>
      </c>
      <c r="F1121" s="10" t="str">
        <f>VLOOKUP(E1121,BASE_VEICULOS!A:G,7,0)</f>
        <v>PROF - 07001 - MANUTENÇÃO PREDIAL- PROFARMA-2025</v>
      </c>
      <c r="G1121" s="11" t="str">
        <f>IFERROR(VLOOKUP(E1121,BASE_VEICULOS!$A:$B,2,0),"")</f>
        <v>SRU8D16</v>
      </c>
      <c r="H1121" s="19"/>
      <c r="I1121" s="20">
        <f t="shared" si="2"/>
        <v>46143</v>
      </c>
    </row>
    <row r="1122" ht="22.5" customHeight="1">
      <c r="A1122" s="5">
        <v>46157.0</v>
      </c>
      <c r="B1122" s="6">
        <f t="shared" si="1"/>
        <v>20</v>
      </c>
      <c r="C1122" s="7" t="s">
        <v>9</v>
      </c>
      <c r="D1122" s="8">
        <v>110.0</v>
      </c>
      <c r="E1122" s="7" t="s">
        <v>29</v>
      </c>
      <c r="F1122" s="10" t="str">
        <f>VLOOKUP(E1122,BASE_VEICULOS!A:G,7,0)</f>
        <v>PROF - 07001 - MANUTENÇÃO PREDIAL- PROFARMA-2025</v>
      </c>
      <c r="G1122" s="11" t="str">
        <f>IFERROR(VLOOKUP(E1122,BASE_VEICULOS!$A:$B,2,0),"")</f>
        <v>TEQ2I74</v>
      </c>
      <c r="H1122" s="19"/>
      <c r="I1122" s="20">
        <f t="shared" si="2"/>
        <v>46143</v>
      </c>
    </row>
    <row r="1123" ht="22.5" customHeight="1">
      <c r="A1123" s="5">
        <v>46157.0</v>
      </c>
      <c r="B1123" s="6">
        <f t="shared" si="1"/>
        <v>20</v>
      </c>
      <c r="C1123" s="7" t="s">
        <v>9</v>
      </c>
      <c r="D1123" s="8">
        <v>159.99</v>
      </c>
      <c r="E1123" s="7" t="s">
        <v>20</v>
      </c>
      <c r="F1123" s="10" t="str">
        <f>VLOOKUP(E1123,BASE_VEICULOS!A:G,7,0)</f>
        <v>PROF - 07001 - MANUTENÇÃO PREDIAL- PROFARMA-2025</v>
      </c>
      <c r="G1123" s="11" t="str">
        <f>IFERROR(VLOOKUP(E1123,BASE_VEICULOS!$A:$B,2,0),"")</f>
        <v>TEW9A34</v>
      </c>
      <c r="H1123" s="19"/>
      <c r="I1123" s="20">
        <f t="shared" si="2"/>
        <v>46143</v>
      </c>
    </row>
    <row r="1124" ht="22.5" customHeight="1">
      <c r="A1124" s="5">
        <v>46157.0</v>
      </c>
      <c r="B1124" s="6">
        <f t="shared" si="1"/>
        <v>20</v>
      </c>
      <c r="C1124" s="7" t="s">
        <v>9</v>
      </c>
      <c r="D1124" s="8">
        <v>120.0</v>
      </c>
      <c r="E1124" s="7" t="s">
        <v>23</v>
      </c>
      <c r="F1124" s="10" t="str">
        <f>VLOOKUP(E1124,BASE_VEICULOS!A:G,7,0)</f>
        <v>PROF - 07001 - MANUTENÇÃO PREDIAL- PROFARMA-2025</v>
      </c>
      <c r="G1124" s="11" t="str">
        <f>IFERROR(VLOOKUP(E1124,BASE_VEICULOS!$A:$B,2,0),"")</f>
        <v>TEH3I02</v>
      </c>
      <c r="H1124" s="19"/>
      <c r="I1124" s="20">
        <f t="shared" si="2"/>
        <v>46143</v>
      </c>
    </row>
    <row r="1125" ht="22.5" customHeight="1">
      <c r="A1125" s="5">
        <v>46157.0</v>
      </c>
      <c r="B1125" s="6">
        <f t="shared" si="1"/>
        <v>20</v>
      </c>
      <c r="C1125" s="7" t="s">
        <v>9</v>
      </c>
      <c r="D1125" s="8">
        <v>52.96</v>
      </c>
      <c r="E1125" s="7" t="s">
        <v>21</v>
      </c>
      <c r="F1125" s="10" t="str">
        <f>VLOOKUP(E1125,BASE_VEICULOS!A:G,7,0)</f>
        <v>PROF - 07001 - MANUTENÇÃO PREDIAL- PROFARMA-2025</v>
      </c>
      <c r="G1125" s="11" t="str">
        <f>IFERROR(VLOOKUP(E1125,BASE_VEICULOS!$A:$B,2,0),"")</f>
        <v>TEW9A33</v>
      </c>
      <c r="H1125" s="19"/>
      <c r="I1125" s="20">
        <f t="shared" si="2"/>
        <v>46143</v>
      </c>
    </row>
    <row r="1126" ht="22.5" customHeight="1">
      <c r="A1126" s="5">
        <v>46157.0</v>
      </c>
      <c r="B1126" s="6">
        <f t="shared" si="1"/>
        <v>20</v>
      </c>
      <c r="C1126" s="7" t="s">
        <v>9</v>
      </c>
      <c r="D1126" s="8">
        <v>70.0</v>
      </c>
      <c r="E1126" s="7" t="s">
        <v>15</v>
      </c>
      <c r="F1126" s="10" t="str">
        <f>VLOOKUP(E1126,BASE_VEICULOS!A:G,7,0)</f>
        <v>FAC - 140005 - SPOT MANUTENÇÃO DPSP 2025</v>
      </c>
      <c r="G1126" s="11" t="str">
        <f>IFERROR(VLOOKUP(E1126,BASE_VEICULOS!$A:$B,2,0),"")</f>
        <v>EWH1B84</v>
      </c>
      <c r="H1126" s="19"/>
      <c r="I1126" s="20">
        <f t="shared" si="2"/>
        <v>46143</v>
      </c>
    </row>
    <row r="1127" ht="22.5" customHeight="1">
      <c r="A1127" s="5">
        <v>46157.0</v>
      </c>
      <c r="B1127" s="6">
        <f t="shared" si="1"/>
        <v>20</v>
      </c>
      <c r="C1127" s="7" t="s">
        <v>9</v>
      </c>
      <c r="D1127" s="8">
        <v>40.0</v>
      </c>
      <c r="E1127" s="7" t="s">
        <v>11</v>
      </c>
      <c r="F1127" s="10" t="str">
        <f>VLOOKUP(E1127,BASE_VEICULOS!A:G,7,0)</f>
        <v>PROF - 07001 - MANUTENÇÃO PREDIAL- PROFARMA-2025</v>
      </c>
      <c r="G1127" s="11" t="str">
        <f>IFERROR(VLOOKUP(E1127,BASE_VEICULOS!$A:$B,2,0),"")</f>
        <v>TEW9A28</v>
      </c>
      <c r="H1127" s="19"/>
      <c r="I1127" s="20">
        <f t="shared" si="2"/>
        <v>46143</v>
      </c>
    </row>
    <row r="1128" ht="22.5" customHeight="1">
      <c r="A1128" s="5">
        <v>46157.0</v>
      </c>
      <c r="B1128" s="6">
        <f t="shared" si="1"/>
        <v>20</v>
      </c>
      <c r="C1128" s="7" t="s">
        <v>9</v>
      </c>
      <c r="D1128" s="8">
        <v>59.95</v>
      </c>
      <c r="E1128" s="7" t="s">
        <v>10</v>
      </c>
      <c r="F1128" s="10" t="str">
        <f>VLOOKUP(E1128,BASE_VEICULOS!A:G,7,0)</f>
        <v>FAC - 140004 - MANUTENÇÃO PREDIAL DPSP 2025</v>
      </c>
      <c r="G1128" s="11" t="str">
        <f>IFERROR(VLOOKUP(E1128,BASE_VEICULOS!$A:$B,2,0),"")</f>
        <v>TEW9A25</v>
      </c>
      <c r="H1128" s="19"/>
      <c r="I1128" s="20">
        <f t="shared" si="2"/>
        <v>46143</v>
      </c>
    </row>
    <row r="1129" ht="22.5" customHeight="1">
      <c r="A1129" s="5">
        <v>46157.0</v>
      </c>
      <c r="B1129" s="6">
        <f t="shared" si="1"/>
        <v>20</v>
      </c>
      <c r="C1129" s="7" t="s">
        <v>9</v>
      </c>
      <c r="D1129" s="8">
        <v>100.0</v>
      </c>
      <c r="E1129" s="7" t="s">
        <v>35</v>
      </c>
      <c r="F1129" s="10" t="str">
        <f>VLOOKUP(E1129,BASE_VEICULOS!A:G,7,0)</f>
        <v>#N/A</v>
      </c>
      <c r="G1129" s="11" t="str">
        <f>IFERROR(VLOOKUP(E1129,BASE_VEICULOS!$A:$B,2,0),"")</f>
        <v/>
      </c>
      <c r="H1129" s="19"/>
      <c r="I1129" s="20">
        <f t="shared" si="2"/>
        <v>46143</v>
      </c>
    </row>
    <row r="1130" ht="22.5" customHeight="1">
      <c r="A1130" s="5">
        <v>46157.0</v>
      </c>
      <c r="B1130" s="6">
        <f t="shared" si="1"/>
        <v>20</v>
      </c>
      <c r="C1130" s="7" t="s">
        <v>9</v>
      </c>
      <c r="D1130" s="8">
        <v>59.99</v>
      </c>
      <c r="E1130" s="7" t="s">
        <v>22</v>
      </c>
      <c r="F1130" s="10" t="str">
        <f>VLOOKUP(E1130,BASE_VEICULOS!A:G,7,0)</f>
        <v>PROF - 07001 - MANUTENÇÃO PREDIAL- PROFARMA-2025</v>
      </c>
      <c r="G1130" s="11" t="str">
        <f>IFERROR(VLOOKUP(E1130,BASE_VEICULOS!$A:$B,2,0),"")</f>
        <v>TET5H37</v>
      </c>
      <c r="H1130" s="19"/>
      <c r="I1130" s="20">
        <f t="shared" si="2"/>
        <v>46143</v>
      </c>
    </row>
    <row r="1131" ht="22.5" customHeight="1">
      <c r="A1131" s="5">
        <v>46157.0</v>
      </c>
      <c r="B1131" s="6">
        <f t="shared" si="1"/>
        <v>20</v>
      </c>
      <c r="C1131" s="7" t="s">
        <v>9</v>
      </c>
      <c r="D1131" s="8">
        <v>99.96</v>
      </c>
      <c r="E1131" s="7" t="s">
        <v>18</v>
      </c>
      <c r="F1131" s="10" t="str">
        <f>VLOOKUP(E1131,BASE_VEICULOS!A:G,7,0)</f>
        <v>FAC - 140004 - MANUTENÇÃO PREDIAL DPSP 2025</v>
      </c>
      <c r="G1131" s="11" t="str">
        <f>IFERROR(VLOOKUP(E1131,BASE_VEICULOS!$A:$B,2,0),"")</f>
        <v>TEW9A29</v>
      </c>
      <c r="H1131" s="19"/>
      <c r="I1131" s="20">
        <f t="shared" si="2"/>
        <v>46143</v>
      </c>
    </row>
    <row r="1132" ht="22.5" customHeight="1">
      <c r="A1132" s="5">
        <v>46157.0</v>
      </c>
      <c r="B1132" s="6">
        <f t="shared" si="1"/>
        <v>20</v>
      </c>
      <c r="C1132" s="7" t="s">
        <v>9</v>
      </c>
      <c r="D1132" s="8">
        <v>114.93</v>
      </c>
      <c r="E1132" s="7" t="s">
        <v>19</v>
      </c>
      <c r="F1132" s="10" t="str">
        <f>VLOOKUP(E1132,BASE_VEICULOS!A:G,7,0)</f>
        <v>PROF - 07001 - MANUTENÇÃO PREDIAL- PROFARMA-2025</v>
      </c>
      <c r="G1132" s="11" t="str">
        <f>IFERROR(VLOOKUP(E1132,BASE_VEICULOS!$A:$B,2,0),"")</f>
        <v>TEW9A24</v>
      </c>
      <c r="H1132" s="19"/>
      <c r="I1132" s="20">
        <f t="shared" si="2"/>
        <v>46143</v>
      </c>
    </row>
    <row r="1133" ht="22.5" customHeight="1">
      <c r="A1133" s="5">
        <v>46157.0</v>
      </c>
      <c r="B1133" s="6">
        <f t="shared" si="1"/>
        <v>20</v>
      </c>
      <c r="C1133" s="7" t="s">
        <v>9</v>
      </c>
      <c r="D1133" s="8">
        <v>60.0</v>
      </c>
      <c r="E1133" s="7" t="s">
        <v>13</v>
      </c>
      <c r="F1133" s="10" t="str">
        <f>VLOOKUP(E1133,BASE_VEICULOS!A:G,7,0)</f>
        <v>FAC - 140005 - SPOT MANUTENÇÃO DPSP 2025</v>
      </c>
      <c r="G1133" s="11" t="str">
        <f>IFERROR(VLOOKUP(E1133,BASE_VEICULOS!$A:$B,2,0),"")</f>
        <v>FGO3C61</v>
      </c>
      <c r="H1133" s="19"/>
      <c r="I1133" s="20">
        <f t="shared" si="2"/>
        <v>46143</v>
      </c>
    </row>
    <row r="1134" ht="22.5" customHeight="1">
      <c r="A1134" s="5">
        <v>46157.0</v>
      </c>
      <c r="B1134" s="6">
        <f t="shared" si="1"/>
        <v>20</v>
      </c>
      <c r="C1134" s="7" t="s">
        <v>9</v>
      </c>
      <c r="D1134" s="8">
        <v>59.98</v>
      </c>
      <c r="E1134" s="7" t="s">
        <v>24</v>
      </c>
      <c r="F1134" s="10" t="str">
        <f>VLOOKUP(E1134,BASE_VEICULOS!A:G,7,0)</f>
        <v>PROF - 07001 - MANUTENÇÃO PREDIAL- PROFARMA-2025</v>
      </c>
      <c r="G1134" s="11" t="str">
        <f>IFERROR(VLOOKUP(E1134,BASE_VEICULOS!$A:$B,2,0),"")</f>
        <v>TEW9A23</v>
      </c>
      <c r="H1134" s="19"/>
      <c r="I1134" s="20">
        <f t="shared" si="2"/>
        <v>46143</v>
      </c>
    </row>
    <row r="1135" ht="22.5" customHeight="1">
      <c r="A1135" s="5">
        <v>46157.0</v>
      </c>
      <c r="B1135" s="6">
        <f t="shared" si="1"/>
        <v>20</v>
      </c>
      <c r="C1135" s="7" t="s">
        <v>9</v>
      </c>
      <c r="D1135" s="8">
        <v>110.0</v>
      </c>
      <c r="E1135" s="7" t="s">
        <v>33</v>
      </c>
      <c r="F1135" s="10" t="str">
        <f>VLOOKUP(E1135,BASE_VEICULOS!A:G,7,0)</f>
        <v>PROF - 07001 - MANUTENÇÃO PREDIAL- PROFARMA-2025</v>
      </c>
      <c r="G1135" s="11" t="str">
        <f>IFERROR(VLOOKUP(E1135,BASE_VEICULOS!$A:$B,2,0),"")</f>
        <v>TEW9A30</v>
      </c>
      <c r="H1135" s="19"/>
      <c r="I1135" s="20">
        <f t="shared" si="2"/>
        <v>46143</v>
      </c>
    </row>
    <row r="1136" ht="22.5" customHeight="1">
      <c r="A1136" s="5">
        <v>46157.0</v>
      </c>
      <c r="B1136" s="6">
        <f t="shared" si="1"/>
        <v>20</v>
      </c>
      <c r="C1136" s="7" t="s">
        <v>9</v>
      </c>
      <c r="D1136" s="8">
        <v>119.94</v>
      </c>
      <c r="E1136" s="7" t="s">
        <v>14</v>
      </c>
      <c r="F1136" s="10" t="str">
        <f>VLOOKUP(E1136,BASE_VEICULOS!A:G,7,0)</f>
        <v>FAC - 140004 - MANUTENÇÃO PREDIAL DPSP 2025</v>
      </c>
      <c r="G1136" s="11" t="str">
        <f>IFERROR(VLOOKUP(E1136,BASE_VEICULOS!$A:$B,2,0),"")</f>
        <v>FOK8A73</v>
      </c>
      <c r="H1136" s="19"/>
      <c r="I1136" s="20">
        <f t="shared" si="2"/>
        <v>46143</v>
      </c>
    </row>
    <row r="1137" ht="22.5" customHeight="1">
      <c r="A1137" s="5">
        <v>46157.0</v>
      </c>
      <c r="B1137" s="6">
        <f t="shared" si="1"/>
        <v>20</v>
      </c>
      <c r="C1137" s="7" t="s">
        <v>9</v>
      </c>
      <c r="D1137" s="8">
        <v>190.0</v>
      </c>
      <c r="E1137" s="7" t="s">
        <v>27</v>
      </c>
      <c r="F1137" s="10" t="str">
        <f>VLOOKUP(E1137,BASE_VEICULOS!A:G,7,0)</f>
        <v>FAC - 140005 - SPOT MANUTENÇÃO DPSP 2025</v>
      </c>
      <c r="G1137" s="11" t="str">
        <f>IFERROR(VLOOKUP(E1137,BASE_VEICULOS!$A:$B,2,0),"")</f>
        <v>UDA5B37</v>
      </c>
      <c r="H1137" s="19"/>
      <c r="I1137" s="20">
        <f t="shared" si="2"/>
        <v>46143</v>
      </c>
    </row>
    <row r="1138" ht="22.5" customHeight="1">
      <c r="A1138" s="5">
        <v>46157.0</v>
      </c>
      <c r="B1138" s="6">
        <f t="shared" si="1"/>
        <v>20</v>
      </c>
      <c r="C1138" s="7" t="s">
        <v>9</v>
      </c>
      <c r="D1138" s="8">
        <v>59.98</v>
      </c>
      <c r="E1138" s="7" t="s">
        <v>34</v>
      </c>
      <c r="F1138" s="10" t="str">
        <f>VLOOKUP(E1138,BASE_VEICULOS!A:G,7,0)</f>
        <v>PROF - 07001 - MANUTENÇÃO PREDIAL- PROFARMA-2025</v>
      </c>
      <c r="G1138" s="11" t="str">
        <f>IFERROR(VLOOKUP(E1138,BASE_VEICULOS!$A:$B,2,0),"")</f>
        <v>SRU8D16</v>
      </c>
      <c r="H1138" s="19"/>
      <c r="I1138" s="20">
        <f t="shared" si="2"/>
        <v>46143</v>
      </c>
    </row>
    <row r="1139" ht="22.5" customHeight="1">
      <c r="A1139" s="5"/>
      <c r="B1139" s="6">
        <f t="shared" si="1"/>
        <v>52</v>
      </c>
      <c r="C1139" s="7"/>
      <c r="D1139" s="8"/>
      <c r="E1139" s="7"/>
      <c r="F1139" s="10" t="str">
        <f>VLOOKUP(E1139,BASE_VEICULOS!A:G,7,0)</f>
        <v>#N/A</v>
      </c>
      <c r="G1139" s="11" t="str">
        <f>IFERROR(VLOOKUP(E1139,BASE_VEICULOS!$A:$B,2,0),"")</f>
        <v/>
      </c>
      <c r="H1139" s="19"/>
      <c r="I1139" s="20">
        <f t="shared" si="2"/>
        <v>693932</v>
      </c>
    </row>
    <row r="1140" ht="22.5" customHeight="1">
      <c r="A1140" s="5"/>
      <c r="B1140" s="6">
        <f t="shared" si="1"/>
        <v>52</v>
      </c>
      <c r="C1140" s="7"/>
      <c r="D1140" s="8"/>
      <c r="E1140" s="7"/>
      <c r="F1140" s="10" t="str">
        <f>VLOOKUP(E1140,BASE_VEICULOS!A:G,7,0)</f>
        <v>#N/A</v>
      </c>
      <c r="G1140" s="11" t="str">
        <f>IFERROR(VLOOKUP(E1140,BASE_VEICULOS!$A:$B,2,0),"")</f>
        <v/>
      </c>
      <c r="H1140" s="19"/>
      <c r="I1140" s="20">
        <f t="shared" si="2"/>
        <v>693932</v>
      </c>
    </row>
    <row r="1141" ht="22.5" customHeight="1">
      <c r="A1141" s="5"/>
      <c r="B1141" s="6">
        <f t="shared" si="1"/>
        <v>52</v>
      </c>
      <c r="C1141" s="7"/>
      <c r="D1141" s="8"/>
      <c r="E1141" s="7"/>
      <c r="F1141" s="10" t="str">
        <f>VLOOKUP(E1141,BASE_VEICULOS!A:G,7,0)</f>
        <v>#N/A</v>
      </c>
      <c r="G1141" s="11" t="str">
        <f>IFERROR(VLOOKUP(E1141,BASE_VEICULOS!$A:$B,2,0),"")</f>
        <v/>
      </c>
      <c r="H1141" s="19"/>
      <c r="I1141" s="20">
        <f t="shared" si="2"/>
        <v>693932</v>
      </c>
    </row>
    <row r="1142" ht="22.5" customHeight="1">
      <c r="A1142" s="5"/>
      <c r="B1142" s="6">
        <f t="shared" si="1"/>
        <v>52</v>
      </c>
      <c r="C1142" s="7"/>
      <c r="D1142" s="8"/>
      <c r="E1142" s="7"/>
      <c r="F1142" s="10" t="str">
        <f>VLOOKUP(E1142,BASE_VEICULOS!A:G,7,0)</f>
        <v>#N/A</v>
      </c>
      <c r="G1142" s="11" t="str">
        <f>IFERROR(VLOOKUP(E1142,BASE_VEICULOS!$A:$B,2,0),"")</f>
        <v/>
      </c>
      <c r="H1142" s="19"/>
      <c r="I1142" s="20">
        <f t="shared" si="2"/>
        <v>693932</v>
      </c>
    </row>
    <row r="1143" ht="22.5" customHeight="1">
      <c r="A1143" s="5"/>
      <c r="B1143" s="6">
        <f t="shared" si="1"/>
        <v>52</v>
      </c>
      <c r="C1143" s="7"/>
      <c r="D1143" s="8"/>
      <c r="E1143" s="7"/>
      <c r="F1143" s="10" t="str">
        <f>VLOOKUP(E1143,BASE_VEICULOS!A:G,7,0)</f>
        <v>#N/A</v>
      </c>
      <c r="G1143" s="11" t="str">
        <f>IFERROR(VLOOKUP(E1143,BASE_VEICULOS!$A:$B,2,0),"")</f>
        <v/>
      </c>
      <c r="H1143" s="19"/>
      <c r="I1143" s="20">
        <f t="shared" si="2"/>
        <v>693932</v>
      </c>
    </row>
    <row r="1144" ht="22.5" customHeight="1">
      <c r="A1144" s="5"/>
      <c r="B1144" s="6">
        <f t="shared" si="1"/>
        <v>52</v>
      </c>
      <c r="C1144" s="7"/>
      <c r="D1144" s="8"/>
      <c r="E1144" s="7"/>
      <c r="F1144" s="10" t="str">
        <f>VLOOKUP(E1144,BASE_VEICULOS!A:G,7,0)</f>
        <v>#N/A</v>
      </c>
      <c r="G1144" s="11" t="str">
        <f>IFERROR(VLOOKUP(E1144,BASE_VEICULOS!$A:$B,2,0),"")</f>
        <v/>
      </c>
      <c r="H1144" s="19"/>
      <c r="I1144" s="20">
        <f t="shared" si="2"/>
        <v>693932</v>
      </c>
    </row>
    <row r="1145" ht="22.5" customHeight="1">
      <c r="A1145" s="5"/>
      <c r="B1145" s="6">
        <f t="shared" si="1"/>
        <v>52</v>
      </c>
      <c r="C1145" s="7"/>
      <c r="D1145" s="8"/>
      <c r="E1145" s="7"/>
      <c r="F1145" s="10" t="str">
        <f>VLOOKUP(E1145,BASE_VEICULOS!A:G,7,0)</f>
        <v>#N/A</v>
      </c>
      <c r="G1145" s="11" t="str">
        <f>IFERROR(VLOOKUP(E1145,BASE_VEICULOS!$A:$B,2,0),"")</f>
        <v/>
      </c>
      <c r="H1145" s="19"/>
      <c r="I1145" s="20">
        <f t="shared" si="2"/>
        <v>693932</v>
      </c>
    </row>
  </sheetData>
  <conditionalFormatting sqref="D2 G2:G1145">
    <cfRule type="expression" dxfId="5" priority="1">
      <formula>#REF!="EQUIPAMENTO"</formula>
    </cfRule>
  </conditionalFormatting>
  <conditionalFormatting sqref="D2 G2:G1145">
    <cfRule type="expression" dxfId="5" priority="2">
      <formula>#REF!="VEÍCULO (recém emplacado)"</formula>
    </cfRule>
  </conditionalFormatting>
  <conditionalFormatting sqref="D2 G2:G1145">
    <cfRule type="expression" dxfId="5" priority="3">
      <formula>#REF!="VEÍCULO (emplacado + de 45 dias)"</formula>
    </cfRule>
  </conditionalFormatting>
  <dataValidations>
    <dataValidation type="list" allowBlank="1" sqref="C2:C1145">
      <formula1>"TICKETLOG,CAIXINHA"</formula1>
    </dataValidation>
    <dataValidation type="custom" allowBlank="1" showDropDown="1" sqref="A2:A1145">
      <formula1>OR(NOT(ISERROR(DATEVALUE(A2))), AND(ISNUMBER(A2), LEFT(CELL("format", A2))="D"))</formula1>
    </dataValidation>
    <dataValidation type="custom" allowBlank="1" showDropDown="1" sqref="D2:D1145">
      <formula1>AND(ISNUMBER(D2),(NOT(OR(NOT(ISERROR(DATEVALUE(D2))), AND(ISNUMBER(D2), LEFT(CELL("format", D2))="D")))))</formula1>
    </dataValidation>
    <dataValidation type="list" allowBlank="1" sqref="E2:E1145">
      <formula1>#REF!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14"/>
    <col customWidth="1" min="3" max="3" width="19.57"/>
    <col customWidth="1" min="4" max="4" width="17.43"/>
    <col customWidth="1" min="5" max="5" width="19.71"/>
    <col customWidth="1" min="8" max="8" width="50.29"/>
    <col customWidth="1" min="14" max="14" width="18.57"/>
  </cols>
  <sheetData>
    <row r="2">
      <c r="A2" s="24" t="s">
        <v>37</v>
      </c>
      <c r="B2" s="25">
        <f>DATE(YEAR(B3),MONTH(B3),1)</f>
        <v>46174</v>
      </c>
      <c r="D2" s="24" t="s">
        <v>4</v>
      </c>
      <c r="E2" s="26" t="s">
        <v>38</v>
      </c>
    </row>
    <row r="3">
      <c r="A3" s="24" t="s">
        <v>39</v>
      </c>
      <c r="B3" s="27">
        <f>EOMONTH(B4,0)</f>
        <v>46203</v>
      </c>
      <c r="D3" s="24" t="s">
        <v>5</v>
      </c>
      <c r="E3" s="26" t="s">
        <v>40</v>
      </c>
    </row>
    <row r="4">
      <c r="A4" s="24" t="s">
        <v>41</v>
      </c>
      <c r="B4" s="28">
        <f>TODAY()</f>
        <v>46184</v>
      </c>
    </row>
    <row r="6">
      <c r="A6" s="29" t="s">
        <v>42</v>
      </c>
    </row>
    <row r="7">
      <c r="A7" s="30" t="s">
        <v>43</v>
      </c>
      <c r="B7" s="30" t="s">
        <v>44</v>
      </c>
      <c r="C7" s="31" t="s">
        <v>45</v>
      </c>
      <c r="D7" s="30" t="s">
        <v>46</v>
      </c>
      <c r="E7" s="30" t="s">
        <v>47</v>
      </c>
    </row>
    <row r="8">
      <c r="A8" s="28">
        <f>($B$2-WEEKDAY($B$2,2)+1)</f>
        <v>46174</v>
      </c>
      <c r="B8" s="28">
        <f t="shared" ref="B8:B13" si="1">A8+6</f>
        <v>46180</v>
      </c>
      <c r="C8" s="32" t="str">
        <f>IF(A8&gt;$B$3,"",SUMIFS(BASE_ABASTECIMENTO!$D$2:$D$97,BASE_ABASTECIMENTO!$A$2:$A$145,"&gt;="&amp;A8,BASE_ABASTECIMENTO!$A$2:$A$145,"&lt;="&amp;MIN(B8,$B$3,$B$4),BASE_ABASTECIMENTO!$E$2:$E$145,IF($E$2="TODOS","*",$E$2),BASE_ABASTECIMENTO!$F$2:$F$145,IF($E$3="TODOS","*",$E$3)))</f>
        <v>#VALUE!</v>
      </c>
      <c r="D8" s="32">
        <f>IF(A8&gt;$B$3,"",SUMIFS(BASE_PLANEJADO!$D$2:$D$1000,BASE_PLANEJADO!$B$2:$B$1000,DATE(YEAR($B$4),MONTH($B$4),1),BASE_PLANEJADO!$A$2:$A$1000,IF($E$3="TODOS","*",$E$3)))</f>
        <v>0</v>
      </c>
      <c r="E8" s="32" t="str">
        <f t="shared" ref="E8:E13" si="2">IF(C8="","",C8-D8)</f>
        <v>#VALUE!</v>
      </c>
    </row>
    <row r="9">
      <c r="A9" s="28">
        <f t="shared" ref="A9:A13" si="3">A8+7</f>
        <v>46181</v>
      </c>
      <c r="B9" s="28">
        <f t="shared" si="1"/>
        <v>46187</v>
      </c>
      <c r="C9" s="32" t="str">
        <f>IF(A9&gt;$B$3,"",SUMIFS(BASE_ABASTECIMENTO!$D$2:$D$97,BASE_ABASTECIMENTO!$A$2:$A$145,"&gt;="&amp;A9,BASE_ABASTECIMENTO!$A$2:$A$145,"&lt;="&amp;MIN(B9,$B$3,$B$4),BASE_ABASTECIMENTO!$E$2:$E$145,IF($E$2="TODOS","*",$E$2),BASE_ABASTECIMENTO!$F$2:$F$145,IF($E$3="TODOS","*",$E$3)))</f>
        <v>#VALUE!</v>
      </c>
      <c r="D9" s="32">
        <f>IF(A9&gt;$B$3,"",SUMIFS(BASE_PLANEJADO!$D$2:$D$1000,BASE_PLANEJADO!$B$2:$B$1000,DATE(YEAR($B$4),MONTH($B$4),1),BASE_PLANEJADO!$A$2:$A$1000,IF($E$3="TODOS","*",$E$3)))</f>
        <v>0</v>
      </c>
      <c r="E9" s="32" t="str">
        <f t="shared" si="2"/>
        <v>#VALUE!</v>
      </c>
    </row>
    <row r="10">
      <c r="A10" s="28">
        <f t="shared" si="3"/>
        <v>46188</v>
      </c>
      <c r="B10" s="28">
        <f t="shared" si="1"/>
        <v>46194</v>
      </c>
      <c r="C10" s="32" t="str">
        <f>IF(A10&gt;$B$3,"",SUMIFS(BASE_ABASTECIMENTO!$D$2:$D$97,BASE_ABASTECIMENTO!$A$2:$A$145,"&gt;="&amp;A10,BASE_ABASTECIMENTO!$A$2:$A$145,"&lt;="&amp;MIN(B10,$B$3,$B$4),BASE_ABASTECIMENTO!$E$2:$E$145,IF($E$2="TODOS","*",$E$2),BASE_ABASTECIMENTO!$F$2:$F$145,IF($E$3="TODOS","*",$E$3)))</f>
        <v>#VALUE!</v>
      </c>
      <c r="D10" s="32">
        <f>IF(A10&gt;$B$3,"",SUMIFS(BASE_PLANEJADO!$D$2:$D$1000,BASE_PLANEJADO!$B$2:$B$1000,DATE(YEAR($B$4),MONTH($B$4),1),BASE_PLANEJADO!$A$2:$A$1000,IF($E$3="TODOS","*",$E$3)))</f>
        <v>0</v>
      </c>
      <c r="E10" s="32" t="str">
        <f t="shared" si="2"/>
        <v>#VALUE!</v>
      </c>
    </row>
    <row r="11">
      <c r="A11" s="28">
        <f t="shared" si="3"/>
        <v>46195</v>
      </c>
      <c r="B11" s="28">
        <f t="shared" si="1"/>
        <v>46201</v>
      </c>
      <c r="C11" s="32" t="str">
        <f>IF(A11&gt;$B$3,"",SUMIFS(BASE_ABASTECIMENTO!$D$2:$D$97,BASE_ABASTECIMENTO!$A$2:$A$145,"&gt;="&amp;A11,BASE_ABASTECIMENTO!$A$2:$A$145,"&lt;="&amp;MIN(B11,$B$3,$B$4),BASE_ABASTECIMENTO!$E$2:$E$145,IF($E$2="TODOS","*",$E$2),BASE_ABASTECIMENTO!$F$2:$F$145,IF($E$3="TODOS","*",$E$3)))</f>
        <v>#VALUE!</v>
      </c>
      <c r="D11" s="32">
        <f>IF(A11&gt;$B$3,"",SUMIFS(BASE_PLANEJADO!$D$2:$D$1000,BASE_PLANEJADO!$B$2:$B$1000,DATE(YEAR($B$4),MONTH($B$4),1),BASE_PLANEJADO!$A$2:$A$1000,IF($E$3="TODOS","*",$E$3)))</f>
        <v>0</v>
      </c>
      <c r="E11" s="32" t="str">
        <f t="shared" si="2"/>
        <v>#VALUE!</v>
      </c>
    </row>
    <row r="12">
      <c r="A12" s="28">
        <f t="shared" si="3"/>
        <v>46202</v>
      </c>
      <c r="B12" s="28">
        <f t="shared" si="1"/>
        <v>46208</v>
      </c>
      <c r="C12" s="32" t="str">
        <f>IF(A12&gt;$B$3,"",SUMIFS(BASE_ABASTECIMENTO!$D$2:$D$97,BASE_ABASTECIMENTO!$A$2:$A$145,"&gt;="&amp;A12,BASE_ABASTECIMENTO!$A$2:$A$145,"&lt;="&amp;MIN(B12,$B$3,$B$4),BASE_ABASTECIMENTO!$E$2:$E$145,IF($E$2="TODOS","*",$E$2),BASE_ABASTECIMENTO!$F$2:$F$145,IF($E$3="TODOS","*",$E$3)))</f>
        <v>#VALUE!</v>
      </c>
      <c r="D12" s="32">
        <f>IF(A12&gt;$B$3,"",SUMIFS(BASE_PLANEJADO!$D$2:$D$1000,BASE_PLANEJADO!$B$2:$B$1000,DATE(YEAR($B$4),MONTH($B$4),1),BASE_PLANEJADO!$A$2:$A$1000,IF($E$3="TODOS","*",$E$3)))</f>
        <v>0</v>
      </c>
      <c r="E12" s="32" t="str">
        <f t="shared" si="2"/>
        <v>#VALUE!</v>
      </c>
    </row>
    <row r="13">
      <c r="A13" s="28">
        <f t="shared" si="3"/>
        <v>46209</v>
      </c>
      <c r="B13" s="28">
        <f t="shared" si="1"/>
        <v>46215</v>
      </c>
      <c r="C13" s="32" t="str">
        <f>IF(A13&gt;$B$3,"",SUMIFS(BASE_ABASTECIMENTO!$D$2:$D$97,BASE_ABASTECIMENTO!$A$2:$A$145,"&gt;="&amp;A13,BASE_ABASTECIMENTO!$A$2:$A$145,"&lt;="&amp;MIN(B13,$B$3,$B$4),BASE_ABASTECIMENTO!$E$2:$E$145,IF($E$2="TODOS","*",$E$2),BASE_ABASTECIMENTO!$F$2:$F$145,IF($E$3="TODOS","*",$E$3)))</f>
        <v/>
      </c>
      <c r="D13" s="32" t="str">
        <f>IF(A13&gt;$B$3,"",SUMIFS(BASE_PLANEJADO!$D$2:$D$1000,BASE_PLANEJADO!$B$2:$B$1000,DATE(YEAR($B$4),MONTH($B$4),1),BASE_PLANEJADO!$A$2:$A$1000,IF($E$3="TODOS","*",$E$3)))</f>
        <v/>
      </c>
      <c r="E13" s="32" t="str">
        <f t="shared" si="2"/>
        <v/>
      </c>
    </row>
    <row r="15">
      <c r="A15" s="29" t="s">
        <v>48</v>
      </c>
      <c r="G15" s="26" t="s">
        <v>4</v>
      </c>
      <c r="H15" s="26" t="s">
        <v>5</v>
      </c>
      <c r="I15" s="26" t="s">
        <v>49</v>
      </c>
      <c r="J15" s="26" t="s">
        <v>50</v>
      </c>
      <c r="K15" s="26" t="s">
        <v>51</v>
      </c>
      <c r="L15" s="26" t="s">
        <v>52</v>
      </c>
      <c r="M15" s="26" t="s">
        <v>53</v>
      </c>
      <c r="N15" s="26" t="s">
        <v>54</v>
      </c>
      <c r="O15" s="26" t="s">
        <v>55</v>
      </c>
      <c r="P15" s="26" t="s">
        <v>56</v>
      </c>
      <c r="Q15" s="26" t="s">
        <v>57</v>
      </c>
    </row>
    <row r="16">
      <c r="A16" s="30" t="s">
        <v>58</v>
      </c>
      <c r="B16" s="30" t="s">
        <v>4</v>
      </c>
      <c r="C16" s="31" t="s">
        <v>59</v>
      </c>
      <c r="G16" s="26" t="s">
        <v>10</v>
      </c>
      <c r="H16" s="33" t="str">
        <f>IF(G16="","",IFERROR(VLOOKUP(G16,BASE_VEICULOS!$A:$G,7,FALSE),""))</f>
        <v>FAC - 140004 - MANUTENÇÃO PREDIAL DPSP 2025</v>
      </c>
      <c r="I16" s="34">
        <f>SUMIFS(BASE_ABASTECIMENTO!D:D,BASE_ABASTECIMENTO!E:E,$G16,BASE_ABASTECIMENTO!A:A,"&gt;="&amp;$B$2,BASE_ABASTECIMENTO!A:A,"&lt;="&amp;$B$3)</f>
        <v>0</v>
      </c>
      <c r="J16" s="34">
        <f>SUMIFS(BASE_VELOE!$F:$F,BASE_VELOE!$B:$B,$G16,BASE_VELOE!$A:$A,"&gt;="&amp;$B$2,BASE_VELOE!$A:$A,"&lt;="&amp;$B$3,BASE_VELOE!$D:$D,J$15)</f>
        <v>0</v>
      </c>
      <c r="K16" s="34">
        <f>SUMIFS(BASE_VELOE!$F:$F,BASE_VELOE!$B:$B,$G16,BASE_VELOE!$A:$A,"&gt;="&amp;$B$2,BASE_VELOE!$A:$A,"&lt;="&amp;$B$3,BASE_VELOE!$D:$D,K$15)</f>
        <v>0</v>
      </c>
      <c r="N16" s="34">
        <f t="shared" ref="N16:N29" si="4">SUM(I16:M16)</f>
        <v>0</v>
      </c>
      <c r="O16" s="35">
        <f>IF(VLOOKUP(G16,BASE_VEICULOS!A:O,10,0)="CONTRATO FROTAS",($B$4-VLOOKUP(G16,BASE_VEICULOS!A:O,15,0))/30*VLOOKUP(G16,BASE_VEICULOS!A:O,12,0),"")</f>
        <v>23100</v>
      </c>
      <c r="P16" s="33">
        <f>IFERROR(__xludf.DUMMYFUNCTION("IF(G16="""","""",IFERROR(MAX(FILTER(BASE_KM!$C$2:$C1000, BASE_KM!$B$2:$B1000=G16, BASE_KM!$A$2:$A1000=MAX(FILTER(BASE_KM!$A$2:$A1000, BASE_KM!$B$2:$B1000=G16)))),""""))"),25030.0)</f>
        <v>25030</v>
      </c>
      <c r="Q16" s="35">
        <f t="shared" ref="Q16:Q29" si="5">O16-P16</f>
        <v>-1930</v>
      </c>
    </row>
    <row r="17">
      <c r="A17" s="36">
        <f>IFERROR(__xludf.DUMMYFUNCTION("IFERROR({SEQUENCE(10),SORTN(FILTER({$G$16:$G$41,$I$16:$I$41},$G$16:$G$41&lt;&gt;"""",$I$16:$I$41&lt;&gt;""""),10,0,2,FALSE)},"""")"),1.0)</f>
        <v>1</v>
      </c>
      <c r="B17" s="36" t="str">
        <f>IFERROR(__xludf.DUMMYFUNCTION("""COMPUTED_VALUE"""),"MANFAC-1")</f>
        <v>MANFAC-1</v>
      </c>
      <c r="C17" s="37">
        <f>IFERROR(__xludf.DUMMYFUNCTION("""COMPUTED_VALUE"""),0.0)</f>
        <v>0</v>
      </c>
      <c r="G17" s="26" t="s">
        <v>11</v>
      </c>
      <c r="H17" s="33" t="str">
        <f>IF(G17="","",IFERROR(VLOOKUP(G17,BASE_VEICULOS!$A:$G,7,FALSE),""))</f>
        <v>PROF - 07001 - MANUTENÇÃO PREDIAL- PROFARMA-2025</v>
      </c>
      <c r="I17" s="34">
        <f>SUMIFS(BASE_ABASTECIMENTO!D:D,BASE_ABASTECIMENTO!E:E,$G17,BASE_ABASTECIMENTO!A:A,"&gt;="&amp;$B$2,BASE_ABASTECIMENTO!A:A,"&lt;="&amp;$B$3)</f>
        <v>0</v>
      </c>
      <c r="J17" s="34">
        <f>SUMIFS(BASE_VELOE!F:F,BASE_VELOE!B:B,G17,BASE_VELOE!A:A,"&gt;="&amp;$B$2,BASE_VELOE!A:A,"&lt;="&amp;$B$3,BASE_VELOE!D:D,J$15)</f>
        <v>0</v>
      </c>
      <c r="K17" s="34">
        <f>SUMIFS(BASE_VELOE!$F:$F,BASE_VELOE!$B:$B,$G17,BASE_VELOE!$A:$A,"&gt;="&amp;$B$2,BASE_VELOE!$A:$A,"&lt;="&amp;$B$3,BASE_VELOE!$D:$D,K$15)</f>
        <v>0</v>
      </c>
      <c r="N17" s="34">
        <f t="shared" si="4"/>
        <v>0</v>
      </c>
      <c r="O17" s="35">
        <f>($B$4- VLOOKUP(G17,BASE_VEICULOS!A:O,15,0))/30*VLOOKUP(G17,BASE_VEICULOS!A:O,12,0)</f>
        <v>21900</v>
      </c>
      <c r="P17" s="33">
        <f>IFERROR(__xludf.DUMMYFUNCTION("IF(G17="""","""",IFERROR(MAX(FILTER(BASE_KM!$C$2:$C1000, BASE_KM!$B$2:$B1000=G17, BASE_KM!$A$2:$A1000=MAX(FILTER(BASE_KM!$A$2:$A1000, BASE_KM!$B$2:$B1000=G17)))),""""))"),27226.0)</f>
        <v>27226</v>
      </c>
      <c r="Q17" s="35">
        <f t="shared" si="5"/>
        <v>-5326</v>
      </c>
    </row>
    <row r="18">
      <c r="A18" s="36">
        <f>IFERROR(__xludf.DUMMYFUNCTION("""COMPUTED_VALUE"""),2.0)</f>
        <v>2</v>
      </c>
      <c r="B18" s="36" t="str">
        <f>IFERROR(__xludf.DUMMYFUNCTION("""COMPUTED_VALUE"""),"MANFAC-2")</f>
        <v>MANFAC-2</v>
      </c>
      <c r="C18" s="37">
        <f>IFERROR(__xludf.DUMMYFUNCTION("""COMPUTED_VALUE"""),0.0)</f>
        <v>0</v>
      </c>
      <c r="G18" s="26" t="s">
        <v>12</v>
      </c>
      <c r="H18" s="33" t="str">
        <f>IF(G18="","",IFERROR(VLOOKUP(G18,BASE_VEICULOS!$A:$G,7,FALSE),""))</f>
        <v>FAC - 140004 - MANUTENÇÃO PREDIAL DPSP 2025</v>
      </c>
      <c r="I18" s="34">
        <f>SUMIFS(BASE_ABASTECIMENTO!D:D,BASE_ABASTECIMENTO!E:E,$G18,BASE_ABASTECIMENTO!A:A,"&gt;="&amp;$B$2,BASE_ABASTECIMENTO!A:A,"&lt;="&amp;$B$3)</f>
        <v>0</v>
      </c>
      <c r="J18" s="34">
        <f>SUMIFS(BASE_VELOE!F:F,BASE_VELOE!B:B,G18,BASE_VELOE!A:A,"&gt;="&amp;$B$2,BASE_VELOE!A:A,"&lt;="&amp;$B$3,BASE_VELOE!D:D,J$15)</f>
        <v>0</v>
      </c>
      <c r="K18" s="34">
        <f>SUMIFS(BASE_VELOE!$F:$F,BASE_VELOE!$B:$B,$G18,BASE_VELOE!$A:$A,"&gt;="&amp;$B$2,BASE_VELOE!$A:$A,"&lt;="&amp;$B$3,BASE_VELOE!$D:$D,K$15)</f>
        <v>0</v>
      </c>
      <c r="N18" s="34">
        <f t="shared" si="4"/>
        <v>0</v>
      </c>
      <c r="O18" s="35">
        <f>($B$4- VLOOKUP(G18,BASE_VEICULOS!A:O,15,0))/30*VLOOKUP(G18,BASE_VEICULOS!A:O,12,0)</f>
        <v>100400</v>
      </c>
      <c r="P18" s="33">
        <f>IFERROR(__xludf.DUMMYFUNCTION("IF(G18="""","""",IFERROR(MAX(FILTER(BASE_KM!$C$2:$C1000, BASE_KM!$B$2:$B1000=G18, BASE_KM!$A$2:$A1000=MAX(FILTER(BASE_KM!$A$2:$A1000, BASE_KM!$B$2:$B1000=G18)))),""""))"),96713.0)</f>
        <v>96713</v>
      </c>
      <c r="Q18" s="35">
        <f t="shared" si="5"/>
        <v>3687</v>
      </c>
    </row>
    <row r="19">
      <c r="A19" s="36">
        <f>IFERROR(__xludf.DUMMYFUNCTION("""COMPUTED_VALUE"""),3.0)</f>
        <v>3</v>
      </c>
      <c r="B19" s="36" t="str">
        <f>IFERROR(__xludf.DUMMYFUNCTION("""COMPUTED_VALUE"""),"MANFAC-3")</f>
        <v>MANFAC-3</v>
      </c>
      <c r="C19" s="37">
        <f>IFERROR(__xludf.DUMMYFUNCTION("""COMPUTED_VALUE"""),0.0)</f>
        <v>0</v>
      </c>
      <c r="G19" s="26" t="s">
        <v>13</v>
      </c>
      <c r="H19" s="33" t="str">
        <f>IF(G19="","",IFERROR(VLOOKUP(G19,BASE_VEICULOS!$A:$G,7,FALSE),""))</f>
        <v>FAC - 140005 - SPOT MANUTENÇÃO DPSP 2025</v>
      </c>
      <c r="I19" s="34">
        <f>SUMIFS(BASE_ABASTECIMENTO!D:D,BASE_ABASTECIMENTO!E:E,$G19,BASE_ABASTECIMENTO!A:A,"&gt;="&amp;$B$2,BASE_ABASTECIMENTO!A:A,"&lt;="&amp;$B$3)</f>
        <v>0</v>
      </c>
      <c r="J19" s="34">
        <f>SUMIFS(BASE_VELOE!F:F,BASE_VELOE!B:B,G19,BASE_VELOE!A:A,"&gt;="&amp;$B$2,BASE_VELOE!A:A,"&lt;="&amp;$B$3,BASE_VELOE!D:D,J$15)</f>
        <v>0</v>
      </c>
      <c r="K19" s="34">
        <f>SUMIFS(BASE_VELOE!$F:$F,BASE_VELOE!$B:$B,$G19,BASE_VELOE!$A:$A,"&gt;="&amp;$B$2,BASE_VELOE!$A:$A,"&lt;="&amp;$B$3,BASE_VELOE!$D:$D,K$15)</f>
        <v>0</v>
      </c>
      <c r="N19" s="34">
        <f t="shared" si="4"/>
        <v>0</v>
      </c>
      <c r="O19" s="35">
        <f>($B$4- VLOOKUP(G19,BASE_VEICULOS!A:O,15,0))/30*VLOOKUP(G19,BASE_VEICULOS!A:O,12,0)</f>
        <v>105300</v>
      </c>
      <c r="P19" s="33">
        <f>IFERROR(__xludf.DUMMYFUNCTION("IF(G19="""","""",IFERROR(MAX(FILTER(BASE_KM!$C$2:$C1000, BASE_KM!$B$2:$B1000=G19, BASE_KM!$A$2:$A1000=MAX(FILTER(BASE_KM!$A$2:$A1000, BASE_KM!$B$2:$B1000=G19)))),""""))"),113188.0)</f>
        <v>113188</v>
      </c>
      <c r="Q19" s="35">
        <f t="shared" si="5"/>
        <v>-7888</v>
      </c>
    </row>
    <row r="20">
      <c r="A20" s="36">
        <f>IFERROR(__xludf.DUMMYFUNCTION("""COMPUTED_VALUE"""),4.0)</f>
        <v>4</v>
      </c>
      <c r="B20" s="36" t="str">
        <f>IFERROR(__xludf.DUMMYFUNCTION("""COMPUTED_VALUE"""),"MANFAC-4")</f>
        <v>MANFAC-4</v>
      </c>
      <c r="C20" s="37">
        <f>IFERROR(__xludf.DUMMYFUNCTION("""COMPUTED_VALUE"""),0.0)</f>
        <v>0</v>
      </c>
      <c r="G20" s="26" t="s">
        <v>14</v>
      </c>
      <c r="H20" s="33" t="str">
        <f>IF(G20="","",IFERROR(VLOOKUP(G20,BASE_VEICULOS!$A:$G,7,FALSE),""))</f>
        <v>FAC - 140004 - MANUTENÇÃO PREDIAL DPSP 2025</v>
      </c>
      <c r="I20" s="34">
        <f>SUMIFS(BASE_ABASTECIMENTO!D:D,BASE_ABASTECIMENTO!E:E,$G20,BASE_ABASTECIMENTO!A:A,"&gt;="&amp;$B$2,BASE_ABASTECIMENTO!A:A,"&lt;="&amp;$B$3)</f>
        <v>0</v>
      </c>
      <c r="J20" s="34">
        <f>SUMIFS(BASE_VELOE!F:F,BASE_VELOE!B:B,G20,BASE_VELOE!A:A,"&gt;="&amp;$B$2,BASE_VELOE!A:A,"&lt;="&amp;$B$3,BASE_VELOE!D:D,J$15)</f>
        <v>0</v>
      </c>
      <c r="K20" s="34">
        <f>SUMIFS(BASE_VELOE!$F:$F,BASE_VELOE!$B:$B,$G20,BASE_VELOE!$A:$A,"&gt;="&amp;$B$2,BASE_VELOE!$A:$A,"&lt;="&amp;$B$3,BASE_VELOE!$D:$D,K$15)</f>
        <v>0</v>
      </c>
      <c r="N20" s="34">
        <f t="shared" si="4"/>
        <v>0</v>
      </c>
      <c r="O20" s="35">
        <f>($B$4- VLOOKUP(G20,BASE_VEICULOS!A:O,15,0))/30*VLOOKUP(G20,BASE_VEICULOS!A:O,12,0)</f>
        <v>105300</v>
      </c>
      <c r="P20" s="33">
        <f>IFERROR(__xludf.DUMMYFUNCTION("IF(G20="""","""",IFERROR(MAX(FILTER(BASE_KM!$C$2:$C1000, BASE_KM!$B$2:$B1000=G20, BASE_KM!$A$2:$A1000=MAX(FILTER(BASE_KM!$A$2:$A1000, BASE_KM!$B$2:$B1000=G20)))),""""))"),98530.0)</f>
        <v>98530</v>
      </c>
      <c r="Q20" s="35">
        <f t="shared" si="5"/>
        <v>6770</v>
      </c>
    </row>
    <row r="21">
      <c r="A21" s="36">
        <f>IFERROR(__xludf.DUMMYFUNCTION("""COMPUTED_VALUE"""),5.0)</f>
        <v>5</v>
      </c>
      <c r="B21" s="36" t="str">
        <f>IFERROR(__xludf.DUMMYFUNCTION("""COMPUTED_VALUE"""),"MANFAC-5")</f>
        <v>MANFAC-5</v>
      </c>
      <c r="C21" s="37">
        <f>IFERROR(__xludf.DUMMYFUNCTION("""COMPUTED_VALUE"""),0.0)</f>
        <v>0</v>
      </c>
      <c r="G21" s="26" t="s">
        <v>15</v>
      </c>
      <c r="H21" s="33" t="str">
        <f>IF(G21="","",IFERROR(VLOOKUP(G21,BASE_VEICULOS!$A:$G,7,FALSE),""))</f>
        <v>FAC - 140005 - SPOT MANUTENÇÃO DPSP 2025</v>
      </c>
      <c r="I21" s="34">
        <f>SUMIFS(BASE_ABASTECIMENTO!D:D,BASE_ABASTECIMENTO!E:E,$G21,BASE_ABASTECIMENTO!A:A,"&gt;="&amp;$B$2,BASE_ABASTECIMENTO!A:A,"&lt;="&amp;$B$3)</f>
        <v>0</v>
      </c>
      <c r="J21" s="34">
        <f>SUMIFS(BASE_VELOE!F:F,BASE_VELOE!B:B,G21,BASE_VELOE!A:A,"&gt;="&amp;$B$2,BASE_VELOE!A:A,"&lt;="&amp;$B$3,BASE_VELOE!D:D,J$15)</f>
        <v>0</v>
      </c>
      <c r="K21" s="34">
        <f>SUMIFS(BASE_VELOE!$F:$F,BASE_VELOE!$B:$B,$G21,BASE_VELOE!$A:$A,"&gt;="&amp;$B$2,BASE_VELOE!$A:$A,"&lt;="&amp;$B$3,BASE_VELOE!$D:$D,K$15)</f>
        <v>0</v>
      </c>
      <c r="N21" s="34">
        <f t="shared" si="4"/>
        <v>0</v>
      </c>
      <c r="O21" s="35">
        <f>($B$4- VLOOKUP(G21,BASE_VEICULOS!A:O,15,0))/30*VLOOKUP(G21,BASE_VEICULOS!A:O,12,0)</f>
        <v>94500</v>
      </c>
      <c r="P21" s="33">
        <f>IFERROR(__xludf.DUMMYFUNCTION("IF(G21="""","""",IFERROR(MAX(FILTER(BASE_KM!$C$2:$C1000, BASE_KM!$B$2:$B1000=G21, BASE_KM!$A$2:$A1000=MAX(FILTER(BASE_KM!$A$2:$A1000, BASE_KM!$B$2:$B1000=G21)))),""""))"),114223.0)</f>
        <v>114223</v>
      </c>
      <c r="Q21" s="35">
        <f t="shared" si="5"/>
        <v>-19723</v>
      </c>
    </row>
    <row r="22">
      <c r="A22" s="36">
        <f>IFERROR(__xludf.DUMMYFUNCTION("""COMPUTED_VALUE"""),6.0)</f>
        <v>6</v>
      </c>
      <c r="B22" s="36" t="str">
        <f>IFERROR(__xludf.DUMMYFUNCTION("""COMPUTED_VALUE"""),"MANFAC-6")</f>
        <v>MANFAC-6</v>
      </c>
      <c r="C22" s="37">
        <f>IFERROR(__xludf.DUMMYFUNCTION("""COMPUTED_VALUE"""),0.0)</f>
        <v>0</v>
      </c>
      <c r="G22" s="26" t="s">
        <v>16</v>
      </c>
      <c r="H22" s="33" t="str">
        <f>IF(G22="","",IFERROR(VLOOKUP(G22,BASE_VEICULOS!$A:$G,7,FALSE),""))</f>
        <v>FAC - 140005 - SPOT MANUTENÇÃO DPSP 2025</v>
      </c>
      <c r="I22" s="34">
        <f>SUMIFS(BASE_ABASTECIMENTO!D:D,BASE_ABASTECIMENTO!E:E,$G22,BASE_ABASTECIMENTO!A:A,"&gt;="&amp;$B$2,BASE_ABASTECIMENTO!A:A,"&lt;="&amp;$B$3)</f>
        <v>0</v>
      </c>
      <c r="J22" s="34">
        <f>SUMIFS(BASE_VELOE!F:F,BASE_VELOE!B:B,G22,BASE_VELOE!A:A,"&gt;="&amp;$B$2,BASE_VELOE!A:A,"&lt;="&amp;$B$3,BASE_VELOE!D:D,J$15)</f>
        <v>0</v>
      </c>
      <c r="K22" s="34">
        <f>SUMIFS(BASE_VELOE!$F:$F,BASE_VELOE!$B:$B,$G22,BASE_VELOE!$A:$A,"&gt;="&amp;$B$2,BASE_VELOE!$A:$A,"&lt;="&amp;$B$3,BASE_VELOE!$D:$D,K$15)</f>
        <v>0</v>
      </c>
      <c r="N22" s="34">
        <f t="shared" si="4"/>
        <v>0</v>
      </c>
      <c r="O22" s="35">
        <f>($B$4- VLOOKUP(G22,BASE_VEICULOS!A:O,15,0))/30*VLOOKUP(G22,BASE_VEICULOS!A:O,12,0)</f>
        <v>21800</v>
      </c>
      <c r="P22" s="33">
        <f>IFERROR(__xludf.DUMMYFUNCTION("IF(G22="""","""",IFERROR(MAX(FILTER(BASE_KM!$C$2:$C1000, BASE_KM!$B$2:$B1000=G22, BASE_KM!$A$2:$A1000=MAX(FILTER(BASE_KM!$A$2:$A1000, BASE_KM!$B$2:$B1000=G22)))),""""))"),16032.0)</f>
        <v>16032</v>
      </c>
      <c r="Q22" s="35">
        <f t="shared" si="5"/>
        <v>5768</v>
      </c>
    </row>
    <row r="23">
      <c r="A23" s="36">
        <f>IFERROR(__xludf.DUMMYFUNCTION("""COMPUTED_VALUE"""),7.0)</f>
        <v>7</v>
      </c>
      <c r="B23" s="36" t="str">
        <f>IFERROR(__xludf.DUMMYFUNCTION("""COMPUTED_VALUE"""),"MANFAC-7")</f>
        <v>MANFAC-7</v>
      </c>
      <c r="C23" s="37">
        <f>IFERROR(__xludf.DUMMYFUNCTION("""COMPUTED_VALUE"""),0.0)</f>
        <v>0</v>
      </c>
      <c r="G23" s="26" t="s">
        <v>17</v>
      </c>
      <c r="H23" s="33" t="str">
        <f>IF(G23="","",IFERROR(VLOOKUP(G23,BASE_VEICULOS!$A:$G,7,FALSE),""))</f>
        <v/>
      </c>
      <c r="I23" s="34">
        <f>SUMIFS(BASE_ABASTECIMENTO!D:D,BASE_ABASTECIMENTO!E:E,$G23,BASE_ABASTECIMENTO!A:A,"&gt;="&amp;$B$2,BASE_ABASTECIMENTO!A:A,"&lt;="&amp;$B$3)</f>
        <v>0</v>
      </c>
      <c r="J23" s="34">
        <f>SUMIFS(BASE_VELOE!F:F,BASE_VELOE!B:B,G23,BASE_VELOE!A:A,"&gt;="&amp;$B$2,BASE_VELOE!A:A,"&lt;="&amp;$B$3,BASE_VELOE!D:D,J$15)</f>
        <v>0</v>
      </c>
      <c r="K23" s="34">
        <f>SUMIFS(BASE_VELOE!$F:$F,BASE_VELOE!$B:$B,$G23,BASE_VELOE!$A:$A,"&gt;="&amp;$B$2,BASE_VELOE!$A:$A,"&lt;="&amp;$B$3,BASE_VELOE!$D:$D,K$15)</f>
        <v>0</v>
      </c>
      <c r="N23" s="34">
        <f t="shared" si="4"/>
        <v>0</v>
      </c>
      <c r="O23" s="35" t="str">
        <f>($B$4- VLOOKUP(G23,BASE_VEICULOS!A:O,15,0))/30*VLOOKUP(G23,BASE_VEICULOS!A:O,12,0)</f>
        <v>#N/A</v>
      </c>
      <c r="P23" s="33">
        <f>IFERROR(__xludf.DUMMYFUNCTION("IF(G23="""","""",IFERROR(MAX(FILTER(BASE_KM!$C$2:$C1000, BASE_KM!$B$2:$B1000=G23, BASE_KM!$A$2:$A1000=MAX(FILTER(BASE_KM!$A$2:$A1000, BASE_KM!$B$2:$B1000=G23)))),""""))"),17420.0)</f>
        <v>17420</v>
      </c>
      <c r="Q23" s="33" t="str">
        <f t="shared" si="5"/>
        <v>#N/A</v>
      </c>
    </row>
    <row r="24">
      <c r="A24" s="36">
        <f>IFERROR(__xludf.DUMMYFUNCTION("""COMPUTED_VALUE"""),8.0)</f>
        <v>8</v>
      </c>
      <c r="B24" s="36" t="str">
        <f>IFERROR(__xludf.DUMMYFUNCTION("""COMPUTED_VALUE"""),"MANFAC-8")</f>
        <v>MANFAC-8</v>
      </c>
      <c r="C24" s="37">
        <f>IFERROR(__xludf.DUMMYFUNCTION("""COMPUTED_VALUE"""),0.0)</f>
        <v>0</v>
      </c>
      <c r="G24" s="26" t="s">
        <v>18</v>
      </c>
      <c r="H24" s="33" t="str">
        <f>IF(G24="","",IFERROR(VLOOKUP(G24,BASE_VEICULOS!$A:$G,7,FALSE),""))</f>
        <v>FAC - 140004 - MANUTENÇÃO PREDIAL DPSP 2025</v>
      </c>
      <c r="I24" s="34">
        <f>SUMIFS(BASE_ABASTECIMENTO!D:D,BASE_ABASTECIMENTO!E:E,$G24,BASE_ABASTECIMENTO!A:A,"&gt;="&amp;$B$2,BASE_ABASTECIMENTO!A:A,"&lt;="&amp;$B$3)</f>
        <v>0</v>
      </c>
      <c r="J24" s="34">
        <f>SUMIFS(BASE_VELOE!F:F,BASE_VELOE!B:B,G24,BASE_VELOE!A:A,"&gt;="&amp;$B$2,BASE_VELOE!A:A,"&lt;="&amp;$B$3,BASE_VELOE!D:D,J$15)</f>
        <v>0</v>
      </c>
      <c r="K24" s="34">
        <f>SUMIFS(BASE_VELOE!$F:$F,BASE_VELOE!$B:$B,$G24,BASE_VELOE!$A:$A,"&gt;="&amp;$B$2,BASE_VELOE!$A:$A,"&lt;="&amp;$B$3,BASE_VELOE!$D:$D,K$15)</f>
        <v>0</v>
      </c>
      <c r="N24" s="34">
        <f t="shared" si="4"/>
        <v>0</v>
      </c>
      <c r="O24" s="35">
        <f>($B$4- VLOOKUP(G24,BASE_VEICULOS!A:O,15,0))/30*VLOOKUP(G24,BASE_VEICULOS!A:O,12,0)</f>
        <v>23300</v>
      </c>
      <c r="P24" s="33">
        <f>IFERROR(__xludf.DUMMYFUNCTION("IF(G24="""","""",IFERROR(MAX(FILTER(BASE_KM!$C$2:$C1000, BASE_KM!$B$2:$B1000=G24, BASE_KM!$A$2:$A1000=MAX(FILTER(BASE_KM!$A$2:$A1000, BASE_KM!$B$2:$B1000=G24)))),""""))"),25035.0)</f>
        <v>25035</v>
      </c>
      <c r="Q24" s="35">
        <f t="shared" si="5"/>
        <v>-1735</v>
      </c>
    </row>
    <row r="25">
      <c r="A25" s="36">
        <f>IFERROR(__xludf.DUMMYFUNCTION("""COMPUTED_VALUE"""),9.0)</f>
        <v>9</v>
      </c>
      <c r="B25" s="36" t="str">
        <f>IFERROR(__xludf.DUMMYFUNCTION("""COMPUTED_VALUE"""),"MANFAC-9")</f>
        <v>MANFAC-9</v>
      </c>
      <c r="C25" s="37">
        <f>IFERROR(__xludf.DUMMYFUNCTION("""COMPUTED_VALUE"""),0.0)</f>
        <v>0</v>
      </c>
      <c r="G25" s="26" t="s">
        <v>33</v>
      </c>
      <c r="H25" s="33" t="str">
        <f>IF(G25="","",IFERROR(VLOOKUP(G25,BASE_VEICULOS!$A:$G,7,FALSE),""))</f>
        <v>PROF - 07001 - MANUTENÇÃO PREDIAL- PROFARMA-2025</v>
      </c>
      <c r="I25" s="34">
        <f>SUMIFS(BASE_ABASTECIMENTO!D:D,BASE_ABASTECIMENTO!E:E,$G25,BASE_ABASTECIMENTO!A:A,"&gt;="&amp;$B$2,BASE_ABASTECIMENTO!A:A,"&lt;="&amp;$B$3)</f>
        <v>0</v>
      </c>
      <c r="J25" s="34">
        <f>SUMIFS(BASE_VELOE!F:F,BASE_VELOE!B:B,G25,BASE_VELOE!A:A,"&gt;="&amp;$B$2,BASE_VELOE!A:A,"&lt;="&amp;$B$3,BASE_VELOE!D:D,J$15)</f>
        <v>0</v>
      </c>
      <c r="K25" s="34">
        <f>SUMIFS(BASE_VELOE!$F:$F,BASE_VELOE!$B:$B,$G25,BASE_VELOE!$A:$A,"&gt;="&amp;$B$2,BASE_VELOE!$A:$A,"&lt;="&amp;$B$3,BASE_VELOE!$D:$D,K$15)</f>
        <v>0</v>
      </c>
      <c r="N25" s="34">
        <f t="shared" si="4"/>
        <v>0</v>
      </c>
      <c r="O25" s="35">
        <f>($B$4- VLOOKUP(G25,BASE_VEICULOS!A:O,15,0))/30*VLOOKUP(G25,BASE_VEICULOS!A:O,12,0)</f>
        <v>21200</v>
      </c>
      <c r="P25" s="33">
        <f>IFERROR(__xludf.DUMMYFUNCTION("IF(G25="""","""",IFERROR(MAX(FILTER(BASE_KM!$C$2:$C1000, BASE_KM!$B$2:$B1000=G25, BASE_KM!$A$2:$A1000=MAX(FILTER(BASE_KM!$A$2:$A1000, BASE_KM!$B$2:$B1000=G25)))),""""))"),22512.0)</f>
        <v>22512</v>
      </c>
      <c r="Q25" s="35">
        <f t="shared" si="5"/>
        <v>-1312</v>
      </c>
    </row>
    <row r="26">
      <c r="A26" s="36">
        <f>IFERROR(__xludf.DUMMYFUNCTION("""COMPUTED_VALUE"""),10.0)</f>
        <v>10</v>
      </c>
      <c r="B26" s="36" t="str">
        <f>IFERROR(__xludf.DUMMYFUNCTION("""COMPUTED_VALUE"""),"MANFAC-10")</f>
        <v>MANFAC-10</v>
      </c>
      <c r="C26" s="37">
        <f>IFERROR(__xludf.DUMMYFUNCTION("""COMPUTED_VALUE"""),0.0)</f>
        <v>0</v>
      </c>
      <c r="G26" s="26" t="s">
        <v>19</v>
      </c>
      <c r="H26" s="33" t="str">
        <f>IF(G26="","",IFERROR(VLOOKUP(G26,BASE_VEICULOS!$A:$G,7,FALSE),""))</f>
        <v>PROF - 07001 - MANUTENÇÃO PREDIAL- PROFARMA-2025</v>
      </c>
      <c r="I26" s="34">
        <f>SUMIFS(BASE_ABASTECIMENTO!D:D,BASE_ABASTECIMENTO!E:E,$G26,BASE_ABASTECIMENTO!A:A,"&gt;="&amp;$B$2,BASE_ABASTECIMENTO!A:A,"&lt;="&amp;$B$3)</f>
        <v>0</v>
      </c>
      <c r="J26" s="34">
        <f>SUMIFS(BASE_VELOE!F:F,BASE_VELOE!B:B,G26,BASE_VELOE!A:A,"&gt;="&amp;$B$2,BASE_VELOE!A:A,"&lt;="&amp;$B$3,BASE_VELOE!D:D,J$15)</f>
        <v>0</v>
      </c>
      <c r="K26" s="34">
        <f>SUMIFS(BASE_VELOE!$F:$F,BASE_VELOE!$B:$B,$G26,BASE_VELOE!$A:$A,"&gt;="&amp;$B$2,BASE_VELOE!$A:$A,"&lt;="&amp;$B$3,BASE_VELOE!$D:$D,K$15)</f>
        <v>0</v>
      </c>
      <c r="N26" s="34">
        <f t="shared" si="4"/>
        <v>0</v>
      </c>
      <c r="O26" s="35">
        <f>($B$4- VLOOKUP(G26,BASE_VEICULOS!A:O,15,0))/30*VLOOKUP(G26,BASE_VEICULOS!A:O,12,0)</f>
        <v>23400</v>
      </c>
      <c r="P26" s="33">
        <f>IFERROR(__xludf.DUMMYFUNCTION("IF(G26="""","""",IFERROR(MAX(FILTER(BASE_KM!$C$2:$C1000, BASE_KM!$B$2:$B1000=G26, BASE_KM!$A$2:$A1000=MAX(FILTER(BASE_KM!$A$2:$A1000, BASE_KM!$B$2:$B1000=G26)))),""""))"),29003.0)</f>
        <v>29003</v>
      </c>
      <c r="Q26" s="35">
        <f t="shared" si="5"/>
        <v>-5603</v>
      </c>
    </row>
    <row r="27">
      <c r="G27" s="26" t="s">
        <v>20</v>
      </c>
      <c r="H27" s="33" t="str">
        <f>IF(G27="","",IFERROR(VLOOKUP(G27,BASE_VEICULOS!$A:$G,7,FALSE),""))</f>
        <v>PROF - 07001 - MANUTENÇÃO PREDIAL- PROFARMA-2025</v>
      </c>
      <c r="I27" s="34">
        <f>SUMIFS(BASE_ABASTECIMENTO!D:D,BASE_ABASTECIMENTO!E:E,$G27,BASE_ABASTECIMENTO!A:A,"&gt;="&amp;$B$2,BASE_ABASTECIMENTO!A:A,"&lt;="&amp;$B$3)</f>
        <v>0</v>
      </c>
      <c r="J27" s="34">
        <f>SUMIFS(BASE_VELOE!F:F,BASE_VELOE!B:B,G27,BASE_VELOE!A:A,"&gt;="&amp;$B$2,BASE_VELOE!A:A,"&lt;="&amp;$B$3,BASE_VELOE!D:D,J$15)</f>
        <v>0</v>
      </c>
      <c r="K27" s="34">
        <f>SUMIFS(BASE_VELOE!$F:$F,BASE_VELOE!$B:$B,$G27,BASE_VELOE!$A:$A,"&gt;="&amp;$B$2,BASE_VELOE!$A:$A,"&lt;="&amp;$B$3,BASE_VELOE!$D:$D,K$15)</f>
        <v>0</v>
      </c>
      <c r="N27" s="34">
        <f t="shared" si="4"/>
        <v>0</v>
      </c>
      <c r="O27" s="35">
        <f>($B$4- VLOOKUP(G27,BASE_VEICULOS!A:O,15,0))/30*VLOOKUP(G27,BASE_VEICULOS!A:O,12,0)</f>
        <v>23300</v>
      </c>
      <c r="P27" s="33">
        <f>IFERROR(__xludf.DUMMYFUNCTION("IF(G27="""","""",IFERROR(MAX(FILTER(BASE_KM!$C$2:$C1000, BASE_KM!$B$2:$B1000=G27, BASE_KM!$A$2:$A1000=MAX(FILTER(BASE_KM!$A$2:$A1000, BASE_KM!$B$2:$B1000=G27)))),""""))"),23929.0)</f>
        <v>23929</v>
      </c>
      <c r="Q27" s="35">
        <f t="shared" si="5"/>
        <v>-629</v>
      </c>
    </row>
    <row r="28">
      <c r="A28" s="29" t="s">
        <v>60</v>
      </c>
      <c r="G28" s="26" t="s">
        <v>21</v>
      </c>
      <c r="H28" s="33" t="str">
        <f>IF(G28="","",IFERROR(VLOOKUP(G28,BASE_VEICULOS!$A:$G,7,FALSE),""))</f>
        <v>PROF - 07001 - MANUTENÇÃO PREDIAL- PROFARMA-2025</v>
      </c>
      <c r="I28" s="34">
        <f>SUMIFS(BASE_ABASTECIMENTO!D:D,BASE_ABASTECIMENTO!E:E,$G28,BASE_ABASTECIMENTO!A:A,"&gt;="&amp;$B$2,BASE_ABASTECIMENTO!A:A,"&lt;="&amp;$B$3)</f>
        <v>0</v>
      </c>
      <c r="J28" s="34">
        <f>SUMIFS(BASE_VELOE!F:F,BASE_VELOE!B:B,G28,BASE_VELOE!A:A,"&gt;="&amp;$B$2,BASE_VELOE!A:A,"&lt;="&amp;$B$3,BASE_VELOE!D:D,J$15)</f>
        <v>0</v>
      </c>
      <c r="K28" s="34">
        <f>SUMIFS(BASE_VELOE!$F:$F,BASE_VELOE!$B:$B,$G28,BASE_VELOE!$A:$A,"&gt;="&amp;$B$2,BASE_VELOE!$A:$A,"&lt;="&amp;$B$3,BASE_VELOE!$D:$D,K$15)</f>
        <v>0</v>
      </c>
      <c r="N28" s="34">
        <f t="shared" si="4"/>
        <v>0</v>
      </c>
      <c r="O28" s="35">
        <f>($B$4- VLOOKUP(G28,BASE_VEICULOS!A:O,15,0))/30*VLOOKUP(G28,BASE_VEICULOS!A:O,12,0)</f>
        <v>23300</v>
      </c>
      <c r="P28" s="33">
        <f>IFERROR(__xludf.DUMMYFUNCTION("IF(G28="""","""",IFERROR(MAX(FILTER(BASE_KM!$C$2:$C1000, BASE_KM!$B$2:$B1000=G28, BASE_KM!$A$2:$A1000=MAX(FILTER(BASE_KM!$A$2:$A1000, BASE_KM!$B$2:$B1000=G28)))),""""))"),25563.0)</f>
        <v>25563</v>
      </c>
      <c r="Q28" s="35">
        <f t="shared" si="5"/>
        <v>-2263</v>
      </c>
    </row>
    <row r="29">
      <c r="A29" s="30" t="s">
        <v>58</v>
      </c>
      <c r="B29" s="30" t="s">
        <v>4</v>
      </c>
      <c r="C29" s="31" t="s">
        <v>59</v>
      </c>
      <c r="G29" s="26" t="s">
        <v>29</v>
      </c>
      <c r="H29" s="33" t="str">
        <f>IF(G29="","",IFERROR(VLOOKUP(G29,BASE_VEICULOS!$A:$G,7,FALSE),""))</f>
        <v>PROF - 07001 - MANUTENÇÃO PREDIAL- PROFARMA-2025</v>
      </c>
      <c r="I29" s="34">
        <f>SUMIFS(BASE_ABASTECIMENTO!D:D,BASE_ABASTECIMENTO!E:E,$G29,BASE_ABASTECIMENTO!A:A,"&gt;="&amp;$B$2,BASE_ABASTECIMENTO!A:A,"&lt;="&amp;$B$3)</f>
        <v>0</v>
      </c>
      <c r="J29" s="34">
        <f>SUMIFS(BASE_VELOE!F:F,BASE_VELOE!B:B,G29,BASE_VELOE!A:A,"&gt;="&amp;$B$2,BASE_VELOE!A:A,"&lt;="&amp;$B$3,BASE_VELOE!D:D,J$15)</f>
        <v>0</v>
      </c>
      <c r="K29" s="34">
        <f>SUMIFS(BASE_VELOE!$F:$F,BASE_VELOE!$B:$B,$G29,BASE_VELOE!$A:$A,"&gt;="&amp;$B$2,BASE_VELOE!$A:$A,"&lt;="&amp;$B$3,BASE_VELOE!$D:$D,K$15)</f>
        <v>0</v>
      </c>
      <c r="N29" s="34">
        <f t="shared" si="4"/>
        <v>0</v>
      </c>
      <c r="O29" s="35">
        <f>($B$4- VLOOKUP(G29,BASE_VEICULOS!A:O,15,0))/30*VLOOKUP(G29,BASE_VEICULOS!A:O,12,0)</f>
        <v>10800</v>
      </c>
      <c r="P29" s="33">
        <f>IFERROR(__xludf.DUMMYFUNCTION("IF(G29="""","""",IFERROR(MAX(FILTER(BASE_KM!$C$2:$C1000, BASE_KM!$B$2:$B1000=G29, BASE_KM!$A$2:$A1000=MAX(FILTER(BASE_KM!$A$2:$A1000, BASE_KM!$B$2:$B1000=G29)))),""""))"),25331.0)</f>
        <v>25331</v>
      </c>
      <c r="Q29" s="35">
        <f t="shared" si="5"/>
        <v>-14531</v>
      </c>
    </row>
    <row r="30">
      <c r="A30" s="36" t="str">
        <f>IFERROR(__xludf.DUMMYFUNCTION("IFERROR({SEQUENCE(10),QUERY({$H$16:$H$41,IFERROR(VALUE(SUBSTITUTE(SUBSTITUTE(SUBSTITUTE($I$16:$I$41,""R$"",""""),""."",""""),"","",""."")),$I$16:$I$41)},""select Col1, sum(Col2) where Col1 is not null and Col1&lt;&gt;'' group by Col1 order by sum(Col2) desc lim"&amp;"it 10 label sum(Col2) ''"",0)},"""")"),"")</f>
        <v/>
      </c>
      <c r="B30" s="36"/>
      <c r="C30" s="37"/>
      <c r="I30" s="34"/>
      <c r="J30" s="34"/>
      <c r="K30" s="34"/>
      <c r="O30" s="35"/>
    </row>
    <row r="31">
      <c r="A31" s="36"/>
      <c r="B31" s="36"/>
      <c r="C31" s="37"/>
      <c r="G31" s="26" t="s">
        <v>22</v>
      </c>
      <c r="H31" s="33" t="str">
        <f>IF(G31="","",IFERROR(VLOOKUP(G31,BASE_VEICULOS!$A:$G,7,FALSE),""))</f>
        <v>PROF - 07001 - MANUTENÇÃO PREDIAL- PROFARMA-2025</v>
      </c>
      <c r="I31" s="34">
        <f>SUMIFS(BASE_ABASTECIMENTO!D:D,BASE_ABASTECIMENTO!E:E,$G31,BASE_ABASTECIMENTO!A:A,"&gt;="&amp;$B$2,BASE_ABASTECIMENTO!A:A,"&lt;="&amp;$B$3)</f>
        <v>0</v>
      </c>
      <c r="J31" s="34">
        <f>SUMIFS(BASE_VELOE!F:F,BASE_VELOE!B:B,G31,BASE_VELOE!A:A,"&gt;="&amp;$B$2,BASE_VELOE!A:A,"&lt;="&amp;$B$3,BASE_VELOE!D:D,J$15)</f>
        <v>0</v>
      </c>
      <c r="K31" s="34">
        <f>SUMIFS(BASE_VELOE!$F:$F,BASE_VELOE!$B:$B,$G31,BASE_VELOE!$A:$A,"&gt;="&amp;$B$2,BASE_VELOE!$A:$A,"&lt;="&amp;$B$3,BASE_VELOE!$D:$D,K$15)</f>
        <v>0</v>
      </c>
      <c r="N31" s="34">
        <f t="shared" ref="N31:N41" si="6">SUM(I31:M31)</f>
        <v>0</v>
      </c>
      <c r="O31" s="35">
        <f>($B$4- VLOOKUP(G31,BASE_VEICULOS!A:O,15,0))/30*VLOOKUP(G31,BASE_VEICULOS!A:O,12,0)</f>
        <v>24400</v>
      </c>
      <c r="P31" s="33">
        <f>IFERROR(__xludf.DUMMYFUNCTION("IF(G31="""","""",IFERROR(MAX(FILTER(BASE_KM!$C$2:$C1000, BASE_KM!$B$2:$B1000=G31, BASE_KM!$A$2:$A1000=MAX(FILTER(BASE_KM!$A$2:$A1000, BASE_KM!$B$2:$B1000=G31)))),""""))"),38528.0)</f>
        <v>38528</v>
      </c>
      <c r="Q31" s="35">
        <f t="shared" ref="Q31:Q41" si="7">O31-P31</f>
        <v>-14128</v>
      </c>
    </row>
    <row r="32">
      <c r="A32" s="36"/>
      <c r="B32" s="36"/>
      <c r="C32" s="37"/>
      <c r="G32" s="26" t="s">
        <v>23</v>
      </c>
      <c r="H32" s="33" t="str">
        <f>IF(G32="","",IFERROR(VLOOKUP(G32,BASE_VEICULOS!$A:$G,7,FALSE),""))</f>
        <v>PROF - 07001 - MANUTENÇÃO PREDIAL- PROFARMA-2025</v>
      </c>
      <c r="I32" s="34">
        <f>SUMIFS(BASE_ABASTECIMENTO!D:D,BASE_ABASTECIMENTO!E:E,$G32,BASE_ABASTECIMENTO!A:A,"&gt;="&amp;$B$2,BASE_ABASTECIMENTO!A:A,"&lt;="&amp;$B$3)</f>
        <v>0</v>
      </c>
      <c r="J32" s="34">
        <f>SUMIFS(BASE_VELOE!F:F,BASE_VELOE!B:B,G32,BASE_VELOE!A:A,"&gt;="&amp;$B$2,BASE_VELOE!A:A,"&lt;="&amp;$B$3,BASE_VELOE!D:D,J$15)</f>
        <v>0</v>
      </c>
      <c r="K32" s="34">
        <f>SUMIFS(BASE_VELOE!$F:$F,BASE_VELOE!$B:$B,$G32,BASE_VELOE!$A:$A,"&gt;="&amp;$B$2,BASE_VELOE!$A:$A,"&lt;="&amp;$B$3,BASE_VELOE!$D:$D,K$15)</f>
        <v>0</v>
      </c>
      <c r="N32" s="34">
        <f t="shared" si="6"/>
        <v>0</v>
      </c>
      <c r="O32" s="35">
        <f>($B$4- VLOOKUP(G32,BASE_VEICULOS!A:O,15,0))/30*VLOOKUP(G32,BASE_VEICULOS!A:O,12,0)</f>
        <v>9200</v>
      </c>
      <c r="P32" s="33">
        <f>IFERROR(__xludf.DUMMYFUNCTION("IF(G32="""","""",IFERROR(MAX(FILTER(BASE_KM!$C$2:$C1000, BASE_KM!$B$2:$B1000=G32, BASE_KM!$A$2:$A1000=MAX(FILTER(BASE_KM!$A$2:$A1000, BASE_KM!$B$2:$B1000=G32)))),""""))"),23062.0)</f>
        <v>23062</v>
      </c>
      <c r="Q32" s="35">
        <f t="shared" si="7"/>
        <v>-13862</v>
      </c>
    </row>
    <row r="33">
      <c r="A33" s="36"/>
      <c r="B33" s="36"/>
      <c r="C33" s="37"/>
      <c r="G33" s="26" t="s">
        <v>30</v>
      </c>
      <c r="H33" s="33" t="str">
        <f>IF(G33="","",IFERROR(VLOOKUP(G33,BASE_VEICULOS!$A:$G,7,FALSE),""))</f>
        <v/>
      </c>
      <c r="I33" s="34">
        <f>SUMIFS(BASE_ABASTECIMENTO!D:D,BASE_ABASTECIMENTO!E:E,$G33,BASE_ABASTECIMENTO!A:A,"&gt;="&amp;$B$2,BASE_ABASTECIMENTO!A:A,"&lt;="&amp;$B$3)</f>
        <v>0</v>
      </c>
      <c r="J33" s="34">
        <f>SUMIFS(BASE_VELOE!F:F,BASE_VELOE!B:B,G33,BASE_VELOE!A:A,"&gt;="&amp;$B$2,BASE_VELOE!A:A,"&lt;="&amp;$B$3,BASE_VELOE!D:D,J$15)</f>
        <v>0</v>
      </c>
      <c r="K33" s="34">
        <f>SUMIFS(BASE_VELOE!$F:$F,BASE_VELOE!$B:$B,$G33,BASE_VELOE!$A:$A,"&gt;="&amp;$B$2,BASE_VELOE!$A:$A,"&lt;="&amp;$B$3,BASE_VELOE!$D:$D,K$15)</f>
        <v>0</v>
      </c>
      <c r="N33" s="34">
        <f t="shared" si="6"/>
        <v>0</v>
      </c>
      <c r="O33" s="35" t="str">
        <f>($B$4- VLOOKUP(G33,BASE_VEICULOS!A:O,15,0))/30*VLOOKUP(G33,BASE_VEICULOS!A:O,12,0)</f>
        <v>#N/A</v>
      </c>
      <c r="P33" s="33">
        <f>IFERROR(__xludf.DUMMYFUNCTION("IF(G33="""","""",IFERROR(MAX(FILTER(BASE_KM!$C$2:$C1000, BASE_KM!$B$2:$B1000=G33, BASE_KM!$A$2:$A1000=MAX(FILTER(BASE_KM!$A$2:$A1000, BASE_KM!$B$2:$B1000=G33)))),""""))"),26286.0)</f>
        <v>26286</v>
      </c>
      <c r="Q33" s="33" t="str">
        <f t="shared" si="7"/>
        <v>#N/A</v>
      </c>
    </row>
    <row r="34">
      <c r="A34" s="36"/>
      <c r="B34" s="36"/>
      <c r="C34" s="37"/>
      <c r="G34" s="26" t="s">
        <v>24</v>
      </c>
      <c r="H34" s="33" t="str">
        <f>IF(G34="","",IFERROR(VLOOKUP(G34,BASE_VEICULOS!$A:$G,7,FALSE),""))</f>
        <v>PROF - 07001 - MANUTENÇÃO PREDIAL- PROFARMA-2025</v>
      </c>
      <c r="I34" s="34">
        <f>SUMIFS(BASE_ABASTECIMENTO!D:D,BASE_ABASTECIMENTO!E:E,$G34,BASE_ABASTECIMENTO!A:A,"&gt;="&amp;$B$2,BASE_ABASTECIMENTO!A:A,"&lt;="&amp;$B$3)</f>
        <v>0</v>
      </c>
      <c r="J34" s="34">
        <f>SUMIFS(BASE_VELOE!F:F,BASE_VELOE!B:B,G34,BASE_VELOE!A:A,"&gt;="&amp;$B$2,BASE_VELOE!A:A,"&lt;="&amp;$B$3,BASE_VELOE!D:D,J$15)</f>
        <v>0</v>
      </c>
      <c r="K34" s="34">
        <f>SUMIFS(BASE_VELOE!$F:$F,BASE_VELOE!$B:$B,$G34,BASE_VELOE!$A:$A,"&gt;="&amp;$B$2,BASE_VELOE!$A:$A,"&lt;="&amp;$B$3,BASE_VELOE!$D:$D,K$15)</f>
        <v>0</v>
      </c>
      <c r="N34" s="34">
        <f t="shared" si="6"/>
        <v>0</v>
      </c>
      <c r="O34" s="35">
        <f>($B$4- VLOOKUP(G34,BASE_VEICULOS!A:O,15,0))/30*VLOOKUP(G34,BASE_VEICULOS!A:O,12,0)</f>
        <v>23300</v>
      </c>
      <c r="P34" s="33">
        <f>IFERROR(__xludf.DUMMYFUNCTION("IF(G34="""","""",IFERROR(MAX(FILTER(BASE_KM!$C$2:$C1000, BASE_KM!$B$2:$B1000=G34, BASE_KM!$A$2:$A1000=MAX(FILTER(BASE_KM!$A$2:$A1000, BASE_KM!$B$2:$B1000=G34)))),""""))"),23810.0)</f>
        <v>23810</v>
      </c>
      <c r="Q34" s="35">
        <f t="shared" si="7"/>
        <v>-510</v>
      </c>
    </row>
    <row r="35">
      <c r="A35" s="36"/>
      <c r="B35" s="36"/>
      <c r="C35" s="37"/>
      <c r="G35" s="26" t="s">
        <v>25</v>
      </c>
      <c r="H35" s="33" t="str">
        <f>IF(G35="","",IFERROR(VLOOKUP(G35,BASE_VEICULOS!$A:$G,7,FALSE),""))</f>
        <v>PROF - 07001 - MANUTENÇÃO PREDIAL- PROFARMA-2025</v>
      </c>
      <c r="I35" s="34">
        <f>SUMIFS(BASE_ABASTECIMENTO!D:D,BASE_ABASTECIMENTO!E:E,$G35,BASE_ABASTECIMENTO!A:A,"&gt;="&amp;$B$2,BASE_ABASTECIMENTO!A:A,"&lt;="&amp;$B$3)</f>
        <v>0</v>
      </c>
      <c r="J35" s="34">
        <f>SUMIFS(BASE_VELOE!F:F,BASE_VELOE!B:B,G35,BASE_VELOE!A:A,"&gt;="&amp;$B$2,BASE_VELOE!A:A,"&lt;="&amp;$B$3,BASE_VELOE!D:D,J$15)</f>
        <v>0</v>
      </c>
      <c r="K35" s="34">
        <f>SUMIFS(BASE_VELOE!$F:$F,BASE_VELOE!$B:$B,$G35,BASE_VELOE!$A:$A,"&gt;="&amp;$B$2,BASE_VELOE!$A:$A,"&lt;="&amp;$B$3,BASE_VELOE!$D:$D,K$15)</f>
        <v>0</v>
      </c>
      <c r="N35" s="34">
        <f t="shared" si="6"/>
        <v>0</v>
      </c>
      <c r="O35" s="35">
        <f>($B$4- VLOOKUP(G35,BASE_VEICULOS!A:O,15,0))/30*VLOOKUP(G35,BASE_VEICULOS!A:O,12,0)</f>
        <v>22700</v>
      </c>
      <c r="P35" s="33">
        <f>IFERROR(__xludf.DUMMYFUNCTION("IF(G35="""","""",IFERROR(MAX(FILTER(BASE_KM!$C$2:$C1000, BASE_KM!$B$2:$B1000=G35, BASE_KM!$A$2:$A1000=MAX(FILTER(BASE_KM!$A$2:$A1000, BASE_KM!$B$2:$B1000=G35)))),""""))"),24560.0)</f>
        <v>24560</v>
      </c>
      <c r="Q35" s="35">
        <f t="shared" si="7"/>
        <v>-1860</v>
      </c>
    </row>
    <row r="36">
      <c r="A36" s="36"/>
      <c r="B36" s="36"/>
      <c r="C36" s="37"/>
      <c r="G36" s="26" t="s">
        <v>28</v>
      </c>
      <c r="H36" s="33" t="str">
        <f>IF(G36="","",IFERROR(VLOOKUP(G36,BASE_VEICULOS!$A:$G,7,FALSE),""))</f>
        <v/>
      </c>
      <c r="I36" s="34">
        <f>SUMIFS(BASE_ABASTECIMENTO!D:D,BASE_ABASTECIMENTO!E:E,$G36,BASE_ABASTECIMENTO!A:A,"&gt;="&amp;$B$2,BASE_ABASTECIMENTO!A:A,"&lt;="&amp;$B$3)</f>
        <v>0</v>
      </c>
      <c r="J36" s="34">
        <f>SUMIFS(BASE_VELOE!F:F,BASE_VELOE!B:B,G36,BASE_VELOE!A:A,"&gt;="&amp;$B$2,BASE_VELOE!A:A,"&lt;="&amp;$B$3,BASE_VELOE!D:D,J$15)</f>
        <v>0</v>
      </c>
      <c r="K36" s="34">
        <f>SUMIFS(BASE_VELOE!$F:$F,BASE_VELOE!$B:$B,$G36,BASE_VELOE!$A:$A,"&gt;="&amp;$B$2,BASE_VELOE!$A:$A,"&lt;="&amp;$B$3,BASE_VELOE!$D:$D,K$15)</f>
        <v>0</v>
      </c>
      <c r="N36" s="34">
        <f t="shared" si="6"/>
        <v>0</v>
      </c>
      <c r="O36" s="35" t="str">
        <f>($B$4- VLOOKUP(G36,BASE_VEICULOS!A:O,15,0))/30*VLOOKUP(G36,BASE_VEICULOS!A:O,12,0)</f>
        <v>#N/A</v>
      </c>
      <c r="P36" s="33">
        <f>IFERROR(__xludf.DUMMYFUNCTION("IF(G36="""","""",IFERROR(MAX(FILTER(BASE_KM!$C$2:$C1000, BASE_KM!$B$2:$B1000=G36, BASE_KM!$A$2:$A1000=MAX(FILTER(BASE_KM!$A$2:$A1000, BASE_KM!$B$2:$B1000=G36)))),""""))"),110390.0)</f>
        <v>110390</v>
      </c>
      <c r="Q36" s="33" t="str">
        <f t="shared" si="7"/>
        <v>#N/A</v>
      </c>
    </row>
    <row r="37">
      <c r="A37" s="36"/>
      <c r="B37" s="36"/>
      <c r="C37" s="37"/>
      <c r="G37" s="26" t="s">
        <v>34</v>
      </c>
      <c r="H37" s="33" t="str">
        <f>IF(G37="","",IFERROR(VLOOKUP(G37,BASE_VEICULOS!$A:$G,7,FALSE),""))</f>
        <v>PROF - 07001 - MANUTENÇÃO PREDIAL- PROFARMA-2025</v>
      </c>
      <c r="I37" s="34">
        <f>SUMIFS(BASE_ABASTECIMENTO!D:D,BASE_ABASTECIMENTO!E:E,$G37,BASE_ABASTECIMENTO!A:A,"&gt;="&amp;$B$2,BASE_ABASTECIMENTO!A:A,"&lt;="&amp;$B$3)</f>
        <v>0</v>
      </c>
      <c r="J37" s="34">
        <f>SUMIFS(BASE_VELOE!F:F,BASE_VELOE!B:B,G37,BASE_VELOE!A:A,"&gt;="&amp;$B$2,BASE_VELOE!A:A,"&lt;="&amp;$B$3,BASE_VELOE!D:D,J$15)</f>
        <v>0</v>
      </c>
      <c r="K37" s="34">
        <f>SUMIFS(BASE_VELOE!$F:$F,BASE_VELOE!$B:$B,$G37,BASE_VELOE!$A:$A,"&gt;="&amp;$B$2,BASE_VELOE!$A:$A,"&lt;="&amp;$B$3,BASE_VELOE!$D:$D,K$15)</f>
        <v>0</v>
      </c>
      <c r="N37" s="34">
        <f t="shared" si="6"/>
        <v>0</v>
      </c>
      <c r="O37" s="35">
        <f>($B$4- VLOOKUP(G37,BASE_VEICULOS!A:O,15,0))/30*VLOOKUP(G37,BASE_VEICULOS!A:O,12,0)</f>
        <v>4618400</v>
      </c>
      <c r="P37" s="33">
        <f>IFERROR(__xludf.DUMMYFUNCTION("IF(G37="""","""",IFERROR(MAX(FILTER(BASE_KM!$C$2:$C1000, BASE_KM!$B$2:$B1000=G37, BASE_KM!$A$2:$A1000=MAX(FILTER(BASE_KM!$A$2:$A1000, BASE_KM!$B$2:$B1000=G37)))),""""))"),63144.0)</f>
        <v>63144</v>
      </c>
      <c r="Q37" s="35">
        <f t="shared" si="7"/>
        <v>4555256</v>
      </c>
    </row>
    <row r="38">
      <c r="A38" s="36"/>
      <c r="B38" s="36"/>
      <c r="C38" s="37"/>
      <c r="G38" s="26" t="s">
        <v>36</v>
      </c>
      <c r="H38" s="33" t="str">
        <f>IF(G38="","",IFERROR(VLOOKUP(G38,BASE_VEICULOS!$A:$G,7,FALSE),""))</f>
        <v/>
      </c>
      <c r="I38" s="34">
        <f>SUMIFS(BASE_ABASTECIMENTO!D:D,BASE_ABASTECIMENTO!E:E,$G38,BASE_ABASTECIMENTO!A:A,"&gt;="&amp;$B$2,BASE_ABASTECIMENTO!A:A,"&lt;="&amp;$B$3)</f>
        <v>0</v>
      </c>
      <c r="J38" s="34">
        <f>SUMIFS(BASE_VELOE!F:F,BASE_VELOE!B:B,G38,BASE_VELOE!A:A,"&gt;="&amp;$B$2,BASE_VELOE!A:A,"&lt;="&amp;$B$3,BASE_VELOE!D:D,J$15)</f>
        <v>0</v>
      </c>
      <c r="K38" s="34">
        <f>SUMIFS(BASE_VELOE!$F:$F,BASE_VELOE!$B:$B,$G38,BASE_VELOE!$A:$A,"&gt;="&amp;$B$2,BASE_VELOE!$A:$A,"&lt;="&amp;$B$3,BASE_VELOE!$D:$D,K$15)</f>
        <v>0</v>
      </c>
      <c r="N38" s="34">
        <f t="shared" si="6"/>
        <v>0</v>
      </c>
      <c r="O38" s="35" t="str">
        <f>($B$4- VLOOKUP(G38,BASE_VEICULOS!A:O,15,0))/30*VLOOKUP(G38,BASE_VEICULOS!A:O,12,0)</f>
        <v>#N/A</v>
      </c>
      <c r="P38" s="33">
        <f>IFERROR(__xludf.DUMMYFUNCTION("IF(G38="""","""",IFERROR(MAX(FILTER(BASE_KM!$C$2:$C1000, BASE_KM!$B$2:$B1000=G38, BASE_KM!$A$2:$A1000=MAX(FILTER(BASE_KM!$A$2:$A1000, BASE_KM!$B$2:$B1000=G38)))),""""))"),17379.0)</f>
        <v>17379</v>
      </c>
      <c r="Q38" s="33" t="str">
        <f t="shared" si="7"/>
        <v>#N/A</v>
      </c>
    </row>
    <row r="39">
      <c r="A39" s="36"/>
      <c r="B39" s="36"/>
      <c r="C39" s="37"/>
      <c r="G39" s="26" t="s">
        <v>26</v>
      </c>
      <c r="H39" s="33" t="str">
        <f>IF(G39="","",IFERROR(VLOOKUP(G39,BASE_VEICULOS!$A:$G,7,FALSE),""))</f>
        <v/>
      </c>
      <c r="I39" s="34">
        <f>SUMIFS(BASE_ABASTECIMENTO!D:D,BASE_ABASTECIMENTO!E:E,$G39,BASE_ABASTECIMENTO!A:A,"&gt;="&amp;$B$2,BASE_ABASTECIMENTO!A:A,"&lt;="&amp;$B$3)</f>
        <v>0</v>
      </c>
      <c r="J39" s="34">
        <f>SUMIFS(BASE_VELOE!F:F,BASE_VELOE!B:B,G39,BASE_VELOE!A:A,"&gt;="&amp;$B$2,BASE_VELOE!A:A,"&lt;="&amp;$B$3,BASE_VELOE!D:D,J$15)</f>
        <v>0</v>
      </c>
      <c r="K39" s="34">
        <f>SUMIFS(BASE_VELOE!$F:$F,BASE_VELOE!$B:$B,$G39,BASE_VELOE!$A:$A,"&gt;="&amp;$B$2,BASE_VELOE!$A:$A,"&lt;="&amp;$B$3,BASE_VELOE!$D:$D,K$15)</f>
        <v>0</v>
      </c>
      <c r="N39" s="34">
        <f t="shared" si="6"/>
        <v>0</v>
      </c>
      <c r="O39" s="35" t="str">
        <f>($B$4- VLOOKUP(G39,BASE_VEICULOS!A:O,15,0))/30*VLOOKUP(G39,BASE_VEICULOS!A:O,12,0)</f>
        <v>#N/A</v>
      </c>
      <c r="P39" s="33" t="str">
        <f>IFERROR(__xludf.DUMMYFUNCTION("IF(G39="""","""",IFERROR(MAX(FILTER(BASE_KM!$C$2:$C1000, BASE_KM!$B$2:$B1000=G39, BASE_KM!$A$2:$A1000=MAX(FILTER(BASE_KM!$A$2:$A1000, BASE_KM!$B$2:$B1000=G39)))),""""))"),"")</f>
        <v/>
      </c>
      <c r="Q39" s="33" t="str">
        <f t="shared" si="7"/>
        <v>#N/A</v>
      </c>
    </row>
    <row r="40">
      <c r="G40" s="26" t="s">
        <v>35</v>
      </c>
      <c r="H40" s="33" t="str">
        <f>IF(G40="","",IFERROR(VLOOKUP(G40,BASE_VEICULOS!$A:$G,7,FALSE),""))</f>
        <v/>
      </c>
      <c r="I40" s="34">
        <f>SUMIFS(BASE_ABASTECIMENTO!D:D,BASE_ABASTECIMENTO!E:E,$G40,BASE_ABASTECIMENTO!A:A,"&gt;="&amp;$B$2,BASE_ABASTECIMENTO!A:A,"&lt;="&amp;$B$3)</f>
        <v>0</v>
      </c>
      <c r="J40" s="34">
        <f>SUMIFS(BASE_VELOE!F:F,BASE_VELOE!B:B,G40,BASE_VELOE!A:A,"&gt;="&amp;$B$2,BASE_VELOE!A:A,"&lt;="&amp;$B$3,BASE_VELOE!D:D,J$15)</f>
        <v>0</v>
      </c>
      <c r="K40" s="34">
        <f>SUMIFS(BASE_VELOE!$F:$F,BASE_VELOE!$B:$B,$G40,BASE_VELOE!$A:$A,"&gt;="&amp;$B$2,BASE_VELOE!$A:$A,"&lt;="&amp;$B$3,BASE_VELOE!$D:$D,K$15)</f>
        <v>0</v>
      </c>
      <c r="N40" s="34">
        <f t="shared" si="6"/>
        <v>0</v>
      </c>
      <c r="O40" s="35" t="str">
        <f>($B$4- VLOOKUP(G40,BASE_VEICULOS!A:O,15,0))/30*VLOOKUP(G40,BASE_VEICULOS!A:O,12,0)</f>
        <v>#N/A</v>
      </c>
      <c r="P40" s="33" t="str">
        <f>IFERROR(__xludf.DUMMYFUNCTION("IF(G40="""","""",IFERROR(MAX(FILTER(BASE_KM!$C$2:$C1000, BASE_KM!$B$2:$B1000=G40, BASE_KM!$A$2:$A1000=MAX(FILTER(BASE_KM!$A$2:$A1000, BASE_KM!$B$2:$B1000=G40)))),""""))"),"")</f>
        <v/>
      </c>
      <c r="Q40" s="33" t="str">
        <f t="shared" si="7"/>
        <v>#N/A</v>
      </c>
    </row>
    <row r="41">
      <c r="G41" s="26" t="s">
        <v>27</v>
      </c>
      <c r="H41" s="33" t="str">
        <f>IF(G41="","",IFERROR(VLOOKUP(G41,BASE_VEICULOS!$A:$G,7,FALSE),""))</f>
        <v>FAC - 140005 - SPOT MANUTENÇÃO DPSP 2025</v>
      </c>
      <c r="I41" s="34">
        <f>SUMIFS(BASE_ABASTECIMENTO!D:D,BASE_ABASTECIMENTO!E:E,$G41,BASE_ABASTECIMENTO!A:A,"&gt;="&amp;$B$2,BASE_ABASTECIMENTO!A:A,"&lt;="&amp;$B$3)</f>
        <v>0</v>
      </c>
      <c r="J41" s="34">
        <f>SUMIFS(BASE_VELOE!F:F,BASE_VELOE!B:B,G41,BASE_VELOE!A:A,"&gt;="&amp;$B$2,BASE_VELOE!A:A,"&lt;="&amp;$B$3,BASE_VELOE!D:D,J$15)</f>
        <v>0</v>
      </c>
      <c r="K41" s="34">
        <f>SUMIFS(BASE_VELOE!$F:$F,BASE_VELOE!$B:$B,$G41,BASE_VELOE!$A:$A,"&gt;="&amp;$B$2,BASE_VELOE!$A:$A,"&lt;="&amp;$B$3,BASE_VELOE!$D:$D,K$15)</f>
        <v>0</v>
      </c>
      <c r="N41" s="34">
        <f t="shared" si="6"/>
        <v>0</v>
      </c>
      <c r="O41" s="35">
        <f>($B$4- VLOOKUP(G41,BASE_VEICULOS!A:O,15,0))/30*VLOOKUP(G41,BASE_VEICULOS!A:O,12,0)</f>
        <v>3066.666667</v>
      </c>
      <c r="P41" s="33" t="str">
        <f>IFERROR(__xludf.DUMMYFUNCTION("IF(G41="""","""",IFERROR(MAX(FILTER(BASE_KM!$C$2:$C1000, BASE_KM!$B$2:$B1000=G41, BASE_KM!$A$2:$A1000=MAX(FILTER(BASE_KM!$A$2:$A1000, BASE_KM!$B$2:$B1000=G41)))),""""))"),"")</f>
        <v/>
      </c>
      <c r="Q41" s="35">
        <f t="shared" si="7"/>
        <v>3066.666667</v>
      </c>
    </row>
  </sheetData>
  <mergeCells count="4">
    <mergeCell ref="E3:I3"/>
    <mergeCell ref="A6:E6"/>
    <mergeCell ref="A15:E15"/>
    <mergeCell ref="A28:E28"/>
  </mergeCells>
  <dataValidations>
    <dataValidation type="list" allowBlank="1" showErrorMessage="1" sqref="E3">
      <formula1>AUX!$D$5:$D$10</formula1>
    </dataValidation>
    <dataValidation type="list" allowBlank="1" showErrorMessage="1" sqref="E2">
      <formula1>AUX!$B$4:$B$30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0.29"/>
    <col customWidth="1" min="2" max="2" width="21.14"/>
    <col customWidth="1" min="3" max="3" width="20.57"/>
    <col customWidth="1" min="4" max="4" width="22.29"/>
    <col customWidth="1" min="6" max="6" width="19.57"/>
  </cols>
  <sheetData>
    <row r="1">
      <c r="A1" s="38" t="s">
        <v>5</v>
      </c>
      <c r="B1" s="38" t="s">
        <v>61</v>
      </c>
      <c r="C1" s="38" t="s">
        <v>62</v>
      </c>
      <c r="D1" s="38" t="s">
        <v>63</v>
      </c>
    </row>
    <row r="2">
      <c r="A2" s="26" t="s">
        <v>64</v>
      </c>
      <c r="B2" s="39">
        <v>46023.0</v>
      </c>
      <c r="C2" s="40">
        <v>15360.0</v>
      </c>
      <c r="D2" s="34">
        <f t="shared" ref="D2:D16" si="1">C2/4</f>
        <v>3840</v>
      </c>
    </row>
    <row r="3">
      <c r="A3" s="26" t="s">
        <v>64</v>
      </c>
      <c r="B3" s="41">
        <v>46054.0</v>
      </c>
      <c r="C3" s="40">
        <v>15360.0</v>
      </c>
      <c r="D3" s="34">
        <f t="shared" si="1"/>
        <v>3840</v>
      </c>
    </row>
    <row r="4">
      <c r="A4" s="26" t="s">
        <v>64</v>
      </c>
      <c r="B4" s="41">
        <v>46082.0</v>
      </c>
      <c r="C4" s="40">
        <v>15360.0</v>
      </c>
      <c r="D4" s="34">
        <f t="shared" si="1"/>
        <v>3840</v>
      </c>
    </row>
    <row r="5">
      <c r="A5" s="26" t="s">
        <v>40</v>
      </c>
      <c r="B5" s="39">
        <v>46023.0</v>
      </c>
      <c r="C5" s="40">
        <v>16160.0</v>
      </c>
      <c r="D5" s="34">
        <f t="shared" si="1"/>
        <v>4040</v>
      </c>
    </row>
    <row r="6">
      <c r="A6" s="26" t="s">
        <v>40</v>
      </c>
      <c r="B6" s="41">
        <v>46054.0</v>
      </c>
      <c r="C6" s="40">
        <v>16160.0</v>
      </c>
      <c r="D6" s="34">
        <f t="shared" si="1"/>
        <v>4040</v>
      </c>
    </row>
    <row r="7">
      <c r="A7" s="26" t="s">
        <v>40</v>
      </c>
      <c r="B7" s="41">
        <v>46082.0</v>
      </c>
      <c r="C7" s="40">
        <v>16160.0</v>
      </c>
      <c r="D7" s="34">
        <f t="shared" si="1"/>
        <v>4040</v>
      </c>
    </row>
    <row r="8">
      <c r="A8" s="26" t="s">
        <v>65</v>
      </c>
      <c r="B8" s="39">
        <v>46023.0</v>
      </c>
      <c r="C8" s="40">
        <v>6560.0</v>
      </c>
      <c r="D8" s="34">
        <f t="shared" si="1"/>
        <v>1640</v>
      </c>
    </row>
    <row r="9">
      <c r="A9" s="26" t="s">
        <v>65</v>
      </c>
      <c r="B9" s="41">
        <v>46054.0</v>
      </c>
      <c r="C9" s="40">
        <v>6560.0</v>
      </c>
      <c r="D9" s="34">
        <f t="shared" si="1"/>
        <v>1640</v>
      </c>
    </row>
    <row r="10">
      <c r="A10" s="26" t="s">
        <v>65</v>
      </c>
      <c r="B10" s="41">
        <v>46082.0</v>
      </c>
      <c r="C10" s="40">
        <v>6560.0</v>
      </c>
      <c r="D10" s="34">
        <f t="shared" si="1"/>
        <v>1640</v>
      </c>
    </row>
    <row r="11">
      <c r="A11" s="26" t="s">
        <v>66</v>
      </c>
      <c r="B11" s="39">
        <v>46023.0</v>
      </c>
      <c r="C11" s="40">
        <v>11200.0</v>
      </c>
      <c r="D11" s="34">
        <f t="shared" si="1"/>
        <v>2800</v>
      </c>
    </row>
    <row r="12">
      <c r="A12" s="26" t="s">
        <v>66</v>
      </c>
      <c r="B12" s="41">
        <v>46054.0</v>
      </c>
      <c r="C12" s="40">
        <v>11200.0</v>
      </c>
      <c r="D12" s="34">
        <f t="shared" si="1"/>
        <v>2800</v>
      </c>
    </row>
    <row r="13">
      <c r="A13" s="26" t="s">
        <v>66</v>
      </c>
      <c r="B13" s="41">
        <v>46082.0</v>
      </c>
      <c r="C13" s="40">
        <v>11200.0</v>
      </c>
      <c r="D13" s="34">
        <f t="shared" si="1"/>
        <v>2800</v>
      </c>
    </row>
    <row r="14">
      <c r="A14" s="26" t="s">
        <v>67</v>
      </c>
      <c r="B14" s="39">
        <v>46023.0</v>
      </c>
      <c r="C14" s="40">
        <v>2150.0</v>
      </c>
      <c r="D14" s="34">
        <f t="shared" si="1"/>
        <v>537.5</v>
      </c>
    </row>
    <row r="15">
      <c r="A15" s="26" t="s">
        <v>67</v>
      </c>
      <c r="B15" s="41">
        <v>46054.0</v>
      </c>
      <c r="C15" s="40">
        <v>2150.0</v>
      </c>
      <c r="D15" s="34">
        <f t="shared" si="1"/>
        <v>537.5</v>
      </c>
    </row>
    <row r="16">
      <c r="A16" s="26" t="s">
        <v>67</v>
      </c>
      <c r="B16" s="41">
        <v>46082.0</v>
      </c>
      <c r="C16" s="40">
        <v>2150.0</v>
      </c>
      <c r="D16" s="34">
        <f t="shared" si="1"/>
        <v>537.5</v>
      </c>
    </row>
  </sheetData>
  <autoFilter ref="$A$1:$D$16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5.57"/>
    <col customWidth="1" min="4" max="4" width="59.29"/>
    <col customWidth="1" min="5" max="5" width="17.71"/>
    <col customWidth="1" min="6" max="6" width="20.29"/>
  </cols>
  <sheetData>
    <row r="1">
      <c r="A1" s="42" t="s">
        <v>4</v>
      </c>
      <c r="B1" s="42" t="s">
        <v>68</v>
      </c>
      <c r="C1" s="43" t="s">
        <v>69</v>
      </c>
      <c r="D1" s="43" t="s">
        <v>5</v>
      </c>
      <c r="E1" s="43" t="s">
        <v>70</v>
      </c>
      <c r="F1" s="43" t="s">
        <v>71</v>
      </c>
    </row>
    <row r="2">
      <c r="A2" s="44" t="s">
        <v>10</v>
      </c>
      <c r="B2" s="44" t="s">
        <v>72</v>
      </c>
      <c r="C2" s="45" t="s">
        <v>73</v>
      </c>
      <c r="D2" s="45" t="s">
        <v>64</v>
      </c>
      <c r="E2" s="44">
        <v>8.08798574E9</v>
      </c>
      <c r="F2" s="46">
        <v>48169.0</v>
      </c>
    </row>
    <row r="3">
      <c r="A3" s="44" t="s">
        <v>33</v>
      </c>
      <c r="B3" s="44" t="s">
        <v>72</v>
      </c>
      <c r="C3" s="47" t="s">
        <v>74</v>
      </c>
      <c r="D3" s="45" t="s">
        <v>40</v>
      </c>
      <c r="E3" s="44">
        <v>4.350350996E9</v>
      </c>
      <c r="F3" s="48">
        <v>47978.0</v>
      </c>
    </row>
    <row r="4">
      <c r="A4" s="44" t="s">
        <v>19</v>
      </c>
      <c r="B4" s="44" t="s">
        <v>72</v>
      </c>
      <c r="C4" s="45" t="s">
        <v>75</v>
      </c>
      <c r="D4" s="45" t="s">
        <v>40</v>
      </c>
      <c r="E4" s="44">
        <v>5.974391748E9</v>
      </c>
      <c r="F4" s="48">
        <v>46821.0</v>
      </c>
    </row>
    <row r="5">
      <c r="A5" s="44" t="s">
        <v>20</v>
      </c>
      <c r="B5" s="44" t="s">
        <v>72</v>
      </c>
      <c r="C5" s="45" t="s">
        <v>76</v>
      </c>
      <c r="D5" s="45" t="s">
        <v>40</v>
      </c>
      <c r="E5" s="44">
        <v>9.057636403E9</v>
      </c>
      <c r="F5" s="48">
        <v>46221.0</v>
      </c>
    </row>
    <row r="6">
      <c r="A6" s="44" t="s">
        <v>21</v>
      </c>
      <c r="B6" s="44" t="s">
        <v>72</v>
      </c>
      <c r="C6" s="49" t="s">
        <v>77</v>
      </c>
      <c r="D6" s="45" t="s">
        <v>40</v>
      </c>
      <c r="E6" s="44">
        <v>6.273686368E9</v>
      </c>
      <c r="F6" s="48">
        <v>49080.0</v>
      </c>
    </row>
    <row r="7" hidden="1">
      <c r="A7" s="44" t="s">
        <v>78</v>
      </c>
      <c r="B7" s="50"/>
      <c r="C7" s="50"/>
      <c r="D7" s="45" t="s">
        <v>40</v>
      </c>
      <c r="E7" s="44" t="s">
        <v>72</v>
      </c>
      <c r="F7" s="44" t="s">
        <v>16</v>
      </c>
    </row>
    <row r="8">
      <c r="A8" s="44" t="s">
        <v>29</v>
      </c>
      <c r="B8" s="44" t="s">
        <v>72</v>
      </c>
      <c r="C8" s="51" t="s">
        <v>79</v>
      </c>
      <c r="D8" s="45" t="s">
        <v>40</v>
      </c>
      <c r="E8" s="44">
        <v>7.69235454E9</v>
      </c>
      <c r="F8" s="46">
        <v>49626.0</v>
      </c>
    </row>
    <row r="9" hidden="1">
      <c r="A9" s="44" t="s">
        <v>16</v>
      </c>
      <c r="B9" s="44" t="s">
        <v>72</v>
      </c>
      <c r="C9" s="44" t="s">
        <v>80</v>
      </c>
      <c r="D9" s="45" t="s">
        <v>66</v>
      </c>
      <c r="E9" s="44">
        <v>5.06291588E8</v>
      </c>
      <c r="F9" s="44"/>
    </row>
    <row r="10" hidden="1">
      <c r="A10" s="44" t="s">
        <v>81</v>
      </c>
      <c r="B10" s="50"/>
      <c r="C10" s="52"/>
      <c r="D10" s="45" t="s">
        <v>40</v>
      </c>
      <c r="E10" s="44" t="s">
        <v>72</v>
      </c>
      <c r="F10" s="44" t="s">
        <v>33</v>
      </c>
    </row>
    <row r="11">
      <c r="A11" s="44" t="s">
        <v>22</v>
      </c>
      <c r="B11" s="44" t="s">
        <v>72</v>
      </c>
      <c r="C11" s="45" t="s">
        <v>82</v>
      </c>
      <c r="D11" s="45" t="s">
        <v>64</v>
      </c>
      <c r="E11" s="44">
        <v>1.910272443E9</v>
      </c>
      <c r="F11" s="48">
        <v>48110.0</v>
      </c>
    </row>
    <row r="12" hidden="1">
      <c r="A12" s="44" t="s">
        <v>23</v>
      </c>
      <c r="B12" s="44" t="s">
        <v>72</v>
      </c>
      <c r="C12" s="44" t="s">
        <v>83</v>
      </c>
      <c r="D12" s="45" t="s">
        <v>66</v>
      </c>
      <c r="E12" s="44" t="s">
        <v>72</v>
      </c>
      <c r="F12" s="44" t="s">
        <v>20</v>
      </c>
    </row>
    <row r="13">
      <c r="A13" s="44" t="s">
        <v>11</v>
      </c>
      <c r="B13" s="44" t="s">
        <v>72</v>
      </c>
      <c r="C13" s="45" t="s">
        <v>84</v>
      </c>
      <c r="D13" s="45" t="s">
        <v>64</v>
      </c>
      <c r="E13" s="44">
        <v>4.350350996E9</v>
      </c>
      <c r="F13" s="48">
        <v>47978.0</v>
      </c>
    </row>
    <row r="14">
      <c r="A14" s="44" t="s">
        <v>30</v>
      </c>
      <c r="B14" s="44" t="s">
        <v>72</v>
      </c>
      <c r="C14" s="44" t="s">
        <v>85</v>
      </c>
      <c r="D14" s="45" t="s">
        <v>40</v>
      </c>
      <c r="E14" s="44">
        <v>8.699424265E9</v>
      </c>
      <c r="F14" s="48">
        <v>48903.0</v>
      </c>
    </row>
    <row r="15">
      <c r="A15" s="44" t="s">
        <v>24</v>
      </c>
      <c r="B15" s="44" t="s">
        <v>72</v>
      </c>
      <c r="C15" s="53" t="s">
        <v>86</v>
      </c>
      <c r="D15" s="45" t="s">
        <v>40</v>
      </c>
      <c r="E15" s="44">
        <v>5.550137007E9</v>
      </c>
      <c r="F15" s="46">
        <v>48181.0</v>
      </c>
    </row>
    <row r="16">
      <c r="A16" s="44" t="s">
        <v>25</v>
      </c>
      <c r="B16" s="44" t="s">
        <v>72</v>
      </c>
      <c r="C16" s="53" t="s">
        <v>87</v>
      </c>
      <c r="D16" s="45" t="s">
        <v>40</v>
      </c>
      <c r="E16" s="44">
        <v>4.35544026E9</v>
      </c>
      <c r="F16" s="46">
        <v>48933.0</v>
      </c>
    </row>
    <row r="17" hidden="1">
      <c r="A17" s="44" t="s">
        <v>28</v>
      </c>
      <c r="B17" s="44" t="s">
        <v>72</v>
      </c>
      <c r="C17" s="53" t="s">
        <v>88</v>
      </c>
      <c r="D17" s="45" t="s">
        <v>66</v>
      </c>
      <c r="E17" s="44" t="s">
        <v>72</v>
      </c>
      <c r="F17" s="44" t="s">
        <v>81</v>
      </c>
    </row>
    <row r="18" hidden="1">
      <c r="A18" s="44" t="s">
        <v>17</v>
      </c>
      <c r="B18" s="50"/>
      <c r="C18" s="49" t="s">
        <v>89</v>
      </c>
      <c r="D18" s="45" t="s">
        <v>40</v>
      </c>
      <c r="E18" s="44" t="s">
        <v>72</v>
      </c>
      <c r="F18" s="44" t="s">
        <v>22</v>
      </c>
    </row>
    <row r="19">
      <c r="A19" s="44" t="s">
        <v>12</v>
      </c>
      <c r="B19" s="44" t="s">
        <v>72</v>
      </c>
      <c r="C19" s="45" t="s">
        <v>90</v>
      </c>
      <c r="D19" s="45" t="s">
        <v>64</v>
      </c>
      <c r="E19" s="44">
        <v>7.8247835E7</v>
      </c>
      <c r="F19" s="48">
        <v>48966.0</v>
      </c>
    </row>
    <row r="20" hidden="1">
      <c r="A20" s="44" t="s">
        <v>13</v>
      </c>
      <c r="B20" s="44" t="s">
        <v>72</v>
      </c>
      <c r="C20" s="45" t="s">
        <v>91</v>
      </c>
      <c r="D20" s="45" t="s">
        <v>66</v>
      </c>
      <c r="E20" s="44" t="s">
        <v>92</v>
      </c>
      <c r="F20" s="44"/>
    </row>
    <row r="21">
      <c r="A21" s="44" t="s">
        <v>14</v>
      </c>
      <c r="B21" s="44" t="s">
        <v>72</v>
      </c>
      <c r="C21" s="49" t="s">
        <v>93</v>
      </c>
      <c r="D21" s="45" t="s">
        <v>64</v>
      </c>
      <c r="E21" s="44">
        <v>7.346753153E9</v>
      </c>
      <c r="F21" s="48">
        <v>49128.0</v>
      </c>
    </row>
    <row r="22" hidden="1">
      <c r="A22" s="44" t="s">
        <v>30</v>
      </c>
      <c r="B22" s="50"/>
      <c r="C22" s="53" t="s">
        <v>85</v>
      </c>
      <c r="D22" s="45" t="s">
        <v>40</v>
      </c>
      <c r="E22" s="44" t="s">
        <v>72</v>
      </c>
      <c r="F22" s="44" t="s">
        <v>25</v>
      </c>
    </row>
    <row r="23" hidden="1">
      <c r="A23" s="44" t="s">
        <v>15</v>
      </c>
      <c r="B23" s="44" t="s">
        <v>72</v>
      </c>
      <c r="C23" s="49" t="s">
        <v>94</v>
      </c>
      <c r="D23" s="45" t="s">
        <v>66</v>
      </c>
      <c r="E23" s="44">
        <v>7.572524788E9</v>
      </c>
      <c r="F23" s="48">
        <v>49343.0</v>
      </c>
    </row>
    <row r="24">
      <c r="A24" s="44" t="s">
        <v>17</v>
      </c>
      <c r="B24" s="44" t="s">
        <v>72</v>
      </c>
      <c r="C24" s="53" t="s">
        <v>95</v>
      </c>
      <c r="D24" s="45" t="s">
        <v>40</v>
      </c>
      <c r="E24" s="44">
        <v>5.454035601E9</v>
      </c>
      <c r="F24" s="48">
        <v>48111.0</v>
      </c>
    </row>
    <row r="25">
      <c r="A25" s="44" t="s">
        <v>18</v>
      </c>
      <c r="B25" s="44" t="s">
        <v>72</v>
      </c>
      <c r="C25" s="45" t="s">
        <v>96</v>
      </c>
      <c r="D25" s="45" t="s">
        <v>64</v>
      </c>
      <c r="E25" s="44">
        <v>6.660373002E9</v>
      </c>
      <c r="F25" s="48">
        <v>49706.0</v>
      </c>
    </row>
    <row r="26">
      <c r="C26" s="36"/>
    </row>
    <row r="27">
      <c r="C27" s="36"/>
    </row>
    <row r="28">
      <c r="C28" s="36"/>
    </row>
    <row r="29">
      <c r="C29" s="36"/>
    </row>
    <row r="30">
      <c r="C30" s="36"/>
    </row>
    <row r="31">
      <c r="C31" s="36"/>
    </row>
    <row r="32">
      <c r="C32" s="36"/>
    </row>
    <row r="33">
      <c r="C33" s="36"/>
    </row>
    <row r="34">
      <c r="C34" s="36"/>
    </row>
    <row r="35">
      <c r="C35" s="36"/>
    </row>
    <row r="36">
      <c r="C36" s="36"/>
    </row>
    <row r="37">
      <c r="C37" s="36"/>
    </row>
    <row r="38">
      <c r="C38" s="36"/>
    </row>
    <row r="39">
      <c r="C39" s="36"/>
    </row>
    <row r="40">
      <c r="C40" s="36"/>
    </row>
    <row r="41">
      <c r="C41" s="36"/>
    </row>
    <row r="42">
      <c r="C42" s="36"/>
    </row>
    <row r="43">
      <c r="C43" s="36"/>
    </row>
    <row r="44">
      <c r="C44" s="36"/>
    </row>
    <row r="45">
      <c r="C45" s="36"/>
    </row>
    <row r="46">
      <c r="C46" s="36"/>
    </row>
    <row r="47">
      <c r="C47" s="36"/>
    </row>
    <row r="48">
      <c r="C48" s="36"/>
    </row>
    <row r="49">
      <c r="C49" s="36"/>
    </row>
    <row r="50">
      <c r="C50" s="36"/>
    </row>
    <row r="51">
      <c r="C51" s="36"/>
    </row>
    <row r="52">
      <c r="C52" s="36"/>
    </row>
    <row r="53">
      <c r="C53" s="36"/>
    </row>
    <row r="54">
      <c r="C54" s="36"/>
    </row>
    <row r="55">
      <c r="C55" s="36"/>
    </row>
    <row r="56">
      <c r="C56" s="36"/>
    </row>
    <row r="57">
      <c r="C57" s="36"/>
    </row>
    <row r="58">
      <c r="C58" s="36"/>
    </row>
    <row r="59">
      <c r="C59" s="36"/>
    </row>
    <row r="60">
      <c r="C60" s="36"/>
    </row>
    <row r="61">
      <c r="C61" s="36"/>
    </row>
    <row r="62">
      <c r="C62" s="36"/>
    </row>
    <row r="63">
      <c r="C63" s="36"/>
    </row>
    <row r="64">
      <c r="C64" s="36"/>
    </row>
    <row r="65">
      <c r="C65" s="36"/>
    </row>
    <row r="66">
      <c r="C66" s="36"/>
    </row>
    <row r="67">
      <c r="C67" s="36"/>
    </row>
    <row r="68">
      <c r="C68" s="36"/>
    </row>
    <row r="69">
      <c r="C69" s="36"/>
    </row>
    <row r="70">
      <c r="C70" s="36"/>
    </row>
    <row r="71">
      <c r="C71" s="36"/>
    </row>
    <row r="72">
      <c r="C72" s="36"/>
    </row>
    <row r="73">
      <c r="C73" s="36"/>
    </row>
    <row r="74">
      <c r="C74" s="36"/>
    </row>
    <row r="75">
      <c r="C75" s="36"/>
    </row>
    <row r="76">
      <c r="C76" s="36"/>
    </row>
    <row r="77">
      <c r="C77" s="36"/>
    </row>
    <row r="78">
      <c r="C78" s="36"/>
    </row>
    <row r="79">
      <c r="C79" s="36"/>
    </row>
    <row r="80">
      <c r="C80" s="36"/>
    </row>
    <row r="81">
      <c r="C81" s="36"/>
    </row>
    <row r="82">
      <c r="C82" s="36"/>
    </row>
    <row r="83">
      <c r="C83" s="36"/>
    </row>
    <row r="84">
      <c r="C84" s="36"/>
    </row>
    <row r="85">
      <c r="C85" s="36"/>
    </row>
    <row r="86">
      <c r="C86" s="36"/>
    </row>
    <row r="87">
      <c r="C87" s="36"/>
    </row>
    <row r="88">
      <c r="C88" s="36"/>
    </row>
    <row r="89">
      <c r="C89" s="36"/>
    </row>
    <row r="90">
      <c r="C90" s="36"/>
    </row>
    <row r="91">
      <c r="C91" s="36"/>
    </row>
    <row r="92">
      <c r="C92" s="36"/>
    </row>
    <row r="93">
      <c r="C93" s="36"/>
    </row>
    <row r="94">
      <c r="C94" s="36"/>
    </row>
    <row r="95">
      <c r="C95" s="36"/>
    </row>
    <row r="96">
      <c r="C96" s="36"/>
    </row>
    <row r="97">
      <c r="C97" s="36"/>
    </row>
    <row r="98">
      <c r="C98" s="36"/>
    </row>
    <row r="99">
      <c r="C99" s="36"/>
    </row>
    <row r="100">
      <c r="C100" s="36"/>
    </row>
    <row r="101">
      <c r="C101" s="36"/>
    </row>
    <row r="102">
      <c r="C102" s="36"/>
    </row>
    <row r="103">
      <c r="C103" s="36"/>
    </row>
    <row r="104">
      <c r="C104" s="36"/>
    </row>
    <row r="105">
      <c r="C105" s="36"/>
    </row>
    <row r="106">
      <c r="C106" s="36"/>
    </row>
    <row r="107">
      <c r="C107" s="36"/>
    </row>
    <row r="108">
      <c r="C108" s="36"/>
    </row>
    <row r="109">
      <c r="C109" s="36"/>
    </row>
    <row r="110">
      <c r="C110" s="36"/>
    </row>
    <row r="111">
      <c r="C111" s="36"/>
    </row>
    <row r="112">
      <c r="C112" s="36"/>
    </row>
    <row r="113">
      <c r="C113" s="36"/>
    </row>
    <row r="114">
      <c r="C114" s="36"/>
    </row>
    <row r="115">
      <c r="C115" s="36"/>
    </row>
    <row r="116">
      <c r="C116" s="36"/>
    </row>
    <row r="117">
      <c r="C117" s="36"/>
    </row>
    <row r="118">
      <c r="C118" s="36"/>
    </row>
    <row r="119">
      <c r="C119" s="36"/>
    </row>
    <row r="120">
      <c r="C120" s="36"/>
    </row>
    <row r="121">
      <c r="C121" s="36"/>
    </row>
    <row r="122">
      <c r="C122" s="36"/>
    </row>
    <row r="123">
      <c r="C123" s="36"/>
    </row>
    <row r="124">
      <c r="C124" s="36"/>
    </row>
    <row r="125">
      <c r="C125" s="36"/>
    </row>
    <row r="126">
      <c r="C126" s="36"/>
    </row>
    <row r="127">
      <c r="C127" s="36"/>
    </row>
    <row r="128">
      <c r="C128" s="36"/>
    </row>
    <row r="129">
      <c r="C129" s="36"/>
    </row>
    <row r="130">
      <c r="C130" s="36"/>
    </row>
    <row r="131">
      <c r="C131" s="36"/>
    </row>
    <row r="132">
      <c r="C132" s="36"/>
    </row>
    <row r="133">
      <c r="C133" s="36"/>
    </row>
    <row r="134">
      <c r="C134" s="36"/>
    </row>
    <row r="135">
      <c r="C135" s="36"/>
    </row>
    <row r="136">
      <c r="C136" s="36"/>
    </row>
    <row r="137">
      <c r="C137" s="36"/>
    </row>
    <row r="138">
      <c r="C138" s="36"/>
    </row>
    <row r="139">
      <c r="C139" s="36"/>
    </row>
    <row r="140">
      <c r="C140" s="36"/>
    </row>
    <row r="141">
      <c r="C141" s="36"/>
    </row>
    <row r="142">
      <c r="C142" s="36"/>
    </row>
    <row r="143">
      <c r="C143" s="36"/>
    </row>
    <row r="144">
      <c r="C144" s="36"/>
    </row>
    <row r="145">
      <c r="C145" s="36"/>
    </row>
    <row r="146">
      <c r="C146" s="36"/>
    </row>
    <row r="147">
      <c r="C147" s="36"/>
    </row>
    <row r="148">
      <c r="C148" s="36"/>
    </row>
    <row r="149">
      <c r="C149" s="36"/>
    </row>
    <row r="150">
      <c r="C150" s="36"/>
    </row>
    <row r="151">
      <c r="C151" s="36"/>
    </row>
    <row r="152">
      <c r="C152" s="36"/>
    </row>
    <row r="153">
      <c r="C153" s="36"/>
    </row>
    <row r="154">
      <c r="C154" s="36"/>
    </row>
    <row r="155">
      <c r="C155" s="36"/>
    </row>
    <row r="156">
      <c r="C156" s="36"/>
    </row>
    <row r="157">
      <c r="C157" s="36"/>
    </row>
    <row r="158">
      <c r="C158" s="36"/>
    </row>
    <row r="159">
      <c r="C159" s="36"/>
    </row>
    <row r="160">
      <c r="C160" s="36"/>
    </row>
    <row r="161">
      <c r="C161" s="36"/>
    </row>
    <row r="162">
      <c r="C162" s="36"/>
    </row>
    <row r="163">
      <c r="C163" s="36"/>
    </row>
    <row r="164">
      <c r="C164" s="36"/>
    </row>
    <row r="165">
      <c r="C165" s="36"/>
    </row>
    <row r="166">
      <c r="C166" s="36"/>
    </row>
    <row r="167">
      <c r="C167" s="36"/>
    </row>
    <row r="168">
      <c r="C168" s="36"/>
    </row>
    <row r="169">
      <c r="C169" s="36"/>
    </row>
    <row r="170">
      <c r="C170" s="36"/>
    </row>
    <row r="171">
      <c r="C171" s="36"/>
    </row>
    <row r="172">
      <c r="C172" s="36"/>
    </row>
    <row r="173">
      <c r="C173" s="36"/>
    </row>
    <row r="174">
      <c r="C174" s="36"/>
    </row>
    <row r="175">
      <c r="C175" s="36"/>
    </row>
    <row r="176">
      <c r="C176" s="36"/>
    </row>
    <row r="177">
      <c r="C177" s="36"/>
    </row>
    <row r="178">
      <c r="C178" s="36"/>
    </row>
    <row r="179">
      <c r="C179" s="36"/>
    </row>
    <row r="180">
      <c r="C180" s="36"/>
    </row>
    <row r="181">
      <c r="C181" s="36"/>
    </row>
    <row r="182">
      <c r="C182" s="36"/>
    </row>
    <row r="183">
      <c r="C183" s="36"/>
    </row>
    <row r="184">
      <c r="C184" s="36"/>
    </row>
    <row r="185">
      <c r="C185" s="36"/>
    </row>
    <row r="186">
      <c r="C186" s="36"/>
    </row>
    <row r="187">
      <c r="C187" s="36"/>
    </row>
    <row r="188">
      <c r="C188" s="36"/>
    </row>
    <row r="189">
      <c r="C189" s="36"/>
    </row>
    <row r="190">
      <c r="C190" s="36"/>
    </row>
    <row r="191">
      <c r="C191" s="36"/>
    </row>
    <row r="192">
      <c r="C192" s="36"/>
    </row>
    <row r="193">
      <c r="C193" s="36"/>
    </row>
    <row r="194">
      <c r="C194" s="36"/>
    </row>
    <row r="195">
      <c r="C195" s="36"/>
    </row>
    <row r="196">
      <c r="C196" s="36"/>
    </row>
    <row r="197">
      <c r="C197" s="36"/>
    </row>
    <row r="198">
      <c r="C198" s="36"/>
    </row>
    <row r="199">
      <c r="C199" s="36"/>
    </row>
    <row r="200">
      <c r="C200" s="36"/>
    </row>
    <row r="201">
      <c r="C201" s="36"/>
    </row>
    <row r="202">
      <c r="C202" s="36"/>
    </row>
    <row r="203">
      <c r="C203" s="36"/>
    </row>
    <row r="204">
      <c r="C204" s="36"/>
    </row>
    <row r="205">
      <c r="C205" s="36"/>
    </row>
    <row r="206">
      <c r="C206" s="36"/>
    </row>
    <row r="207">
      <c r="C207" s="36"/>
    </row>
    <row r="208">
      <c r="C208" s="36"/>
    </row>
    <row r="209">
      <c r="C209" s="36"/>
    </row>
    <row r="210">
      <c r="C210" s="36"/>
    </row>
    <row r="211">
      <c r="C211" s="36"/>
    </row>
    <row r="212">
      <c r="C212" s="36"/>
    </row>
    <row r="213">
      <c r="C213" s="36"/>
    </row>
    <row r="214">
      <c r="C214" s="36"/>
    </row>
    <row r="215">
      <c r="C215" s="36"/>
    </row>
    <row r="216">
      <c r="C216" s="36"/>
    </row>
    <row r="217">
      <c r="C217" s="36"/>
    </row>
    <row r="218">
      <c r="C218" s="36"/>
    </row>
    <row r="219">
      <c r="C219" s="36"/>
    </row>
    <row r="220">
      <c r="C220" s="36"/>
    </row>
    <row r="221">
      <c r="C221" s="36"/>
    </row>
    <row r="222">
      <c r="C222" s="36"/>
    </row>
    <row r="223">
      <c r="C223" s="36"/>
    </row>
    <row r="224">
      <c r="C224" s="36"/>
    </row>
    <row r="225">
      <c r="C225" s="36"/>
    </row>
    <row r="226">
      <c r="C226" s="36"/>
    </row>
    <row r="227">
      <c r="C227" s="36"/>
    </row>
    <row r="228">
      <c r="C228" s="36"/>
    </row>
    <row r="229">
      <c r="C229" s="36"/>
    </row>
    <row r="230">
      <c r="C230" s="36"/>
    </row>
    <row r="231">
      <c r="C231" s="36"/>
    </row>
    <row r="232">
      <c r="C232" s="36"/>
    </row>
    <row r="233">
      <c r="C233" s="36"/>
    </row>
    <row r="234">
      <c r="C234" s="36"/>
    </row>
    <row r="235">
      <c r="C235" s="36"/>
    </row>
    <row r="236">
      <c r="C236" s="36"/>
    </row>
    <row r="237">
      <c r="C237" s="36"/>
    </row>
    <row r="238">
      <c r="C238" s="36"/>
    </row>
    <row r="239">
      <c r="C239" s="36"/>
    </row>
    <row r="240">
      <c r="C240" s="36"/>
    </row>
    <row r="241">
      <c r="C241" s="36"/>
    </row>
    <row r="242">
      <c r="C242" s="36"/>
    </row>
    <row r="243">
      <c r="C243" s="36"/>
    </row>
    <row r="244">
      <c r="C244" s="36"/>
    </row>
    <row r="245">
      <c r="C245" s="36"/>
    </row>
    <row r="246">
      <c r="C246" s="36"/>
    </row>
    <row r="247">
      <c r="C247" s="36"/>
    </row>
    <row r="248">
      <c r="C248" s="36"/>
    </row>
    <row r="249">
      <c r="C249" s="36"/>
    </row>
    <row r="250">
      <c r="C250" s="36"/>
    </row>
    <row r="251">
      <c r="C251" s="36"/>
    </row>
    <row r="252">
      <c r="C252" s="36"/>
    </row>
    <row r="253">
      <c r="C253" s="36"/>
    </row>
    <row r="254">
      <c r="C254" s="36"/>
    </row>
    <row r="255">
      <c r="C255" s="36"/>
    </row>
    <row r="256">
      <c r="C256" s="36"/>
    </row>
    <row r="257">
      <c r="C257" s="36"/>
    </row>
    <row r="258">
      <c r="C258" s="36"/>
    </row>
    <row r="259">
      <c r="C259" s="36"/>
    </row>
    <row r="260">
      <c r="C260" s="36"/>
    </row>
    <row r="261">
      <c r="C261" s="36"/>
    </row>
    <row r="262">
      <c r="C262" s="36"/>
    </row>
    <row r="263">
      <c r="C263" s="36"/>
    </row>
    <row r="264">
      <c r="C264" s="36"/>
    </row>
    <row r="265">
      <c r="C265" s="36"/>
    </row>
    <row r="266">
      <c r="C266" s="36"/>
    </row>
    <row r="267">
      <c r="C267" s="36"/>
    </row>
    <row r="268">
      <c r="C268" s="36"/>
    </row>
    <row r="269">
      <c r="C269" s="36"/>
    </row>
    <row r="270">
      <c r="C270" s="36"/>
    </row>
    <row r="271">
      <c r="C271" s="36"/>
    </row>
    <row r="272">
      <c r="C272" s="36"/>
    </row>
    <row r="273">
      <c r="C273" s="36"/>
    </row>
    <row r="274">
      <c r="C274" s="36"/>
    </row>
    <row r="275">
      <c r="C275" s="36"/>
    </row>
    <row r="276">
      <c r="C276" s="36"/>
    </row>
    <row r="277">
      <c r="C277" s="36"/>
    </row>
    <row r="278">
      <c r="C278" s="36"/>
    </row>
    <row r="279">
      <c r="C279" s="36"/>
    </row>
    <row r="280">
      <c r="C280" s="36"/>
    </row>
    <row r="281">
      <c r="C281" s="36"/>
    </row>
    <row r="282">
      <c r="C282" s="36"/>
    </row>
    <row r="283">
      <c r="C283" s="36"/>
    </row>
    <row r="284">
      <c r="C284" s="36"/>
    </row>
    <row r="285">
      <c r="C285" s="36"/>
    </row>
    <row r="286">
      <c r="C286" s="36"/>
    </row>
    <row r="287">
      <c r="C287" s="36"/>
    </row>
    <row r="288">
      <c r="C288" s="36"/>
    </row>
    <row r="289">
      <c r="C289" s="36"/>
    </row>
    <row r="290">
      <c r="C290" s="36"/>
    </row>
    <row r="291">
      <c r="C291" s="36"/>
    </row>
    <row r="292">
      <c r="C292" s="36"/>
    </row>
    <row r="293">
      <c r="C293" s="36"/>
    </row>
    <row r="294">
      <c r="C294" s="36"/>
    </row>
    <row r="295">
      <c r="C295" s="36"/>
    </row>
    <row r="296">
      <c r="C296" s="36"/>
    </row>
    <row r="297">
      <c r="C297" s="36"/>
    </row>
    <row r="298">
      <c r="C298" s="36"/>
    </row>
    <row r="299">
      <c r="C299" s="36"/>
    </row>
    <row r="300">
      <c r="C300" s="36"/>
    </row>
    <row r="301">
      <c r="C301" s="36"/>
    </row>
    <row r="302">
      <c r="C302" s="36"/>
    </row>
    <row r="303">
      <c r="C303" s="36"/>
    </row>
    <row r="304">
      <c r="C304" s="36"/>
    </row>
    <row r="305">
      <c r="C305" s="36"/>
    </row>
    <row r="306">
      <c r="C306" s="36"/>
    </row>
    <row r="307">
      <c r="C307" s="36"/>
    </row>
    <row r="308">
      <c r="C308" s="36"/>
    </row>
    <row r="309">
      <c r="C309" s="36"/>
    </row>
    <row r="310">
      <c r="C310" s="36"/>
    </row>
    <row r="311">
      <c r="C311" s="36"/>
    </row>
    <row r="312">
      <c r="C312" s="36"/>
    </row>
    <row r="313">
      <c r="C313" s="36"/>
    </row>
    <row r="314">
      <c r="C314" s="36"/>
    </row>
    <row r="315">
      <c r="C315" s="36"/>
    </row>
    <row r="316">
      <c r="C316" s="36"/>
    </row>
    <row r="317">
      <c r="C317" s="36"/>
    </row>
    <row r="318">
      <c r="C318" s="36"/>
    </row>
    <row r="319">
      <c r="C319" s="36"/>
    </row>
    <row r="320">
      <c r="C320" s="36"/>
    </row>
    <row r="321">
      <c r="C321" s="36"/>
    </row>
    <row r="322">
      <c r="C322" s="36"/>
    </row>
    <row r="323">
      <c r="C323" s="36"/>
    </row>
    <row r="324">
      <c r="C324" s="36"/>
    </row>
    <row r="325">
      <c r="C325" s="36"/>
    </row>
    <row r="326">
      <c r="C326" s="36"/>
    </row>
    <row r="327">
      <c r="C327" s="36"/>
    </row>
    <row r="328">
      <c r="C328" s="36"/>
    </row>
    <row r="329">
      <c r="C329" s="36"/>
    </row>
    <row r="330">
      <c r="C330" s="36"/>
    </row>
    <row r="331">
      <c r="C331" s="36"/>
    </row>
    <row r="332">
      <c r="C332" s="36"/>
    </row>
    <row r="333">
      <c r="C333" s="36"/>
    </row>
    <row r="334">
      <c r="C334" s="36"/>
    </row>
    <row r="335">
      <c r="C335" s="36"/>
    </row>
    <row r="336">
      <c r="C336" s="36"/>
    </row>
    <row r="337">
      <c r="C337" s="36"/>
    </row>
    <row r="338">
      <c r="C338" s="36"/>
    </row>
    <row r="339">
      <c r="C339" s="36"/>
    </row>
    <row r="340">
      <c r="C340" s="36"/>
    </row>
    <row r="341">
      <c r="C341" s="36"/>
    </row>
    <row r="342">
      <c r="C342" s="36"/>
    </row>
    <row r="343">
      <c r="C343" s="36"/>
    </row>
    <row r="344">
      <c r="C344" s="36"/>
    </row>
    <row r="345">
      <c r="C345" s="36"/>
    </row>
    <row r="346">
      <c r="C346" s="36"/>
    </row>
    <row r="347">
      <c r="C347" s="36"/>
    </row>
    <row r="348">
      <c r="C348" s="36"/>
    </row>
    <row r="349">
      <c r="C349" s="36"/>
    </row>
    <row r="350">
      <c r="C350" s="36"/>
    </row>
    <row r="351">
      <c r="C351" s="36"/>
    </row>
    <row r="352">
      <c r="C352" s="36"/>
    </row>
    <row r="353">
      <c r="C353" s="36"/>
    </row>
    <row r="354">
      <c r="C354" s="36"/>
    </row>
    <row r="355">
      <c r="C355" s="36"/>
    </row>
    <row r="356">
      <c r="C356" s="36"/>
    </row>
    <row r="357">
      <c r="C357" s="36"/>
    </row>
    <row r="358">
      <c r="C358" s="36"/>
    </row>
    <row r="359">
      <c r="C359" s="36"/>
    </row>
    <row r="360">
      <c r="C360" s="36"/>
    </row>
    <row r="361">
      <c r="C361" s="36"/>
    </row>
    <row r="362">
      <c r="C362" s="36"/>
    </row>
    <row r="363">
      <c r="C363" s="36"/>
    </row>
    <row r="364">
      <c r="C364" s="36"/>
    </row>
    <row r="365">
      <c r="C365" s="36"/>
    </row>
    <row r="366">
      <c r="C366" s="36"/>
    </row>
    <row r="367">
      <c r="C367" s="36"/>
    </row>
    <row r="368">
      <c r="C368" s="36"/>
    </row>
    <row r="369">
      <c r="C369" s="36"/>
    </row>
    <row r="370">
      <c r="C370" s="36"/>
    </row>
    <row r="371">
      <c r="C371" s="36"/>
    </row>
    <row r="372">
      <c r="C372" s="36"/>
    </row>
    <row r="373">
      <c r="C373" s="36"/>
    </row>
    <row r="374">
      <c r="C374" s="36"/>
    </row>
    <row r="375">
      <c r="C375" s="36"/>
    </row>
    <row r="376">
      <c r="C376" s="36"/>
    </row>
    <row r="377">
      <c r="C377" s="36"/>
    </row>
    <row r="378">
      <c r="C378" s="36"/>
    </row>
    <row r="379">
      <c r="C379" s="36"/>
    </row>
    <row r="380">
      <c r="C380" s="36"/>
    </row>
    <row r="381">
      <c r="C381" s="36"/>
    </row>
    <row r="382">
      <c r="C382" s="36"/>
    </row>
    <row r="383">
      <c r="C383" s="36"/>
    </row>
    <row r="384">
      <c r="C384" s="36"/>
    </row>
    <row r="385">
      <c r="C385" s="36"/>
    </row>
    <row r="386">
      <c r="C386" s="36"/>
    </row>
    <row r="387">
      <c r="C387" s="36"/>
    </row>
    <row r="388">
      <c r="C388" s="36"/>
    </row>
    <row r="389">
      <c r="C389" s="36"/>
    </row>
    <row r="390">
      <c r="C390" s="36"/>
    </row>
    <row r="391">
      <c r="C391" s="36"/>
    </row>
    <row r="392">
      <c r="C392" s="36"/>
    </row>
    <row r="393">
      <c r="C393" s="36"/>
    </row>
    <row r="394">
      <c r="C394" s="36"/>
    </row>
    <row r="395">
      <c r="C395" s="36"/>
    </row>
    <row r="396">
      <c r="C396" s="36"/>
    </row>
    <row r="397">
      <c r="C397" s="36"/>
    </row>
    <row r="398">
      <c r="C398" s="36"/>
    </row>
    <row r="399">
      <c r="C399" s="36"/>
    </row>
    <row r="400">
      <c r="C400" s="36"/>
    </row>
    <row r="401">
      <c r="C401" s="36"/>
    </row>
    <row r="402">
      <c r="C402" s="36"/>
    </row>
    <row r="403">
      <c r="C403" s="36"/>
    </row>
    <row r="404">
      <c r="C404" s="36"/>
    </row>
    <row r="405">
      <c r="C405" s="36"/>
    </row>
    <row r="406">
      <c r="C406" s="36"/>
    </row>
    <row r="407">
      <c r="C407" s="36"/>
    </row>
    <row r="408">
      <c r="C408" s="36"/>
    </row>
    <row r="409">
      <c r="C409" s="36"/>
    </row>
    <row r="410">
      <c r="C410" s="36"/>
    </row>
    <row r="411">
      <c r="C411" s="36"/>
    </row>
    <row r="412">
      <c r="C412" s="36"/>
    </row>
    <row r="413">
      <c r="C413" s="36"/>
    </row>
    <row r="414">
      <c r="C414" s="36"/>
    </row>
    <row r="415">
      <c r="C415" s="36"/>
    </row>
    <row r="416">
      <c r="C416" s="36"/>
    </row>
    <row r="417">
      <c r="C417" s="36"/>
    </row>
    <row r="418">
      <c r="C418" s="36"/>
    </row>
    <row r="419">
      <c r="C419" s="36"/>
    </row>
    <row r="420">
      <c r="C420" s="36"/>
    </row>
    <row r="421">
      <c r="C421" s="36"/>
    </row>
    <row r="422">
      <c r="C422" s="36"/>
    </row>
    <row r="423">
      <c r="C423" s="36"/>
    </row>
    <row r="424">
      <c r="C424" s="36"/>
    </row>
    <row r="425">
      <c r="C425" s="36"/>
    </row>
    <row r="426">
      <c r="C426" s="36"/>
    </row>
    <row r="427">
      <c r="C427" s="36"/>
    </row>
    <row r="428">
      <c r="C428" s="36"/>
    </row>
    <row r="429">
      <c r="C429" s="36"/>
    </row>
    <row r="430">
      <c r="C430" s="36"/>
    </row>
    <row r="431">
      <c r="C431" s="36"/>
    </row>
    <row r="432">
      <c r="C432" s="36"/>
    </row>
    <row r="433">
      <c r="C433" s="36"/>
    </row>
    <row r="434">
      <c r="C434" s="36"/>
    </row>
    <row r="435">
      <c r="C435" s="36"/>
    </row>
    <row r="436">
      <c r="C436" s="36"/>
    </row>
    <row r="437">
      <c r="C437" s="36"/>
    </row>
    <row r="438">
      <c r="C438" s="36"/>
    </row>
    <row r="439">
      <c r="C439" s="36"/>
    </row>
    <row r="440">
      <c r="C440" s="36"/>
    </row>
    <row r="441">
      <c r="C441" s="36"/>
    </row>
    <row r="442">
      <c r="C442" s="36"/>
    </row>
    <row r="443">
      <c r="C443" s="36"/>
    </row>
    <row r="444">
      <c r="C444" s="36"/>
    </row>
    <row r="445">
      <c r="C445" s="36"/>
    </row>
    <row r="446">
      <c r="C446" s="36"/>
    </row>
    <row r="447">
      <c r="C447" s="36"/>
    </row>
    <row r="448">
      <c r="C448" s="36"/>
    </row>
    <row r="449">
      <c r="C449" s="36"/>
    </row>
    <row r="450">
      <c r="C450" s="36"/>
    </row>
    <row r="451">
      <c r="C451" s="36"/>
    </row>
    <row r="452">
      <c r="C452" s="36"/>
    </row>
    <row r="453">
      <c r="C453" s="36"/>
    </row>
    <row r="454">
      <c r="C454" s="36"/>
    </row>
    <row r="455">
      <c r="C455" s="36"/>
    </row>
    <row r="456">
      <c r="C456" s="36"/>
    </row>
    <row r="457">
      <c r="C457" s="36"/>
    </row>
    <row r="458">
      <c r="C458" s="36"/>
    </row>
    <row r="459">
      <c r="C459" s="36"/>
    </row>
    <row r="460">
      <c r="C460" s="36"/>
    </row>
    <row r="461">
      <c r="C461" s="36"/>
    </row>
    <row r="462">
      <c r="C462" s="36"/>
    </row>
    <row r="463">
      <c r="C463" s="36"/>
    </row>
    <row r="464">
      <c r="C464" s="36"/>
    </row>
    <row r="465">
      <c r="C465" s="36"/>
    </row>
    <row r="466">
      <c r="C466" s="36"/>
    </row>
    <row r="467">
      <c r="C467" s="36"/>
    </row>
    <row r="468">
      <c r="C468" s="36"/>
    </row>
    <row r="469">
      <c r="C469" s="36"/>
    </row>
    <row r="470">
      <c r="C470" s="36"/>
    </row>
    <row r="471">
      <c r="C471" s="36"/>
    </row>
    <row r="472">
      <c r="C472" s="36"/>
    </row>
    <row r="473">
      <c r="C473" s="36"/>
    </row>
    <row r="474">
      <c r="C474" s="36"/>
    </row>
    <row r="475">
      <c r="C475" s="36"/>
    </row>
    <row r="476">
      <c r="C476" s="36"/>
    </row>
    <row r="477">
      <c r="C477" s="36"/>
    </row>
    <row r="478">
      <c r="C478" s="36"/>
    </row>
    <row r="479">
      <c r="C479" s="36"/>
    </row>
    <row r="480">
      <c r="C480" s="36"/>
    </row>
    <row r="481">
      <c r="C481" s="36"/>
    </row>
    <row r="482">
      <c r="C482" s="36"/>
    </row>
    <row r="483">
      <c r="C483" s="36"/>
    </row>
    <row r="484">
      <c r="C484" s="36"/>
    </row>
    <row r="485">
      <c r="C485" s="36"/>
    </row>
    <row r="486">
      <c r="C486" s="36"/>
    </row>
    <row r="487">
      <c r="C487" s="36"/>
    </row>
    <row r="488">
      <c r="C488" s="36"/>
    </row>
    <row r="489">
      <c r="C489" s="36"/>
    </row>
    <row r="490">
      <c r="C490" s="36"/>
    </row>
    <row r="491">
      <c r="C491" s="36"/>
    </row>
    <row r="492">
      <c r="C492" s="36"/>
    </row>
    <row r="493">
      <c r="C493" s="36"/>
    </row>
    <row r="494">
      <c r="C494" s="36"/>
    </row>
    <row r="495">
      <c r="C495" s="36"/>
    </row>
    <row r="496">
      <c r="C496" s="36"/>
    </row>
    <row r="497">
      <c r="C497" s="36"/>
    </row>
    <row r="498">
      <c r="C498" s="36"/>
    </row>
    <row r="499">
      <c r="C499" s="36"/>
    </row>
    <row r="500">
      <c r="C500" s="36"/>
    </row>
    <row r="501">
      <c r="C501" s="36"/>
    </row>
    <row r="502">
      <c r="C502" s="36"/>
    </row>
    <row r="503">
      <c r="C503" s="36"/>
    </row>
    <row r="504">
      <c r="C504" s="36"/>
    </row>
    <row r="505">
      <c r="C505" s="36"/>
    </row>
    <row r="506">
      <c r="C506" s="36"/>
    </row>
    <row r="507">
      <c r="C507" s="36"/>
    </row>
    <row r="508">
      <c r="C508" s="36"/>
    </row>
    <row r="509">
      <c r="C509" s="36"/>
    </row>
    <row r="510">
      <c r="C510" s="36"/>
    </row>
    <row r="511">
      <c r="C511" s="36"/>
    </row>
    <row r="512">
      <c r="C512" s="36"/>
    </row>
    <row r="513">
      <c r="C513" s="36"/>
    </row>
    <row r="514">
      <c r="C514" s="36"/>
    </row>
    <row r="515">
      <c r="C515" s="36"/>
    </row>
    <row r="516">
      <c r="C516" s="36"/>
    </row>
    <row r="517">
      <c r="C517" s="36"/>
    </row>
    <row r="518">
      <c r="C518" s="36"/>
    </row>
    <row r="519">
      <c r="C519" s="36"/>
    </row>
    <row r="520">
      <c r="C520" s="36"/>
    </row>
    <row r="521">
      <c r="C521" s="36"/>
    </row>
    <row r="522">
      <c r="C522" s="36"/>
    </row>
    <row r="523">
      <c r="C523" s="36"/>
    </row>
    <row r="524">
      <c r="C524" s="36"/>
    </row>
    <row r="525">
      <c r="C525" s="36"/>
    </row>
    <row r="526">
      <c r="C526" s="36"/>
    </row>
    <row r="527">
      <c r="C527" s="36"/>
    </row>
    <row r="528">
      <c r="C528" s="36"/>
    </row>
    <row r="529">
      <c r="C529" s="36"/>
    </row>
    <row r="530">
      <c r="C530" s="36"/>
    </row>
    <row r="531">
      <c r="C531" s="36"/>
    </row>
    <row r="532">
      <c r="C532" s="36"/>
    </row>
    <row r="533">
      <c r="C533" s="36"/>
    </row>
    <row r="534">
      <c r="C534" s="36"/>
    </row>
    <row r="535">
      <c r="C535" s="36"/>
    </row>
    <row r="536">
      <c r="C536" s="36"/>
    </row>
    <row r="537">
      <c r="C537" s="36"/>
    </row>
    <row r="538">
      <c r="C538" s="36"/>
    </row>
    <row r="539">
      <c r="C539" s="36"/>
    </row>
    <row r="540">
      <c r="C540" s="36"/>
    </row>
    <row r="541">
      <c r="C541" s="36"/>
    </row>
    <row r="542">
      <c r="C542" s="36"/>
    </row>
    <row r="543">
      <c r="C543" s="36"/>
    </row>
    <row r="544">
      <c r="C544" s="36"/>
    </row>
    <row r="545">
      <c r="C545" s="36"/>
    </row>
    <row r="546">
      <c r="C546" s="36"/>
    </row>
    <row r="547">
      <c r="C547" s="36"/>
    </row>
    <row r="548">
      <c r="C548" s="36"/>
    </row>
    <row r="549">
      <c r="C549" s="36"/>
    </row>
    <row r="550">
      <c r="C550" s="36"/>
    </row>
    <row r="551">
      <c r="C551" s="36"/>
    </row>
    <row r="552">
      <c r="C552" s="36"/>
    </row>
    <row r="553">
      <c r="C553" s="36"/>
    </row>
    <row r="554">
      <c r="C554" s="36"/>
    </row>
    <row r="555">
      <c r="C555" s="36"/>
    </row>
    <row r="556">
      <c r="C556" s="36"/>
    </row>
    <row r="557">
      <c r="C557" s="36"/>
    </row>
    <row r="558">
      <c r="C558" s="36"/>
    </row>
    <row r="559">
      <c r="C559" s="36"/>
    </row>
    <row r="560">
      <c r="C560" s="36"/>
    </row>
    <row r="561">
      <c r="C561" s="36"/>
    </row>
    <row r="562">
      <c r="C562" s="36"/>
    </row>
    <row r="563">
      <c r="C563" s="36"/>
    </row>
    <row r="564">
      <c r="C564" s="36"/>
    </row>
    <row r="565">
      <c r="C565" s="36"/>
    </row>
    <row r="566">
      <c r="C566" s="36"/>
    </row>
    <row r="567">
      <c r="C567" s="36"/>
    </row>
    <row r="568">
      <c r="C568" s="36"/>
    </row>
    <row r="569">
      <c r="C569" s="36"/>
    </row>
    <row r="570">
      <c r="C570" s="36"/>
    </row>
    <row r="571">
      <c r="C571" s="36"/>
    </row>
    <row r="572">
      <c r="C572" s="36"/>
    </row>
    <row r="573">
      <c r="C573" s="36"/>
    </row>
    <row r="574">
      <c r="C574" s="36"/>
    </row>
    <row r="575">
      <c r="C575" s="36"/>
    </row>
    <row r="576">
      <c r="C576" s="36"/>
    </row>
    <row r="577">
      <c r="C577" s="36"/>
    </row>
    <row r="578">
      <c r="C578" s="36"/>
    </row>
    <row r="579">
      <c r="C579" s="36"/>
    </row>
    <row r="580">
      <c r="C580" s="36"/>
    </row>
    <row r="581">
      <c r="C581" s="36"/>
    </row>
    <row r="582">
      <c r="C582" s="36"/>
    </row>
    <row r="583">
      <c r="C583" s="36"/>
    </row>
    <row r="584">
      <c r="C584" s="36"/>
    </row>
    <row r="585">
      <c r="C585" s="36"/>
    </row>
    <row r="586">
      <c r="C586" s="36"/>
    </row>
    <row r="587">
      <c r="C587" s="36"/>
    </row>
    <row r="588">
      <c r="C588" s="36"/>
    </row>
    <row r="589">
      <c r="C589" s="36"/>
    </row>
    <row r="590">
      <c r="C590" s="36"/>
    </row>
    <row r="591">
      <c r="C591" s="36"/>
    </row>
    <row r="592">
      <c r="C592" s="36"/>
    </row>
    <row r="593">
      <c r="C593" s="36"/>
    </row>
    <row r="594">
      <c r="C594" s="36"/>
    </row>
    <row r="595">
      <c r="C595" s="36"/>
    </row>
    <row r="596">
      <c r="C596" s="36"/>
    </row>
    <row r="597">
      <c r="C597" s="36"/>
    </row>
    <row r="598">
      <c r="C598" s="36"/>
    </row>
    <row r="599">
      <c r="C599" s="36"/>
    </row>
    <row r="600">
      <c r="C600" s="36"/>
    </row>
    <row r="601">
      <c r="C601" s="36"/>
    </row>
    <row r="602">
      <c r="C602" s="36"/>
    </row>
    <row r="603">
      <c r="C603" s="36"/>
    </row>
    <row r="604">
      <c r="C604" s="36"/>
    </row>
    <row r="605">
      <c r="C605" s="36"/>
    </row>
    <row r="606">
      <c r="C606" s="36"/>
    </row>
    <row r="607">
      <c r="C607" s="36"/>
    </row>
    <row r="608">
      <c r="C608" s="36"/>
    </row>
    <row r="609">
      <c r="C609" s="36"/>
    </row>
    <row r="610">
      <c r="C610" s="36"/>
    </row>
    <row r="611">
      <c r="C611" s="36"/>
    </row>
    <row r="612">
      <c r="C612" s="36"/>
    </row>
    <row r="613">
      <c r="C613" s="36"/>
    </row>
    <row r="614">
      <c r="C614" s="36"/>
    </row>
    <row r="615">
      <c r="C615" s="36"/>
    </row>
    <row r="616">
      <c r="C616" s="36"/>
    </row>
    <row r="617">
      <c r="C617" s="36"/>
    </row>
    <row r="618">
      <c r="C618" s="36"/>
    </row>
    <row r="619">
      <c r="C619" s="36"/>
    </row>
    <row r="620">
      <c r="C620" s="36"/>
    </row>
    <row r="621">
      <c r="C621" s="36"/>
    </row>
    <row r="622">
      <c r="C622" s="36"/>
    </row>
    <row r="623">
      <c r="C623" s="36"/>
    </row>
    <row r="624">
      <c r="C624" s="36"/>
    </row>
    <row r="625">
      <c r="C625" s="36"/>
    </row>
    <row r="626">
      <c r="C626" s="36"/>
    </row>
    <row r="627">
      <c r="C627" s="36"/>
    </row>
    <row r="628">
      <c r="C628" s="36"/>
    </row>
    <row r="629">
      <c r="C629" s="36"/>
    </row>
    <row r="630">
      <c r="C630" s="36"/>
    </row>
    <row r="631">
      <c r="C631" s="36"/>
    </row>
    <row r="632">
      <c r="C632" s="36"/>
    </row>
    <row r="633">
      <c r="C633" s="36"/>
    </row>
    <row r="634">
      <c r="C634" s="36"/>
    </row>
    <row r="635">
      <c r="C635" s="36"/>
    </row>
    <row r="636">
      <c r="C636" s="36"/>
    </row>
    <row r="637">
      <c r="C637" s="36"/>
    </row>
    <row r="638">
      <c r="C638" s="36"/>
    </row>
    <row r="639">
      <c r="C639" s="36"/>
    </row>
    <row r="640">
      <c r="C640" s="36"/>
    </row>
    <row r="641">
      <c r="C641" s="36"/>
    </row>
    <row r="642">
      <c r="C642" s="36"/>
    </row>
    <row r="643">
      <c r="C643" s="36"/>
    </row>
    <row r="644">
      <c r="C644" s="36"/>
    </row>
    <row r="645">
      <c r="C645" s="36"/>
    </row>
    <row r="646">
      <c r="C646" s="36"/>
    </row>
    <row r="647">
      <c r="C647" s="36"/>
    </row>
    <row r="648">
      <c r="C648" s="36"/>
    </row>
    <row r="649">
      <c r="C649" s="36"/>
    </row>
    <row r="650">
      <c r="C650" s="36"/>
    </row>
    <row r="651">
      <c r="C651" s="36"/>
    </row>
    <row r="652">
      <c r="C652" s="36"/>
    </row>
    <row r="653">
      <c r="C653" s="36"/>
    </row>
    <row r="654">
      <c r="C654" s="36"/>
    </row>
    <row r="655">
      <c r="C655" s="36"/>
    </row>
    <row r="656">
      <c r="C656" s="36"/>
    </row>
    <row r="657">
      <c r="C657" s="36"/>
    </row>
    <row r="658">
      <c r="C658" s="36"/>
    </row>
    <row r="659">
      <c r="C659" s="36"/>
    </row>
    <row r="660">
      <c r="C660" s="36"/>
    </row>
    <row r="661">
      <c r="C661" s="36"/>
    </row>
    <row r="662">
      <c r="C662" s="36"/>
    </row>
    <row r="663">
      <c r="C663" s="36"/>
    </row>
    <row r="664">
      <c r="C664" s="36"/>
    </row>
    <row r="665">
      <c r="C665" s="36"/>
    </row>
    <row r="666">
      <c r="C666" s="36"/>
    </row>
    <row r="667">
      <c r="C667" s="36"/>
    </row>
    <row r="668">
      <c r="C668" s="36"/>
    </row>
    <row r="669">
      <c r="C669" s="36"/>
    </row>
    <row r="670">
      <c r="C670" s="36"/>
    </row>
    <row r="671">
      <c r="C671" s="36"/>
    </row>
    <row r="672">
      <c r="C672" s="36"/>
    </row>
    <row r="673">
      <c r="C673" s="36"/>
    </row>
    <row r="674">
      <c r="C674" s="36"/>
    </row>
    <row r="675">
      <c r="C675" s="36"/>
    </row>
    <row r="676">
      <c r="C676" s="36"/>
    </row>
    <row r="677">
      <c r="C677" s="36"/>
    </row>
    <row r="678">
      <c r="C678" s="36"/>
    </row>
    <row r="679">
      <c r="C679" s="36"/>
    </row>
    <row r="680">
      <c r="C680" s="36"/>
    </row>
    <row r="681">
      <c r="C681" s="36"/>
    </row>
    <row r="682">
      <c r="C682" s="36"/>
    </row>
    <row r="683">
      <c r="C683" s="36"/>
    </row>
    <row r="684">
      <c r="C684" s="36"/>
    </row>
    <row r="685">
      <c r="C685" s="36"/>
    </row>
    <row r="686">
      <c r="C686" s="36"/>
    </row>
    <row r="687">
      <c r="C687" s="36"/>
    </row>
    <row r="688">
      <c r="C688" s="36"/>
    </row>
    <row r="689">
      <c r="C689" s="36"/>
    </row>
    <row r="690">
      <c r="C690" s="36"/>
    </row>
    <row r="691">
      <c r="C691" s="36"/>
    </row>
    <row r="692">
      <c r="C692" s="36"/>
    </row>
    <row r="693">
      <c r="C693" s="36"/>
    </row>
    <row r="694">
      <c r="C694" s="36"/>
    </row>
    <row r="695">
      <c r="C695" s="36"/>
    </row>
    <row r="696">
      <c r="C696" s="36"/>
    </row>
    <row r="697">
      <c r="C697" s="36"/>
    </row>
    <row r="698">
      <c r="C698" s="36"/>
    </row>
    <row r="699">
      <c r="C699" s="36"/>
    </row>
    <row r="700">
      <c r="C700" s="36"/>
    </row>
    <row r="701">
      <c r="C701" s="36"/>
    </row>
    <row r="702">
      <c r="C702" s="36"/>
    </row>
    <row r="703">
      <c r="C703" s="36"/>
    </row>
    <row r="704">
      <c r="C704" s="36"/>
    </row>
    <row r="705">
      <c r="C705" s="36"/>
    </row>
    <row r="706">
      <c r="C706" s="36"/>
    </row>
    <row r="707">
      <c r="C707" s="36"/>
    </row>
    <row r="708">
      <c r="C708" s="36"/>
    </row>
    <row r="709">
      <c r="C709" s="36"/>
    </row>
    <row r="710">
      <c r="C710" s="36"/>
    </row>
    <row r="711">
      <c r="C711" s="36"/>
    </row>
    <row r="712">
      <c r="C712" s="36"/>
    </row>
    <row r="713">
      <c r="C713" s="36"/>
    </row>
    <row r="714">
      <c r="C714" s="36"/>
    </row>
    <row r="715">
      <c r="C715" s="36"/>
    </row>
    <row r="716">
      <c r="C716" s="36"/>
    </row>
    <row r="717">
      <c r="C717" s="36"/>
    </row>
    <row r="718">
      <c r="C718" s="36"/>
    </row>
    <row r="719">
      <c r="C719" s="36"/>
    </row>
    <row r="720">
      <c r="C720" s="36"/>
    </row>
    <row r="721">
      <c r="C721" s="36"/>
    </row>
    <row r="722">
      <c r="C722" s="36"/>
    </row>
    <row r="723">
      <c r="C723" s="36"/>
    </row>
    <row r="724">
      <c r="C724" s="36"/>
    </row>
    <row r="725">
      <c r="C725" s="36"/>
    </row>
    <row r="726">
      <c r="C726" s="36"/>
    </row>
    <row r="727">
      <c r="C727" s="36"/>
    </row>
    <row r="728">
      <c r="C728" s="36"/>
    </row>
    <row r="729">
      <c r="C729" s="36"/>
    </row>
    <row r="730">
      <c r="C730" s="36"/>
    </row>
    <row r="731">
      <c r="C731" s="36"/>
    </row>
    <row r="732">
      <c r="C732" s="36"/>
    </row>
    <row r="733">
      <c r="C733" s="36"/>
    </row>
    <row r="734">
      <c r="C734" s="36"/>
    </row>
    <row r="735">
      <c r="C735" s="36"/>
    </row>
    <row r="736">
      <c r="C736" s="36"/>
    </row>
    <row r="737">
      <c r="C737" s="36"/>
    </row>
    <row r="738">
      <c r="C738" s="36"/>
    </row>
    <row r="739">
      <c r="C739" s="36"/>
    </row>
    <row r="740">
      <c r="C740" s="36"/>
    </row>
    <row r="741">
      <c r="C741" s="36"/>
    </row>
    <row r="742">
      <c r="C742" s="36"/>
    </row>
    <row r="743">
      <c r="C743" s="36"/>
    </row>
    <row r="744">
      <c r="C744" s="36"/>
    </row>
    <row r="745">
      <c r="C745" s="36"/>
    </row>
    <row r="746">
      <c r="C746" s="36"/>
    </row>
    <row r="747">
      <c r="C747" s="36"/>
    </row>
    <row r="748">
      <c r="C748" s="36"/>
    </row>
    <row r="749">
      <c r="C749" s="36"/>
    </row>
    <row r="750">
      <c r="C750" s="36"/>
    </row>
    <row r="751">
      <c r="C751" s="36"/>
    </row>
    <row r="752">
      <c r="C752" s="36"/>
    </row>
    <row r="753">
      <c r="C753" s="36"/>
    </row>
    <row r="754">
      <c r="C754" s="36"/>
    </row>
    <row r="755">
      <c r="C755" s="36"/>
    </row>
    <row r="756">
      <c r="C756" s="36"/>
    </row>
    <row r="757">
      <c r="C757" s="36"/>
    </row>
    <row r="758">
      <c r="C758" s="36"/>
    </row>
    <row r="759">
      <c r="C759" s="36"/>
    </row>
    <row r="760">
      <c r="C760" s="36"/>
    </row>
    <row r="761">
      <c r="C761" s="36"/>
    </row>
    <row r="762">
      <c r="C762" s="36"/>
    </row>
    <row r="763">
      <c r="C763" s="36"/>
    </row>
    <row r="764">
      <c r="C764" s="36"/>
    </row>
    <row r="765">
      <c r="C765" s="36"/>
    </row>
    <row r="766">
      <c r="C766" s="36"/>
    </row>
    <row r="767">
      <c r="C767" s="36"/>
    </row>
    <row r="768">
      <c r="C768" s="36"/>
    </row>
    <row r="769">
      <c r="C769" s="36"/>
    </row>
    <row r="770">
      <c r="C770" s="36"/>
    </row>
    <row r="771">
      <c r="C771" s="36"/>
    </row>
    <row r="772">
      <c r="C772" s="36"/>
    </row>
    <row r="773">
      <c r="C773" s="36"/>
    </row>
    <row r="774">
      <c r="C774" s="36"/>
    </row>
    <row r="775">
      <c r="C775" s="36"/>
    </row>
    <row r="776">
      <c r="C776" s="36"/>
    </row>
    <row r="777">
      <c r="C777" s="36"/>
    </row>
    <row r="778">
      <c r="C778" s="36"/>
    </row>
    <row r="779">
      <c r="C779" s="36"/>
    </row>
    <row r="780">
      <c r="C780" s="36"/>
    </row>
    <row r="781">
      <c r="C781" s="36"/>
    </row>
    <row r="782">
      <c r="C782" s="36"/>
    </row>
    <row r="783">
      <c r="C783" s="36"/>
    </row>
    <row r="784">
      <c r="C784" s="36"/>
    </row>
    <row r="785">
      <c r="C785" s="36"/>
    </row>
    <row r="786">
      <c r="C786" s="36"/>
    </row>
    <row r="787">
      <c r="C787" s="36"/>
    </row>
    <row r="788">
      <c r="C788" s="36"/>
    </row>
    <row r="789">
      <c r="C789" s="36"/>
    </row>
    <row r="790">
      <c r="C790" s="36"/>
    </row>
    <row r="791">
      <c r="C791" s="36"/>
    </row>
    <row r="792">
      <c r="C792" s="36"/>
    </row>
    <row r="793">
      <c r="C793" s="36"/>
    </row>
    <row r="794">
      <c r="C794" s="36"/>
    </row>
    <row r="795">
      <c r="C795" s="36"/>
    </row>
    <row r="796">
      <c r="C796" s="36"/>
    </row>
    <row r="797">
      <c r="C797" s="36"/>
    </row>
    <row r="798">
      <c r="C798" s="36"/>
    </row>
    <row r="799">
      <c r="C799" s="36"/>
    </row>
    <row r="800">
      <c r="C800" s="36"/>
    </row>
    <row r="801">
      <c r="C801" s="36"/>
    </row>
    <row r="802">
      <c r="C802" s="36"/>
    </row>
    <row r="803">
      <c r="C803" s="36"/>
    </row>
    <row r="804">
      <c r="C804" s="36"/>
    </row>
    <row r="805">
      <c r="C805" s="36"/>
    </row>
    <row r="806">
      <c r="C806" s="36"/>
    </row>
    <row r="807">
      <c r="C807" s="36"/>
    </row>
    <row r="808">
      <c r="C808" s="36"/>
    </row>
    <row r="809">
      <c r="C809" s="36"/>
    </row>
    <row r="810">
      <c r="C810" s="36"/>
    </row>
    <row r="811">
      <c r="C811" s="36"/>
    </row>
    <row r="812">
      <c r="C812" s="36"/>
    </row>
    <row r="813">
      <c r="C813" s="36"/>
    </row>
    <row r="814">
      <c r="C814" s="36"/>
    </row>
    <row r="815">
      <c r="C815" s="36"/>
    </row>
    <row r="816">
      <c r="C816" s="36"/>
    </row>
    <row r="817">
      <c r="C817" s="36"/>
    </row>
    <row r="818">
      <c r="C818" s="36"/>
    </row>
    <row r="819">
      <c r="C819" s="36"/>
    </row>
    <row r="820">
      <c r="C820" s="36"/>
    </row>
    <row r="821">
      <c r="C821" s="36"/>
    </row>
    <row r="822">
      <c r="C822" s="36"/>
    </row>
    <row r="823">
      <c r="C823" s="36"/>
    </row>
    <row r="824">
      <c r="C824" s="36"/>
    </row>
    <row r="825">
      <c r="C825" s="36"/>
    </row>
    <row r="826">
      <c r="C826" s="36"/>
    </row>
    <row r="827">
      <c r="C827" s="36"/>
    </row>
    <row r="828">
      <c r="C828" s="36"/>
    </row>
    <row r="829">
      <c r="C829" s="36"/>
    </row>
    <row r="830">
      <c r="C830" s="36"/>
    </row>
    <row r="831">
      <c r="C831" s="36"/>
    </row>
    <row r="832">
      <c r="C832" s="36"/>
    </row>
    <row r="833">
      <c r="C833" s="36"/>
    </row>
    <row r="834">
      <c r="C834" s="36"/>
    </row>
    <row r="835">
      <c r="C835" s="36"/>
    </row>
    <row r="836">
      <c r="C836" s="36"/>
    </row>
    <row r="837">
      <c r="C837" s="36"/>
    </row>
    <row r="838">
      <c r="C838" s="36"/>
    </row>
    <row r="839">
      <c r="C839" s="36"/>
    </row>
    <row r="840">
      <c r="C840" s="36"/>
    </row>
    <row r="841">
      <c r="C841" s="36"/>
    </row>
    <row r="842">
      <c r="C842" s="36"/>
    </row>
    <row r="843">
      <c r="C843" s="36"/>
    </row>
    <row r="844">
      <c r="C844" s="36"/>
    </row>
    <row r="845">
      <c r="C845" s="36"/>
    </row>
    <row r="846">
      <c r="C846" s="36"/>
    </row>
    <row r="847">
      <c r="C847" s="36"/>
    </row>
    <row r="848">
      <c r="C848" s="36"/>
    </row>
    <row r="849">
      <c r="C849" s="36"/>
    </row>
    <row r="850">
      <c r="C850" s="36"/>
    </row>
    <row r="851">
      <c r="C851" s="36"/>
    </row>
    <row r="852">
      <c r="C852" s="36"/>
    </row>
    <row r="853">
      <c r="C853" s="36"/>
    </row>
    <row r="854">
      <c r="C854" s="36"/>
    </row>
    <row r="855">
      <c r="C855" s="36"/>
    </row>
    <row r="856">
      <c r="C856" s="36"/>
    </row>
    <row r="857">
      <c r="C857" s="36"/>
    </row>
    <row r="858">
      <c r="C858" s="36"/>
    </row>
    <row r="859">
      <c r="C859" s="36"/>
    </row>
    <row r="860">
      <c r="C860" s="36"/>
    </row>
    <row r="861">
      <c r="C861" s="36"/>
    </row>
    <row r="862">
      <c r="C862" s="36"/>
    </row>
    <row r="863">
      <c r="C863" s="36"/>
    </row>
    <row r="864">
      <c r="C864" s="36"/>
    </row>
    <row r="865">
      <c r="C865" s="36"/>
    </row>
    <row r="866">
      <c r="C866" s="36"/>
    </row>
    <row r="867">
      <c r="C867" s="36"/>
    </row>
    <row r="868">
      <c r="C868" s="36"/>
    </row>
    <row r="869">
      <c r="C869" s="36"/>
    </row>
    <row r="870">
      <c r="C870" s="36"/>
    </row>
    <row r="871">
      <c r="C871" s="36"/>
    </row>
    <row r="872">
      <c r="C872" s="36"/>
    </row>
    <row r="873">
      <c r="C873" s="36"/>
    </row>
    <row r="874">
      <c r="C874" s="36"/>
    </row>
    <row r="875">
      <c r="C875" s="36"/>
    </row>
    <row r="876">
      <c r="C876" s="36"/>
    </row>
    <row r="877">
      <c r="C877" s="36"/>
    </row>
    <row r="878">
      <c r="C878" s="36"/>
    </row>
    <row r="879">
      <c r="C879" s="36"/>
    </row>
    <row r="880">
      <c r="C880" s="36"/>
    </row>
    <row r="881">
      <c r="C881" s="36"/>
    </row>
    <row r="882">
      <c r="C882" s="36"/>
    </row>
    <row r="883">
      <c r="C883" s="36"/>
    </row>
    <row r="884">
      <c r="C884" s="36"/>
    </row>
    <row r="885">
      <c r="C885" s="36"/>
    </row>
    <row r="886">
      <c r="C886" s="36"/>
    </row>
    <row r="887">
      <c r="C887" s="36"/>
    </row>
    <row r="888">
      <c r="C888" s="36"/>
    </row>
    <row r="889">
      <c r="C889" s="36"/>
    </row>
    <row r="890">
      <c r="C890" s="36"/>
    </row>
    <row r="891">
      <c r="C891" s="36"/>
    </row>
    <row r="892">
      <c r="C892" s="36"/>
    </row>
    <row r="893">
      <c r="C893" s="36"/>
    </row>
    <row r="894">
      <c r="C894" s="36"/>
    </row>
    <row r="895">
      <c r="C895" s="36"/>
    </row>
    <row r="896">
      <c r="C896" s="36"/>
    </row>
    <row r="897">
      <c r="C897" s="36"/>
    </row>
    <row r="898">
      <c r="C898" s="36"/>
    </row>
    <row r="899">
      <c r="C899" s="36"/>
    </row>
    <row r="900">
      <c r="C900" s="36"/>
    </row>
    <row r="901">
      <c r="C901" s="36"/>
    </row>
    <row r="902">
      <c r="C902" s="36"/>
    </row>
    <row r="903">
      <c r="C903" s="36"/>
    </row>
    <row r="904">
      <c r="C904" s="36"/>
    </row>
    <row r="905">
      <c r="C905" s="36"/>
    </row>
    <row r="906">
      <c r="C906" s="36"/>
    </row>
    <row r="907">
      <c r="C907" s="36"/>
    </row>
    <row r="908">
      <c r="C908" s="36"/>
    </row>
    <row r="909">
      <c r="C909" s="36"/>
    </row>
    <row r="910">
      <c r="C910" s="36"/>
    </row>
    <row r="911">
      <c r="C911" s="36"/>
    </row>
    <row r="912">
      <c r="C912" s="36"/>
    </row>
    <row r="913">
      <c r="C913" s="36"/>
    </row>
    <row r="914">
      <c r="C914" s="36"/>
    </row>
    <row r="915">
      <c r="C915" s="36"/>
    </row>
    <row r="916">
      <c r="C916" s="36"/>
    </row>
    <row r="917">
      <c r="C917" s="36"/>
    </row>
    <row r="918">
      <c r="C918" s="36"/>
    </row>
    <row r="919">
      <c r="C919" s="36"/>
    </row>
    <row r="920">
      <c r="C920" s="36"/>
    </row>
    <row r="921">
      <c r="C921" s="36"/>
    </row>
    <row r="922">
      <c r="C922" s="36"/>
    </row>
    <row r="923">
      <c r="C923" s="36"/>
    </row>
    <row r="924">
      <c r="C924" s="36"/>
    </row>
    <row r="925">
      <c r="C925" s="36"/>
    </row>
    <row r="926">
      <c r="C926" s="36"/>
    </row>
    <row r="927">
      <c r="C927" s="36"/>
    </row>
    <row r="928">
      <c r="C928" s="36"/>
    </row>
    <row r="929">
      <c r="C929" s="36"/>
    </row>
    <row r="930">
      <c r="C930" s="36"/>
    </row>
    <row r="931">
      <c r="C931" s="36"/>
    </row>
    <row r="932">
      <c r="C932" s="36"/>
    </row>
    <row r="933">
      <c r="C933" s="36"/>
    </row>
    <row r="934">
      <c r="C934" s="36"/>
    </row>
    <row r="935">
      <c r="C935" s="36"/>
    </row>
    <row r="936">
      <c r="C936" s="36"/>
    </row>
    <row r="937">
      <c r="C937" s="36"/>
    </row>
    <row r="938">
      <c r="C938" s="36"/>
    </row>
    <row r="939">
      <c r="C939" s="36"/>
    </row>
    <row r="940">
      <c r="C940" s="36"/>
    </row>
    <row r="941">
      <c r="C941" s="36"/>
    </row>
    <row r="942">
      <c r="C942" s="36"/>
    </row>
    <row r="943">
      <c r="C943" s="36"/>
    </row>
    <row r="944">
      <c r="C944" s="36"/>
    </row>
    <row r="945">
      <c r="C945" s="36"/>
    </row>
    <row r="946">
      <c r="C946" s="36"/>
    </row>
    <row r="947">
      <c r="C947" s="36"/>
    </row>
    <row r="948">
      <c r="C948" s="36"/>
    </row>
    <row r="949">
      <c r="C949" s="36"/>
    </row>
    <row r="950">
      <c r="C950" s="36"/>
    </row>
    <row r="951">
      <c r="C951" s="36"/>
    </row>
    <row r="952">
      <c r="C952" s="36"/>
    </row>
    <row r="953">
      <c r="C953" s="36"/>
    </row>
    <row r="954">
      <c r="C954" s="36"/>
    </row>
    <row r="955">
      <c r="C955" s="36"/>
    </row>
    <row r="956">
      <c r="C956" s="36"/>
    </row>
    <row r="957">
      <c r="C957" s="36"/>
    </row>
    <row r="958">
      <c r="C958" s="36"/>
    </row>
    <row r="959">
      <c r="C959" s="36"/>
    </row>
    <row r="960">
      <c r="C960" s="36"/>
    </row>
    <row r="961">
      <c r="C961" s="36"/>
    </row>
    <row r="962">
      <c r="C962" s="36"/>
    </row>
    <row r="963">
      <c r="C963" s="36"/>
    </row>
    <row r="964">
      <c r="C964" s="36"/>
    </row>
    <row r="965">
      <c r="C965" s="36"/>
    </row>
    <row r="966">
      <c r="C966" s="36"/>
    </row>
    <row r="967">
      <c r="C967" s="36"/>
    </row>
    <row r="968">
      <c r="C968" s="36"/>
    </row>
    <row r="969">
      <c r="C969" s="36"/>
    </row>
    <row r="970">
      <c r="C970" s="36"/>
    </row>
    <row r="971">
      <c r="C971" s="36"/>
    </row>
    <row r="972">
      <c r="C972" s="36"/>
    </row>
    <row r="973">
      <c r="C973" s="36"/>
    </row>
    <row r="974">
      <c r="C974" s="36"/>
    </row>
    <row r="975">
      <c r="C975" s="36"/>
    </row>
    <row r="976">
      <c r="C976" s="36"/>
    </row>
    <row r="977">
      <c r="C977" s="36"/>
    </row>
    <row r="978">
      <c r="C978" s="36"/>
    </row>
    <row r="979">
      <c r="C979" s="36"/>
    </row>
  </sheetData>
  <autoFilter ref="$A$1:$D$25">
    <filterColumn colId="1">
      <filters>
        <filter val="LIDER"/>
      </filters>
    </filterColumn>
    <filterColumn colId="3">
      <filters>
        <filter val="PROF - 07001 - MANUTENÇÃO PREDIAL- PROFARMA-2025"/>
        <filter val="FAC - 140004 - MANUTENÇÃO PREDIAL DPSP 2025"/>
      </filters>
    </filterColumn>
    <sortState ref="A1:D25">
      <sortCondition ref="A1:A25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4" max="4" width="25.29"/>
    <col customWidth="1" min="5" max="5" width="69.86"/>
  </cols>
  <sheetData>
    <row r="1" ht="22.5" customHeight="1">
      <c r="A1" s="54" t="s">
        <v>0</v>
      </c>
      <c r="B1" s="55" t="s">
        <v>4</v>
      </c>
      <c r="C1" s="56" t="s">
        <v>6</v>
      </c>
      <c r="D1" s="57" t="s">
        <v>97</v>
      </c>
      <c r="E1" s="57" t="s">
        <v>98</v>
      </c>
      <c r="F1" s="58" t="s">
        <v>3</v>
      </c>
      <c r="G1" s="33" t="str">
        <f>IFERROR(VLOOKUP(C2,BASE_VEICULOS!A:B,2, FALSE),"")</f>
        <v/>
      </c>
    </row>
    <row r="2" ht="22.5" customHeight="1">
      <c r="A2" s="59">
        <v>46076.0</v>
      </c>
      <c r="B2" s="60" t="s">
        <v>23</v>
      </c>
      <c r="C2" s="60" t="str">
        <f>VLOOKUP(B2,BASE_VEICULOS!A:B,2,0)</f>
        <v>TEH3I02</v>
      </c>
      <c r="D2" s="61" t="s">
        <v>50</v>
      </c>
      <c r="E2" s="57" t="s">
        <v>99</v>
      </c>
      <c r="F2" s="58">
        <v>17.04</v>
      </c>
    </row>
    <row r="3" ht="22.5" customHeight="1">
      <c r="A3" s="59">
        <v>46076.0</v>
      </c>
      <c r="B3" s="60" t="s">
        <v>23</v>
      </c>
      <c r="C3" s="60" t="str">
        <f>VLOOKUP(B3,BASE_VEICULOS!A:B,2,0)</f>
        <v>TEH3I02</v>
      </c>
      <c r="D3" s="61" t="s">
        <v>50</v>
      </c>
      <c r="E3" s="57" t="s">
        <v>100</v>
      </c>
      <c r="F3" s="58">
        <v>9.6</v>
      </c>
    </row>
    <row r="4" ht="22.5" customHeight="1">
      <c r="A4" s="59">
        <v>46076.0</v>
      </c>
      <c r="B4" s="60" t="s">
        <v>23</v>
      </c>
      <c r="C4" s="60" t="str">
        <f>VLOOKUP(B4,BASE_VEICULOS!A:B,2,0)</f>
        <v>TEH3I02</v>
      </c>
      <c r="D4" s="61" t="s">
        <v>50</v>
      </c>
      <c r="E4" s="57" t="s">
        <v>100</v>
      </c>
      <c r="F4" s="58">
        <v>9.6</v>
      </c>
    </row>
    <row r="5" ht="22.5" customHeight="1">
      <c r="A5" s="59">
        <v>46076.0</v>
      </c>
      <c r="B5" s="60" t="s">
        <v>23</v>
      </c>
      <c r="C5" s="60" t="str">
        <f>VLOOKUP(B5,BASE_VEICULOS!A:B,2,0)</f>
        <v>TEH3I02</v>
      </c>
      <c r="D5" s="61" t="s">
        <v>50</v>
      </c>
      <c r="E5" s="57" t="s">
        <v>99</v>
      </c>
      <c r="F5" s="58">
        <v>17.04</v>
      </c>
    </row>
    <row r="6" ht="22.5" customHeight="1">
      <c r="A6" s="59">
        <v>46076.0</v>
      </c>
      <c r="B6" s="60" t="s">
        <v>24</v>
      </c>
      <c r="C6" s="60" t="str">
        <f>VLOOKUP(B6,BASE_VEICULOS!A:B,2,0)</f>
        <v>TEW9A23</v>
      </c>
      <c r="D6" s="61" t="s">
        <v>50</v>
      </c>
      <c r="E6" s="57" t="s">
        <v>99</v>
      </c>
      <c r="F6" s="58">
        <v>18.34</v>
      </c>
    </row>
    <row r="7" ht="22.5" customHeight="1">
      <c r="A7" s="59">
        <v>46076.0</v>
      </c>
      <c r="B7" s="60" t="s">
        <v>24</v>
      </c>
      <c r="C7" s="60" t="str">
        <f>VLOOKUP(B7,BASE_VEICULOS!A:B,2,0)</f>
        <v>TEW9A23</v>
      </c>
      <c r="D7" s="61" t="s">
        <v>50</v>
      </c>
      <c r="E7" s="57" t="s">
        <v>99</v>
      </c>
      <c r="F7" s="58">
        <v>18.34</v>
      </c>
    </row>
    <row r="8" ht="22.5" customHeight="1">
      <c r="A8" s="59">
        <v>46076.0</v>
      </c>
      <c r="B8" s="60" t="s">
        <v>24</v>
      </c>
      <c r="C8" s="60" t="str">
        <f>VLOOKUP(B8,BASE_VEICULOS!A:B,2,0)</f>
        <v>TEW9A23</v>
      </c>
      <c r="D8" s="61" t="s">
        <v>50</v>
      </c>
      <c r="E8" s="57" t="s">
        <v>100</v>
      </c>
      <c r="F8" s="58">
        <v>9.6</v>
      </c>
    </row>
    <row r="9" ht="22.5" customHeight="1">
      <c r="A9" s="59">
        <v>46076.0</v>
      </c>
      <c r="B9" s="60" t="s">
        <v>24</v>
      </c>
      <c r="C9" s="60" t="str">
        <f>VLOOKUP(B9,BASE_VEICULOS!A:B,2,0)</f>
        <v>TEW9A23</v>
      </c>
      <c r="D9" s="61" t="s">
        <v>50</v>
      </c>
      <c r="E9" s="57" t="s">
        <v>100</v>
      </c>
      <c r="F9" s="58">
        <v>9.6</v>
      </c>
    </row>
    <row r="10" ht="22.5" customHeight="1">
      <c r="A10" s="59">
        <v>46076.0</v>
      </c>
      <c r="B10" s="60" t="s">
        <v>17</v>
      </c>
      <c r="C10" s="60" t="str">
        <f>VLOOKUP(B10,BASE_VEICULOS!A:B,2,0)</f>
        <v>#N/A</v>
      </c>
      <c r="D10" s="61" t="s">
        <v>50</v>
      </c>
      <c r="E10" s="57" t="s">
        <v>99</v>
      </c>
      <c r="F10" s="58">
        <v>12.69</v>
      </c>
    </row>
    <row r="11" ht="22.5" customHeight="1">
      <c r="A11" s="59">
        <v>46076.0</v>
      </c>
      <c r="B11" s="60" t="s">
        <v>17</v>
      </c>
      <c r="C11" s="60" t="str">
        <f>VLOOKUP(B11,BASE_VEICULOS!A:B,2,0)</f>
        <v>#N/A</v>
      </c>
      <c r="D11" s="61" t="s">
        <v>50</v>
      </c>
      <c r="E11" s="57" t="s">
        <v>99</v>
      </c>
      <c r="F11" s="58">
        <v>12.69</v>
      </c>
    </row>
    <row r="12" ht="22.5" customHeight="1">
      <c r="A12" s="59">
        <v>46076.0</v>
      </c>
      <c r="B12" s="60" t="s">
        <v>29</v>
      </c>
      <c r="C12" s="60" t="str">
        <f>VLOOKUP(B12,BASE_VEICULOS!A:B,2,0)</f>
        <v>TEQ2I74</v>
      </c>
      <c r="D12" s="61" t="s">
        <v>50</v>
      </c>
      <c r="E12" s="57" t="s">
        <v>101</v>
      </c>
      <c r="F12" s="58">
        <v>6.8</v>
      </c>
    </row>
    <row r="13" ht="22.5" customHeight="1">
      <c r="A13" s="59">
        <v>46076.0</v>
      </c>
      <c r="B13" s="60" t="s">
        <v>11</v>
      </c>
      <c r="C13" s="60" t="str">
        <f>VLOOKUP(B13,BASE_VEICULOS!A:B,2,0)</f>
        <v>TEW9A28</v>
      </c>
      <c r="D13" s="61" t="s">
        <v>50</v>
      </c>
      <c r="E13" s="57" t="s">
        <v>102</v>
      </c>
      <c r="F13" s="58">
        <v>18.4</v>
      </c>
    </row>
    <row r="14" ht="22.5" customHeight="1">
      <c r="A14" s="59">
        <v>46076.0</v>
      </c>
      <c r="B14" s="60" t="s">
        <v>11</v>
      </c>
      <c r="C14" s="60" t="str">
        <f>VLOOKUP(B14,BASE_VEICULOS!A:B,2,0)</f>
        <v>TEW9A28</v>
      </c>
      <c r="D14" s="61" t="s">
        <v>50</v>
      </c>
      <c r="E14" s="57" t="s">
        <v>102</v>
      </c>
      <c r="F14" s="58">
        <v>30.6</v>
      </c>
    </row>
    <row r="15" ht="22.5" customHeight="1">
      <c r="A15" s="59">
        <v>46076.0</v>
      </c>
      <c r="B15" s="60" t="s">
        <v>19</v>
      </c>
      <c r="C15" s="60" t="str">
        <f>VLOOKUP(B15,BASE_VEICULOS!A:B,2,0)</f>
        <v>TEW9A24</v>
      </c>
      <c r="D15" s="61" t="s">
        <v>50</v>
      </c>
      <c r="E15" s="57" t="s">
        <v>103</v>
      </c>
      <c r="F15" s="58">
        <v>7.5</v>
      </c>
    </row>
    <row r="16" ht="22.5" customHeight="1">
      <c r="A16" s="59">
        <v>46076.0</v>
      </c>
      <c r="B16" s="60" t="s">
        <v>19</v>
      </c>
      <c r="C16" s="60" t="str">
        <f>VLOOKUP(B16,BASE_VEICULOS!A:B,2,0)</f>
        <v>TEW9A24</v>
      </c>
      <c r="D16" s="61" t="s">
        <v>50</v>
      </c>
      <c r="E16" s="57" t="s">
        <v>103</v>
      </c>
      <c r="F16" s="58">
        <v>7.5</v>
      </c>
    </row>
    <row r="17" ht="22.5" customHeight="1">
      <c r="A17" s="59">
        <v>46076.0</v>
      </c>
      <c r="B17" s="60" t="s">
        <v>18</v>
      </c>
      <c r="C17" s="60" t="str">
        <f>VLOOKUP(B17,BASE_VEICULOS!A:B,2,0)</f>
        <v>TEW9A29</v>
      </c>
      <c r="D17" s="61" t="s">
        <v>50</v>
      </c>
      <c r="E17" s="57" t="s">
        <v>102</v>
      </c>
      <c r="F17" s="58">
        <v>30.6</v>
      </c>
    </row>
    <row r="18" ht="22.5" customHeight="1">
      <c r="A18" s="59">
        <v>46076.0</v>
      </c>
      <c r="B18" s="60" t="s">
        <v>18</v>
      </c>
      <c r="C18" s="60" t="str">
        <f>VLOOKUP(B18,BASE_VEICULOS!A:B,2,0)</f>
        <v>TEW9A29</v>
      </c>
      <c r="D18" s="61" t="s">
        <v>50</v>
      </c>
      <c r="E18" s="57" t="s">
        <v>101</v>
      </c>
      <c r="F18" s="58">
        <v>6.2</v>
      </c>
    </row>
    <row r="19" ht="22.5" customHeight="1">
      <c r="A19" s="59">
        <v>46076.0</v>
      </c>
      <c r="B19" s="60" t="s">
        <v>18</v>
      </c>
      <c r="C19" s="60" t="str">
        <f>VLOOKUP(B19,BASE_VEICULOS!A:B,2,0)</f>
        <v>TEW9A29</v>
      </c>
      <c r="D19" s="61" t="s">
        <v>50</v>
      </c>
      <c r="E19" s="57" t="s">
        <v>104</v>
      </c>
      <c r="F19" s="58">
        <v>3.8</v>
      </c>
    </row>
    <row r="20" ht="22.5" customHeight="1">
      <c r="A20" s="59">
        <v>46076.0</v>
      </c>
      <c r="B20" s="60" t="s">
        <v>10</v>
      </c>
      <c r="C20" s="60" t="str">
        <f>VLOOKUP(B20,BASE_VEICULOS!A:B,2,0)</f>
        <v>TEW9A25</v>
      </c>
      <c r="D20" s="61" t="s">
        <v>50</v>
      </c>
      <c r="E20" s="57" t="s">
        <v>104</v>
      </c>
      <c r="F20" s="58">
        <v>3.8</v>
      </c>
    </row>
    <row r="21" ht="22.5" customHeight="1">
      <c r="A21" s="59">
        <v>46077.0</v>
      </c>
      <c r="B21" s="60" t="s">
        <v>16</v>
      </c>
      <c r="C21" s="60" t="str">
        <f>VLOOKUP(B21,BASE_VEICULOS!A:B,2,0)</f>
        <v>TEW9A27</v>
      </c>
      <c r="D21" s="61" t="s">
        <v>50</v>
      </c>
      <c r="E21" s="57" t="s">
        <v>103</v>
      </c>
      <c r="F21" s="58">
        <v>7.5</v>
      </c>
    </row>
    <row r="22" ht="22.5" customHeight="1">
      <c r="A22" s="59">
        <v>46077.0</v>
      </c>
      <c r="B22" s="60" t="s">
        <v>16</v>
      </c>
      <c r="C22" s="60" t="str">
        <f>VLOOKUP(B22,BASE_VEICULOS!A:B,2,0)</f>
        <v>TEW9A27</v>
      </c>
      <c r="D22" s="61" t="s">
        <v>50</v>
      </c>
      <c r="E22" s="57" t="s">
        <v>103</v>
      </c>
      <c r="F22" s="58">
        <v>7.5</v>
      </c>
    </row>
    <row r="23" ht="22.5" customHeight="1">
      <c r="A23" s="59">
        <v>46077.0</v>
      </c>
      <c r="B23" s="60" t="s">
        <v>16</v>
      </c>
      <c r="C23" s="60" t="str">
        <f>VLOOKUP(B23,BASE_VEICULOS!A:B,2,0)</f>
        <v>TEW9A27</v>
      </c>
      <c r="D23" s="61" t="s">
        <v>50</v>
      </c>
      <c r="E23" s="57" t="s">
        <v>103</v>
      </c>
      <c r="F23" s="58">
        <v>7.5</v>
      </c>
    </row>
    <row r="24" ht="22.5" customHeight="1">
      <c r="A24" s="59">
        <v>46077.0</v>
      </c>
      <c r="B24" s="60" t="s">
        <v>16</v>
      </c>
      <c r="C24" s="60" t="str">
        <f>VLOOKUP(B24,BASE_VEICULOS!A:B,2,0)</f>
        <v>TEW9A27</v>
      </c>
      <c r="D24" s="61" t="s">
        <v>50</v>
      </c>
      <c r="E24" s="57" t="s">
        <v>102</v>
      </c>
      <c r="F24" s="58">
        <v>18.4</v>
      </c>
    </row>
    <row r="25" ht="22.5" customHeight="1">
      <c r="A25" s="59">
        <v>46077.0</v>
      </c>
      <c r="B25" s="60" t="s">
        <v>10</v>
      </c>
      <c r="C25" s="60" t="str">
        <f>VLOOKUP(B25,BASE_VEICULOS!A:B,2,0)</f>
        <v>TEW9A25</v>
      </c>
      <c r="D25" s="61" t="s">
        <v>51</v>
      </c>
      <c r="E25" s="57" t="s">
        <v>105</v>
      </c>
      <c r="F25" s="58">
        <v>27.5</v>
      </c>
    </row>
    <row r="26" ht="22.5" customHeight="1">
      <c r="A26" s="59">
        <v>46077.0</v>
      </c>
      <c r="B26" s="60" t="s">
        <v>10</v>
      </c>
      <c r="C26" s="60" t="str">
        <f>VLOOKUP(B26,BASE_VEICULOS!A:B,2,0)</f>
        <v>TEW9A25</v>
      </c>
      <c r="D26" s="61" t="s">
        <v>50</v>
      </c>
      <c r="E26" s="57" t="s">
        <v>106</v>
      </c>
      <c r="F26" s="58">
        <v>8.95</v>
      </c>
    </row>
    <row r="27" ht="22.5" customHeight="1">
      <c r="A27" s="59">
        <v>46077.0</v>
      </c>
      <c r="B27" s="60" t="s">
        <v>10</v>
      </c>
      <c r="C27" s="60" t="str">
        <f>VLOOKUP(B27,BASE_VEICULOS!A:B,2,0)</f>
        <v>TEW9A25</v>
      </c>
      <c r="D27" s="61" t="s">
        <v>50</v>
      </c>
      <c r="E27" s="57" t="s">
        <v>106</v>
      </c>
      <c r="F27" s="58">
        <v>8.95</v>
      </c>
    </row>
    <row r="28" ht="22.5" customHeight="1">
      <c r="A28" s="59">
        <v>46077.0</v>
      </c>
      <c r="B28" s="60" t="s">
        <v>27</v>
      </c>
      <c r="C28" s="60" t="str">
        <f>VLOOKUP(B28,BASE_VEICULOS!A:B,2,0)</f>
        <v>UDA5B37</v>
      </c>
      <c r="D28" s="61" t="s">
        <v>50</v>
      </c>
      <c r="E28" s="57" t="s">
        <v>101</v>
      </c>
      <c r="F28" s="58">
        <v>6.2</v>
      </c>
    </row>
    <row r="29" ht="22.5" customHeight="1">
      <c r="A29" s="59">
        <v>46077.0</v>
      </c>
      <c r="B29" s="60" t="s">
        <v>24</v>
      </c>
      <c r="C29" s="60" t="str">
        <f>VLOOKUP(B29,BASE_VEICULOS!A:B,2,0)</f>
        <v>TEW9A23</v>
      </c>
      <c r="D29" s="61" t="s">
        <v>50</v>
      </c>
      <c r="E29" s="57" t="s">
        <v>101</v>
      </c>
      <c r="F29" s="58">
        <v>6.2</v>
      </c>
    </row>
    <row r="30" ht="22.5" customHeight="1">
      <c r="A30" s="59">
        <v>46077.0</v>
      </c>
      <c r="B30" s="60" t="s">
        <v>23</v>
      </c>
      <c r="C30" s="60" t="str">
        <f>VLOOKUP(B30,BASE_VEICULOS!A:B,2,0)</f>
        <v>TEH3I02</v>
      </c>
      <c r="D30" s="61" t="s">
        <v>50</v>
      </c>
      <c r="E30" s="57" t="s">
        <v>101</v>
      </c>
      <c r="F30" s="58">
        <v>6.2</v>
      </c>
    </row>
    <row r="31" ht="22.5" customHeight="1">
      <c r="A31" s="59">
        <v>46077.0</v>
      </c>
      <c r="B31" s="60" t="s">
        <v>22</v>
      </c>
      <c r="C31" s="60" t="str">
        <f>VLOOKUP(B31,BASE_VEICULOS!A:B,2,0)</f>
        <v>TET5H37</v>
      </c>
      <c r="D31" s="61" t="s">
        <v>51</v>
      </c>
      <c r="E31" s="57" t="s">
        <v>107</v>
      </c>
      <c r="F31" s="58">
        <v>17.5</v>
      </c>
    </row>
    <row r="32" ht="22.5" customHeight="1">
      <c r="A32" s="59">
        <v>46077.0</v>
      </c>
      <c r="B32" s="60" t="s">
        <v>26</v>
      </c>
      <c r="C32" s="60" t="str">
        <f>VLOOKUP(B32,BASE_VEICULOS!A:B,2,0)</f>
        <v>#N/A</v>
      </c>
      <c r="D32" s="61" t="s">
        <v>51</v>
      </c>
      <c r="E32" s="57" t="s">
        <v>108</v>
      </c>
      <c r="F32" s="58">
        <v>15.0</v>
      </c>
    </row>
    <row r="33" ht="22.5" customHeight="1">
      <c r="A33" s="59">
        <v>46077.0</v>
      </c>
      <c r="B33" s="60" t="s">
        <v>26</v>
      </c>
      <c r="C33" s="60" t="str">
        <f>VLOOKUP(B33,BASE_VEICULOS!A:B,2,0)</f>
        <v>#N/A</v>
      </c>
      <c r="D33" s="61" t="s">
        <v>50</v>
      </c>
      <c r="E33" s="57" t="s">
        <v>104</v>
      </c>
      <c r="F33" s="58">
        <v>3.8</v>
      </c>
    </row>
    <row r="34" ht="22.5" customHeight="1">
      <c r="A34" s="59">
        <v>46077.0</v>
      </c>
      <c r="B34" s="60" t="s">
        <v>15</v>
      </c>
      <c r="C34" s="60" t="str">
        <f>VLOOKUP(B34,BASE_VEICULOS!A:B,2,0)</f>
        <v>EWH1B84</v>
      </c>
      <c r="D34" s="61" t="s">
        <v>50</v>
      </c>
      <c r="E34" s="57" t="s">
        <v>101</v>
      </c>
      <c r="F34" s="58">
        <v>6.2</v>
      </c>
    </row>
    <row r="35" ht="22.5" customHeight="1">
      <c r="A35" s="59">
        <v>46077.0</v>
      </c>
      <c r="B35" s="60" t="s">
        <v>11</v>
      </c>
      <c r="C35" s="60" t="str">
        <f>VLOOKUP(B35,BASE_VEICULOS!A:B,2,0)</f>
        <v>TEW9A28</v>
      </c>
      <c r="D35" s="61" t="s">
        <v>50</v>
      </c>
      <c r="E35" s="57" t="s">
        <v>101</v>
      </c>
      <c r="F35" s="58">
        <v>6.2</v>
      </c>
    </row>
    <row r="36" ht="22.5" customHeight="1">
      <c r="A36" s="59">
        <v>46078.0</v>
      </c>
      <c r="B36" s="60" t="s">
        <v>13</v>
      </c>
      <c r="C36" s="60" t="str">
        <f>VLOOKUP(B36,BASE_VEICULOS!A:B,2,0)</f>
        <v>FGO3C61</v>
      </c>
      <c r="D36" s="61" t="s">
        <v>50</v>
      </c>
      <c r="E36" s="57" t="s">
        <v>104</v>
      </c>
      <c r="F36" s="58">
        <v>3.8</v>
      </c>
    </row>
    <row r="37" ht="22.5" customHeight="1">
      <c r="A37" s="59">
        <v>46078.0</v>
      </c>
      <c r="B37" s="60" t="s">
        <v>13</v>
      </c>
      <c r="C37" s="60" t="str">
        <f>VLOOKUP(B37,BASE_VEICULOS!A:B,2,0)</f>
        <v>FGO3C61</v>
      </c>
      <c r="D37" s="61" t="s">
        <v>50</v>
      </c>
      <c r="E37" s="57" t="s">
        <v>104</v>
      </c>
      <c r="F37" s="58">
        <v>3.8</v>
      </c>
    </row>
    <row r="38" ht="22.5" customHeight="1">
      <c r="A38" s="59">
        <v>46078.0</v>
      </c>
      <c r="B38" s="60" t="s">
        <v>16</v>
      </c>
      <c r="C38" s="60" t="str">
        <f>VLOOKUP(B38,BASE_VEICULOS!A:B,2,0)</f>
        <v>TEW9A27</v>
      </c>
      <c r="D38" s="61" t="s">
        <v>50</v>
      </c>
      <c r="E38" s="57" t="s">
        <v>101</v>
      </c>
      <c r="F38" s="58">
        <v>6.2</v>
      </c>
    </row>
    <row r="39" ht="22.5" customHeight="1">
      <c r="A39" s="59">
        <v>46078.0</v>
      </c>
      <c r="B39" s="60" t="s">
        <v>12</v>
      </c>
      <c r="C39" s="60" t="str">
        <f>VLOOKUP(B39,BASE_VEICULOS!A:B,2,0)</f>
        <v>FIL8C14</v>
      </c>
      <c r="D39" s="61" t="s">
        <v>50</v>
      </c>
      <c r="E39" s="57" t="s">
        <v>99</v>
      </c>
      <c r="F39" s="58">
        <v>18.34</v>
      </c>
    </row>
    <row r="40" ht="22.5" customHeight="1">
      <c r="A40" s="59">
        <v>46078.0</v>
      </c>
      <c r="B40" s="60" t="s">
        <v>12</v>
      </c>
      <c r="C40" s="60" t="str">
        <f>VLOOKUP(B40,BASE_VEICULOS!A:B,2,0)</f>
        <v>FIL8C14</v>
      </c>
      <c r="D40" s="61" t="s">
        <v>50</v>
      </c>
      <c r="E40" s="57" t="s">
        <v>99</v>
      </c>
      <c r="F40" s="58">
        <v>18.34</v>
      </c>
    </row>
    <row r="41" ht="22.5" customHeight="1">
      <c r="A41" s="59">
        <v>46078.0</v>
      </c>
      <c r="B41" s="60" t="s">
        <v>11</v>
      </c>
      <c r="C41" s="60" t="str">
        <f>VLOOKUP(B41,BASE_VEICULOS!A:B,2,0)</f>
        <v>TEW9A28</v>
      </c>
      <c r="D41" s="61" t="s">
        <v>50</v>
      </c>
      <c r="E41" s="57" t="s">
        <v>101</v>
      </c>
      <c r="F41" s="58">
        <v>6.2</v>
      </c>
    </row>
    <row r="42" ht="22.5" customHeight="1">
      <c r="A42" s="59">
        <v>46078.0</v>
      </c>
      <c r="B42" s="60" t="s">
        <v>29</v>
      </c>
      <c r="C42" s="60" t="str">
        <f>VLOOKUP(B42,BASE_VEICULOS!A:B,2,0)</f>
        <v>TEQ2I74</v>
      </c>
      <c r="D42" s="61" t="s">
        <v>50</v>
      </c>
      <c r="E42" s="57" t="s">
        <v>101</v>
      </c>
      <c r="F42" s="58">
        <v>6.2</v>
      </c>
    </row>
    <row r="43" ht="22.5" customHeight="1">
      <c r="A43" s="59">
        <v>46078.0</v>
      </c>
      <c r="B43" s="60" t="s">
        <v>29</v>
      </c>
      <c r="C43" s="60" t="str">
        <f>VLOOKUP(B43,BASE_VEICULOS!A:B,2,0)</f>
        <v>TEQ2I74</v>
      </c>
      <c r="D43" s="61" t="s">
        <v>50</v>
      </c>
      <c r="E43" s="57" t="s">
        <v>103</v>
      </c>
      <c r="F43" s="58">
        <v>7.5</v>
      </c>
    </row>
    <row r="44" ht="22.5" customHeight="1">
      <c r="A44" s="59">
        <v>46078.0</v>
      </c>
      <c r="B44" s="60" t="s">
        <v>17</v>
      </c>
      <c r="C44" s="60" t="str">
        <f>VLOOKUP(B44,BASE_VEICULOS!A:B,2,0)</f>
        <v>#N/A</v>
      </c>
      <c r="D44" s="61" t="s">
        <v>50</v>
      </c>
      <c r="E44" s="57" t="s">
        <v>99</v>
      </c>
      <c r="F44" s="58">
        <v>11.79</v>
      </c>
    </row>
    <row r="45" ht="22.5" customHeight="1">
      <c r="A45" s="59">
        <v>46078.0</v>
      </c>
      <c r="B45" s="60" t="s">
        <v>17</v>
      </c>
      <c r="C45" s="60" t="str">
        <f>VLOOKUP(B45,BASE_VEICULOS!A:B,2,0)</f>
        <v>#N/A</v>
      </c>
      <c r="D45" s="61" t="s">
        <v>50</v>
      </c>
      <c r="E45" s="57" t="s">
        <v>99</v>
      </c>
      <c r="F45" s="58">
        <v>11.79</v>
      </c>
    </row>
    <row r="46" ht="22.5" customHeight="1">
      <c r="A46" s="59">
        <v>46078.0</v>
      </c>
      <c r="B46" s="60" t="s">
        <v>24</v>
      </c>
      <c r="C46" s="60" t="str">
        <f>VLOOKUP(B46,BASE_VEICULOS!A:B,2,0)</f>
        <v>TEW9A23</v>
      </c>
      <c r="D46" s="61" t="s">
        <v>50</v>
      </c>
      <c r="E46" s="57" t="s">
        <v>103</v>
      </c>
      <c r="F46" s="58">
        <v>7.5</v>
      </c>
    </row>
    <row r="47" ht="22.5" customHeight="1">
      <c r="A47" s="59">
        <v>46078.0</v>
      </c>
      <c r="B47" s="60" t="s">
        <v>24</v>
      </c>
      <c r="C47" s="60" t="str">
        <f>VLOOKUP(B47,BASE_VEICULOS!A:B,2,0)</f>
        <v>TEW9A23</v>
      </c>
      <c r="D47" s="61" t="s">
        <v>50</v>
      </c>
      <c r="E47" s="57" t="s">
        <v>101</v>
      </c>
      <c r="F47" s="58">
        <v>6.2</v>
      </c>
    </row>
    <row r="48" ht="22.5" customHeight="1">
      <c r="A48" s="59">
        <v>46078.0</v>
      </c>
      <c r="B48" s="60" t="s">
        <v>10</v>
      </c>
      <c r="C48" s="60" t="str">
        <f>VLOOKUP(B48,BASE_VEICULOS!A:B,2,0)</f>
        <v>TEW9A25</v>
      </c>
      <c r="D48" s="61" t="s">
        <v>51</v>
      </c>
      <c r="E48" s="57" t="s">
        <v>109</v>
      </c>
      <c r="F48" s="58">
        <v>17.5</v>
      </c>
    </row>
    <row r="49" ht="22.5" customHeight="1">
      <c r="A49" s="59">
        <v>46078.0</v>
      </c>
      <c r="B49" s="60" t="s">
        <v>23</v>
      </c>
      <c r="C49" s="60" t="str">
        <f>VLOOKUP(B49,BASE_VEICULOS!A:B,2,0)</f>
        <v>TEH3I02</v>
      </c>
      <c r="D49" s="61" t="s">
        <v>50</v>
      </c>
      <c r="E49" s="57" t="s">
        <v>101</v>
      </c>
      <c r="F49" s="58">
        <v>6.2</v>
      </c>
    </row>
    <row r="50" ht="22.5" customHeight="1">
      <c r="A50" s="59">
        <v>46078.0</v>
      </c>
      <c r="B50" s="60" t="s">
        <v>21</v>
      </c>
      <c r="C50" s="60" t="str">
        <f>VLOOKUP(B50,BASE_VEICULOS!A:B,2,0)</f>
        <v>TEW9A33</v>
      </c>
      <c r="D50" s="61" t="s">
        <v>50</v>
      </c>
      <c r="E50" s="57" t="s">
        <v>101</v>
      </c>
      <c r="F50" s="58">
        <v>6.2</v>
      </c>
    </row>
    <row r="51" ht="22.5" customHeight="1">
      <c r="A51" s="59">
        <v>46078.0</v>
      </c>
      <c r="B51" s="60" t="s">
        <v>22</v>
      </c>
      <c r="C51" s="60" t="str">
        <f>VLOOKUP(B51,BASE_VEICULOS!A:B,2,0)</f>
        <v>TET5H37</v>
      </c>
      <c r="D51" s="61" t="s">
        <v>50</v>
      </c>
      <c r="E51" s="57" t="s">
        <v>104</v>
      </c>
      <c r="F51" s="58">
        <v>3.8</v>
      </c>
    </row>
    <row r="52" ht="22.5" customHeight="1">
      <c r="A52" s="59">
        <v>46079.0</v>
      </c>
      <c r="B52" s="60" t="s">
        <v>22</v>
      </c>
      <c r="C52" s="60" t="str">
        <f>VLOOKUP(B52,BASE_VEICULOS!A:B,2,0)</f>
        <v>TET5H37</v>
      </c>
      <c r="D52" s="61" t="s">
        <v>50</v>
      </c>
      <c r="E52" s="57" t="s">
        <v>99</v>
      </c>
      <c r="F52" s="58">
        <v>18.34</v>
      </c>
    </row>
    <row r="53" ht="22.5" customHeight="1">
      <c r="A53" s="59">
        <v>46079.0</v>
      </c>
      <c r="B53" s="60" t="s">
        <v>22</v>
      </c>
      <c r="C53" s="60" t="str">
        <f>VLOOKUP(B53,BASE_VEICULOS!A:B,2,0)</f>
        <v>TET5H37</v>
      </c>
      <c r="D53" s="61" t="s">
        <v>50</v>
      </c>
      <c r="E53" s="57" t="s">
        <v>99</v>
      </c>
      <c r="F53" s="58">
        <v>18.34</v>
      </c>
    </row>
    <row r="54" ht="22.5" customHeight="1">
      <c r="A54" s="59">
        <v>46079.0</v>
      </c>
      <c r="B54" s="60" t="s">
        <v>22</v>
      </c>
      <c r="C54" s="60" t="str">
        <f>VLOOKUP(B54,BASE_VEICULOS!A:B,2,0)</f>
        <v>TET5H37</v>
      </c>
      <c r="D54" s="61" t="s">
        <v>50</v>
      </c>
      <c r="E54" s="57" t="s">
        <v>101</v>
      </c>
      <c r="F54" s="58">
        <v>6.2</v>
      </c>
    </row>
    <row r="55" ht="22.5" customHeight="1">
      <c r="A55" s="59">
        <v>46079.0</v>
      </c>
      <c r="B55" s="60" t="s">
        <v>16</v>
      </c>
      <c r="C55" s="60" t="str">
        <f>VLOOKUP(B55,BASE_VEICULOS!A:B,2,0)</f>
        <v>TEW9A27</v>
      </c>
      <c r="D55" s="61" t="s">
        <v>50</v>
      </c>
      <c r="E55" s="57" t="s">
        <v>103</v>
      </c>
      <c r="F55" s="58">
        <v>7.5</v>
      </c>
    </row>
    <row r="56" ht="22.5" customHeight="1">
      <c r="A56" s="59">
        <v>46079.0</v>
      </c>
      <c r="B56" s="60" t="s">
        <v>16</v>
      </c>
      <c r="C56" s="60" t="str">
        <f>VLOOKUP(B56,BASE_VEICULOS!A:B,2,0)</f>
        <v>TEW9A27</v>
      </c>
      <c r="D56" s="61" t="s">
        <v>50</v>
      </c>
      <c r="E56" s="62" t="s">
        <v>102</v>
      </c>
      <c r="F56" s="58">
        <v>18.4</v>
      </c>
    </row>
    <row r="57" ht="22.5" customHeight="1">
      <c r="A57" s="59">
        <v>46079.0</v>
      </c>
      <c r="B57" s="60" t="s">
        <v>16</v>
      </c>
      <c r="C57" s="60" t="str">
        <f>VLOOKUP(B57,BASE_VEICULOS!A:B,2,0)</f>
        <v>TEW9A27</v>
      </c>
      <c r="D57" s="61" t="s">
        <v>50</v>
      </c>
      <c r="E57" s="62" t="s">
        <v>102</v>
      </c>
      <c r="F57" s="58">
        <v>18.4</v>
      </c>
    </row>
    <row r="58" ht="22.5" customHeight="1">
      <c r="A58" s="59">
        <v>46079.0</v>
      </c>
      <c r="B58" s="60" t="s">
        <v>27</v>
      </c>
      <c r="C58" s="60" t="str">
        <f>VLOOKUP(B58,BASE_VEICULOS!A:B,2,0)</f>
        <v>UDA5B37</v>
      </c>
      <c r="D58" s="61" t="s">
        <v>50</v>
      </c>
      <c r="E58" s="57" t="s">
        <v>101</v>
      </c>
      <c r="F58" s="58">
        <v>6.2</v>
      </c>
    </row>
    <row r="59" ht="22.5" customHeight="1">
      <c r="A59" s="59">
        <v>46079.0</v>
      </c>
      <c r="B59" s="60" t="s">
        <v>27</v>
      </c>
      <c r="C59" s="60" t="str">
        <f>VLOOKUP(B59,BASE_VEICULOS!A:B,2,0)</f>
        <v>UDA5B37</v>
      </c>
      <c r="D59" s="61" t="s">
        <v>50</v>
      </c>
      <c r="E59" s="57" t="s">
        <v>101</v>
      </c>
      <c r="F59" s="58">
        <v>6.2</v>
      </c>
    </row>
    <row r="60" ht="22.5" customHeight="1">
      <c r="A60" s="59">
        <v>46079.0</v>
      </c>
      <c r="B60" s="60" t="s">
        <v>24</v>
      </c>
      <c r="C60" s="60" t="str">
        <f>VLOOKUP(B60,BASE_VEICULOS!A:B,2,0)</f>
        <v>TEW9A23</v>
      </c>
      <c r="D60" s="61" t="s">
        <v>50</v>
      </c>
      <c r="E60" s="57" t="s">
        <v>101</v>
      </c>
      <c r="F60" s="58">
        <v>6.2</v>
      </c>
    </row>
    <row r="61" ht="22.5" customHeight="1">
      <c r="A61" s="59">
        <v>46079.0</v>
      </c>
      <c r="B61" s="60" t="s">
        <v>23</v>
      </c>
      <c r="C61" s="60" t="str">
        <f>VLOOKUP(B61,BASE_VEICULOS!A:B,2,0)</f>
        <v>TEH3I02</v>
      </c>
      <c r="D61" s="61" t="s">
        <v>50</v>
      </c>
      <c r="E61" s="57" t="s">
        <v>99</v>
      </c>
      <c r="F61" s="58">
        <v>9.98</v>
      </c>
    </row>
    <row r="62" ht="22.5" customHeight="1">
      <c r="A62" s="59">
        <v>46079.0</v>
      </c>
      <c r="B62" s="60" t="s">
        <v>23</v>
      </c>
      <c r="C62" s="60" t="str">
        <f>VLOOKUP(B62,BASE_VEICULOS!A:B,2,0)</f>
        <v>TEH3I02</v>
      </c>
      <c r="D62" s="61" t="s">
        <v>50</v>
      </c>
      <c r="E62" s="62" t="s">
        <v>110</v>
      </c>
      <c r="F62" s="58">
        <v>4.56</v>
      </c>
    </row>
    <row r="63" ht="22.5" customHeight="1">
      <c r="A63" s="59">
        <v>46079.0</v>
      </c>
      <c r="B63" s="60" t="s">
        <v>23</v>
      </c>
      <c r="C63" s="60" t="str">
        <f>VLOOKUP(B63,BASE_VEICULOS!A:B,2,0)</f>
        <v>TEH3I02</v>
      </c>
      <c r="D63" s="61" t="s">
        <v>50</v>
      </c>
      <c r="E63" s="62" t="s">
        <v>110</v>
      </c>
      <c r="F63" s="58">
        <v>4.56</v>
      </c>
    </row>
    <row r="64" ht="22.5" customHeight="1">
      <c r="A64" s="59">
        <v>46079.0</v>
      </c>
      <c r="B64" s="60" t="s">
        <v>23</v>
      </c>
      <c r="C64" s="60" t="str">
        <f>VLOOKUP(B64,BASE_VEICULOS!A:B,2,0)</f>
        <v>TEH3I02</v>
      </c>
      <c r="D64" s="61" t="s">
        <v>51</v>
      </c>
      <c r="E64" s="62" t="s">
        <v>110</v>
      </c>
      <c r="F64" s="58">
        <v>4.56</v>
      </c>
    </row>
    <row r="65" ht="22.5" customHeight="1">
      <c r="A65" s="59">
        <v>46079.0</v>
      </c>
      <c r="B65" s="60" t="s">
        <v>23</v>
      </c>
      <c r="C65" s="60" t="str">
        <f>VLOOKUP(B65,BASE_VEICULOS!A:B,2,0)</f>
        <v>TEH3I02</v>
      </c>
      <c r="D65" s="61" t="s">
        <v>50</v>
      </c>
      <c r="E65" s="62" t="s">
        <v>110</v>
      </c>
      <c r="F65" s="58">
        <v>4.56</v>
      </c>
    </row>
    <row r="66" ht="22.5" customHeight="1">
      <c r="A66" s="59">
        <v>46079.0</v>
      </c>
      <c r="B66" s="60" t="s">
        <v>23</v>
      </c>
      <c r="C66" s="60" t="str">
        <f>VLOOKUP(B66,BASE_VEICULOS!A:B,2,0)</f>
        <v>TEH3I02</v>
      </c>
      <c r="D66" s="61" t="s">
        <v>50</v>
      </c>
      <c r="E66" s="57" t="s">
        <v>99</v>
      </c>
      <c r="F66" s="58">
        <v>9.98</v>
      </c>
    </row>
    <row r="67" ht="22.5" customHeight="1">
      <c r="A67" s="59">
        <v>46079.0</v>
      </c>
      <c r="B67" s="60" t="s">
        <v>19</v>
      </c>
      <c r="C67" s="60" t="str">
        <f>VLOOKUP(B67,BASE_VEICULOS!A:B,2,0)</f>
        <v>TEW9A24</v>
      </c>
      <c r="D67" s="61" t="s">
        <v>50</v>
      </c>
      <c r="E67" s="57" t="s">
        <v>103</v>
      </c>
      <c r="F67" s="58">
        <v>7.5</v>
      </c>
    </row>
    <row r="68" ht="22.5" customHeight="1">
      <c r="A68" s="59">
        <v>46079.0</v>
      </c>
      <c r="B68" s="60" t="s">
        <v>19</v>
      </c>
      <c r="C68" s="60" t="str">
        <f>VLOOKUP(B68,BASE_VEICULOS!A:B,2,0)</f>
        <v>TEW9A24</v>
      </c>
      <c r="D68" s="61" t="s">
        <v>50</v>
      </c>
      <c r="E68" s="57" t="s">
        <v>103</v>
      </c>
      <c r="F68" s="58">
        <v>7.5</v>
      </c>
    </row>
    <row r="69" ht="22.5" customHeight="1">
      <c r="A69" s="59">
        <v>46079.0</v>
      </c>
      <c r="B69" s="60" t="s">
        <v>15</v>
      </c>
      <c r="C69" s="60" t="str">
        <f>VLOOKUP(B69,BASE_VEICULOS!A:B,2,0)</f>
        <v>EWH1B84</v>
      </c>
      <c r="D69" s="61" t="s">
        <v>50</v>
      </c>
      <c r="E69" s="57" t="s">
        <v>103</v>
      </c>
      <c r="F69" s="58">
        <v>7.5</v>
      </c>
    </row>
    <row r="70" ht="22.5" customHeight="1">
      <c r="A70" s="59">
        <v>46079.0</v>
      </c>
      <c r="B70" s="60" t="s">
        <v>15</v>
      </c>
      <c r="C70" s="60" t="str">
        <f>VLOOKUP(B70,BASE_VEICULOS!A:B,2,0)</f>
        <v>EWH1B84</v>
      </c>
      <c r="D70" s="61" t="s">
        <v>50</v>
      </c>
      <c r="E70" s="57" t="s">
        <v>103</v>
      </c>
      <c r="F70" s="58">
        <v>7.5</v>
      </c>
    </row>
    <row r="71" ht="22.5" customHeight="1">
      <c r="A71" s="59">
        <v>46079.0</v>
      </c>
      <c r="B71" s="60" t="s">
        <v>15</v>
      </c>
      <c r="C71" s="60" t="str">
        <f>VLOOKUP(B71,BASE_VEICULOS!A:B,2,0)</f>
        <v>EWH1B84</v>
      </c>
      <c r="D71" s="61" t="s">
        <v>50</v>
      </c>
      <c r="E71" s="57" t="s">
        <v>101</v>
      </c>
      <c r="F71" s="58">
        <v>6.2</v>
      </c>
    </row>
    <row r="72" ht="22.5" customHeight="1">
      <c r="A72" s="59">
        <v>46079.0</v>
      </c>
      <c r="B72" s="60" t="s">
        <v>10</v>
      </c>
      <c r="C72" s="60" t="str">
        <f>VLOOKUP(B72,BASE_VEICULOS!A:B,2,0)</f>
        <v>TEW9A25</v>
      </c>
      <c r="D72" s="61" t="s">
        <v>51</v>
      </c>
      <c r="E72" s="62" t="s">
        <v>108</v>
      </c>
      <c r="F72" s="58">
        <v>15.0</v>
      </c>
    </row>
    <row r="73" ht="22.5" customHeight="1">
      <c r="A73" s="59">
        <v>46079.0</v>
      </c>
      <c r="B73" s="60" t="s">
        <v>13</v>
      </c>
      <c r="C73" s="60" t="str">
        <f>VLOOKUP(B73,BASE_VEICULOS!A:B,2,0)</f>
        <v>FGO3C61</v>
      </c>
      <c r="D73" s="61" t="s">
        <v>50</v>
      </c>
      <c r="E73" s="62" t="s">
        <v>106</v>
      </c>
      <c r="F73" s="58">
        <v>8.95</v>
      </c>
    </row>
    <row r="74" ht="22.5" customHeight="1">
      <c r="A74" s="59">
        <v>46080.0</v>
      </c>
      <c r="B74" s="60" t="s">
        <v>23</v>
      </c>
      <c r="C74" s="60" t="str">
        <f>VLOOKUP(B74,BASE_VEICULOS!A:B,2,0)</f>
        <v>TEH3I02</v>
      </c>
      <c r="D74" s="61" t="s">
        <v>50</v>
      </c>
      <c r="E74" s="57" t="s">
        <v>104</v>
      </c>
      <c r="F74" s="58">
        <v>3.8</v>
      </c>
    </row>
    <row r="75" ht="22.5" customHeight="1">
      <c r="A75" s="59">
        <v>46080.0</v>
      </c>
      <c r="B75" s="60" t="s">
        <v>23</v>
      </c>
      <c r="C75" s="60" t="str">
        <f>VLOOKUP(B75,BASE_VEICULOS!A:B,2,0)</f>
        <v>TEH3I02</v>
      </c>
      <c r="D75" s="61" t="s">
        <v>50</v>
      </c>
      <c r="E75" s="57" t="s">
        <v>104</v>
      </c>
      <c r="F75" s="58">
        <v>3.8</v>
      </c>
    </row>
    <row r="76" ht="22.5" customHeight="1">
      <c r="A76" s="59">
        <v>46080.0</v>
      </c>
      <c r="B76" s="60" t="s">
        <v>19</v>
      </c>
      <c r="C76" s="60" t="str">
        <f>VLOOKUP(B76,BASE_VEICULOS!A:B,2,0)</f>
        <v>TEW9A24</v>
      </c>
      <c r="D76" s="61" t="s">
        <v>50</v>
      </c>
      <c r="E76" s="57" t="s">
        <v>103</v>
      </c>
      <c r="F76" s="58">
        <v>7.5</v>
      </c>
    </row>
    <row r="77" ht="22.5" customHeight="1">
      <c r="A77" s="59">
        <v>46080.0</v>
      </c>
      <c r="B77" s="60" t="s">
        <v>19</v>
      </c>
      <c r="C77" s="60" t="str">
        <f>VLOOKUP(B77,BASE_VEICULOS!A:B,2,0)</f>
        <v>TEW9A24</v>
      </c>
      <c r="D77" s="61" t="s">
        <v>50</v>
      </c>
      <c r="E77" s="57" t="s">
        <v>103</v>
      </c>
      <c r="F77" s="58">
        <v>7.5</v>
      </c>
    </row>
    <row r="78" ht="22.5" customHeight="1">
      <c r="A78" s="59">
        <v>46080.0</v>
      </c>
      <c r="B78" s="60" t="s">
        <v>19</v>
      </c>
      <c r="C78" s="60" t="str">
        <f>VLOOKUP(B78,BASE_VEICULOS!A:B,2,0)</f>
        <v>TEW9A24</v>
      </c>
      <c r="D78" s="61" t="s">
        <v>50</v>
      </c>
      <c r="E78" s="57" t="s">
        <v>103</v>
      </c>
      <c r="F78" s="58">
        <v>7.5</v>
      </c>
    </row>
    <row r="79" ht="22.5" customHeight="1">
      <c r="A79" s="59">
        <v>46080.0</v>
      </c>
      <c r="B79" s="60" t="s">
        <v>19</v>
      </c>
      <c r="C79" s="60" t="str">
        <f>VLOOKUP(B79,BASE_VEICULOS!A:B,2,0)</f>
        <v>TEW9A24</v>
      </c>
      <c r="D79" s="61" t="s">
        <v>50</v>
      </c>
      <c r="E79" s="57" t="s">
        <v>101</v>
      </c>
      <c r="F79" s="58">
        <v>6.2</v>
      </c>
    </row>
    <row r="80" ht="22.5" customHeight="1">
      <c r="A80" s="59">
        <v>46080.0</v>
      </c>
      <c r="B80" s="60" t="s">
        <v>19</v>
      </c>
      <c r="C80" s="60" t="str">
        <f>VLOOKUP(B80,BASE_VEICULOS!A:B,2,0)</f>
        <v>TEW9A24</v>
      </c>
      <c r="D80" s="61" t="s">
        <v>50</v>
      </c>
      <c r="E80" s="57" t="s">
        <v>103</v>
      </c>
      <c r="F80" s="58">
        <v>7.5</v>
      </c>
    </row>
    <row r="81" ht="22.5" customHeight="1">
      <c r="A81" s="63">
        <v>46080.0</v>
      </c>
      <c r="B81" s="60" t="s">
        <v>19</v>
      </c>
      <c r="C81" s="60" t="str">
        <f>VLOOKUP(B81,BASE_VEICULOS!A:B,2,0)</f>
        <v>TEW9A24</v>
      </c>
      <c r="D81" s="64" t="s">
        <v>50</v>
      </c>
      <c r="E81" s="65" t="s">
        <v>103</v>
      </c>
      <c r="F81" s="66">
        <v>7.5</v>
      </c>
    </row>
    <row r="82" ht="22.5" customHeight="1">
      <c r="A82" s="63">
        <v>46080.0</v>
      </c>
      <c r="B82" s="60" t="s">
        <v>19</v>
      </c>
      <c r="C82" s="60" t="str">
        <f>VLOOKUP(B82,BASE_VEICULOS!A:B,2,0)</f>
        <v>TEW9A24</v>
      </c>
      <c r="D82" s="64" t="s">
        <v>50</v>
      </c>
      <c r="E82" s="65" t="s">
        <v>103</v>
      </c>
      <c r="F82" s="66">
        <v>7.5</v>
      </c>
    </row>
    <row r="83" ht="22.5" customHeight="1">
      <c r="A83" s="63">
        <v>46080.0</v>
      </c>
      <c r="B83" s="60" t="s">
        <v>19</v>
      </c>
      <c r="C83" s="60" t="str">
        <f>VLOOKUP(B83,BASE_VEICULOS!A:B,2,0)</f>
        <v>TEW9A24</v>
      </c>
      <c r="D83" s="64" t="s">
        <v>50</v>
      </c>
      <c r="E83" s="65" t="s">
        <v>103</v>
      </c>
      <c r="F83" s="66">
        <v>7.5</v>
      </c>
    </row>
    <row r="84" ht="22.5" customHeight="1">
      <c r="A84" s="63">
        <v>46080.0</v>
      </c>
      <c r="B84" s="60" t="s">
        <v>16</v>
      </c>
      <c r="C84" s="60" t="str">
        <f>VLOOKUP(B84,BASE_VEICULOS!A:B,2,0)</f>
        <v>TEW9A27</v>
      </c>
      <c r="D84" s="64" t="s">
        <v>50</v>
      </c>
      <c r="E84" s="65" t="s">
        <v>103</v>
      </c>
      <c r="F84" s="66">
        <v>7.5</v>
      </c>
    </row>
    <row r="85" ht="22.5" customHeight="1">
      <c r="A85" s="63">
        <v>46080.0</v>
      </c>
      <c r="B85" s="60" t="s">
        <v>16</v>
      </c>
      <c r="C85" s="60" t="str">
        <f>VLOOKUP(B85,BASE_VEICULOS!A:B,2,0)</f>
        <v>TEW9A27</v>
      </c>
      <c r="D85" s="64" t="s">
        <v>50</v>
      </c>
      <c r="E85" s="65" t="s">
        <v>102</v>
      </c>
      <c r="F85" s="66">
        <v>30.6</v>
      </c>
    </row>
    <row r="86" ht="22.5" customHeight="1">
      <c r="A86" s="63">
        <v>46080.0</v>
      </c>
      <c r="B86" s="60" t="s">
        <v>16</v>
      </c>
      <c r="C86" s="60" t="str">
        <f>VLOOKUP(B86,BASE_VEICULOS!A:B,2,0)</f>
        <v>TEW9A27</v>
      </c>
      <c r="D86" s="64" t="s">
        <v>50</v>
      </c>
      <c r="E86" s="65" t="s">
        <v>102</v>
      </c>
      <c r="F86" s="66">
        <v>18.4</v>
      </c>
    </row>
    <row r="87" ht="22.5" customHeight="1">
      <c r="A87" s="63">
        <v>46080.0</v>
      </c>
      <c r="B87" s="60" t="s">
        <v>29</v>
      </c>
      <c r="C87" s="60" t="str">
        <f>VLOOKUP(B87,BASE_VEICULOS!A:B,2,0)</f>
        <v>TEQ2I74</v>
      </c>
      <c r="D87" s="64" t="s">
        <v>50</v>
      </c>
      <c r="E87" s="65" t="s">
        <v>101</v>
      </c>
      <c r="F87" s="66">
        <v>6.2</v>
      </c>
    </row>
    <row r="88" ht="22.5" customHeight="1">
      <c r="A88" s="63">
        <v>46080.0</v>
      </c>
      <c r="B88" s="60" t="s">
        <v>18</v>
      </c>
      <c r="C88" s="60" t="str">
        <f>VLOOKUP(B88,BASE_VEICULOS!A:B,2,0)</f>
        <v>TEW9A29</v>
      </c>
      <c r="D88" s="64" t="s">
        <v>50</v>
      </c>
      <c r="E88" s="65" t="s">
        <v>102</v>
      </c>
      <c r="F88" s="66">
        <v>30.6</v>
      </c>
    </row>
    <row r="89" ht="22.5" customHeight="1">
      <c r="A89" s="63">
        <v>46080.0</v>
      </c>
      <c r="B89" s="60" t="s">
        <v>18</v>
      </c>
      <c r="C89" s="60" t="str">
        <f>VLOOKUP(B89,BASE_VEICULOS!A:B,2,0)</f>
        <v>TEW9A29</v>
      </c>
      <c r="D89" s="64" t="s">
        <v>50</v>
      </c>
      <c r="E89" s="65" t="s">
        <v>103</v>
      </c>
      <c r="F89" s="66">
        <v>7.5</v>
      </c>
    </row>
    <row r="90" ht="22.5" customHeight="1">
      <c r="A90" s="63">
        <v>46080.0</v>
      </c>
      <c r="B90" s="60" t="s">
        <v>15</v>
      </c>
      <c r="C90" s="60" t="str">
        <f>VLOOKUP(B90,BASE_VEICULOS!A:B,2,0)</f>
        <v>EWH1B84</v>
      </c>
      <c r="D90" s="64" t="s">
        <v>50</v>
      </c>
      <c r="E90" s="65" t="s">
        <v>111</v>
      </c>
      <c r="F90" s="66">
        <v>19.95</v>
      </c>
    </row>
    <row r="91" ht="22.5" customHeight="1">
      <c r="A91" s="63">
        <v>46080.0</v>
      </c>
      <c r="B91" s="60" t="s">
        <v>15</v>
      </c>
      <c r="C91" s="60" t="str">
        <f>VLOOKUP(B91,BASE_VEICULOS!A:B,2,0)</f>
        <v>EWH1B84</v>
      </c>
      <c r="D91" s="64" t="s">
        <v>50</v>
      </c>
      <c r="E91" s="65" t="s">
        <v>111</v>
      </c>
      <c r="F91" s="66">
        <v>19.95</v>
      </c>
    </row>
    <row r="92" ht="22.5" customHeight="1">
      <c r="A92" s="63">
        <v>46080.0</v>
      </c>
      <c r="B92" s="60" t="s">
        <v>22</v>
      </c>
      <c r="C92" s="60" t="str">
        <f>VLOOKUP(B92,BASE_VEICULOS!A:B,2,0)</f>
        <v>TET5H37</v>
      </c>
      <c r="D92" s="64" t="s">
        <v>50</v>
      </c>
      <c r="E92" s="65" t="s">
        <v>106</v>
      </c>
      <c r="F92" s="66">
        <v>8.95</v>
      </c>
    </row>
    <row r="93" ht="22.5" customHeight="1">
      <c r="A93" s="63">
        <v>46080.0</v>
      </c>
      <c r="B93" s="60" t="s">
        <v>22</v>
      </c>
      <c r="C93" s="60" t="str">
        <f>VLOOKUP(B93,BASE_VEICULOS!A:B,2,0)</f>
        <v>TET5H37</v>
      </c>
      <c r="D93" s="64" t="s">
        <v>50</v>
      </c>
      <c r="E93" s="65" t="s">
        <v>106</v>
      </c>
      <c r="F93" s="66">
        <v>8.95</v>
      </c>
    </row>
    <row r="94" ht="22.5" customHeight="1">
      <c r="A94" s="63">
        <v>46080.0</v>
      </c>
      <c r="B94" s="60" t="s">
        <v>10</v>
      </c>
      <c r="C94" s="60" t="str">
        <f>VLOOKUP(B94,BASE_VEICULOS!A:B,2,0)</f>
        <v>TEW9A25</v>
      </c>
      <c r="D94" s="64" t="s">
        <v>50</v>
      </c>
      <c r="E94" s="65" t="s">
        <v>104</v>
      </c>
      <c r="F94" s="66">
        <v>3.8</v>
      </c>
    </row>
    <row r="95" ht="22.5" customHeight="1">
      <c r="A95" s="63">
        <v>46080.0</v>
      </c>
      <c r="B95" s="60" t="s">
        <v>24</v>
      </c>
      <c r="C95" s="60" t="str">
        <f>VLOOKUP(B95,BASE_VEICULOS!A:B,2,0)</f>
        <v>TEW9A23</v>
      </c>
      <c r="D95" s="64" t="s">
        <v>50</v>
      </c>
      <c r="E95" s="65" t="s">
        <v>101</v>
      </c>
      <c r="F95" s="66">
        <v>6.2</v>
      </c>
    </row>
    <row r="96" ht="22.5" customHeight="1">
      <c r="A96" s="63">
        <v>46081.0</v>
      </c>
      <c r="B96" s="60" t="s">
        <v>36</v>
      </c>
      <c r="C96" s="60" t="str">
        <f>VLOOKUP(B96,BASE_VEICULOS!A:B,2,0)</f>
        <v>#N/A</v>
      </c>
      <c r="D96" s="64" t="s">
        <v>50</v>
      </c>
      <c r="E96" s="65" t="s">
        <v>99</v>
      </c>
      <c r="F96" s="66">
        <v>17.04</v>
      </c>
    </row>
    <row r="97" ht="22.5" customHeight="1">
      <c r="A97" s="63">
        <v>46081.0</v>
      </c>
      <c r="B97" s="60" t="s">
        <v>36</v>
      </c>
      <c r="C97" s="60" t="str">
        <f>VLOOKUP(B97,BASE_VEICULOS!A:B,2,0)</f>
        <v>#N/A</v>
      </c>
      <c r="D97" s="64" t="s">
        <v>50</v>
      </c>
      <c r="E97" s="65" t="s">
        <v>99</v>
      </c>
      <c r="F97" s="66">
        <v>17.04</v>
      </c>
    </row>
    <row r="98" ht="22.5" customHeight="1">
      <c r="A98" s="63">
        <v>46081.0</v>
      </c>
      <c r="B98" s="60" t="s">
        <v>36</v>
      </c>
      <c r="C98" s="60" t="str">
        <f>VLOOKUP(B98,BASE_VEICULOS!A:B,2,0)</f>
        <v>#N/A</v>
      </c>
      <c r="D98" s="64" t="s">
        <v>50</v>
      </c>
      <c r="E98" s="65" t="s">
        <v>99</v>
      </c>
      <c r="F98" s="66">
        <v>18.34</v>
      </c>
    </row>
    <row r="99" ht="22.5" customHeight="1">
      <c r="A99" s="63">
        <v>46081.0</v>
      </c>
      <c r="B99" s="60" t="s">
        <v>36</v>
      </c>
      <c r="C99" s="60" t="str">
        <f>VLOOKUP(B99,BASE_VEICULOS!A:B,2,0)</f>
        <v>#N/A</v>
      </c>
      <c r="D99" s="64" t="s">
        <v>50</v>
      </c>
      <c r="E99" s="65" t="s">
        <v>99</v>
      </c>
      <c r="F99" s="66">
        <v>18.34</v>
      </c>
    </row>
    <row r="100" ht="22.5" customHeight="1">
      <c r="A100" s="63">
        <v>46081.0</v>
      </c>
      <c r="B100" s="60" t="s">
        <v>36</v>
      </c>
      <c r="C100" s="60" t="str">
        <f>VLOOKUP(B100,BASE_VEICULOS!A:B,2,0)</f>
        <v>#N/A</v>
      </c>
      <c r="D100" s="64" t="s">
        <v>50</v>
      </c>
      <c r="E100" s="65" t="s">
        <v>111</v>
      </c>
      <c r="F100" s="66">
        <v>19.95</v>
      </c>
    </row>
    <row r="101" ht="22.5" customHeight="1">
      <c r="A101" s="63">
        <v>46081.0</v>
      </c>
      <c r="B101" s="60" t="s">
        <v>16</v>
      </c>
      <c r="C101" s="60" t="str">
        <f>VLOOKUP(B101,BASE_VEICULOS!A:B,2,0)</f>
        <v>TEW9A27</v>
      </c>
      <c r="D101" s="64" t="s">
        <v>50</v>
      </c>
      <c r="E101" s="65" t="s">
        <v>111</v>
      </c>
      <c r="F101" s="66">
        <v>19.95</v>
      </c>
    </row>
    <row r="102" ht="22.5" customHeight="1">
      <c r="A102" s="63">
        <v>46081.0</v>
      </c>
      <c r="B102" s="60" t="s">
        <v>16</v>
      </c>
      <c r="C102" s="60" t="str">
        <f>VLOOKUP(B102,BASE_VEICULOS!A:B,2,0)</f>
        <v>TEW9A27</v>
      </c>
      <c r="D102" s="64" t="s">
        <v>50</v>
      </c>
      <c r="E102" s="65" t="s">
        <v>111</v>
      </c>
      <c r="F102" s="66">
        <v>19.95</v>
      </c>
    </row>
    <row r="103" ht="22.5" customHeight="1">
      <c r="A103" s="63">
        <v>46081.0</v>
      </c>
      <c r="B103" s="60" t="s">
        <v>16</v>
      </c>
      <c r="C103" s="60" t="str">
        <f>VLOOKUP(B103,BASE_VEICULOS!A:B,2,0)</f>
        <v>TEW9A27</v>
      </c>
      <c r="D103" s="64" t="s">
        <v>50</v>
      </c>
      <c r="E103" s="65" t="s">
        <v>99</v>
      </c>
      <c r="F103" s="66">
        <v>19.1</v>
      </c>
    </row>
    <row r="104" ht="22.5" customHeight="1">
      <c r="A104" s="63">
        <v>46081.0</v>
      </c>
      <c r="B104" s="60" t="s">
        <v>16</v>
      </c>
      <c r="C104" s="60" t="str">
        <f>VLOOKUP(B104,BASE_VEICULOS!A:B,2,0)</f>
        <v>TEW9A27</v>
      </c>
      <c r="D104" s="64" t="s">
        <v>50</v>
      </c>
      <c r="E104" s="65" t="s">
        <v>99</v>
      </c>
      <c r="F104" s="66">
        <v>19.1</v>
      </c>
    </row>
    <row r="105" ht="22.5" customHeight="1">
      <c r="A105" s="63">
        <v>46081.0</v>
      </c>
      <c r="B105" s="60" t="s">
        <v>23</v>
      </c>
      <c r="C105" s="60" t="str">
        <f>VLOOKUP(B105,BASE_VEICULOS!A:B,2,0)</f>
        <v>TEH3I02</v>
      </c>
      <c r="D105" s="64" t="s">
        <v>50</v>
      </c>
      <c r="E105" s="65" t="s">
        <v>104</v>
      </c>
      <c r="F105" s="66">
        <v>3.8</v>
      </c>
    </row>
    <row r="106" ht="22.5" customHeight="1">
      <c r="A106" s="63">
        <v>46081.0</v>
      </c>
      <c r="B106" s="60" t="s">
        <v>23</v>
      </c>
      <c r="C106" s="60" t="str">
        <f>VLOOKUP(B106,BASE_VEICULOS!A:B,2,0)</f>
        <v>TEH3I02</v>
      </c>
      <c r="D106" s="64" t="s">
        <v>50</v>
      </c>
      <c r="E106" s="65" t="s">
        <v>106</v>
      </c>
      <c r="F106" s="66">
        <v>8.95</v>
      </c>
    </row>
    <row r="107" ht="22.5" customHeight="1">
      <c r="A107" s="63">
        <v>46081.0</v>
      </c>
      <c r="B107" s="60" t="s">
        <v>27</v>
      </c>
      <c r="C107" s="60" t="str">
        <f>VLOOKUP(B107,BASE_VEICULOS!A:B,2,0)</f>
        <v>UDA5B37</v>
      </c>
      <c r="D107" s="64" t="s">
        <v>50</v>
      </c>
      <c r="E107" s="65" t="s">
        <v>99</v>
      </c>
      <c r="F107" s="66">
        <v>18.34</v>
      </c>
    </row>
    <row r="108" ht="22.5" customHeight="1">
      <c r="A108" s="63">
        <v>46082.0</v>
      </c>
      <c r="B108" s="60" t="s">
        <v>24</v>
      </c>
      <c r="C108" s="60" t="str">
        <f>VLOOKUP(B108,BASE_VEICULOS!A:B,2,0)</f>
        <v>TEW9A23</v>
      </c>
      <c r="D108" s="64" t="s">
        <v>50</v>
      </c>
      <c r="E108" s="65" t="s">
        <v>104</v>
      </c>
      <c r="F108" s="66">
        <v>3.8</v>
      </c>
    </row>
    <row r="109" ht="22.5" customHeight="1">
      <c r="A109" s="63">
        <v>46082.0</v>
      </c>
      <c r="B109" s="60" t="s">
        <v>36</v>
      </c>
      <c r="C109" s="60" t="str">
        <f>VLOOKUP(B109,BASE_VEICULOS!A:B,2,0)</f>
        <v>#N/A</v>
      </c>
      <c r="D109" s="64" t="s">
        <v>51</v>
      </c>
      <c r="E109" s="65" t="s">
        <v>112</v>
      </c>
      <c r="F109" s="66">
        <v>20.0</v>
      </c>
    </row>
    <row r="110" ht="22.5" customHeight="1">
      <c r="A110" s="63">
        <v>46082.0</v>
      </c>
      <c r="B110" s="60" t="s">
        <v>24</v>
      </c>
      <c r="C110" s="60" t="str">
        <f>VLOOKUP(B110,BASE_VEICULOS!A:B,2,0)</f>
        <v>TEW9A23</v>
      </c>
      <c r="D110" s="64" t="s">
        <v>50</v>
      </c>
      <c r="E110" s="65" t="s">
        <v>104</v>
      </c>
      <c r="F110" s="66">
        <v>3.8</v>
      </c>
    </row>
    <row r="111" ht="22.5" customHeight="1">
      <c r="A111" s="63">
        <v>46083.0</v>
      </c>
      <c r="B111" s="60" t="s">
        <v>23</v>
      </c>
      <c r="C111" s="60" t="str">
        <f>VLOOKUP(B111,BASE_VEICULOS!A:B,2,0)</f>
        <v>TEH3I02</v>
      </c>
      <c r="D111" s="64" t="s">
        <v>50</v>
      </c>
      <c r="E111" s="65" t="s">
        <v>106</v>
      </c>
      <c r="F111" s="66">
        <v>8.95</v>
      </c>
    </row>
    <row r="112" ht="22.5" customHeight="1">
      <c r="A112" s="63">
        <v>46083.0</v>
      </c>
      <c r="B112" s="60" t="s">
        <v>27</v>
      </c>
      <c r="C112" s="60" t="str">
        <f>VLOOKUP(B112,BASE_VEICULOS!A:B,2,0)</f>
        <v>UDA5B37</v>
      </c>
      <c r="D112" s="64" t="s">
        <v>50</v>
      </c>
      <c r="E112" s="65" t="s">
        <v>101</v>
      </c>
      <c r="F112" s="66">
        <v>6.2</v>
      </c>
    </row>
    <row r="113" ht="22.5" customHeight="1">
      <c r="A113" s="63">
        <v>46083.0</v>
      </c>
      <c r="B113" s="60" t="s">
        <v>10</v>
      </c>
      <c r="C113" s="60" t="str">
        <f>VLOOKUP(B113,BASE_VEICULOS!A:B,2,0)</f>
        <v>TEW9A25</v>
      </c>
      <c r="D113" s="64" t="s">
        <v>50</v>
      </c>
      <c r="E113" s="65" t="s">
        <v>106</v>
      </c>
      <c r="F113" s="66">
        <v>8.95</v>
      </c>
    </row>
    <row r="114" ht="22.5" customHeight="1">
      <c r="A114" s="63">
        <v>46083.0</v>
      </c>
      <c r="B114" s="60" t="s">
        <v>10</v>
      </c>
      <c r="C114" s="60" t="str">
        <f>VLOOKUP(B114,BASE_VEICULOS!A:B,2,0)</f>
        <v>TEW9A25</v>
      </c>
      <c r="D114" s="64" t="s">
        <v>50</v>
      </c>
      <c r="E114" s="65" t="s">
        <v>106</v>
      </c>
      <c r="F114" s="66">
        <v>8.95</v>
      </c>
    </row>
    <row r="115" ht="22.5" customHeight="1">
      <c r="A115" s="63">
        <v>46083.0</v>
      </c>
      <c r="B115" s="60" t="s">
        <v>21</v>
      </c>
      <c r="C115" s="60" t="str">
        <f>VLOOKUP(B115,BASE_VEICULOS!A:B,2,0)</f>
        <v>TEW9A33</v>
      </c>
      <c r="D115" s="64" t="s">
        <v>50</v>
      </c>
      <c r="E115" s="65" t="s">
        <v>103</v>
      </c>
      <c r="F115" s="66">
        <v>7.5</v>
      </c>
    </row>
    <row r="116" ht="22.5" customHeight="1">
      <c r="A116" s="63">
        <v>46083.0</v>
      </c>
      <c r="B116" s="60" t="s">
        <v>22</v>
      </c>
      <c r="C116" s="60" t="str">
        <f>VLOOKUP(B116,BASE_VEICULOS!A:B,2,0)</f>
        <v>TET5H37</v>
      </c>
      <c r="D116" s="64" t="s">
        <v>50</v>
      </c>
      <c r="E116" s="65" t="s">
        <v>104</v>
      </c>
      <c r="F116" s="66">
        <v>3.8</v>
      </c>
    </row>
    <row r="117" ht="22.5" customHeight="1">
      <c r="A117" s="63">
        <v>46083.0</v>
      </c>
      <c r="B117" s="60" t="s">
        <v>17</v>
      </c>
      <c r="C117" s="60" t="str">
        <f>VLOOKUP(B117,BASE_VEICULOS!A:B,2,0)</f>
        <v>#N/A</v>
      </c>
      <c r="D117" s="64" t="s">
        <v>50</v>
      </c>
      <c r="E117" s="65" t="s">
        <v>111</v>
      </c>
      <c r="F117" s="66">
        <v>19.95</v>
      </c>
    </row>
    <row r="118" ht="22.5" customHeight="1">
      <c r="A118" s="63">
        <v>46083.0</v>
      </c>
      <c r="B118" s="60" t="s">
        <v>15</v>
      </c>
      <c r="C118" s="60" t="str">
        <f>VLOOKUP(B118,BASE_VEICULOS!A:B,2,0)</f>
        <v>EWH1B84</v>
      </c>
      <c r="D118" s="64" t="s">
        <v>50</v>
      </c>
      <c r="E118" s="65" t="s">
        <v>101</v>
      </c>
      <c r="F118" s="66">
        <v>6.2</v>
      </c>
    </row>
    <row r="119" ht="22.5" customHeight="1">
      <c r="A119" s="63">
        <v>46083.0</v>
      </c>
      <c r="B119" s="60" t="s">
        <v>29</v>
      </c>
      <c r="C119" s="60" t="str">
        <f>VLOOKUP(B119,BASE_VEICULOS!A:B,2,0)</f>
        <v>TEQ2I74</v>
      </c>
      <c r="D119" s="64" t="s">
        <v>50</v>
      </c>
      <c r="E119" s="65" t="s">
        <v>101</v>
      </c>
      <c r="F119" s="66">
        <v>6.2</v>
      </c>
    </row>
    <row r="120" ht="22.5" customHeight="1">
      <c r="A120" s="63">
        <v>46083.0</v>
      </c>
      <c r="B120" s="60" t="s">
        <v>24</v>
      </c>
      <c r="C120" s="60" t="str">
        <f>VLOOKUP(B120,BASE_VEICULOS!A:B,2,0)</f>
        <v>TEW9A23</v>
      </c>
      <c r="D120" s="64" t="s">
        <v>50</v>
      </c>
      <c r="E120" s="65" t="s">
        <v>104</v>
      </c>
      <c r="F120" s="66">
        <v>3.8</v>
      </c>
    </row>
    <row r="121" ht="22.5" customHeight="1">
      <c r="A121" s="63">
        <v>46083.0</v>
      </c>
      <c r="B121" s="60" t="s">
        <v>27</v>
      </c>
      <c r="C121" s="60" t="str">
        <f>VLOOKUP(B121,BASE_VEICULOS!A:B,2,0)</f>
        <v>UDA5B37</v>
      </c>
      <c r="D121" s="64" t="s">
        <v>50</v>
      </c>
      <c r="E121" s="65" t="s">
        <v>99</v>
      </c>
      <c r="F121" s="66">
        <v>18.34</v>
      </c>
    </row>
    <row r="122" ht="22.5" customHeight="1">
      <c r="A122" s="63">
        <v>46083.0</v>
      </c>
      <c r="B122" s="60" t="s">
        <v>21</v>
      </c>
      <c r="C122" s="60" t="str">
        <f>VLOOKUP(B122,BASE_VEICULOS!A:B,2,0)</f>
        <v>TEW9A33</v>
      </c>
      <c r="D122" s="64" t="s">
        <v>50</v>
      </c>
      <c r="E122" s="65" t="s">
        <v>101</v>
      </c>
      <c r="F122" s="66">
        <v>6.2</v>
      </c>
    </row>
    <row r="123" ht="22.5" customHeight="1">
      <c r="A123" s="63">
        <v>46083.0</v>
      </c>
      <c r="B123" s="60" t="s">
        <v>13</v>
      </c>
      <c r="C123" s="60" t="str">
        <f>VLOOKUP(B123,BASE_VEICULOS!A:B,2,0)</f>
        <v>FGO3C61</v>
      </c>
      <c r="D123" s="64" t="s">
        <v>50</v>
      </c>
      <c r="E123" s="65" t="s">
        <v>101</v>
      </c>
      <c r="F123" s="66">
        <v>6.2</v>
      </c>
    </row>
    <row r="124" ht="22.5" customHeight="1">
      <c r="A124" s="63">
        <v>46083.0</v>
      </c>
      <c r="B124" s="60" t="s">
        <v>24</v>
      </c>
      <c r="C124" s="60" t="str">
        <f>VLOOKUP(B124,BASE_VEICULOS!A:B,2,0)</f>
        <v>TEW9A23</v>
      </c>
      <c r="D124" s="64" t="s">
        <v>50</v>
      </c>
      <c r="E124" s="65" t="s">
        <v>104</v>
      </c>
      <c r="F124" s="66">
        <v>3.8</v>
      </c>
    </row>
    <row r="125" ht="22.5" customHeight="1">
      <c r="A125" s="63">
        <v>46083.0</v>
      </c>
      <c r="B125" s="60" t="s">
        <v>17</v>
      </c>
      <c r="C125" s="60" t="str">
        <f>VLOOKUP(B125,BASE_VEICULOS!A:B,2,0)</f>
        <v>#N/A</v>
      </c>
      <c r="D125" s="64" t="s">
        <v>50</v>
      </c>
      <c r="E125" s="65" t="s">
        <v>111</v>
      </c>
      <c r="F125" s="66">
        <v>19.95</v>
      </c>
    </row>
    <row r="126" ht="22.5" customHeight="1">
      <c r="A126" s="63">
        <v>46083.0</v>
      </c>
      <c r="B126" s="60" t="s">
        <v>29</v>
      </c>
      <c r="C126" s="60" t="str">
        <f>VLOOKUP(B126,BASE_VEICULOS!A:B,2,0)</f>
        <v>TEQ2I74</v>
      </c>
      <c r="D126" s="64" t="s">
        <v>50</v>
      </c>
      <c r="E126" s="65" t="s">
        <v>103</v>
      </c>
      <c r="F126" s="66">
        <v>7.5</v>
      </c>
    </row>
    <row r="127" ht="22.5" customHeight="1">
      <c r="A127" s="63">
        <v>46083.0</v>
      </c>
      <c r="B127" s="60" t="s">
        <v>36</v>
      </c>
      <c r="C127" s="60" t="str">
        <f>VLOOKUP(B127,BASE_VEICULOS!A:B,2,0)</f>
        <v>#N/A</v>
      </c>
      <c r="D127" s="64" t="s">
        <v>50</v>
      </c>
      <c r="E127" s="65" t="s">
        <v>106</v>
      </c>
      <c r="F127" s="66">
        <v>8.95</v>
      </c>
    </row>
    <row r="128" ht="22.5" customHeight="1">
      <c r="A128" s="63">
        <v>46084.0</v>
      </c>
      <c r="B128" s="60" t="s">
        <v>27</v>
      </c>
      <c r="C128" s="67" t="str">
        <f>VLOOKUP(B128,BASE_VEICULOS!A:B,2,0)</f>
        <v>UDA5B37</v>
      </c>
      <c r="D128" s="68" t="s">
        <v>50</v>
      </c>
      <c r="E128" s="69" t="s">
        <v>101</v>
      </c>
      <c r="F128" s="70">
        <v>6.2</v>
      </c>
    </row>
    <row r="129" ht="22.5" customHeight="1">
      <c r="A129" s="63">
        <v>46084.0</v>
      </c>
      <c r="B129" s="60" t="s">
        <v>10</v>
      </c>
      <c r="C129" s="67" t="str">
        <f>VLOOKUP(B129,BASE_VEICULOS!A:B,2,0)</f>
        <v>TEW9A25</v>
      </c>
      <c r="D129" s="68" t="s">
        <v>50</v>
      </c>
      <c r="E129" s="69" t="s">
        <v>106</v>
      </c>
      <c r="F129" s="71">
        <v>6.2</v>
      </c>
    </row>
    <row r="130" ht="22.5" customHeight="1">
      <c r="A130" s="63">
        <v>46084.0</v>
      </c>
      <c r="B130" s="60" t="s">
        <v>33</v>
      </c>
      <c r="C130" s="67" t="str">
        <f>VLOOKUP(B130,BASE_VEICULOS!A:B,2,0)</f>
        <v>TEW9A30</v>
      </c>
      <c r="D130" s="68" t="s">
        <v>50</v>
      </c>
      <c r="E130" s="69" t="s">
        <v>104</v>
      </c>
      <c r="F130" s="71">
        <v>8.95</v>
      </c>
    </row>
    <row r="131" ht="22.5" customHeight="1">
      <c r="A131" s="63">
        <v>46084.0</v>
      </c>
      <c r="B131" s="60" t="s">
        <v>113</v>
      </c>
      <c r="C131" s="67" t="str">
        <f>VLOOKUP(B131,BASE_VEICULOS!A:B,2,0)</f>
        <v>TYK8C73</v>
      </c>
      <c r="D131" s="68" t="s">
        <v>50</v>
      </c>
      <c r="E131" s="69" t="s">
        <v>104</v>
      </c>
      <c r="F131" s="71">
        <v>3.8</v>
      </c>
    </row>
    <row r="132" ht="22.5" customHeight="1">
      <c r="A132" s="63">
        <v>46084.0</v>
      </c>
      <c r="B132" s="60" t="s">
        <v>22</v>
      </c>
      <c r="C132" s="67" t="str">
        <f>VLOOKUP(B132,BASE_VEICULOS!A:B,2,0)</f>
        <v>TET5H37</v>
      </c>
      <c r="D132" s="68" t="s">
        <v>50</v>
      </c>
      <c r="E132" s="69" t="s">
        <v>99</v>
      </c>
      <c r="F132" s="71">
        <v>3.8</v>
      </c>
    </row>
    <row r="133" ht="22.5" customHeight="1">
      <c r="A133" s="63">
        <v>46084.0</v>
      </c>
      <c r="B133" s="60" t="s">
        <v>16</v>
      </c>
      <c r="C133" s="67" t="str">
        <f>VLOOKUP(B133,BASE_VEICULOS!A:B,2,0)</f>
        <v>TEW9A27</v>
      </c>
      <c r="D133" s="68" t="s">
        <v>50</v>
      </c>
      <c r="E133" s="69" t="s">
        <v>101</v>
      </c>
      <c r="F133" s="71">
        <v>18.34</v>
      </c>
    </row>
    <row r="134" ht="22.5" customHeight="1">
      <c r="A134" s="63">
        <v>46084.0</v>
      </c>
      <c r="B134" s="60" t="s">
        <v>33</v>
      </c>
      <c r="C134" s="67" t="str">
        <f>VLOOKUP(B134,BASE_VEICULOS!A:B,2,0)</f>
        <v>TEW9A30</v>
      </c>
      <c r="D134" s="68" t="s">
        <v>51</v>
      </c>
      <c r="E134" s="69" t="s">
        <v>114</v>
      </c>
      <c r="F134" s="71">
        <v>6.2</v>
      </c>
    </row>
    <row r="135" ht="22.5" customHeight="1">
      <c r="A135" s="63">
        <v>46084.0</v>
      </c>
      <c r="B135" s="60" t="s">
        <v>33</v>
      </c>
      <c r="C135" s="67" t="str">
        <f>VLOOKUP(B135,BASE_VEICULOS!A:B,2,0)</f>
        <v>TEW9A30</v>
      </c>
      <c r="D135" s="68" t="s">
        <v>51</v>
      </c>
      <c r="E135" s="69" t="s">
        <v>115</v>
      </c>
      <c r="F135" s="71">
        <v>20.0</v>
      </c>
    </row>
    <row r="136" ht="22.5" customHeight="1">
      <c r="A136" s="63">
        <v>46084.0</v>
      </c>
      <c r="B136" s="60" t="s">
        <v>33</v>
      </c>
      <c r="C136" s="67" t="str">
        <f>VLOOKUP(B136,BASE_VEICULOS!A:B,2,0)</f>
        <v>TEW9A30</v>
      </c>
      <c r="D136" s="68" t="s">
        <v>50</v>
      </c>
      <c r="E136" s="69" t="s">
        <v>104</v>
      </c>
      <c r="F136" s="71">
        <v>10.0</v>
      </c>
    </row>
    <row r="137" ht="22.5" customHeight="1">
      <c r="A137" s="63">
        <v>46084.0</v>
      </c>
      <c r="B137" s="60" t="s">
        <v>29</v>
      </c>
      <c r="C137" s="67" t="str">
        <f>VLOOKUP(B137,BASE_VEICULOS!A:B,2,0)</f>
        <v>TEQ2I74</v>
      </c>
      <c r="D137" s="68" t="s">
        <v>50</v>
      </c>
      <c r="E137" s="69" t="s">
        <v>103</v>
      </c>
      <c r="F137" s="71">
        <v>3.8</v>
      </c>
    </row>
    <row r="138" ht="22.5" customHeight="1">
      <c r="A138" s="63">
        <v>46084.0</v>
      </c>
      <c r="B138" s="60" t="s">
        <v>29</v>
      </c>
      <c r="C138" s="67" t="str">
        <f>VLOOKUP(B138,BASE_VEICULOS!A:B,2,0)</f>
        <v>TEQ2I74</v>
      </c>
      <c r="D138" s="68" t="s">
        <v>50</v>
      </c>
      <c r="E138" s="69" t="s">
        <v>101</v>
      </c>
      <c r="F138" s="71">
        <v>7.5</v>
      </c>
    </row>
    <row r="139" ht="22.5" customHeight="1">
      <c r="A139" s="63">
        <v>46084.0</v>
      </c>
      <c r="B139" s="60" t="s">
        <v>21</v>
      </c>
      <c r="C139" s="67" t="str">
        <f>VLOOKUP(B139,BASE_VEICULOS!A:B,2,0)</f>
        <v>TEW9A33</v>
      </c>
      <c r="D139" s="68" t="s">
        <v>50</v>
      </c>
      <c r="E139" s="69" t="s">
        <v>102</v>
      </c>
      <c r="F139" s="71">
        <v>6.2</v>
      </c>
    </row>
    <row r="140" ht="22.5" customHeight="1">
      <c r="A140" s="63">
        <v>46084.0</v>
      </c>
      <c r="B140" s="60" t="s">
        <v>30</v>
      </c>
      <c r="C140" s="67" t="str">
        <f>VLOOKUP(B140,BASE_VEICULOS!A:B,2,0)</f>
        <v>#N/A</v>
      </c>
      <c r="D140" s="68" t="s">
        <v>50</v>
      </c>
      <c r="E140" s="69" t="s">
        <v>101</v>
      </c>
      <c r="F140" s="71">
        <v>18.4</v>
      </c>
    </row>
    <row r="141" ht="22.5" customHeight="1">
      <c r="A141" s="63">
        <v>46084.0</v>
      </c>
      <c r="B141" s="60" t="s">
        <v>13</v>
      </c>
      <c r="C141" s="67" t="str">
        <f>VLOOKUP(B141,BASE_VEICULOS!A:B,2,0)</f>
        <v>FGO3C61</v>
      </c>
      <c r="D141" s="68" t="s">
        <v>50</v>
      </c>
      <c r="E141" s="69" t="s">
        <v>101</v>
      </c>
      <c r="F141" s="71">
        <v>6.2</v>
      </c>
    </row>
    <row r="142" ht="22.5" customHeight="1">
      <c r="A142" s="63">
        <v>46084.0</v>
      </c>
      <c r="B142" s="60" t="s">
        <v>21</v>
      </c>
      <c r="C142" s="67" t="str">
        <f>VLOOKUP(B142,BASE_VEICULOS!A:B,2,0)</f>
        <v>TEW9A33</v>
      </c>
      <c r="D142" s="68" t="s">
        <v>50</v>
      </c>
      <c r="E142" s="69" t="s">
        <v>101</v>
      </c>
      <c r="F142" s="71">
        <v>6.2</v>
      </c>
    </row>
    <row r="143" ht="22.5" customHeight="1">
      <c r="A143" s="63">
        <v>46084.0</v>
      </c>
      <c r="B143" s="60" t="s">
        <v>29</v>
      </c>
      <c r="C143" s="67" t="str">
        <f>VLOOKUP(B143,BASE_VEICULOS!A:B,2,0)</f>
        <v>TEQ2I74</v>
      </c>
      <c r="D143" s="68" t="s">
        <v>50</v>
      </c>
      <c r="E143" s="69" t="s">
        <v>103</v>
      </c>
      <c r="F143" s="71">
        <v>6.2</v>
      </c>
    </row>
    <row r="144" ht="22.5" customHeight="1">
      <c r="A144" s="63">
        <v>46084.0</v>
      </c>
      <c r="B144" s="60" t="s">
        <v>113</v>
      </c>
      <c r="C144" s="67" t="str">
        <f>VLOOKUP(B144,BASE_VEICULOS!A:B,2,0)</f>
        <v>TYK8C73</v>
      </c>
      <c r="D144" s="68" t="s">
        <v>50</v>
      </c>
      <c r="E144" s="69" t="s">
        <v>104</v>
      </c>
      <c r="F144" s="71">
        <v>7.5</v>
      </c>
    </row>
    <row r="145" ht="22.5" customHeight="1">
      <c r="A145" s="63">
        <v>46084.0</v>
      </c>
      <c r="B145" s="60" t="s">
        <v>10</v>
      </c>
      <c r="C145" s="67" t="str">
        <f>VLOOKUP(B145,BASE_VEICULOS!A:B,2,0)</f>
        <v>TEW9A25</v>
      </c>
      <c r="D145" s="68" t="s">
        <v>50</v>
      </c>
      <c r="E145" s="69" t="s">
        <v>106</v>
      </c>
      <c r="F145" s="71">
        <v>3.8</v>
      </c>
    </row>
    <row r="146" ht="22.5" customHeight="1">
      <c r="A146" s="63">
        <v>46084.0</v>
      </c>
      <c r="B146" s="60" t="s">
        <v>22</v>
      </c>
      <c r="C146" s="67" t="str">
        <f>VLOOKUP(B146,BASE_VEICULOS!A:B,2,0)</f>
        <v>TET5H37</v>
      </c>
      <c r="D146" s="68" t="s">
        <v>50</v>
      </c>
      <c r="E146" s="69" t="s">
        <v>99</v>
      </c>
      <c r="F146" s="71">
        <v>8.95</v>
      </c>
    </row>
    <row r="147" ht="22.5" customHeight="1">
      <c r="A147" s="63">
        <v>46085.0</v>
      </c>
      <c r="B147" s="60" t="s">
        <v>24</v>
      </c>
      <c r="C147" s="67" t="str">
        <f>VLOOKUP(B147,BASE_VEICULOS!A:B,2,0)</f>
        <v>TEW9A23</v>
      </c>
      <c r="D147" s="68" t="s">
        <v>50</v>
      </c>
      <c r="E147" s="69" t="s">
        <v>101</v>
      </c>
      <c r="F147" s="71">
        <v>18.34</v>
      </c>
    </row>
    <row r="148" ht="22.5" customHeight="1">
      <c r="A148" s="63">
        <v>46085.0</v>
      </c>
      <c r="B148" s="60" t="s">
        <v>27</v>
      </c>
      <c r="C148" s="67" t="str">
        <f>VLOOKUP(B148,BASE_VEICULOS!A:B,2,0)</f>
        <v>UDA5B37</v>
      </c>
      <c r="D148" s="68" t="s">
        <v>50</v>
      </c>
      <c r="E148" s="69" t="s">
        <v>101</v>
      </c>
      <c r="F148" s="71">
        <v>6.2</v>
      </c>
    </row>
    <row r="149" ht="22.5" customHeight="1">
      <c r="A149" s="63">
        <v>46085.0</v>
      </c>
      <c r="B149" s="60" t="s">
        <v>113</v>
      </c>
      <c r="C149" s="67" t="str">
        <f>VLOOKUP(B149,BASE_VEICULOS!A:B,2,0)</f>
        <v>TYK8C73</v>
      </c>
      <c r="D149" s="68" t="s">
        <v>50</v>
      </c>
      <c r="E149" s="69" t="s">
        <v>104</v>
      </c>
      <c r="F149" s="71">
        <v>6.2</v>
      </c>
    </row>
    <row r="150" ht="22.5" customHeight="1">
      <c r="A150" s="63">
        <v>46085.0</v>
      </c>
      <c r="B150" s="60" t="s">
        <v>10</v>
      </c>
      <c r="C150" s="67" t="str">
        <f>VLOOKUP(B150,BASE_VEICULOS!A:B,2,0)</f>
        <v>TEW9A25</v>
      </c>
      <c r="D150" s="68" t="s">
        <v>50</v>
      </c>
      <c r="E150" s="69" t="s">
        <v>106</v>
      </c>
      <c r="F150" s="71">
        <v>3.8</v>
      </c>
    </row>
    <row r="151" ht="22.5" customHeight="1">
      <c r="A151" s="63">
        <v>46085.0</v>
      </c>
      <c r="B151" s="60" t="s">
        <v>23</v>
      </c>
      <c r="C151" s="67" t="str">
        <f>VLOOKUP(B151,BASE_VEICULOS!A:B,2,0)</f>
        <v>TEH3I02</v>
      </c>
      <c r="D151" s="68" t="s">
        <v>50</v>
      </c>
      <c r="E151" s="69" t="s">
        <v>101</v>
      </c>
      <c r="F151" s="71">
        <v>8.95</v>
      </c>
    </row>
    <row r="152" ht="22.5" customHeight="1">
      <c r="A152" s="63">
        <v>46085.0</v>
      </c>
      <c r="B152" s="60" t="s">
        <v>17</v>
      </c>
      <c r="C152" s="67" t="str">
        <f>VLOOKUP(B152,BASE_VEICULOS!A:B,2,0)</f>
        <v>#N/A</v>
      </c>
      <c r="D152" s="68" t="s">
        <v>50</v>
      </c>
      <c r="E152" s="69" t="s">
        <v>101</v>
      </c>
      <c r="F152" s="71">
        <v>6.2</v>
      </c>
    </row>
    <row r="153" ht="22.5" customHeight="1">
      <c r="A153" s="63">
        <v>46085.0</v>
      </c>
      <c r="B153" s="60" t="s">
        <v>13</v>
      </c>
      <c r="C153" s="67" t="str">
        <f>VLOOKUP(B153,BASE_VEICULOS!A:B,2,0)</f>
        <v>FGO3C61</v>
      </c>
      <c r="D153" s="68" t="s">
        <v>50</v>
      </c>
      <c r="E153" s="69" t="s">
        <v>101</v>
      </c>
      <c r="F153" s="71">
        <v>6.2</v>
      </c>
    </row>
    <row r="154" ht="22.5" customHeight="1">
      <c r="A154" s="63">
        <v>46085.0</v>
      </c>
      <c r="B154" s="60" t="s">
        <v>13</v>
      </c>
      <c r="C154" s="67" t="str">
        <f>VLOOKUP(B154,BASE_VEICULOS!A:B,2,0)</f>
        <v>FGO3C61</v>
      </c>
      <c r="D154" s="68" t="s">
        <v>50</v>
      </c>
      <c r="E154" s="69" t="s">
        <v>101</v>
      </c>
      <c r="F154" s="71">
        <v>9.3</v>
      </c>
    </row>
    <row r="155" ht="22.5" customHeight="1">
      <c r="A155" s="63">
        <v>46085.0</v>
      </c>
      <c r="B155" s="60" t="s">
        <v>13</v>
      </c>
      <c r="C155" s="67" t="str">
        <f>VLOOKUP(B155,BASE_VEICULOS!A:B,2,0)</f>
        <v>FGO3C61</v>
      </c>
      <c r="D155" s="68" t="s">
        <v>50</v>
      </c>
      <c r="E155" s="69" t="s">
        <v>101</v>
      </c>
      <c r="F155" s="71">
        <v>9.3</v>
      </c>
    </row>
    <row r="156" ht="22.5" customHeight="1">
      <c r="A156" s="63">
        <v>46085.0</v>
      </c>
      <c r="B156" s="60" t="s">
        <v>113</v>
      </c>
      <c r="C156" s="67" t="str">
        <f>VLOOKUP(B156,BASE_VEICULOS!A:B,2,0)</f>
        <v>TYK8C73</v>
      </c>
      <c r="D156" s="68" t="s">
        <v>50</v>
      </c>
      <c r="E156" s="69" t="s">
        <v>104</v>
      </c>
      <c r="F156" s="71">
        <v>6.2</v>
      </c>
    </row>
    <row r="157" ht="22.5" customHeight="1">
      <c r="A157" s="63">
        <v>46085.0</v>
      </c>
      <c r="B157" s="60" t="s">
        <v>10</v>
      </c>
      <c r="C157" s="67" t="str">
        <f>VLOOKUP(B157,BASE_VEICULOS!A:B,2,0)</f>
        <v>TEW9A25</v>
      </c>
      <c r="D157" s="68" t="s">
        <v>50</v>
      </c>
      <c r="E157" s="69" t="s">
        <v>106</v>
      </c>
      <c r="F157" s="71">
        <v>3.8</v>
      </c>
    </row>
    <row r="158" ht="22.5" customHeight="1">
      <c r="A158" s="63">
        <v>46086.0</v>
      </c>
      <c r="B158" s="60" t="s">
        <v>13</v>
      </c>
      <c r="C158" s="67" t="str">
        <f>VLOOKUP(B158,BASE_VEICULOS!A:B,2,0)</f>
        <v>FGO3C61</v>
      </c>
      <c r="D158" s="68" t="s">
        <v>50</v>
      </c>
      <c r="E158" s="69" t="s">
        <v>99</v>
      </c>
      <c r="F158" s="71">
        <v>18.34</v>
      </c>
    </row>
    <row r="159" ht="22.5" customHeight="1">
      <c r="A159" s="63">
        <v>46086.0</v>
      </c>
      <c r="B159" s="60" t="s">
        <v>13</v>
      </c>
      <c r="C159" s="67" t="str">
        <f>VLOOKUP(B159,BASE_VEICULOS!A:B,2,0)</f>
        <v>FGO3C61</v>
      </c>
      <c r="D159" s="68" t="s">
        <v>50</v>
      </c>
      <c r="E159" s="69" t="s">
        <v>100</v>
      </c>
      <c r="F159" s="71">
        <v>9.6</v>
      </c>
    </row>
    <row r="160" ht="22.5" customHeight="1">
      <c r="A160" s="63">
        <v>46086.0</v>
      </c>
      <c r="B160" s="60" t="s">
        <v>13</v>
      </c>
      <c r="C160" s="67" t="str">
        <f>VLOOKUP(B160,BASE_VEICULOS!A:B,2,0)</f>
        <v>FGO3C61</v>
      </c>
      <c r="D160" s="68" t="s">
        <v>50</v>
      </c>
      <c r="E160" s="69" t="s">
        <v>100</v>
      </c>
      <c r="F160" s="71">
        <v>9.6</v>
      </c>
    </row>
    <row r="161" ht="22.5" customHeight="1">
      <c r="A161" s="63">
        <v>46086.0</v>
      </c>
      <c r="B161" s="60" t="s">
        <v>13</v>
      </c>
      <c r="C161" s="67" t="str">
        <f>VLOOKUP(B161,BASE_VEICULOS!A:B,2,0)</f>
        <v>FGO3C61</v>
      </c>
      <c r="D161" s="68" t="s">
        <v>50</v>
      </c>
      <c r="E161" s="69" t="s">
        <v>99</v>
      </c>
      <c r="F161" s="71">
        <v>18.34</v>
      </c>
    </row>
    <row r="162" ht="22.5" customHeight="1">
      <c r="A162" s="63">
        <v>46086.0</v>
      </c>
      <c r="B162" s="60" t="s">
        <v>29</v>
      </c>
      <c r="C162" s="67" t="str">
        <f>VLOOKUP(B162,BASE_VEICULOS!A:B,2,0)</f>
        <v>TEQ2I74</v>
      </c>
      <c r="D162" s="68" t="s">
        <v>50</v>
      </c>
      <c r="E162" s="69" t="s">
        <v>101</v>
      </c>
      <c r="F162" s="71">
        <v>6.2</v>
      </c>
    </row>
    <row r="163" ht="22.5" customHeight="1">
      <c r="A163" s="63">
        <v>46086.0</v>
      </c>
      <c r="B163" s="60" t="s">
        <v>29</v>
      </c>
      <c r="C163" s="67" t="str">
        <f>VLOOKUP(B163,BASE_VEICULOS!A:B,2,0)</f>
        <v>TEQ2I74</v>
      </c>
      <c r="D163" s="68" t="s">
        <v>50</v>
      </c>
      <c r="E163" s="69" t="s">
        <v>103</v>
      </c>
      <c r="F163" s="71">
        <v>7.5</v>
      </c>
    </row>
    <row r="164" ht="22.5" customHeight="1">
      <c r="A164" s="63">
        <v>46086.0</v>
      </c>
      <c r="B164" s="60" t="s">
        <v>27</v>
      </c>
      <c r="C164" s="67" t="str">
        <f>VLOOKUP(B164,BASE_VEICULOS!A:B,2,0)</f>
        <v>UDA5B37</v>
      </c>
      <c r="D164" s="68" t="s">
        <v>50</v>
      </c>
      <c r="E164" s="69" t="s">
        <v>101</v>
      </c>
      <c r="F164" s="71">
        <v>6.2</v>
      </c>
    </row>
    <row r="165" ht="22.5" customHeight="1">
      <c r="A165" s="63">
        <v>46086.0</v>
      </c>
      <c r="B165" s="60" t="s">
        <v>23</v>
      </c>
      <c r="C165" s="67" t="str">
        <f>VLOOKUP(B165,BASE_VEICULOS!A:B,2,0)</f>
        <v>TEH3I02</v>
      </c>
      <c r="D165" s="68" t="s">
        <v>50</v>
      </c>
      <c r="E165" s="69" t="s">
        <v>99</v>
      </c>
      <c r="F165" s="71">
        <v>9.98</v>
      </c>
    </row>
    <row r="166" ht="22.5" customHeight="1">
      <c r="A166" s="63">
        <v>46086.0</v>
      </c>
      <c r="B166" s="60" t="s">
        <v>23</v>
      </c>
      <c r="C166" s="67" t="str">
        <f>VLOOKUP(B166,BASE_VEICULOS!A:B,2,0)</f>
        <v>TEH3I02</v>
      </c>
      <c r="D166" s="68" t="s">
        <v>50</v>
      </c>
      <c r="E166" s="69" t="s">
        <v>116</v>
      </c>
      <c r="F166" s="71">
        <v>4.56</v>
      </c>
    </row>
    <row r="167" ht="22.5" customHeight="1">
      <c r="A167" s="63">
        <v>46086.0</v>
      </c>
      <c r="B167" s="60" t="s">
        <v>23</v>
      </c>
      <c r="C167" s="67" t="str">
        <f>VLOOKUP(B167,BASE_VEICULOS!A:B,2,0)</f>
        <v>TEH3I02</v>
      </c>
      <c r="D167" s="68" t="s">
        <v>50</v>
      </c>
      <c r="E167" s="69" t="s">
        <v>116</v>
      </c>
      <c r="F167" s="71">
        <v>4.56</v>
      </c>
    </row>
    <row r="168" ht="22.5" customHeight="1">
      <c r="A168" s="63">
        <v>46086.0</v>
      </c>
      <c r="B168" s="60" t="s">
        <v>23</v>
      </c>
      <c r="C168" s="67" t="str">
        <f>VLOOKUP(B168,BASE_VEICULOS!A:B,2,0)</f>
        <v>TEH3I02</v>
      </c>
      <c r="D168" s="68" t="s">
        <v>50</v>
      </c>
      <c r="E168" s="69" t="s">
        <v>116</v>
      </c>
      <c r="F168" s="71">
        <v>4.56</v>
      </c>
    </row>
    <row r="169" ht="22.5" customHeight="1">
      <c r="A169" s="63">
        <v>46086.0</v>
      </c>
      <c r="B169" s="60" t="s">
        <v>23</v>
      </c>
      <c r="C169" s="67" t="str">
        <f>VLOOKUP(B169,BASE_VEICULOS!A:B,2,0)</f>
        <v>TEH3I02</v>
      </c>
      <c r="D169" s="68" t="s">
        <v>50</v>
      </c>
      <c r="E169" s="69" t="s">
        <v>116</v>
      </c>
      <c r="F169" s="71">
        <v>4.56</v>
      </c>
    </row>
    <row r="170" ht="22.5" customHeight="1">
      <c r="A170" s="63">
        <v>46086.0</v>
      </c>
      <c r="B170" s="60" t="s">
        <v>23</v>
      </c>
      <c r="C170" s="67" t="str">
        <f>VLOOKUP(B170,BASE_VEICULOS!A:B,2,0)</f>
        <v>TEH3I02</v>
      </c>
      <c r="D170" s="68" t="s">
        <v>50</v>
      </c>
      <c r="E170" s="69" t="s">
        <v>99</v>
      </c>
      <c r="F170" s="71">
        <v>9.98</v>
      </c>
    </row>
    <row r="171" ht="22.5" customHeight="1">
      <c r="A171" s="63">
        <v>46086.0</v>
      </c>
      <c r="B171" s="60" t="s">
        <v>36</v>
      </c>
      <c r="C171" s="67" t="str">
        <f>VLOOKUP(B171,BASE_VEICULOS!A:B,2,0)</f>
        <v>#N/A</v>
      </c>
      <c r="D171" s="68" t="s">
        <v>50</v>
      </c>
      <c r="E171" s="69" t="s">
        <v>101</v>
      </c>
      <c r="F171" s="71">
        <v>6.2</v>
      </c>
    </row>
    <row r="172" ht="22.5" customHeight="1">
      <c r="A172" s="63">
        <v>46086.0</v>
      </c>
      <c r="B172" s="60" t="s">
        <v>36</v>
      </c>
      <c r="C172" s="67" t="str">
        <f>VLOOKUP(B172,BASE_VEICULOS!A:B,2,0)</f>
        <v>#N/A</v>
      </c>
      <c r="D172" s="68" t="s">
        <v>50</v>
      </c>
      <c r="E172" s="69" t="s">
        <v>104</v>
      </c>
      <c r="F172" s="71">
        <v>3.8</v>
      </c>
    </row>
    <row r="173" ht="22.5" customHeight="1">
      <c r="A173" s="63">
        <v>46086.0</v>
      </c>
      <c r="B173" s="60" t="s">
        <v>19</v>
      </c>
      <c r="C173" s="67" t="str">
        <f>VLOOKUP(B173,BASE_VEICULOS!A:B,2,0)</f>
        <v>TEW9A24</v>
      </c>
      <c r="D173" s="68" t="s">
        <v>50</v>
      </c>
      <c r="E173" s="69" t="s">
        <v>103</v>
      </c>
      <c r="F173" s="71">
        <v>7.5</v>
      </c>
    </row>
    <row r="174" ht="22.5" customHeight="1">
      <c r="A174" s="63">
        <v>46086.0</v>
      </c>
      <c r="B174" s="60" t="s">
        <v>19</v>
      </c>
      <c r="C174" s="67" t="str">
        <f>VLOOKUP(B174,BASE_VEICULOS!A:B,2,0)</f>
        <v>TEW9A24</v>
      </c>
      <c r="D174" s="68" t="s">
        <v>50</v>
      </c>
      <c r="E174" s="69" t="s">
        <v>103</v>
      </c>
      <c r="F174" s="71">
        <v>7.5</v>
      </c>
    </row>
    <row r="175" ht="22.5" customHeight="1">
      <c r="A175" s="63">
        <v>46086.0</v>
      </c>
      <c r="B175" s="60" t="s">
        <v>10</v>
      </c>
      <c r="C175" s="67" t="str">
        <f>VLOOKUP(B175,BASE_VEICULOS!A:B,2,0)</f>
        <v>TEW9A25</v>
      </c>
      <c r="D175" s="68" t="s">
        <v>50</v>
      </c>
      <c r="E175" s="69" t="s">
        <v>106</v>
      </c>
      <c r="F175" s="71">
        <v>8.95</v>
      </c>
    </row>
    <row r="176" ht="22.5" customHeight="1">
      <c r="A176" s="63">
        <v>46086.0</v>
      </c>
      <c r="B176" s="60" t="s">
        <v>10</v>
      </c>
      <c r="C176" s="67" t="str">
        <f>VLOOKUP(B176,BASE_VEICULOS!A:B,2,0)</f>
        <v>TEW9A25</v>
      </c>
      <c r="D176" s="68" t="s">
        <v>50</v>
      </c>
      <c r="E176" s="69" t="s">
        <v>106</v>
      </c>
      <c r="F176" s="71">
        <v>8.95</v>
      </c>
    </row>
    <row r="177" ht="22.5" customHeight="1">
      <c r="A177" s="63">
        <v>46086.0</v>
      </c>
      <c r="B177" s="60" t="s">
        <v>10</v>
      </c>
      <c r="C177" s="67" t="str">
        <f>VLOOKUP(B177,BASE_VEICULOS!A:B,2,0)</f>
        <v>TEW9A25</v>
      </c>
      <c r="D177" s="68" t="s">
        <v>50</v>
      </c>
      <c r="E177" s="69" t="s">
        <v>104</v>
      </c>
      <c r="F177" s="71">
        <v>3.8</v>
      </c>
    </row>
    <row r="178" ht="22.5" customHeight="1">
      <c r="A178" s="63">
        <v>46086.0</v>
      </c>
      <c r="B178" s="60" t="s">
        <v>30</v>
      </c>
      <c r="C178" s="67" t="str">
        <f>VLOOKUP(B178,BASE_VEICULOS!A:B,2,0)</f>
        <v>#N/A</v>
      </c>
      <c r="D178" s="68" t="s">
        <v>50</v>
      </c>
      <c r="E178" s="69" t="s">
        <v>101</v>
      </c>
      <c r="F178" s="71">
        <v>6.2</v>
      </c>
    </row>
    <row r="179" ht="22.5" customHeight="1">
      <c r="A179" s="63">
        <v>46086.0</v>
      </c>
      <c r="B179" s="60" t="s">
        <v>17</v>
      </c>
      <c r="C179" s="67" t="str">
        <f>VLOOKUP(B179,BASE_VEICULOS!A:B,2,0)</f>
        <v>#N/A</v>
      </c>
      <c r="D179" s="68" t="s">
        <v>50</v>
      </c>
      <c r="E179" s="69" t="s">
        <v>101</v>
      </c>
      <c r="F179" s="71">
        <v>6.2</v>
      </c>
    </row>
    <row r="180" ht="22.5" customHeight="1">
      <c r="A180" s="63">
        <v>46087.0</v>
      </c>
      <c r="B180" s="60" t="s">
        <v>11</v>
      </c>
      <c r="C180" s="67" t="str">
        <f>VLOOKUP(B180,BASE_VEICULOS!A:B,2,0)</f>
        <v>TEW9A28</v>
      </c>
      <c r="D180" s="68" t="s">
        <v>50</v>
      </c>
      <c r="E180" s="69" t="s">
        <v>101</v>
      </c>
      <c r="F180" s="71">
        <v>6.2</v>
      </c>
    </row>
    <row r="181" ht="22.5" customHeight="1">
      <c r="A181" s="63">
        <v>46087.0</v>
      </c>
      <c r="B181" s="60" t="s">
        <v>13</v>
      </c>
      <c r="C181" s="67" t="str">
        <f>VLOOKUP(B181,BASE_VEICULOS!A:B,2,0)</f>
        <v>FGO3C61</v>
      </c>
      <c r="D181" s="68" t="s">
        <v>50</v>
      </c>
      <c r="E181" s="69" t="s">
        <v>99</v>
      </c>
      <c r="F181" s="71">
        <v>19.1</v>
      </c>
    </row>
    <row r="182" ht="22.5" customHeight="1">
      <c r="A182" s="63">
        <v>46087.0</v>
      </c>
      <c r="B182" s="60" t="s">
        <v>14</v>
      </c>
      <c r="C182" s="67" t="str">
        <f>VLOOKUP(B182,BASE_VEICULOS!A:B,2,0)</f>
        <v>FOK8A73</v>
      </c>
      <c r="D182" s="68" t="s">
        <v>50</v>
      </c>
      <c r="E182" s="69" t="s">
        <v>106</v>
      </c>
      <c r="F182" s="71">
        <v>8.95</v>
      </c>
    </row>
    <row r="183" ht="22.5" customHeight="1">
      <c r="A183" s="63">
        <v>46087.0</v>
      </c>
      <c r="B183" s="60" t="s">
        <v>27</v>
      </c>
      <c r="C183" s="67" t="str">
        <f>VLOOKUP(B183,BASE_VEICULOS!A:B,2,0)</f>
        <v>UDA5B37</v>
      </c>
      <c r="D183" s="68" t="s">
        <v>50</v>
      </c>
      <c r="E183" s="69" t="s">
        <v>101</v>
      </c>
      <c r="F183" s="71">
        <v>6.2</v>
      </c>
    </row>
    <row r="184" ht="22.5" customHeight="1">
      <c r="A184" s="63">
        <v>46087.0</v>
      </c>
      <c r="B184" s="60" t="s">
        <v>26</v>
      </c>
      <c r="C184" s="67" t="str">
        <f>VLOOKUP(B184,BASE_VEICULOS!A:B,2,0)</f>
        <v>#N/A</v>
      </c>
      <c r="D184" s="68" t="s">
        <v>50</v>
      </c>
      <c r="E184" s="69" t="s">
        <v>106</v>
      </c>
      <c r="F184" s="71">
        <v>8.95</v>
      </c>
    </row>
    <row r="185" ht="22.5" customHeight="1">
      <c r="A185" s="63">
        <v>46087.0</v>
      </c>
      <c r="B185" s="60" t="s">
        <v>26</v>
      </c>
      <c r="C185" s="67" t="str">
        <f>VLOOKUP(B185,BASE_VEICULOS!A:B,2,0)</f>
        <v>#N/A</v>
      </c>
      <c r="D185" s="68" t="s">
        <v>50</v>
      </c>
      <c r="E185" s="69" t="s">
        <v>106</v>
      </c>
      <c r="F185" s="71">
        <v>8.95</v>
      </c>
    </row>
    <row r="186" ht="22.5" customHeight="1">
      <c r="A186" s="63">
        <v>46087.0</v>
      </c>
      <c r="B186" s="60" t="s">
        <v>23</v>
      </c>
      <c r="C186" s="67" t="str">
        <f>VLOOKUP(B186,BASE_VEICULOS!A:B,2,0)</f>
        <v>TEH3I02</v>
      </c>
      <c r="D186" s="68" t="s">
        <v>50</v>
      </c>
      <c r="E186" s="69" t="s">
        <v>111</v>
      </c>
      <c r="F186" s="71">
        <v>19.95</v>
      </c>
    </row>
    <row r="187" ht="22.5" customHeight="1">
      <c r="A187" s="63">
        <v>46087.0</v>
      </c>
      <c r="B187" s="60" t="s">
        <v>23</v>
      </c>
      <c r="C187" s="67" t="str">
        <f>VLOOKUP(B187,BASE_VEICULOS!A:B,2,0)</f>
        <v>TEH3I02</v>
      </c>
      <c r="D187" s="68" t="s">
        <v>50</v>
      </c>
      <c r="E187" s="69" t="s">
        <v>99</v>
      </c>
      <c r="F187" s="71">
        <v>18.34</v>
      </c>
    </row>
    <row r="188" ht="22.5" customHeight="1">
      <c r="A188" s="63">
        <v>46087.0</v>
      </c>
      <c r="B188" s="60" t="s">
        <v>23</v>
      </c>
      <c r="C188" s="67" t="str">
        <f>VLOOKUP(B188,BASE_VEICULOS!A:B,2,0)</f>
        <v>TEH3I02</v>
      </c>
      <c r="D188" s="68" t="s">
        <v>50</v>
      </c>
      <c r="E188" s="69" t="s">
        <v>100</v>
      </c>
      <c r="F188" s="71">
        <v>9.6</v>
      </c>
    </row>
    <row r="189" ht="22.5" customHeight="1">
      <c r="A189" s="63">
        <v>46087.0</v>
      </c>
      <c r="B189" s="60" t="s">
        <v>23</v>
      </c>
      <c r="C189" s="67" t="str">
        <f>VLOOKUP(B189,BASE_VEICULOS!A:B,2,0)</f>
        <v>TEH3I02</v>
      </c>
      <c r="D189" s="68" t="s">
        <v>50</v>
      </c>
      <c r="E189" s="69" t="s">
        <v>100</v>
      </c>
      <c r="F189" s="71">
        <v>9.6</v>
      </c>
    </row>
    <row r="190" ht="22.5" customHeight="1">
      <c r="A190" s="63">
        <v>46087.0</v>
      </c>
      <c r="B190" s="60" t="s">
        <v>23</v>
      </c>
      <c r="C190" s="67" t="str">
        <f>VLOOKUP(B190,BASE_VEICULOS!A:B,2,0)</f>
        <v>TEH3I02</v>
      </c>
      <c r="D190" s="68" t="s">
        <v>50</v>
      </c>
      <c r="E190" s="69" t="s">
        <v>99</v>
      </c>
      <c r="F190" s="71">
        <v>18.34</v>
      </c>
    </row>
    <row r="191" ht="22.5" customHeight="1">
      <c r="A191" s="63">
        <v>46087.0</v>
      </c>
      <c r="B191" s="60" t="s">
        <v>22</v>
      </c>
      <c r="C191" s="67" t="str">
        <f>VLOOKUP(B191,BASE_VEICULOS!A:B,2,0)</f>
        <v>TET5H37</v>
      </c>
      <c r="D191" s="68" t="s">
        <v>50</v>
      </c>
      <c r="E191" s="69" t="s">
        <v>101</v>
      </c>
      <c r="F191" s="71">
        <v>6.2</v>
      </c>
    </row>
    <row r="192" ht="22.5" customHeight="1">
      <c r="A192" s="63">
        <v>46087.0</v>
      </c>
      <c r="B192" s="60" t="s">
        <v>36</v>
      </c>
      <c r="C192" s="67" t="str">
        <f>VLOOKUP(B192,BASE_VEICULOS!A:B,2,0)</f>
        <v>#N/A</v>
      </c>
      <c r="D192" s="68" t="s">
        <v>50</v>
      </c>
      <c r="E192" s="69" t="s">
        <v>101</v>
      </c>
      <c r="F192" s="71">
        <v>6.2</v>
      </c>
    </row>
    <row r="193" ht="22.5" customHeight="1">
      <c r="A193" s="63">
        <v>46087.0</v>
      </c>
      <c r="B193" s="60" t="s">
        <v>36</v>
      </c>
      <c r="C193" s="67" t="str">
        <f>VLOOKUP(B193,BASE_VEICULOS!A:B,2,0)</f>
        <v>#N/A</v>
      </c>
      <c r="D193" s="68" t="s">
        <v>50</v>
      </c>
      <c r="E193" s="69" t="s">
        <v>104</v>
      </c>
      <c r="F193" s="71">
        <v>3.8</v>
      </c>
    </row>
    <row r="194" ht="22.5" customHeight="1">
      <c r="A194" s="63">
        <v>46087.0</v>
      </c>
      <c r="B194" s="60" t="s">
        <v>24</v>
      </c>
      <c r="C194" s="67" t="str">
        <f>VLOOKUP(B194,BASE_VEICULOS!A:B,2,0)</f>
        <v>TEW9A23</v>
      </c>
      <c r="D194" s="68" t="s">
        <v>50</v>
      </c>
      <c r="E194" s="69" t="s">
        <v>111</v>
      </c>
      <c r="F194" s="71">
        <v>19.95</v>
      </c>
    </row>
    <row r="195" ht="22.5" customHeight="1">
      <c r="A195" s="63">
        <v>46087.0</v>
      </c>
      <c r="B195" s="60" t="s">
        <v>10</v>
      </c>
      <c r="C195" s="67" t="str">
        <f>VLOOKUP(B195,BASE_VEICULOS!A:B,2,0)</f>
        <v>TEW9A25</v>
      </c>
      <c r="D195" s="68" t="s">
        <v>50</v>
      </c>
      <c r="E195" s="69" t="s">
        <v>106</v>
      </c>
      <c r="F195" s="71">
        <v>8.95</v>
      </c>
    </row>
    <row r="196" ht="22.5" customHeight="1">
      <c r="A196" s="63">
        <v>46087.0</v>
      </c>
      <c r="B196" s="60" t="s">
        <v>10</v>
      </c>
      <c r="C196" s="67" t="str">
        <f>VLOOKUP(B196,BASE_VEICULOS!A:B,2,0)</f>
        <v>TEW9A25</v>
      </c>
      <c r="D196" s="68" t="s">
        <v>50</v>
      </c>
      <c r="E196" s="69" t="s">
        <v>106</v>
      </c>
      <c r="F196" s="71">
        <v>8.95</v>
      </c>
    </row>
    <row r="197" ht="22.5" customHeight="1">
      <c r="A197" s="63">
        <v>46087.0</v>
      </c>
      <c r="B197" s="60" t="s">
        <v>18</v>
      </c>
      <c r="C197" s="67" t="str">
        <f>VLOOKUP(B197,BASE_VEICULOS!A:B,2,0)</f>
        <v>TEW9A29</v>
      </c>
      <c r="D197" s="68" t="s">
        <v>50</v>
      </c>
      <c r="E197" s="69" t="s">
        <v>104</v>
      </c>
      <c r="F197" s="71">
        <v>3.8</v>
      </c>
    </row>
    <row r="198" ht="22.5" customHeight="1">
      <c r="A198" s="63">
        <v>46087.0</v>
      </c>
      <c r="B198" s="60" t="s">
        <v>18</v>
      </c>
      <c r="C198" s="67" t="str">
        <f>VLOOKUP(B198,BASE_VEICULOS!A:B,2,0)</f>
        <v>TEW9A29</v>
      </c>
      <c r="D198" s="68" t="s">
        <v>50</v>
      </c>
      <c r="E198" s="69" t="s">
        <v>104</v>
      </c>
      <c r="F198" s="71">
        <v>3.8</v>
      </c>
    </row>
    <row r="199" ht="22.5" customHeight="1">
      <c r="A199" s="63">
        <v>46087.0</v>
      </c>
      <c r="B199" s="60" t="s">
        <v>17</v>
      </c>
      <c r="C199" s="67" t="str">
        <f>VLOOKUP(B199,BASE_VEICULOS!A:B,2,0)</f>
        <v>#N/A</v>
      </c>
      <c r="D199" s="68" t="s">
        <v>50</v>
      </c>
      <c r="E199" s="69" t="s">
        <v>101</v>
      </c>
      <c r="F199" s="71">
        <v>6.2</v>
      </c>
    </row>
    <row r="200" ht="22.5" customHeight="1">
      <c r="A200" s="63">
        <v>46087.0</v>
      </c>
      <c r="B200" s="60" t="s">
        <v>21</v>
      </c>
      <c r="C200" s="67" t="str">
        <f>VLOOKUP(B200,BASE_VEICULOS!A:B,2,0)</f>
        <v>TEW9A33</v>
      </c>
      <c r="D200" s="68" t="s">
        <v>50</v>
      </c>
      <c r="E200" s="69" t="s">
        <v>103</v>
      </c>
      <c r="F200" s="71">
        <v>7.5</v>
      </c>
    </row>
    <row r="201" ht="22.5" customHeight="1">
      <c r="A201" s="63">
        <v>46087.0</v>
      </c>
      <c r="B201" s="60" t="s">
        <v>21</v>
      </c>
      <c r="C201" s="67" t="str">
        <f>VLOOKUP(B201,BASE_VEICULOS!A:B,2,0)</f>
        <v>TEW9A33</v>
      </c>
      <c r="D201" s="68" t="s">
        <v>50</v>
      </c>
      <c r="E201" s="69" t="s">
        <v>102</v>
      </c>
      <c r="F201" s="71">
        <v>30.6</v>
      </c>
    </row>
    <row r="202" ht="22.5" customHeight="1">
      <c r="A202" s="63">
        <v>46087.0</v>
      </c>
      <c r="B202" s="60" t="s">
        <v>113</v>
      </c>
      <c r="C202" s="67" t="str">
        <f>VLOOKUP(B202,BASE_VEICULOS!A:B,2,0)</f>
        <v>TYK8C73</v>
      </c>
      <c r="D202" s="68" t="s">
        <v>50</v>
      </c>
      <c r="E202" s="69" t="s">
        <v>104</v>
      </c>
      <c r="F202" s="71">
        <v>3.8</v>
      </c>
    </row>
    <row r="203" ht="22.5" customHeight="1">
      <c r="A203" s="63">
        <v>46088.0</v>
      </c>
      <c r="B203" s="60" t="s">
        <v>36</v>
      </c>
      <c r="C203" s="67" t="str">
        <f>VLOOKUP(B203,BASE_VEICULOS!A:B,2,0)</f>
        <v>#N/A</v>
      </c>
      <c r="D203" s="68" t="s">
        <v>50</v>
      </c>
      <c r="E203" s="69" t="s">
        <v>101</v>
      </c>
      <c r="F203" s="71">
        <v>6.2</v>
      </c>
    </row>
    <row r="204" ht="22.5" customHeight="1">
      <c r="A204" s="63">
        <v>46088.0</v>
      </c>
      <c r="B204" s="60" t="s">
        <v>16</v>
      </c>
      <c r="C204" s="67" t="str">
        <f>VLOOKUP(B204,BASE_VEICULOS!A:B,2,0)</f>
        <v>TEW9A27</v>
      </c>
      <c r="D204" s="68" t="s">
        <v>50</v>
      </c>
      <c r="E204" s="69" t="s">
        <v>102</v>
      </c>
      <c r="F204" s="71">
        <v>30.6</v>
      </c>
    </row>
    <row r="205" ht="22.5" customHeight="1">
      <c r="A205" s="63">
        <v>46088.0</v>
      </c>
      <c r="B205" s="60" t="s">
        <v>18</v>
      </c>
      <c r="C205" s="67" t="str">
        <f>VLOOKUP(B205,BASE_VEICULOS!A:B,2,0)</f>
        <v>TEW9A29</v>
      </c>
      <c r="D205" s="68" t="s">
        <v>50</v>
      </c>
      <c r="E205" s="69" t="s">
        <v>104</v>
      </c>
      <c r="F205" s="71">
        <v>3.8</v>
      </c>
    </row>
    <row r="206" ht="22.5" customHeight="1">
      <c r="A206" s="63">
        <v>46088.0</v>
      </c>
      <c r="B206" s="60" t="s">
        <v>18</v>
      </c>
      <c r="C206" s="67" t="str">
        <f>VLOOKUP(B206,BASE_VEICULOS!A:B,2,0)</f>
        <v>TEW9A29</v>
      </c>
      <c r="D206" s="68" t="s">
        <v>50</v>
      </c>
      <c r="E206" s="69" t="s">
        <v>99</v>
      </c>
      <c r="F206" s="71">
        <v>18.34</v>
      </c>
    </row>
    <row r="207" ht="22.5" customHeight="1">
      <c r="A207" s="63">
        <v>46088.0</v>
      </c>
      <c r="B207" s="60" t="s">
        <v>18</v>
      </c>
      <c r="C207" s="67" t="str">
        <f>VLOOKUP(B207,BASE_VEICULOS!A:B,2,0)</f>
        <v>TEW9A29</v>
      </c>
      <c r="D207" s="68" t="s">
        <v>50</v>
      </c>
      <c r="E207" s="69" t="s">
        <v>100</v>
      </c>
      <c r="F207" s="71">
        <v>9.6</v>
      </c>
    </row>
    <row r="208" ht="22.5" customHeight="1">
      <c r="A208" s="63">
        <v>46088.0</v>
      </c>
      <c r="B208" s="60" t="s">
        <v>18</v>
      </c>
      <c r="C208" s="67" t="str">
        <f>VLOOKUP(B208,BASE_VEICULOS!A:B,2,0)</f>
        <v>TEW9A29</v>
      </c>
      <c r="D208" s="68" t="s">
        <v>50</v>
      </c>
      <c r="E208" s="69" t="s">
        <v>100</v>
      </c>
      <c r="F208" s="71">
        <v>9.6</v>
      </c>
    </row>
    <row r="209" ht="22.5" customHeight="1">
      <c r="A209" s="63">
        <v>46088.0</v>
      </c>
      <c r="B209" s="60" t="s">
        <v>18</v>
      </c>
      <c r="C209" s="67" t="str">
        <f>VLOOKUP(B209,BASE_VEICULOS!A:B,2,0)</f>
        <v>TEW9A29</v>
      </c>
      <c r="D209" s="68" t="s">
        <v>50</v>
      </c>
      <c r="E209" s="69" t="s">
        <v>99</v>
      </c>
      <c r="F209" s="71">
        <v>18.34</v>
      </c>
    </row>
    <row r="210" ht="22.5" customHeight="1">
      <c r="A210" s="63">
        <v>46088.0</v>
      </c>
      <c r="B210" s="60" t="s">
        <v>17</v>
      </c>
      <c r="C210" s="67" t="str">
        <f>VLOOKUP(B210,BASE_VEICULOS!A:B,2,0)</f>
        <v>#N/A</v>
      </c>
      <c r="D210" s="68" t="s">
        <v>50</v>
      </c>
      <c r="E210" s="69" t="s">
        <v>101</v>
      </c>
      <c r="F210" s="71">
        <v>6.2</v>
      </c>
    </row>
    <row r="211" ht="22.5" customHeight="1">
      <c r="A211" s="63">
        <v>46088.0</v>
      </c>
      <c r="B211" s="60" t="s">
        <v>21</v>
      </c>
      <c r="C211" s="67" t="str">
        <f>VLOOKUP(B211,BASE_VEICULOS!A:B,2,0)</f>
        <v>TEW9A33</v>
      </c>
      <c r="D211" s="68" t="s">
        <v>50</v>
      </c>
      <c r="E211" s="69" t="s">
        <v>103</v>
      </c>
      <c r="F211" s="71">
        <v>7.5</v>
      </c>
    </row>
    <row r="212" ht="22.5" customHeight="1">
      <c r="A212" s="63">
        <v>46089.0</v>
      </c>
      <c r="B212" s="60" t="s">
        <v>29</v>
      </c>
      <c r="C212" s="67" t="str">
        <f>VLOOKUP(B212,BASE_VEICULOS!A:B,2,0)</f>
        <v>TEQ2I74</v>
      </c>
      <c r="D212" s="68" t="s">
        <v>50</v>
      </c>
      <c r="E212" s="69" t="s">
        <v>99</v>
      </c>
      <c r="F212" s="71">
        <v>19.1</v>
      </c>
    </row>
    <row r="213" ht="22.5" customHeight="1">
      <c r="A213" s="63">
        <v>46089.0</v>
      </c>
      <c r="B213" s="60" t="s">
        <v>29</v>
      </c>
      <c r="C213" s="67" t="str">
        <f>VLOOKUP(B213,BASE_VEICULOS!A:B,2,0)</f>
        <v>TEQ2I74</v>
      </c>
      <c r="D213" s="68" t="s">
        <v>50</v>
      </c>
      <c r="E213" s="69" t="s">
        <v>99</v>
      </c>
      <c r="F213" s="71">
        <v>19.1</v>
      </c>
    </row>
    <row r="214" ht="22.5" customHeight="1">
      <c r="A214" s="63">
        <v>46089.0</v>
      </c>
      <c r="B214" s="60"/>
      <c r="C214" s="67" t="s">
        <v>117</v>
      </c>
      <c r="D214" s="68" t="s">
        <v>50</v>
      </c>
      <c r="E214" s="69" t="s">
        <v>111</v>
      </c>
      <c r="F214" s="71">
        <v>19.95</v>
      </c>
    </row>
    <row r="215" ht="22.5" customHeight="1">
      <c r="A215" s="63">
        <v>46089.0</v>
      </c>
      <c r="B215" s="60" t="s">
        <v>16</v>
      </c>
      <c r="C215" s="67" t="str">
        <f>VLOOKUP(B215,BASE_VEICULOS!A:B,2,0)</f>
        <v>TEW9A27</v>
      </c>
      <c r="D215" s="68" t="s">
        <v>50</v>
      </c>
      <c r="E215" s="69" t="s">
        <v>103</v>
      </c>
      <c r="F215" s="71">
        <v>7.5</v>
      </c>
    </row>
    <row r="216" ht="22.5" customHeight="1">
      <c r="A216" s="63">
        <v>46089.0</v>
      </c>
      <c r="B216" s="60" t="s">
        <v>16</v>
      </c>
      <c r="C216" s="67" t="str">
        <f>VLOOKUP(B216,BASE_VEICULOS!A:B,2,0)</f>
        <v>TEW9A27</v>
      </c>
      <c r="D216" s="68" t="s">
        <v>50</v>
      </c>
      <c r="E216" s="69" t="s">
        <v>102</v>
      </c>
      <c r="F216" s="71">
        <v>30.6</v>
      </c>
    </row>
    <row r="217" ht="22.5" customHeight="1">
      <c r="A217" s="63">
        <v>46089.0</v>
      </c>
      <c r="B217" s="60" t="s">
        <v>18</v>
      </c>
      <c r="C217" s="67" t="str">
        <f>VLOOKUP(B217,BASE_VEICULOS!A:B,2,0)</f>
        <v>TEW9A29</v>
      </c>
      <c r="D217" s="68" t="s">
        <v>50</v>
      </c>
      <c r="E217" s="69" t="s">
        <v>111</v>
      </c>
      <c r="F217" s="71">
        <v>19.95</v>
      </c>
    </row>
    <row r="218" ht="22.5" customHeight="1">
      <c r="A218" s="63">
        <v>46089.0</v>
      </c>
      <c r="B218" s="60" t="s">
        <v>21</v>
      </c>
      <c r="C218" s="67" t="str">
        <f>VLOOKUP(B218,BASE_VEICULOS!A:B,2,0)</f>
        <v>TEW9A33</v>
      </c>
      <c r="D218" s="68" t="s">
        <v>50</v>
      </c>
      <c r="E218" s="69" t="s">
        <v>103</v>
      </c>
      <c r="F218" s="71">
        <v>7.5</v>
      </c>
    </row>
    <row r="219" ht="22.5" customHeight="1">
      <c r="A219" s="63">
        <v>46090.0</v>
      </c>
      <c r="B219" s="60" t="s">
        <v>15</v>
      </c>
      <c r="C219" s="67" t="str">
        <f>VLOOKUP(B219,BASE_VEICULOS!A:B,2,0)</f>
        <v>EWH1B84</v>
      </c>
      <c r="D219" s="68" t="s">
        <v>50</v>
      </c>
      <c r="E219" s="69" t="s">
        <v>103</v>
      </c>
      <c r="F219" s="71">
        <v>7.5</v>
      </c>
    </row>
    <row r="220" ht="22.5" customHeight="1">
      <c r="A220" s="63">
        <v>46090.0</v>
      </c>
      <c r="B220" s="60" t="s">
        <v>15</v>
      </c>
      <c r="C220" s="67" t="str">
        <f>VLOOKUP(B220,BASE_VEICULOS!A:B,2,0)</f>
        <v>EWH1B84</v>
      </c>
      <c r="D220" s="68" t="s">
        <v>50</v>
      </c>
      <c r="E220" s="69" t="s">
        <v>101</v>
      </c>
      <c r="F220" s="71">
        <v>6.2</v>
      </c>
    </row>
    <row r="221" ht="22.5" customHeight="1">
      <c r="A221" s="63">
        <v>46090.0</v>
      </c>
      <c r="B221" s="60" t="s">
        <v>11</v>
      </c>
      <c r="C221" s="67" t="str">
        <f>VLOOKUP(B221,BASE_VEICULOS!A:B,2,0)</f>
        <v>TEW9A28</v>
      </c>
      <c r="D221" s="68" t="s">
        <v>50</v>
      </c>
      <c r="E221" s="69" t="s">
        <v>101</v>
      </c>
      <c r="F221" s="71">
        <v>6.2</v>
      </c>
    </row>
    <row r="222" ht="22.5" customHeight="1">
      <c r="A222" s="63">
        <v>46090.0</v>
      </c>
      <c r="B222" s="60" t="s">
        <v>26</v>
      </c>
      <c r="C222" s="67" t="str">
        <f>VLOOKUP(B222,BASE_VEICULOS!A:B,2,0)</f>
        <v>#N/A</v>
      </c>
      <c r="D222" s="68" t="s">
        <v>50</v>
      </c>
      <c r="E222" s="69" t="s">
        <v>106</v>
      </c>
      <c r="F222" s="71">
        <v>8.95</v>
      </c>
    </row>
    <row r="223" ht="22.5" customHeight="1">
      <c r="A223" s="63">
        <v>46090.0</v>
      </c>
      <c r="B223" s="60" t="s">
        <v>23</v>
      </c>
      <c r="C223" s="67" t="str">
        <f>VLOOKUP(B223,BASE_VEICULOS!A:B,2,0)</f>
        <v>TEH3I02</v>
      </c>
      <c r="D223" s="68" t="s">
        <v>50</v>
      </c>
      <c r="E223" s="69" t="s">
        <v>106</v>
      </c>
      <c r="F223" s="71">
        <v>8.95</v>
      </c>
    </row>
    <row r="224" ht="22.5" customHeight="1">
      <c r="A224" s="63">
        <v>46090.0</v>
      </c>
      <c r="B224" s="60" t="s">
        <v>23</v>
      </c>
      <c r="C224" s="67" t="str">
        <f>VLOOKUP(B224,BASE_VEICULOS!A:B,2,0)</f>
        <v>TEH3I02</v>
      </c>
      <c r="D224" s="68" t="s">
        <v>50</v>
      </c>
      <c r="E224" s="69" t="s">
        <v>106</v>
      </c>
      <c r="F224" s="71">
        <v>8.95</v>
      </c>
    </row>
    <row r="225" ht="22.5" customHeight="1">
      <c r="A225" s="63">
        <v>46090.0</v>
      </c>
      <c r="B225" s="60" t="s">
        <v>22</v>
      </c>
      <c r="C225" s="67" t="str">
        <f>VLOOKUP(B225,BASE_VEICULOS!A:B,2,0)</f>
        <v>TET5H37</v>
      </c>
      <c r="D225" s="68" t="s">
        <v>50</v>
      </c>
      <c r="E225" s="69" t="s">
        <v>102</v>
      </c>
      <c r="F225" s="71">
        <v>30.6</v>
      </c>
    </row>
    <row r="226" ht="22.5" customHeight="1">
      <c r="A226" s="63">
        <v>46090.0</v>
      </c>
      <c r="B226" s="60" t="s">
        <v>22</v>
      </c>
      <c r="C226" s="67" t="str">
        <f>VLOOKUP(B226,BASE_VEICULOS!A:B,2,0)</f>
        <v>TET5H37</v>
      </c>
      <c r="D226" s="68" t="s">
        <v>50</v>
      </c>
      <c r="E226" s="69" t="s">
        <v>101</v>
      </c>
      <c r="F226" s="71">
        <v>6.2</v>
      </c>
    </row>
    <row r="227" ht="22.5" customHeight="1">
      <c r="A227" s="63">
        <v>46090.0</v>
      </c>
      <c r="B227" s="60" t="s">
        <v>36</v>
      </c>
      <c r="C227" s="67" t="str">
        <f>VLOOKUP(B227,BASE_VEICULOS!A:B,2,0)</f>
        <v>#N/A</v>
      </c>
      <c r="D227" s="68" t="s">
        <v>50</v>
      </c>
      <c r="E227" s="69" t="s">
        <v>101</v>
      </c>
      <c r="F227" s="71">
        <v>6.2</v>
      </c>
    </row>
    <row r="228" ht="22.5" customHeight="1">
      <c r="A228" s="63">
        <v>46090.0</v>
      </c>
      <c r="B228" s="60" t="s">
        <v>36</v>
      </c>
      <c r="C228" s="67" t="str">
        <f>VLOOKUP(B228,BASE_VEICULOS!A:B,2,0)</f>
        <v>#N/A</v>
      </c>
      <c r="D228" s="68" t="s">
        <v>50</v>
      </c>
      <c r="E228" s="69" t="s">
        <v>104</v>
      </c>
      <c r="F228" s="71">
        <v>3.8</v>
      </c>
    </row>
    <row r="229" ht="22.5" customHeight="1">
      <c r="A229" s="63">
        <v>46090.0</v>
      </c>
      <c r="B229" s="60" t="s">
        <v>24</v>
      </c>
      <c r="C229" s="67" t="str">
        <f>VLOOKUP(B229,BASE_VEICULOS!A:B,2,0)</f>
        <v>TEW9A23</v>
      </c>
      <c r="D229" s="68" t="s">
        <v>50</v>
      </c>
      <c r="E229" s="69" t="s">
        <v>103</v>
      </c>
      <c r="F229" s="71">
        <v>7.5</v>
      </c>
    </row>
    <row r="230" ht="22.5" customHeight="1">
      <c r="A230" s="63">
        <v>46090.0</v>
      </c>
      <c r="B230" s="60" t="s">
        <v>24</v>
      </c>
      <c r="C230" s="67" t="str">
        <f>VLOOKUP(B230,BASE_VEICULOS!A:B,2,0)</f>
        <v>TEW9A23</v>
      </c>
      <c r="D230" s="68" t="s">
        <v>50</v>
      </c>
      <c r="E230" s="69" t="s">
        <v>102</v>
      </c>
      <c r="F230" s="71">
        <v>18.4</v>
      </c>
    </row>
    <row r="231" ht="22.5" customHeight="1">
      <c r="A231" s="63">
        <v>46090.0</v>
      </c>
      <c r="B231" s="60" t="s">
        <v>24</v>
      </c>
      <c r="C231" s="67" t="str">
        <f>VLOOKUP(B231,BASE_VEICULOS!A:B,2,0)</f>
        <v>TEW9A23</v>
      </c>
      <c r="D231" s="68" t="s">
        <v>50</v>
      </c>
      <c r="E231" s="69" t="s">
        <v>102</v>
      </c>
      <c r="F231" s="71">
        <v>30.6</v>
      </c>
    </row>
    <row r="232" ht="22.5" customHeight="1">
      <c r="A232" s="63">
        <v>46090.0</v>
      </c>
      <c r="B232" s="60" t="s">
        <v>24</v>
      </c>
      <c r="C232" s="67" t="str">
        <f>VLOOKUP(B232,BASE_VEICULOS!A:B,2,0)</f>
        <v>TEW9A23</v>
      </c>
      <c r="D232" s="68" t="s">
        <v>50</v>
      </c>
      <c r="E232" s="69" t="s">
        <v>101</v>
      </c>
      <c r="F232" s="71">
        <v>6.2</v>
      </c>
    </row>
    <row r="233" ht="22.5" customHeight="1">
      <c r="A233" s="63">
        <v>46090.0</v>
      </c>
      <c r="B233" s="60" t="s">
        <v>10</v>
      </c>
      <c r="C233" s="67" t="str">
        <f>VLOOKUP(B233,BASE_VEICULOS!A:B,2,0)</f>
        <v>TEW9A25</v>
      </c>
      <c r="D233" s="68" t="s">
        <v>50</v>
      </c>
      <c r="E233" s="69" t="s">
        <v>106</v>
      </c>
      <c r="F233" s="71">
        <v>8.95</v>
      </c>
    </row>
    <row r="234" ht="22.5" customHeight="1">
      <c r="A234" s="63">
        <v>46090.0</v>
      </c>
      <c r="B234" s="60" t="s">
        <v>30</v>
      </c>
      <c r="C234" s="67" t="str">
        <f>VLOOKUP(B234,BASE_VEICULOS!A:B,2,0)</f>
        <v>#N/A</v>
      </c>
      <c r="D234" s="68" t="s">
        <v>50</v>
      </c>
      <c r="E234" s="69" t="s">
        <v>101</v>
      </c>
      <c r="F234" s="71">
        <v>6.2</v>
      </c>
    </row>
    <row r="235" ht="22.5" customHeight="1">
      <c r="A235" s="63">
        <v>46090.0</v>
      </c>
      <c r="B235" s="60" t="s">
        <v>18</v>
      </c>
      <c r="C235" s="67" t="str">
        <f>VLOOKUP(B235,BASE_VEICULOS!A:B,2,0)</f>
        <v>TEW9A29</v>
      </c>
      <c r="D235" s="68" t="s">
        <v>50</v>
      </c>
      <c r="E235" s="69" t="s">
        <v>111</v>
      </c>
      <c r="F235" s="71">
        <v>19.95</v>
      </c>
    </row>
    <row r="236" ht="22.5" customHeight="1">
      <c r="A236" s="63">
        <v>46090.0</v>
      </c>
      <c r="B236" s="60" t="s">
        <v>18</v>
      </c>
      <c r="C236" s="67" t="str">
        <f>VLOOKUP(B236,BASE_VEICULOS!A:B,2,0)</f>
        <v>TEW9A29</v>
      </c>
      <c r="D236" s="68" t="s">
        <v>50</v>
      </c>
      <c r="E236" s="69" t="s">
        <v>111</v>
      </c>
      <c r="F236" s="71">
        <v>19.79</v>
      </c>
    </row>
    <row r="237" ht="22.5" customHeight="1">
      <c r="A237" s="63">
        <v>46090.0</v>
      </c>
      <c r="B237" s="60" t="s">
        <v>17</v>
      </c>
      <c r="C237" s="67" t="str">
        <f>VLOOKUP(B237,BASE_VEICULOS!A:B,2,0)</f>
        <v>#N/A</v>
      </c>
      <c r="D237" s="68" t="s">
        <v>50</v>
      </c>
      <c r="E237" s="69" t="s">
        <v>99</v>
      </c>
      <c r="F237" s="71">
        <v>18.34</v>
      </c>
    </row>
    <row r="238" ht="22.5" customHeight="1">
      <c r="A238" s="63">
        <v>46090.0</v>
      </c>
      <c r="B238" s="60" t="s">
        <v>17</v>
      </c>
      <c r="C238" s="67" t="str">
        <f>VLOOKUP(B238,BASE_VEICULOS!A:B,2,0)</f>
        <v>#N/A</v>
      </c>
      <c r="D238" s="68" t="s">
        <v>50</v>
      </c>
      <c r="E238" s="69" t="s">
        <v>100</v>
      </c>
      <c r="F238" s="71">
        <v>9.6</v>
      </c>
    </row>
    <row r="239" ht="22.5" customHeight="1">
      <c r="A239" s="63">
        <v>46090.0</v>
      </c>
      <c r="B239" s="60" t="s">
        <v>17</v>
      </c>
      <c r="C239" s="67" t="str">
        <f>VLOOKUP(B239,BASE_VEICULOS!A:B,2,0)</f>
        <v>#N/A</v>
      </c>
      <c r="D239" s="68" t="s">
        <v>50</v>
      </c>
      <c r="E239" s="69" t="s">
        <v>100</v>
      </c>
      <c r="F239" s="71">
        <v>9.6</v>
      </c>
    </row>
    <row r="240" ht="22.5" customHeight="1">
      <c r="A240" s="63">
        <v>46090.0</v>
      </c>
      <c r="B240" s="60" t="s">
        <v>17</v>
      </c>
      <c r="C240" s="67" t="str">
        <f>VLOOKUP(B240,BASE_VEICULOS!A:B,2,0)</f>
        <v>#N/A</v>
      </c>
      <c r="D240" s="68" t="s">
        <v>50</v>
      </c>
      <c r="E240" s="69" t="s">
        <v>99</v>
      </c>
      <c r="F240" s="71">
        <v>18.34</v>
      </c>
    </row>
    <row r="241" ht="22.5" customHeight="1">
      <c r="A241" s="63">
        <v>46090.0</v>
      </c>
      <c r="B241" s="60" t="s">
        <v>113</v>
      </c>
      <c r="C241" s="67" t="str">
        <f>VLOOKUP(B241,BASE_VEICULOS!A:B,2,0)</f>
        <v>TYK8C73</v>
      </c>
      <c r="D241" s="68" t="s">
        <v>50</v>
      </c>
      <c r="E241" s="69" t="s">
        <v>104</v>
      </c>
      <c r="F241" s="71">
        <v>3.8</v>
      </c>
    </row>
    <row r="242" ht="22.5" customHeight="1">
      <c r="A242" s="63">
        <v>46090.0</v>
      </c>
      <c r="B242" s="60" t="s">
        <v>113</v>
      </c>
      <c r="C242" s="67" t="str">
        <f>VLOOKUP(B242,BASE_VEICULOS!A:B,2,0)</f>
        <v>TYK8C73</v>
      </c>
      <c r="D242" s="68" t="s">
        <v>50</v>
      </c>
      <c r="E242" s="69" t="s">
        <v>104</v>
      </c>
      <c r="F242" s="71">
        <v>3.8</v>
      </c>
    </row>
    <row r="243" ht="22.5" customHeight="1">
      <c r="A243" s="63">
        <v>46091.0</v>
      </c>
      <c r="B243" s="60" t="s">
        <v>15</v>
      </c>
      <c r="C243" s="67" t="str">
        <f>VLOOKUP(B243,BASE_VEICULOS!A:B,2,0)</f>
        <v>EWH1B84</v>
      </c>
      <c r="D243" s="68" t="s">
        <v>50</v>
      </c>
      <c r="E243" s="69" t="s">
        <v>101</v>
      </c>
      <c r="F243" s="71">
        <v>6.2</v>
      </c>
    </row>
    <row r="244" ht="22.5" customHeight="1">
      <c r="A244" s="63">
        <v>46091.0</v>
      </c>
      <c r="B244" s="60" t="s">
        <v>14</v>
      </c>
      <c r="C244" s="67" t="str">
        <f>VLOOKUP(B244,BASE_VEICULOS!A:B,2,0)</f>
        <v>FOK8A73</v>
      </c>
      <c r="D244" s="68" t="s">
        <v>50</v>
      </c>
      <c r="E244" s="69" t="s">
        <v>106</v>
      </c>
      <c r="F244" s="71">
        <v>8.95</v>
      </c>
    </row>
    <row r="245" ht="22.5" customHeight="1">
      <c r="A245" s="63">
        <v>46091.0</v>
      </c>
      <c r="B245" s="60" t="s">
        <v>14</v>
      </c>
      <c r="C245" s="67" t="str">
        <f>VLOOKUP(B245,BASE_VEICULOS!A:B,2,0)</f>
        <v>FOK8A73</v>
      </c>
      <c r="D245" s="68" t="s">
        <v>50</v>
      </c>
      <c r="E245" s="69" t="s">
        <v>106</v>
      </c>
      <c r="F245" s="71">
        <v>8.95</v>
      </c>
    </row>
    <row r="246" ht="22.5" customHeight="1">
      <c r="A246" s="63">
        <v>46091.0</v>
      </c>
      <c r="B246" s="60" t="s">
        <v>14</v>
      </c>
      <c r="C246" s="67" t="str">
        <f>VLOOKUP(B246,BASE_VEICULOS!A:B,2,0)</f>
        <v>FOK8A73</v>
      </c>
      <c r="D246" s="68" t="s">
        <v>50</v>
      </c>
      <c r="E246" s="69" t="s">
        <v>106</v>
      </c>
      <c r="F246" s="71">
        <v>8.95</v>
      </c>
    </row>
    <row r="247" ht="22.5" customHeight="1">
      <c r="A247" s="63">
        <v>46091.0</v>
      </c>
      <c r="B247" s="60" t="s">
        <v>14</v>
      </c>
      <c r="C247" s="67" t="str">
        <f>VLOOKUP(B247,BASE_VEICULOS!A:B,2,0)</f>
        <v>FOK8A73</v>
      </c>
      <c r="D247" s="68" t="s">
        <v>50</v>
      </c>
      <c r="E247" s="69" t="s">
        <v>104</v>
      </c>
      <c r="F247" s="71">
        <v>3.8</v>
      </c>
    </row>
    <row r="248" ht="22.5" customHeight="1">
      <c r="A248" s="63">
        <v>46091.0</v>
      </c>
      <c r="B248" s="60" t="s">
        <v>33</v>
      </c>
      <c r="C248" s="67" t="str">
        <f>VLOOKUP(B248,BASE_VEICULOS!A:B,2,0)</f>
        <v>TEW9A30</v>
      </c>
      <c r="D248" s="68" t="s">
        <v>50</v>
      </c>
      <c r="E248" s="69" t="s">
        <v>104</v>
      </c>
      <c r="F248" s="71">
        <v>3.8</v>
      </c>
    </row>
    <row r="249" ht="22.5" customHeight="1">
      <c r="A249" s="63">
        <v>46091.0</v>
      </c>
      <c r="B249" s="60" t="s">
        <v>29</v>
      </c>
      <c r="C249" s="67" t="str">
        <f>VLOOKUP(B249,BASE_VEICULOS!A:B,2,0)</f>
        <v>TEQ2I74</v>
      </c>
      <c r="D249" s="68" t="s">
        <v>50</v>
      </c>
      <c r="E249" s="69" t="s">
        <v>101</v>
      </c>
      <c r="F249" s="71">
        <v>6.2</v>
      </c>
    </row>
    <row r="250" ht="22.5" customHeight="1">
      <c r="A250" s="63">
        <v>46091.0</v>
      </c>
      <c r="B250" s="60" t="s">
        <v>29</v>
      </c>
      <c r="C250" s="67" t="str">
        <f>VLOOKUP(B250,BASE_VEICULOS!A:B,2,0)</f>
        <v>TEQ2I74</v>
      </c>
      <c r="D250" s="68" t="s">
        <v>50</v>
      </c>
      <c r="E250" s="69" t="s">
        <v>103</v>
      </c>
      <c r="F250" s="71">
        <v>7.12</v>
      </c>
    </row>
    <row r="251" ht="22.5" customHeight="1">
      <c r="A251" s="63">
        <v>46091.0</v>
      </c>
      <c r="B251" s="60" t="s">
        <v>27</v>
      </c>
      <c r="C251" s="67" t="str">
        <f>VLOOKUP(B251,BASE_VEICULOS!A:B,2,0)</f>
        <v>UDA5B37</v>
      </c>
      <c r="D251" s="68" t="s">
        <v>50</v>
      </c>
      <c r="E251" s="69" t="s">
        <v>101</v>
      </c>
      <c r="F251" s="71">
        <v>6.2</v>
      </c>
    </row>
    <row r="252" ht="22.5" customHeight="1">
      <c r="A252" s="63">
        <v>46091.0</v>
      </c>
      <c r="B252" s="60" t="s">
        <v>23</v>
      </c>
      <c r="C252" s="67" t="str">
        <f>VLOOKUP(B252,BASE_VEICULOS!A:B,2,0)</f>
        <v>TEH3I02</v>
      </c>
      <c r="D252" s="68" t="s">
        <v>50</v>
      </c>
      <c r="E252" s="69" t="s">
        <v>101</v>
      </c>
      <c r="F252" s="71">
        <v>6.2</v>
      </c>
    </row>
    <row r="253" ht="22.5" customHeight="1">
      <c r="A253" s="63">
        <v>46091.0</v>
      </c>
      <c r="B253" s="60" t="s">
        <v>36</v>
      </c>
      <c r="C253" s="67" t="str">
        <f>VLOOKUP(B253,BASE_VEICULOS!A:B,2,0)</f>
        <v>#N/A</v>
      </c>
      <c r="D253" s="68" t="s">
        <v>50</v>
      </c>
      <c r="E253" s="69" t="s">
        <v>103</v>
      </c>
      <c r="F253" s="71">
        <v>7.12</v>
      </c>
    </row>
    <row r="254" ht="22.5" customHeight="1">
      <c r="A254" s="63">
        <v>46091.0</v>
      </c>
      <c r="B254" s="60" t="s">
        <v>36</v>
      </c>
      <c r="C254" s="67" t="str">
        <f>VLOOKUP(B254,BASE_VEICULOS!A:B,2,0)</f>
        <v>#N/A</v>
      </c>
      <c r="D254" s="68" t="s">
        <v>50</v>
      </c>
      <c r="E254" s="69" t="s">
        <v>100</v>
      </c>
      <c r="F254" s="71">
        <v>9.6</v>
      </c>
    </row>
    <row r="255" ht="22.5" customHeight="1">
      <c r="A255" s="63">
        <v>46091.0</v>
      </c>
      <c r="B255" s="60" t="s">
        <v>36</v>
      </c>
      <c r="C255" s="67" t="str">
        <f>VLOOKUP(B255,BASE_VEICULOS!A:B,2,0)</f>
        <v>#N/A</v>
      </c>
      <c r="D255" s="68" t="s">
        <v>50</v>
      </c>
      <c r="E255" s="69" t="s">
        <v>100</v>
      </c>
      <c r="F255" s="71">
        <v>9.6</v>
      </c>
    </row>
    <row r="256" ht="22.5" customHeight="1">
      <c r="A256" s="63">
        <v>46091.0</v>
      </c>
      <c r="B256" s="60" t="s">
        <v>36</v>
      </c>
      <c r="C256" s="67" t="str">
        <f>VLOOKUP(B256,BASE_VEICULOS!A:B,2,0)</f>
        <v>#N/A</v>
      </c>
      <c r="D256" s="68" t="s">
        <v>50</v>
      </c>
      <c r="E256" s="69" t="s">
        <v>101</v>
      </c>
      <c r="F256" s="71">
        <v>6.2</v>
      </c>
    </row>
    <row r="257" ht="22.5" customHeight="1">
      <c r="A257" s="63">
        <v>46091.0</v>
      </c>
      <c r="B257" s="60" t="s">
        <v>24</v>
      </c>
      <c r="C257" s="67" t="str">
        <f>VLOOKUP(B257,BASE_VEICULOS!A:B,2,0)</f>
        <v>TEW9A23</v>
      </c>
      <c r="D257" s="68" t="s">
        <v>50</v>
      </c>
      <c r="E257" s="69" t="s">
        <v>99</v>
      </c>
      <c r="F257" s="71">
        <v>18.34</v>
      </c>
    </row>
    <row r="258" ht="22.5" customHeight="1">
      <c r="A258" s="63">
        <v>46091.0</v>
      </c>
      <c r="B258" s="60" t="s">
        <v>24</v>
      </c>
      <c r="C258" s="67" t="str">
        <f>VLOOKUP(B258,BASE_VEICULOS!A:B,2,0)</f>
        <v>TEW9A23</v>
      </c>
      <c r="D258" s="68" t="s">
        <v>50</v>
      </c>
      <c r="E258" s="69" t="s">
        <v>99</v>
      </c>
      <c r="F258" s="71">
        <v>18.34</v>
      </c>
    </row>
    <row r="259" ht="22.5" customHeight="1">
      <c r="A259" s="63">
        <v>46091.0</v>
      </c>
      <c r="B259" s="60" t="s">
        <v>10</v>
      </c>
      <c r="C259" s="67" t="str">
        <f>VLOOKUP(B259,BASE_VEICULOS!A:B,2,0)</f>
        <v>TEW9A25</v>
      </c>
      <c r="D259" s="68" t="s">
        <v>50</v>
      </c>
      <c r="E259" s="69" t="s">
        <v>106</v>
      </c>
      <c r="F259" s="71">
        <v>8.95</v>
      </c>
    </row>
    <row r="260" ht="22.5" customHeight="1">
      <c r="A260" s="63">
        <v>46091.0</v>
      </c>
      <c r="B260" s="60" t="s">
        <v>18</v>
      </c>
      <c r="C260" s="67" t="str">
        <f>VLOOKUP(B260,BASE_VEICULOS!A:B,2,0)</f>
        <v>TEW9A29</v>
      </c>
      <c r="D260" s="68" t="s">
        <v>50</v>
      </c>
      <c r="E260" s="69" t="s">
        <v>104</v>
      </c>
      <c r="F260" s="71">
        <v>3.8</v>
      </c>
    </row>
    <row r="261" ht="22.5" customHeight="1">
      <c r="A261" s="63">
        <v>46091.0</v>
      </c>
      <c r="B261" s="60" t="s">
        <v>18</v>
      </c>
      <c r="C261" s="67" t="str">
        <f>VLOOKUP(B261,BASE_VEICULOS!A:B,2,0)</f>
        <v>TEW9A29</v>
      </c>
      <c r="D261" s="68" t="s">
        <v>50</v>
      </c>
      <c r="E261" s="69" t="s">
        <v>104</v>
      </c>
      <c r="F261" s="71">
        <v>3.8</v>
      </c>
    </row>
    <row r="262" ht="22.5" customHeight="1">
      <c r="A262" s="63">
        <v>46091.0</v>
      </c>
      <c r="B262" s="60" t="s">
        <v>18</v>
      </c>
      <c r="C262" s="67" t="str">
        <f>VLOOKUP(B262,BASE_VEICULOS!A:B,2,0)</f>
        <v>TEW9A29</v>
      </c>
      <c r="D262" s="68" t="s">
        <v>50</v>
      </c>
      <c r="E262" s="69" t="s">
        <v>104</v>
      </c>
      <c r="F262" s="71">
        <v>3.8</v>
      </c>
    </row>
    <row r="263" ht="22.5" customHeight="1">
      <c r="A263" s="63">
        <v>46091.0</v>
      </c>
      <c r="B263" s="60" t="s">
        <v>17</v>
      </c>
      <c r="C263" s="67" t="str">
        <f>VLOOKUP(B263,BASE_VEICULOS!A:B,2,0)</f>
        <v>#N/A</v>
      </c>
      <c r="D263" s="68" t="s">
        <v>50</v>
      </c>
      <c r="E263" s="69" t="s">
        <v>103</v>
      </c>
      <c r="F263" s="71">
        <v>7.12</v>
      </c>
    </row>
    <row r="264" ht="22.5" customHeight="1">
      <c r="A264" s="63">
        <v>46091.0</v>
      </c>
      <c r="B264" s="60" t="s">
        <v>17</v>
      </c>
      <c r="C264" s="67" t="str">
        <f>VLOOKUP(B264,BASE_VEICULOS!A:B,2,0)</f>
        <v>#N/A</v>
      </c>
      <c r="D264" s="68" t="s">
        <v>50</v>
      </c>
      <c r="E264" s="69" t="s">
        <v>99</v>
      </c>
      <c r="F264" s="71">
        <v>19.1</v>
      </c>
    </row>
    <row r="265" ht="22.5" customHeight="1">
      <c r="A265" s="63">
        <v>46091.0</v>
      </c>
      <c r="B265" s="60" t="s">
        <v>113</v>
      </c>
      <c r="C265" s="67" t="str">
        <f>VLOOKUP(B265,BASE_VEICULOS!A:B,2,0)</f>
        <v>TYK8C73</v>
      </c>
      <c r="D265" s="68" t="s">
        <v>50</v>
      </c>
      <c r="E265" s="69" t="s">
        <v>104</v>
      </c>
      <c r="F265" s="71">
        <v>3.8</v>
      </c>
    </row>
    <row r="266" ht="22.5" customHeight="1">
      <c r="A266" s="63">
        <v>46091.0</v>
      </c>
      <c r="B266" s="60" t="s">
        <v>113</v>
      </c>
      <c r="C266" s="67" t="str">
        <f>VLOOKUP(B266,BASE_VEICULOS!A:B,2,0)</f>
        <v>TYK8C73</v>
      </c>
      <c r="D266" s="68" t="s">
        <v>50</v>
      </c>
      <c r="E266" s="69" t="s">
        <v>104</v>
      </c>
      <c r="F266" s="71">
        <v>3.8</v>
      </c>
    </row>
    <row r="267" ht="22.5" customHeight="1">
      <c r="A267" s="63">
        <v>46092.0</v>
      </c>
      <c r="B267" s="60" t="s">
        <v>15</v>
      </c>
      <c r="C267" s="67" t="str">
        <f>VLOOKUP(B267,BASE_VEICULOS!A:B,2,0)</f>
        <v>EWH1B84</v>
      </c>
      <c r="D267" s="68" t="s">
        <v>50</v>
      </c>
      <c r="E267" s="69" t="s">
        <v>101</v>
      </c>
      <c r="F267" s="72">
        <v>6.2</v>
      </c>
    </row>
    <row r="268" ht="22.5" customHeight="1">
      <c r="A268" s="63">
        <v>46092.0</v>
      </c>
      <c r="B268" s="60" t="s">
        <v>29</v>
      </c>
      <c r="C268" s="67" t="str">
        <f>VLOOKUP(B268,BASE_VEICULOS!A:B,2,0)</f>
        <v>TEQ2I74</v>
      </c>
      <c r="D268" s="68" t="s">
        <v>50</v>
      </c>
      <c r="E268" s="69" t="s">
        <v>101</v>
      </c>
      <c r="F268" s="72">
        <v>6.2</v>
      </c>
    </row>
    <row r="269" ht="22.5" customHeight="1">
      <c r="A269" s="63">
        <v>46092.0</v>
      </c>
      <c r="B269" s="60" t="s">
        <v>29</v>
      </c>
      <c r="C269" s="67" t="str">
        <f>VLOOKUP(B269,BASE_VEICULOS!A:B,2,0)</f>
        <v>TEQ2I74</v>
      </c>
      <c r="D269" s="68" t="s">
        <v>50</v>
      </c>
      <c r="E269" s="69" t="s">
        <v>103</v>
      </c>
      <c r="F269" s="72">
        <v>7.12</v>
      </c>
    </row>
    <row r="270" ht="22.5" customHeight="1">
      <c r="A270" s="63">
        <v>46092.0</v>
      </c>
      <c r="B270" s="60" t="s">
        <v>29</v>
      </c>
      <c r="C270" s="67" t="str">
        <f>VLOOKUP(B270,BASE_VEICULOS!A:B,2,0)</f>
        <v>TEQ2I74</v>
      </c>
      <c r="D270" s="68" t="s">
        <v>50</v>
      </c>
      <c r="E270" s="69" t="s">
        <v>103</v>
      </c>
      <c r="F270" s="72">
        <v>7.12</v>
      </c>
    </row>
    <row r="271" ht="22.5" customHeight="1">
      <c r="A271" s="63">
        <v>46092.0</v>
      </c>
      <c r="B271" s="60" t="s">
        <v>29</v>
      </c>
      <c r="C271" s="67" t="str">
        <f>VLOOKUP(B271,BASE_VEICULOS!A:B,2,0)</f>
        <v>TEQ2I74</v>
      </c>
      <c r="D271" s="68" t="s">
        <v>50</v>
      </c>
      <c r="E271" s="69" t="s">
        <v>103</v>
      </c>
      <c r="F271" s="72">
        <v>6.55</v>
      </c>
    </row>
    <row r="272" ht="22.5" customHeight="1">
      <c r="A272" s="63">
        <v>46092.0</v>
      </c>
      <c r="B272" s="60" t="s">
        <v>26</v>
      </c>
      <c r="C272" s="67" t="str">
        <f>VLOOKUP(B272,BASE_VEICULOS!A:B,2,0)</f>
        <v>#N/A</v>
      </c>
      <c r="D272" s="68" t="s">
        <v>50</v>
      </c>
      <c r="E272" s="69" t="s">
        <v>101</v>
      </c>
      <c r="F272" s="72">
        <v>6.2</v>
      </c>
    </row>
    <row r="273" ht="22.5" customHeight="1">
      <c r="A273" s="63">
        <v>46092.0</v>
      </c>
      <c r="B273" s="60" t="s">
        <v>23</v>
      </c>
      <c r="C273" s="67" t="str">
        <f>VLOOKUP(B273,BASE_VEICULOS!A:B,2,0)</f>
        <v>TEH3I02</v>
      </c>
      <c r="D273" s="68" t="s">
        <v>50</v>
      </c>
      <c r="E273" s="69" t="s">
        <v>101</v>
      </c>
      <c r="F273" s="72">
        <v>6.2</v>
      </c>
    </row>
    <row r="274" ht="22.5" customHeight="1">
      <c r="A274" s="63">
        <v>46092.0</v>
      </c>
      <c r="B274" s="60" t="s">
        <v>24</v>
      </c>
      <c r="C274" s="67" t="str">
        <f>VLOOKUP(B274,BASE_VEICULOS!A:B,2,0)</f>
        <v>TEW9A23</v>
      </c>
      <c r="D274" s="68" t="s">
        <v>50</v>
      </c>
      <c r="E274" s="69" t="s">
        <v>102</v>
      </c>
      <c r="F274" s="72">
        <v>18.4</v>
      </c>
    </row>
    <row r="275" ht="22.5" customHeight="1">
      <c r="A275" s="63">
        <v>46092.0</v>
      </c>
      <c r="B275" s="60" t="s">
        <v>24</v>
      </c>
      <c r="C275" s="67" t="str">
        <f>VLOOKUP(B275,BASE_VEICULOS!A:B,2,0)</f>
        <v>TEW9A23</v>
      </c>
      <c r="D275" s="68" t="s">
        <v>50</v>
      </c>
      <c r="E275" s="69" t="s">
        <v>99</v>
      </c>
      <c r="F275" s="72">
        <v>19.1</v>
      </c>
    </row>
    <row r="276" ht="22.5" customHeight="1">
      <c r="A276" s="63">
        <v>46092.0</v>
      </c>
      <c r="B276" s="60" t="s">
        <v>10</v>
      </c>
      <c r="C276" s="67" t="str">
        <f>VLOOKUP(B276,BASE_VEICULOS!A:B,2,0)</f>
        <v>TEW9A25</v>
      </c>
      <c r="D276" s="68" t="s">
        <v>50</v>
      </c>
      <c r="E276" s="69" t="s">
        <v>106</v>
      </c>
      <c r="F276" s="72">
        <v>8.95</v>
      </c>
    </row>
    <row r="277" ht="22.5" customHeight="1">
      <c r="A277" s="63">
        <v>46092.0</v>
      </c>
      <c r="B277" s="60" t="s">
        <v>10</v>
      </c>
      <c r="C277" s="67" t="str">
        <f>VLOOKUP(B277,BASE_VEICULOS!A:B,2,0)</f>
        <v>TEW9A25</v>
      </c>
      <c r="D277" s="68" t="s">
        <v>50</v>
      </c>
      <c r="E277" s="69" t="s">
        <v>104</v>
      </c>
      <c r="F277" s="72">
        <v>3.8</v>
      </c>
    </row>
    <row r="278" ht="22.5" customHeight="1">
      <c r="A278" s="63">
        <v>46092.0</v>
      </c>
      <c r="B278" s="60" t="s">
        <v>18</v>
      </c>
      <c r="C278" s="67" t="str">
        <f>VLOOKUP(B278,BASE_VEICULOS!A:B,2,0)</f>
        <v>TEW9A29</v>
      </c>
      <c r="D278" s="68" t="s">
        <v>50</v>
      </c>
      <c r="E278" s="69" t="s">
        <v>104</v>
      </c>
      <c r="F278" s="72">
        <v>3.8</v>
      </c>
    </row>
    <row r="279" ht="22.5" customHeight="1">
      <c r="A279" s="63">
        <v>46092.0</v>
      </c>
      <c r="B279" s="60" t="s">
        <v>18</v>
      </c>
      <c r="C279" s="67" t="str">
        <f>VLOOKUP(B279,BASE_VEICULOS!A:B,2,0)</f>
        <v>TEW9A29</v>
      </c>
      <c r="D279" s="68" t="s">
        <v>50</v>
      </c>
      <c r="E279" s="69" t="s">
        <v>104</v>
      </c>
      <c r="F279" s="72">
        <v>3.8</v>
      </c>
    </row>
    <row r="280" ht="22.5" customHeight="1">
      <c r="A280" s="63">
        <v>46092.0</v>
      </c>
      <c r="B280" s="60" t="s">
        <v>18</v>
      </c>
      <c r="C280" s="67" t="str">
        <f>VLOOKUP(B280,BASE_VEICULOS!A:B,2,0)</f>
        <v>TEW9A29</v>
      </c>
      <c r="D280" s="68" t="s">
        <v>50</v>
      </c>
      <c r="E280" s="69" t="s">
        <v>106</v>
      </c>
      <c r="F280" s="72">
        <v>8.95</v>
      </c>
    </row>
    <row r="281" ht="22.5" customHeight="1">
      <c r="A281" s="63">
        <v>46092.0</v>
      </c>
      <c r="B281" s="60" t="s">
        <v>17</v>
      </c>
      <c r="C281" s="67" t="str">
        <f>VLOOKUP(B281,BASE_VEICULOS!A:B,2,0)</f>
        <v>#N/A</v>
      </c>
      <c r="D281" s="68" t="s">
        <v>50</v>
      </c>
      <c r="E281" s="69" t="s">
        <v>103</v>
      </c>
      <c r="F281" s="72">
        <v>7.12</v>
      </c>
    </row>
    <row r="282" ht="22.5" customHeight="1">
      <c r="A282" s="63">
        <v>46092.0</v>
      </c>
      <c r="B282" s="60" t="s">
        <v>17</v>
      </c>
      <c r="C282" s="67" t="str">
        <f>VLOOKUP(B282,BASE_VEICULOS!A:B,2,0)</f>
        <v>#N/A</v>
      </c>
      <c r="D282" s="68" t="s">
        <v>50</v>
      </c>
      <c r="E282" s="69" t="s">
        <v>103</v>
      </c>
      <c r="F282" s="72">
        <v>7.12</v>
      </c>
    </row>
    <row r="283" ht="22.5" customHeight="1">
      <c r="A283" s="63">
        <v>46092.0</v>
      </c>
      <c r="B283" s="60" t="s">
        <v>17</v>
      </c>
      <c r="C283" s="67" t="str">
        <f>VLOOKUP(B283,BASE_VEICULOS!A:B,2,0)</f>
        <v>#N/A</v>
      </c>
      <c r="D283" s="68" t="s">
        <v>50</v>
      </c>
      <c r="E283" s="69" t="s">
        <v>103</v>
      </c>
      <c r="F283" s="72">
        <v>6.55</v>
      </c>
    </row>
    <row r="284" ht="22.5" customHeight="1">
      <c r="A284" s="63">
        <v>46092.0</v>
      </c>
      <c r="B284" s="60" t="s">
        <v>17</v>
      </c>
      <c r="C284" s="67" t="str">
        <f>VLOOKUP(B284,BASE_VEICULOS!A:B,2,0)</f>
        <v>#N/A</v>
      </c>
      <c r="D284" s="68" t="s">
        <v>50</v>
      </c>
      <c r="E284" s="69" t="s">
        <v>102</v>
      </c>
      <c r="F284" s="72">
        <v>18.4</v>
      </c>
    </row>
    <row r="285" ht="22.5" customHeight="1">
      <c r="A285" s="63">
        <v>46092.0</v>
      </c>
      <c r="B285" s="60" t="s">
        <v>17</v>
      </c>
      <c r="C285" s="67" t="str">
        <f>VLOOKUP(B285,BASE_VEICULOS!A:B,2,0)</f>
        <v>#N/A</v>
      </c>
      <c r="D285" s="68" t="s">
        <v>50</v>
      </c>
      <c r="E285" s="69" t="s">
        <v>101</v>
      </c>
      <c r="F285" s="72">
        <v>6.2</v>
      </c>
    </row>
    <row r="286" ht="22.5" customHeight="1">
      <c r="A286" s="63">
        <v>46092.0</v>
      </c>
      <c r="B286" s="60" t="s">
        <v>21</v>
      </c>
      <c r="C286" s="67" t="str">
        <f>VLOOKUP(B286,BASE_VEICULOS!A:B,2,0)</f>
        <v>TEW9A33</v>
      </c>
      <c r="D286" s="68" t="s">
        <v>50</v>
      </c>
      <c r="E286" s="69" t="s">
        <v>101</v>
      </c>
      <c r="F286" s="72">
        <v>6.2</v>
      </c>
    </row>
    <row r="287" ht="22.5" customHeight="1">
      <c r="A287" s="63">
        <v>46092.0</v>
      </c>
      <c r="B287" s="60" t="s">
        <v>113</v>
      </c>
      <c r="C287" s="67" t="str">
        <f>VLOOKUP(B287,BASE_VEICULOS!A:B,2,0)</f>
        <v>TYK8C73</v>
      </c>
      <c r="D287" s="68" t="s">
        <v>51</v>
      </c>
      <c r="E287" s="69" t="s">
        <v>118</v>
      </c>
      <c r="F287" s="72">
        <v>18.0</v>
      </c>
    </row>
    <row r="288" ht="22.5" customHeight="1">
      <c r="A288" s="63">
        <v>46092.0</v>
      </c>
      <c r="B288" s="60" t="s">
        <v>113</v>
      </c>
      <c r="C288" s="67" t="str">
        <f>VLOOKUP(B288,BASE_VEICULOS!A:B,2,0)</f>
        <v>TYK8C73</v>
      </c>
      <c r="D288" s="68" t="s">
        <v>50</v>
      </c>
      <c r="E288" s="69" t="s">
        <v>104</v>
      </c>
      <c r="F288" s="72">
        <v>3.8</v>
      </c>
    </row>
    <row r="289" ht="22.5" customHeight="1">
      <c r="A289" s="63">
        <v>46092.0</v>
      </c>
      <c r="B289" s="60" t="s">
        <v>113</v>
      </c>
      <c r="C289" s="67" t="str">
        <f>VLOOKUP(B289,BASE_VEICULOS!A:B,2,0)</f>
        <v>TYK8C73</v>
      </c>
      <c r="D289" s="68" t="s">
        <v>50</v>
      </c>
      <c r="E289" s="69" t="s">
        <v>104</v>
      </c>
      <c r="F289" s="72">
        <v>3.8</v>
      </c>
    </row>
    <row r="290" ht="22.5" customHeight="1">
      <c r="A290" s="63">
        <v>46093.0</v>
      </c>
      <c r="B290" s="60" t="s">
        <v>15</v>
      </c>
      <c r="C290" s="67" t="str">
        <f>VLOOKUP(B290,BASE_VEICULOS!A:B,2,0)</f>
        <v>EWH1B84</v>
      </c>
      <c r="D290" s="68" t="s">
        <v>50</v>
      </c>
      <c r="E290" s="69" t="s">
        <v>101</v>
      </c>
      <c r="F290" s="72">
        <v>6.2</v>
      </c>
    </row>
    <row r="291" ht="22.5" customHeight="1">
      <c r="A291" s="63">
        <v>46093.0</v>
      </c>
      <c r="B291" s="60" t="s">
        <v>11</v>
      </c>
      <c r="C291" s="67" t="str">
        <f>VLOOKUP(B291,BASE_VEICULOS!A:B,2,0)</f>
        <v>TEW9A28</v>
      </c>
      <c r="D291" s="68" t="s">
        <v>50</v>
      </c>
      <c r="E291" s="69" t="s">
        <v>101</v>
      </c>
      <c r="F291" s="72">
        <v>6.2</v>
      </c>
    </row>
    <row r="292" ht="22.5" customHeight="1">
      <c r="A292" s="63">
        <v>46093.0</v>
      </c>
      <c r="B292" s="60" t="s">
        <v>28</v>
      </c>
      <c r="C292" s="67" t="str">
        <f>VLOOKUP(B292,BASE_VEICULOS!A:B,2,0)</f>
        <v>#N/A</v>
      </c>
      <c r="D292" s="68" t="s">
        <v>51</v>
      </c>
      <c r="E292" s="69" t="s">
        <v>119</v>
      </c>
      <c r="F292" s="72">
        <v>24.0</v>
      </c>
    </row>
    <row r="293" ht="22.5" customHeight="1">
      <c r="A293" s="63">
        <v>46093.0</v>
      </c>
      <c r="B293" s="60" t="s">
        <v>28</v>
      </c>
      <c r="C293" s="67" t="str">
        <f>VLOOKUP(B293,BASE_VEICULOS!A:B,2,0)</f>
        <v>#N/A</v>
      </c>
      <c r="D293" s="68" t="s">
        <v>51</v>
      </c>
      <c r="E293" s="69" t="s">
        <v>115</v>
      </c>
      <c r="F293" s="72">
        <v>14.0</v>
      </c>
    </row>
    <row r="294" ht="22.5" customHeight="1">
      <c r="A294" s="63">
        <v>46093.0</v>
      </c>
      <c r="B294" s="60" t="s">
        <v>29</v>
      </c>
      <c r="C294" s="67" t="str">
        <f>VLOOKUP(B294,BASE_VEICULOS!A:B,2,0)</f>
        <v>TEQ2I74</v>
      </c>
      <c r="D294" s="68" t="s">
        <v>50</v>
      </c>
      <c r="E294" s="69" t="s">
        <v>103</v>
      </c>
      <c r="F294" s="72">
        <v>7.12</v>
      </c>
    </row>
    <row r="295" ht="22.5" customHeight="1">
      <c r="A295" s="63">
        <v>46093.0</v>
      </c>
      <c r="B295" s="60" t="s">
        <v>29</v>
      </c>
      <c r="C295" s="67" t="str">
        <f>VLOOKUP(B295,BASE_VEICULOS!A:B,2,0)</f>
        <v>TEQ2I74</v>
      </c>
      <c r="D295" s="68" t="s">
        <v>50</v>
      </c>
      <c r="E295" s="69" t="s">
        <v>103</v>
      </c>
      <c r="F295" s="72">
        <v>7.12</v>
      </c>
    </row>
    <row r="296" ht="22.5" customHeight="1">
      <c r="A296" s="63">
        <v>46093.0</v>
      </c>
      <c r="B296" s="60" t="s">
        <v>29</v>
      </c>
      <c r="C296" s="67" t="str">
        <f>VLOOKUP(B296,BASE_VEICULOS!A:B,2,0)</f>
        <v>TEQ2I74</v>
      </c>
      <c r="D296" s="68" t="s">
        <v>50</v>
      </c>
      <c r="E296" s="69" t="s">
        <v>103</v>
      </c>
      <c r="F296" s="72">
        <v>6.03</v>
      </c>
    </row>
    <row r="297" ht="22.5" customHeight="1">
      <c r="A297" s="63">
        <v>46093.0</v>
      </c>
      <c r="B297" s="60" t="s">
        <v>27</v>
      </c>
      <c r="C297" s="67" t="str">
        <f>VLOOKUP(B297,BASE_VEICULOS!A:B,2,0)</f>
        <v>UDA5B37</v>
      </c>
      <c r="D297" s="68" t="s">
        <v>50</v>
      </c>
      <c r="E297" s="69" t="s">
        <v>101</v>
      </c>
      <c r="F297" s="72">
        <v>6.2</v>
      </c>
    </row>
    <row r="298" ht="22.5" customHeight="1">
      <c r="A298" s="63">
        <v>46093.0</v>
      </c>
      <c r="B298" s="60" t="s">
        <v>120</v>
      </c>
      <c r="C298" s="67" t="str">
        <f>VLOOKUP(B298,BASE_VEICULOS!A:B,2,0)</f>
        <v>#N/A</v>
      </c>
      <c r="D298" s="68" t="s">
        <v>50</v>
      </c>
      <c r="E298" s="69" t="s">
        <v>103</v>
      </c>
      <c r="F298" s="72">
        <v>7.12</v>
      </c>
    </row>
    <row r="299" ht="22.5" customHeight="1">
      <c r="A299" s="63">
        <v>46093.0</v>
      </c>
      <c r="B299" s="60" t="s">
        <v>120</v>
      </c>
      <c r="C299" s="67" t="str">
        <f>VLOOKUP(B299,BASE_VEICULOS!A:B,2,0)</f>
        <v>#N/A</v>
      </c>
      <c r="D299" s="68" t="s">
        <v>50</v>
      </c>
      <c r="E299" s="69" t="s">
        <v>100</v>
      </c>
      <c r="F299" s="72">
        <v>9.6</v>
      </c>
    </row>
    <row r="300" ht="22.5" customHeight="1">
      <c r="A300" s="63">
        <v>46093.0</v>
      </c>
      <c r="B300" s="60" t="s">
        <v>120</v>
      </c>
      <c r="C300" s="67" t="str">
        <f>VLOOKUP(B300,BASE_VEICULOS!A:B,2,0)</f>
        <v>#N/A</v>
      </c>
      <c r="D300" s="68" t="s">
        <v>50</v>
      </c>
      <c r="E300" s="69" t="s">
        <v>100</v>
      </c>
      <c r="F300" s="72">
        <v>9.6</v>
      </c>
    </row>
    <row r="301" ht="22.5" customHeight="1">
      <c r="A301" s="63">
        <v>46093.0</v>
      </c>
      <c r="B301" s="60" t="s">
        <v>23</v>
      </c>
      <c r="C301" s="67" t="str">
        <f>VLOOKUP(B301,BASE_VEICULOS!A:B,2,0)</f>
        <v>TEH3I02</v>
      </c>
      <c r="D301" s="68" t="s">
        <v>50</v>
      </c>
      <c r="E301" s="69" t="s">
        <v>106</v>
      </c>
      <c r="F301" s="72">
        <v>8.95</v>
      </c>
    </row>
    <row r="302" ht="22.5" customHeight="1">
      <c r="A302" s="63">
        <v>46093.0</v>
      </c>
      <c r="B302" s="60" t="s">
        <v>23</v>
      </c>
      <c r="C302" s="67" t="str">
        <f>VLOOKUP(B302,BASE_VEICULOS!A:B,2,0)</f>
        <v>TEH3I02</v>
      </c>
      <c r="D302" s="68" t="s">
        <v>51</v>
      </c>
      <c r="E302" s="69" t="s">
        <v>109</v>
      </c>
      <c r="F302" s="72">
        <v>30.0</v>
      </c>
    </row>
    <row r="303" ht="22.5" customHeight="1">
      <c r="A303" s="63">
        <v>46093.0</v>
      </c>
      <c r="B303" s="60" t="s">
        <v>23</v>
      </c>
      <c r="C303" s="67" t="str">
        <f>VLOOKUP(B303,BASE_VEICULOS!A:B,2,0)</f>
        <v>TEH3I02</v>
      </c>
      <c r="D303" s="68" t="s">
        <v>50</v>
      </c>
      <c r="E303" s="69" t="s">
        <v>104</v>
      </c>
      <c r="F303" s="72">
        <v>3.8</v>
      </c>
    </row>
    <row r="304" ht="22.5" customHeight="1">
      <c r="A304" s="63">
        <v>46093.0</v>
      </c>
      <c r="B304" s="60" t="s">
        <v>23</v>
      </c>
      <c r="C304" s="67" t="str">
        <f>VLOOKUP(B304,BASE_VEICULOS!A:B,2,0)</f>
        <v>TEH3I02</v>
      </c>
      <c r="D304" s="68" t="s">
        <v>50</v>
      </c>
      <c r="E304" s="69" t="s">
        <v>101</v>
      </c>
      <c r="F304" s="72">
        <v>6.2</v>
      </c>
    </row>
    <row r="305" ht="22.5" customHeight="1">
      <c r="A305" s="63">
        <v>46093.0</v>
      </c>
      <c r="B305" s="60" t="s">
        <v>36</v>
      </c>
      <c r="C305" s="67" t="str">
        <f>VLOOKUP(B305,BASE_VEICULOS!A:B,2,0)</f>
        <v>#N/A</v>
      </c>
      <c r="D305" s="68" t="s">
        <v>50</v>
      </c>
      <c r="E305" s="69" t="s">
        <v>104</v>
      </c>
      <c r="F305" s="72">
        <v>3.8</v>
      </c>
    </row>
    <row r="306" ht="22.5" customHeight="1">
      <c r="A306" s="63">
        <v>46093.0</v>
      </c>
      <c r="B306" s="60" t="s">
        <v>19</v>
      </c>
      <c r="C306" s="67" t="str">
        <f>VLOOKUP(B306,BASE_VEICULOS!A:B,2,0)</f>
        <v>TEW9A24</v>
      </c>
      <c r="D306" s="68" t="s">
        <v>50</v>
      </c>
      <c r="E306" s="69" t="s">
        <v>103</v>
      </c>
      <c r="F306" s="72">
        <v>7.12</v>
      </c>
    </row>
    <row r="307" ht="22.5" customHeight="1">
      <c r="A307" s="63">
        <v>46093.0</v>
      </c>
      <c r="B307" s="60" t="s">
        <v>19</v>
      </c>
      <c r="C307" s="67" t="str">
        <f>VLOOKUP(B307,BASE_VEICULOS!A:B,2,0)</f>
        <v>TEW9A24</v>
      </c>
      <c r="D307" s="68" t="s">
        <v>50</v>
      </c>
      <c r="E307" s="69" t="s">
        <v>103</v>
      </c>
      <c r="F307" s="72">
        <v>7.12</v>
      </c>
    </row>
    <row r="308" ht="22.5" customHeight="1">
      <c r="A308" s="63">
        <v>46093.0</v>
      </c>
      <c r="B308" s="60" t="s">
        <v>10</v>
      </c>
      <c r="C308" s="67" t="str">
        <f>VLOOKUP(B308,BASE_VEICULOS!A:B,2,0)</f>
        <v>TEW9A25</v>
      </c>
      <c r="D308" s="68" t="s">
        <v>50</v>
      </c>
      <c r="E308" s="69" t="s">
        <v>106</v>
      </c>
      <c r="F308" s="72">
        <v>8.95</v>
      </c>
    </row>
    <row r="309" ht="22.5" customHeight="1">
      <c r="A309" s="63">
        <v>46093.0</v>
      </c>
      <c r="B309" s="60" t="s">
        <v>10</v>
      </c>
      <c r="C309" s="67" t="str">
        <f>VLOOKUP(B309,BASE_VEICULOS!A:B,2,0)</f>
        <v>TEW9A25</v>
      </c>
      <c r="D309" s="68" t="s">
        <v>50</v>
      </c>
      <c r="E309" s="69" t="s">
        <v>106</v>
      </c>
      <c r="F309" s="72">
        <v>8.95</v>
      </c>
    </row>
    <row r="310" ht="22.5" customHeight="1">
      <c r="A310" s="63">
        <v>46093.0</v>
      </c>
      <c r="B310" s="60" t="s">
        <v>17</v>
      </c>
      <c r="C310" s="67" t="str">
        <f>VLOOKUP(B310,BASE_VEICULOS!A:B,2,0)</f>
        <v>#N/A</v>
      </c>
      <c r="D310" s="68" t="s">
        <v>50</v>
      </c>
      <c r="E310" s="69" t="s">
        <v>103</v>
      </c>
      <c r="F310" s="72">
        <v>7.12</v>
      </c>
    </row>
    <row r="311" ht="22.5" customHeight="1">
      <c r="A311" s="63">
        <v>46093.0</v>
      </c>
      <c r="B311" s="60" t="s">
        <v>17</v>
      </c>
      <c r="C311" s="67" t="str">
        <f>VLOOKUP(B311,BASE_VEICULOS!A:B,2,0)</f>
        <v>#N/A</v>
      </c>
      <c r="D311" s="68" t="s">
        <v>50</v>
      </c>
      <c r="E311" s="69" t="s">
        <v>103</v>
      </c>
      <c r="F311" s="72">
        <v>7.12</v>
      </c>
    </row>
    <row r="312" ht="22.5" customHeight="1">
      <c r="A312" s="63">
        <v>46093.0</v>
      </c>
      <c r="B312" s="60" t="s">
        <v>17</v>
      </c>
      <c r="C312" s="67" t="str">
        <f>VLOOKUP(B312,BASE_VEICULOS!A:B,2,0)</f>
        <v>#N/A</v>
      </c>
      <c r="D312" s="68" t="s">
        <v>50</v>
      </c>
      <c r="E312" s="69" t="s">
        <v>103</v>
      </c>
      <c r="F312" s="72">
        <v>6.03</v>
      </c>
    </row>
    <row r="313" ht="22.5" customHeight="1">
      <c r="A313" s="63">
        <v>46093.0</v>
      </c>
      <c r="B313" s="60" t="s">
        <v>17</v>
      </c>
      <c r="C313" s="67" t="str">
        <f>VLOOKUP(B313,BASE_VEICULOS!A:B,2,0)</f>
        <v>#N/A</v>
      </c>
      <c r="D313" s="68" t="s">
        <v>50</v>
      </c>
      <c r="E313" s="69" t="s">
        <v>99</v>
      </c>
      <c r="F313" s="72">
        <v>16.52</v>
      </c>
    </row>
    <row r="314" ht="22.5" customHeight="1">
      <c r="A314" s="63">
        <v>46094.0</v>
      </c>
      <c r="B314" s="60" t="s">
        <v>15</v>
      </c>
      <c r="C314" s="67" t="str">
        <f>VLOOKUP(B314,BASE_VEICULOS!A:B,2,0)</f>
        <v>EWH1B84</v>
      </c>
      <c r="D314" s="68" t="s">
        <v>50</v>
      </c>
      <c r="E314" s="73" t="s">
        <v>101</v>
      </c>
      <c r="F314" s="72">
        <v>6.2</v>
      </c>
    </row>
    <row r="315" ht="22.5" customHeight="1">
      <c r="A315" s="63">
        <v>46094.0</v>
      </c>
      <c r="B315" s="60" t="s">
        <v>11</v>
      </c>
      <c r="C315" s="67" t="str">
        <f>VLOOKUP(B315,BASE_VEICULOS!A:B,2,0)</f>
        <v>TEW9A28</v>
      </c>
      <c r="D315" s="68" t="s">
        <v>50</v>
      </c>
      <c r="E315" s="73" t="s">
        <v>99</v>
      </c>
      <c r="F315" s="72">
        <v>19.1</v>
      </c>
    </row>
    <row r="316" ht="22.5" customHeight="1">
      <c r="A316" s="63">
        <v>46094.0</v>
      </c>
      <c r="B316" s="60" t="s">
        <v>11</v>
      </c>
      <c r="C316" s="67" t="str">
        <f>VLOOKUP(B316,BASE_VEICULOS!A:B,2,0)</f>
        <v>TEW9A28</v>
      </c>
      <c r="D316" s="68" t="s">
        <v>50</v>
      </c>
      <c r="E316" s="73" t="s">
        <v>99</v>
      </c>
      <c r="F316" s="72">
        <v>19.1</v>
      </c>
    </row>
    <row r="317" ht="22.5" customHeight="1">
      <c r="A317" s="63">
        <v>46094.0</v>
      </c>
      <c r="B317" s="60" t="s">
        <v>14</v>
      </c>
      <c r="C317" s="67" t="str">
        <f>VLOOKUP(B317,BASE_VEICULOS!A:B,2,0)</f>
        <v>FOK8A73</v>
      </c>
      <c r="D317" s="68" t="s">
        <v>50</v>
      </c>
      <c r="E317" s="73" t="s">
        <v>104</v>
      </c>
      <c r="F317" s="72">
        <v>3.8</v>
      </c>
    </row>
    <row r="318" ht="22.5" customHeight="1">
      <c r="A318" s="63">
        <v>46094.0</v>
      </c>
      <c r="B318" s="60" t="s">
        <v>33</v>
      </c>
      <c r="C318" s="67" t="str">
        <f>VLOOKUP(B318,BASE_VEICULOS!A:B,2,0)</f>
        <v>TEW9A30</v>
      </c>
      <c r="D318" s="68" t="s">
        <v>50</v>
      </c>
      <c r="E318" s="73" t="s">
        <v>106</v>
      </c>
      <c r="F318" s="72">
        <v>8.95</v>
      </c>
    </row>
    <row r="319" ht="22.5" customHeight="1">
      <c r="A319" s="63">
        <v>46094.0</v>
      </c>
      <c r="B319" s="60" t="s">
        <v>33</v>
      </c>
      <c r="C319" s="67" t="str">
        <f>VLOOKUP(B319,BASE_VEICULOS!A:B,2,0)</f>
        <v>TEW9A30</v>
      </c>
      <c r="D319" s="68" t="s">
        <v>51</v>
      </c>
      <c r="E319" s="73" t="s">
        <v>114</v>
      </c>
      <c r="F319" s="72">
        <v>21.0</v>
      </c>
    </row>
    <row r="320" ht="22.5" customHeight="1">
      <c r="A320" s="63">
        <v>46094.0</v>
      </c>
      <c r="B320" s="60" t="s">
        <v>33</v>
      </c>
      <c r="C320" s="67" t="str">
        <f>VLOOKUP(B320,BASE_VEICULOS!A:B,2,0)</f>
        <v>TEW9A30</v>
      </c>
      <c r="D320" s="68" t="s">
        <v>50</v>
      </c>
      <c r="E320" s="73" t="s">
        <v>104</v>
      </c>
      <c r="F320" s="72">
        <v>3.8</v>
      </c>
    </row>
    <row r="321" ht="22.5" customHeight="1">
      <c r="A321" s="63">
        <v>46094.0</v>
      </c>
      <c r="B321" s="60" t="s">
        <v>27</v>
      </c>
      <c r="C321" s="67" t="str">
        <f>VLOOKUP(B321,BASE_VEICULOS!A:B,2,0)</f>
        <v>UDA5B37</v>
      </c>
      <c r="D321" s="68" t="s">
        <v>50</v>
      </c>
      <c r="E321" s="73" t="s">
        <v>101</v>
      </c>
      <c r="F321" s="72">
        <v>6.2</v>
      </c>
    </row>
    <row r="322" ht="22.5" customHeight="1">
      <c r="A322" s="63">
        <v>46094.0</v>
      </c>
      <c r="B322" s="60" t="s">
        <v>29</v>
      </c>
      <c r="C322" s="67" t="str">
        <f>VLOOKUP(B322,BASE_VEICULOS!A:B,2,0)</f>
        <v>TEQ2I74</v>
      </c>
      <c r="D322" s="68" t="s">
        <v>50</v>
      </c>
      <c r="E322" s="73" t="s">
        <v>101</v>
      </c>
      <c r="F322" s="72">
        <v>6.2</v>
      </c>
    </row>
    <row r="323" ht="22.5" customHeight="1">
      <c r="A323" s="63">
        <v>46094.0</v>
      </c>
      <c r="B323" s="60" t="s">
        <v>29</v>
      </c>
      <c r="C323" s="67" t="str">
        <f>VLOOKUP(B323,BASE_VEICULOS!A:B,2,0)</f>
        <v>TEQ2I74</v>
      </c>
      <c r="D323" s="68" t="s">
        <v>50</v>
      </c>
      <c r="E323" s="73" t="s">
        <v>103</v>
      </c>
      <c r="F323" s="72">
        <v>7.12</v>
      </c>
    </row>
    <row r="324" ht="22.5" customHeight="1">
      <c r="A324" s="63">
        <v>46094.0</v>
      </c>
      <c r="B324" s="60" t="s">
        <v>29</v>
      </c>
      <c r="C324" s="67" t="str">
        <f>VLOOKUP(B324,BASE_VEICULOS!A:B,2,0)</f>
        <v>TEQ2I74</v>
      </c>
      <c r="D324" s="68" t="s">
        <v>50</v>
      </c>
      <c r="E324" s="73" t="s">
        <v>103</v>
      </c>
      <c r="F324" s="72">
        <v>5.54</v>
      </c>
    </row>
    <row r="325" ht="22.5" customHeight="1">
      <c r="A325" s="63">
        <v>46094.0</v>
      </c>
      <c r="B325" s="60" t="s">
        <v>29</v>
      </c>
      <c r="C325" s="67" t="str">
        <f>VLOOKUP(B325,BASE_VEICULOS!A:B,2,0)</f>
        <v>TEQ2I74</v>
      </c>
      <c r="D325" s="68" t="s">
        <v>50</v>
      </c>
      <c r="E325" s="73" t="s">
        <v>103</v>
      </c>
      <c r="F325" s="72">
        <v>7.12</v>
      </c>
    </row>
    <row r="326" ht="22.5" customHeight="1">
      <c r="A326" s="63">
        <v>46094.0</v>
      </c>
      <c r="B326" s="60" t="s">
        <v>28</v>
      </c>
      <c r="C326" s="67" t="str">
        <f>VLOOKUP(B326,BASE_VEICULOS!A:B,2,0)</f>
        <v>#N/A</v>
      </c>
      <c r="D326" s="68" t="s">
        <v>50</v>
      </c>
      <c r="E326" s="73" t="s">
        <v>101</v>
      </c>
      <c r="F326" s="72">
        <v>6.2</v>
      </c>
    </row>
    <row r="327" ht="22.5" customHeight="1">
      <c r="A327" s="63">
        <v>46094.0</v>
      </c>
      <c r="B327" s="60" t="s">
        <v>26</v>
      </c>
      <c r="C327" s="67" t="str">
        <f>VLOOKUP(B327,BASE_VEICULOS!A:B,2,0)</f>
        <v>#N/A</v>
      </c>
      <c r="D327" s="68" t="s">
        <v>50</v>
      </c>
      <c r="E327" s="73" t="s">
        <v>104</v>
      </c>
      <c r="F327" s="72">
        <v>3.8</v>
      </c>
    </row>
    <row r="328" ht="22.5" customHeight="1">
      <c r="A328" s="63">
        <v>46094.0</v>
      </c>
      <c r="B328" s="60" t="s">
        <v>26</v>
      </c>
      <c r="C328" s="67" t="str">
        <f>VLOOKUP(B328,BASE_VEICULOS!A:B,2,0)</f>
        <v>#N/A</v>
      </c>
      <c r="D328" s="68" t="s">
        <v>50</v>
      </c>
      <c r="E328" s="73" t="s">
        <v>104</v>
      </c>
      <c r="F328" s="72">
        <v>3.8</v>
      </c>
    </row>
    <row r="329" ht="22.5" customHeight="1">
      <c r="A329" s="63">
        <v>46094.0</v>
      </c>
      <c r="B329" s="60" t="s">
        <v>22</v>
      </c>
      <c r="C329" s="67" t="str">
        <f>VLOOKUP(B329,BASE_VEICULOS!A:B,2,0)</f>
        <v>TET5H37</v>
      </c>
      <c r="D329" s="68" t="s">
        <v>50</v>
      </c>
      <c r="E329" s="73" t="s">
        <v>103</v>
      </c>
      <c r="F329" s="72">
        <v>7.12</v>
      </c>
    </row>
    <row r="330" ht="22.5" customHeight="1">
      <c r="A330" s="63">
        <v>46094.0</v>
      </c>
      <c r="B330" s="60" t="s">
        <v>22</v>
      </c>
      <c r="C330" s="67" t="str">
        <f>VLOOKUP(B330,BASE_VEICULOS!A:B,2,0)</f>
        <v>TET5H37</v>
      </c>
      <c r="D330" s="68" t="s">
        <v>50</v>
      </c>
      <c r="E330" s="73" t="s">
        <v>102</v>
      </c>
      <c r="F330" s="72">
        <v>30.6</v>
      </c>
    </row>
    <row r="331" ht="22.5" customHeight="1">
      <c r="A331" s="63">
        <v>46094.0</v>
      </c>
      <c r="B331" s="60" t="s">
        <v>24</v>
      </c>
      <c r="C331" s="67" t="str">
        <f>VLOOKUP(B331,BASE_VEICULOS!A:B,2,0)</f>
        <v>TEW9A23</v>
      </c>
      <c r="D331" s="68" t="s">
        <v>50</v>
      </c>
      <c r="E331" s="73" t="s">
        <v>99</v>
      </c>
      <c r="F331" s="72">
        <v>19.1</v>
      </c>
    </row>
    <row r="332" ht="22.5" customHeight="1">
      <c r="A332" s="63">
        <v>46094.0</v>
      </c>
      <c r="B332" s="60" t="s">
        <v>24</v>
      </c>
      <c r="C332" s="67" t="str">
        <f>VLOOKUP(B332,BASE_VEICULOS!A:B,2,0)</f>
        <v>TEW9A23</v>
      </c>
      <c r="D332" s="68" t="s">
        <v>50</v>
      </c>
      <c r="E332" s="73" t="s">
        <v>103</v>
      </c>
      <c r="F332" s="72">
        <v>7.12</v>
      </c>
    </row>
    <row r="333" ht="22.5" customHeight="1">
      <c r="A333" s="63">
        <v>46094.0</v>
      </c>
      <c r="B333" s="60" t="s">
        <v>24</v>
      </c>
      <c r="C333" s="67" t="str">
        <f>VLOOKUP(B333,BASE_VEICULOS!A:B,2,0)</f>
        <v>TEW9A23</v>
      </c>
      <c r="D333" s="68" t="s">
        <v>50</v>
      </c>
      <c r="E333" s="73" t="s">
        <v>103</v>
      </c>
      <c r="F333" s="72">
        <v>7.12</v>
      </c>
    </row>
    <row r="334" ht="22.5" customHeight="1">
      <c r="A334" s="63">
        <v>46094.0</v>
      </c>
      <c r="B334" s="60" t="s">
        <v>10</v>
      </c>
      <c r="C334" s="67" t="str">
        <f>VLOOKUP(B334,BASE_VEICULOS!A:B,2,0)</f>
        <v>TEW9A25</v>
      </c>
      <c r="D334" s="68" t="s">
        <v>50</v>
      </c>
      <c r="E334" s="73" t="s">
        <v>104</v>
      </c>
      <c r="F334" s="72">
        <v>3.8</v>
      </c>
    </row>
    <row r="335" ht="22.5" customHeight="1">
      <c r="A335" s="63">
        <v>46094.0</v>
      </c>
      <c r="B335" s="60" t="s">
        <v>25</v>
      </c>
      <c r="C335" s="67" t="str">
        <f>VLOOKUP(B335,BASE_VEICULOS!A:B,2,0)</f>
        <v>TEW9A26</v>
      </c>
      <c r="D335" s="68" t="s">
        <v>50</v>
      </c>
      <c r="E335" s="73" t="s">
        <v>103</v>
      </c>
      <c r="F335" s="72">
        <v>7.12</v>
      </c>
    </row>
    <row r="336" ht="22.5" customHeight="1">
      <c r="A336" s="63">
        <v>46094.0</v>
      </c>
      <c r="B336" s="60" t="s">
        <v>25</v>
      </c>
      <c r="C336" s="67" t="str">
        <f>VLOOKUP(B336,BASE_VEICULOS!A:B,2,0)</f>
        <v>TEW9A26</v>
      </c>
      <c r="D336" s="68" t="s">
        <v>50</v>
      </c>
      <c r="E336" s="73" t="s">
        <v>102</v>
      </c>
      <c r="F336" s="72">
        <v>30.6</v>
      </c>
    </row>
    <row r="337" ht="22.5" customHeight="1">
      <c r="A337" s="63">
        <v>46094.0</v>
      </c>
      <c r="B337" s="60" t="s">
        <v>25</v>
      </c>
      <c r="C337" s="67" t="str">
        <f>VLOOKUP(B337,BASE_VEICULOS!A:B,2,0)</f>
        <v>TEW9A26</v>
      </c>
      <c r="D337" s="68" t="s">
        <v>50</v>
      </c>
      <c r="E337" s="73" t="s">
        <v>102</v>
      </c>
      <c r="F337" s="72">
        <v>30.6</v>
      </c>
    </row>
    <row r="338" ht="22.5" customHeight="1">
      <c r="A338" s="63">
        <v>46094.0</v>
      </c>
      <c r="B338" s="60" t="s">
        <v>25</v>
      </c>
      <c r="C338" s="67" t="str">
        <f>VLOOKUP(B338,BASE_VEICULOS!A:B,2,0)</f>
        <v>TEW9A26</v>
      </c>
      <c r="D338" s="68" t="s">
        <v>50</v>
      </c>
      <c r="E338" s="73" t="s">
        <v>101</v>
      </c>
      <c r="F338" s="72">
        <v>6.2</v>
      </c>
    </row>
    <row r="339" ht="22.5" customHeight="1">
      <c r="A339" s="63">
        <v>46094.0</v>
      </c>
      <c r="B339" s="60" t="s">
        <v>17</v>
      </c>
      <c r="C339" s="67" t="str">
        <f>VLOOKUP(B339,BASE_VEICULOS!A:B,2,0)</f>
        <v>#N/A</v>
      </c>
      <c r="D339" s="68" t="s">
        <v>50</v>
      </c>
      <c r="E339" s="73" t="s">
        <v>99</v>
      </c>
      <c r="F339" s="72">
        <v>9.98</v>
      </c>
    </row>
    <row r="340" ht="22.5" customHeight="1">
      <c r="A340" s="63">
        <v>46094.0</v>
      </c>
      <c r="B340" s="60" t="s">
        <v>17</v>
      </c>
      <c r="C340" s="67" t="str">
        <f>VLOOKUP(B340,BASE_VEICULOS!A:B,2,0)</f>
        <v>#N/A</v>
      </c>
      <c r="D340" s="68" t="s">
        <v>50</v>
      </c>
      <c r="E340" s="73" t="s">
        <v>116</v>
      </c>
      <c r="F340" s="72">
        <v>7.51</v>
      </c>
    </row>
    <row r="341" ht="22.5" customHeight="1">
      <c r="A341" s="63">
        <v>46094.0</v>
      </c>
      <c r="B341" s="60" t="s">
        <v>17</v>
      </c>
      <c r="C341" s="67" t="str">
        <f>VLOOKUP(B341,BASE_VEICULOS!A:B,2,0)</f>
        <v>#N/A</v>
      </c>
      <c r="D341" s="68" t="s">
        <v>50</v>
      </c>
      <c r="E341" s="73" t="s">
        <v>116</v>
      </c>
      <c r="F341" s="72">
        <v>7.51</v>
      </c>
    </row>
    <row r="342" ht="22.5" customHeight="1">
      <c r="A342" s="63">
        <v>46094.0</v>
      </c>
      <c r="B342" s="60" t="s">
        <v>17</v>
      </c>
      <c r="C342" s="67" t="str">
        <f>VLOOKUP(B342,BASE_VEICULOS!A:B,2,0)</f>
        <v>#N/A</v>
      </c>
      <c r="D342" s="68" t="s">
        <v>50</v>
      </c>
      <c r="E342" s="73" t="s">
        <v>116</v>
      </c>
      <c r="F342" s="72">
        <v>4.56</v>
      </c>
    </row>
    <row r="343" ht="22.5" customHeight="1">
      <c r="A343" s="63">
        <v>46094.0</v>
      </c>
      <c r="B343" s="60" t="s">
        <v>17</v>
      </c>
      <c r="C343" s="67" t="str">
        <f>VLOOKUP(B343,BASE_VEICULOS!A:B,2,0)</f>
        <v>#N/A</v>
      </c>
      <c r="D343" s="68" t="s">
        <v>50</v>
      </c>
      <c r="E343" s="73" t="s">
        <v>116</v>
      </c>
      <c r="F343" s="72">
        <v>4.56</v>
      </c>
    </row>
    <row r="344" ht="22.5" customHeight="1">
      <c r="A344" s="63">
        <v>46094.0</v>
      </c>
      <c r="B344" s="60" t="s">
        <v>17</v>
      </c>
      <c r="C344" s="67" t="str">
        <f>VLOOKUP(B344,BASE_VEICULOS!A:B,2,0)</f>
        <v>#N/A</v>
      </c>
      <c r="D344" s="68" t="s">
        <v>50</v>
      </c>
      <c r="E344" s="73" t="s">
        <v>99</v>
      </c>
      <c r="F344" s="72">
        <v>9.98</v>
      </c>
    </row>
    <row r="345" ht="22.5" customHeight="1">
      <c r="A345" s="63">
        <v>46094.0</v>
      </c>
      <c r="B345" s="60" t="s">
        <v>113</v>
      </c>
      <c r="C345" s="67" t="str">
        <f>VLOOKUP(B345,BASE_VEICULOS!A:B,2,0)</f>
        <v>TYK8C73</v>
      </c>
      <c r="D345" s="68" t="s">
        <v>50</v>
      </c>
      <c r="E345" s="73" t="s">
        <v>104</v>
      </c>
      <c r="F345" s="72">
        <v>3.8</v>
      </c>
    </row>
    <row r="346" ht="22.5" customHeight="1">
      <c r="A346" s="63">
        <v>46095.0</v>
      </c>
      <c r="B346" s="60" t="s">
        <v>11</v>
      </c>
      <c r="C346" s="67" t="str">
        <f>VLOOKUP(B346,BASE_VEICULOS!A:B,2,0)</f>
        <v>TEW9A28</v>
      </c>
      <c r="D346" s="68" t="s">
        <v>50</v>
      </c>
      <c r="E346" s="73" t="s">
        <v>103</v>
      </c>
      <c r="F346" s="72">
        <v>7.12</v>
      </c>
    </row>
    <row r="347" ht="22.5" customHeight="1">
      <c r="A347" s="63">
        <v>46095.0</v>
      </c>
      <c r="B347" s="60" t="s">
        <v>11</v>
      </c>
      <c r="C347" s="67" t="str">
        <f>VLOOKUP(B347,BASE_VEICULOS!A:B,2,0)</f>
        <v>TEW9A28</v>
      </c>
      <c r="D347" s="68" t="s">
        <v>50</v>
      </c>
      <c r="E347" s="73" t="s">
        <v>102</v>
      </c>
      <c r="F347" s="72">
        <v>30.6</v>
      </c>
    </row>
    <row r="348" ht="22.5" customHeight="1">
      <c r="A348" s="63">
        <v>46095.0</v>
      </c>
      <c r="B348" s="60" t="s">
        <v>27</v>
      </c>
      <c r="C348" s="67" t="str">
        <f>VLOOKUP(B348,BASE_VEICULOS!A:B,2,0)</f>
        <v>UDA5B37</v>
      </c>
      <c r="D348" s="68" t="s">
        <v>50</v>
      </c>
      <c r="E348" s="73" t="s">
        <v>101</v>
      </c>
      <c r="F348" s="72">
        <v>6.2</v>
      </c>
    </row>
    <row r="349" ht="22.5" customHeight="1">
      <c r="A349" s="63">
        <v>46095.0</v>
      </c>
      <c r="B349" s="60" t="s">
        <v>23</v>
      </c>
      <c r="C349" s="67" t="str">
        <f>VLOOKUP(B349,BASE_VEICULOS!A:B,2,0)</f>
        <v>TEH3I02</v>
      </c>
      <c r="D349" s="68" t="s">
        <v>50</v>
      </c>
      <c r="E349" s="73" t="s">
        <v>101</v>
      </c>
      <c r="F349" s="72">
        <v>6.2</v>
      </c>
    </row>
    <row r="350" ht="22.5" customHeight="1">
      <c r="A350" s="63">
        <v>46095.0</v>
      </c>
      <c r="B350" s="60" t="s">
        <v>22</v>
      </c>
      <c r="C350" s="67" t="str">
        <f>VLOOKUP(B350,BASE_VEICULOS!A:B,2,0)</f>
        <v>TET5H37</v>
      </c>
      <c r="D350" s="68" t="s">
        <v>50</v>
      </c>
      <c r="E350" s="73" t="s">
        <v>106</v>
      </c>
      <c r="F350" s="72">
        <v>13.45</v>
      </c>
    </row>
    <row r="351" ht="22.5" customHeight="1">
      <c r="A351" s="63">
        <v>46095.0</v>
      </c>
      <c r="B351" s="60" t="s">
        <v>36</v>
      </c>
      <c r="C351" s="67" t="str">
        <f>VLOOKUP(B351,BASE_VEICULOS!A:B,2,0)</f>
        <v>#N/A</v>
      </c>
      <c r="D351" s="68" t="s">
        <v>50</v>
      </c>
      <c r="E351" s="73" t="s">
        <v>101</v>
      </c>
      <c r="F351" s="72">
        <v>6.2</v>
      </c>
    </row>
    <row r="352" ht="22.5" customHeight="1">
      <c r="A352" s="63">
        <v>46095.0</v>
      </c>
      <c r="B352" s="60" t="s">
        <v>19</v>
      </c>
      <c r="C352" s="67" t="str">
        <f>VLOOKUP(B352,BASE_VEICULOS!A:B,2,0)</f>
        <v>TEW9A24</v>
      </c>
      <c r="D352" s="68" t="s">
        <v>50</v>
      </c>
      <c r="E352" s="73" t="s">
        <v>103</v>
      </c>
      <c r="F352" s="72">
        <v>7.12</v>
      </c>
    </row>
    <row r="353" ht="22.5" customHeight="1">
      <c r="A353" s="63">
        <v>46095.0</v>
      </c>
      <c r="B353" s="60" t="s">
        <v>19</v>
      </c>
      <c r="C353" s="67" t="str">
        <f>VLOOKUP(B353,BASE_VEICULOS!A:B,2,0)</f>
        <v>TEW9A24</v>
      </c>
      <c r="D353" s="68" t="s">
        <v>50</v>
      </c>
      <c r="E353" s="73" t="s">
        <v>103</v>
      </c>
      <c r="F353" s="72">
        <v>7.12</v>
      </c>
    </row>
    <row r="354" ht="22.5" customHeight="1">
      <c r="A354" s="63">
        <v>46095.0</v>
      </c>
      <c r="B354" s="60" t="s">
        <v>19</v>
      </c>
      <c r="C354" s="67" t="str">
        <f>VLOOKUP(B354,BASE_VEICULOS!A:B,2,0)</f>
        <v>TEW9A24</v>
      </c>
      <c r="D354" s="68" t="s">
        <v>50</v>
      </c>
      <c r="E354" s="73" t="s">
        <v>103</v>
      </c>
      <c r="F354" s="72">
        <v>7.06</v>
      </c>
    </row>
    <row r="355" ht="22.5" customHeight="1">
      <c r="A355" s="63">
        <v>46095.0</v>
      </c>
      <c r="B355" s="60" t="s">
        <v>19</v>
      </c>
      <c r="C355" s="67" t="str">
        <f>VLOOKUP(B355,BASE_VEICULOS!A:B,2,0)</f>
        <v>TEW9A24</v>
      </c>
      <c r="D355" s="68" t="s">
        <v>50</v>
      </c>
      <c r="E355" s="73" t="s">
        <v>103</v>
      </c>
      <c r="F355" s="72">
        <v>7.12</v>
      </c>
    </row>
    <row r="356" ht="22.5" customHeight="1">
      <c r="A356" s="63">
        <v>46095.0</v>
      </c>
      <c r="B356" s="60" t="s">
        <v>19</v>
      </c>
      <c r="C356" s="67" t="str">
        <f>VLOOKUP(B356,BASE_VEICULOS!A:B,2,0)</f>
        <v>TEW9A24</v>
      </c>
      <c r="D356" s="68" t="s">
        <v>50</v>
      </c>
      <c r="E356" s="73" t="s">
        <v>103</v>
      </c>
      <c r="F356" s="72">
        <v>7.12</v>
      </c>
    </row>
    <row r="357" ht="22.5" customHeight="1">
      <c r="A357" s="63">
        <v>46095.0</v>
      </c>
      <c r="B357" s="60" t="s">
        <v>19</v>
      </c>
      <c r="C357" s="67" t="str">
        <f>VLOOKUP(B357,BASE_VEICULOS!A:B,2,0)</f>
        <v>TEW9A24</v>
      </c>
      <c r="D357" s="68" t="s">
        <v>50</v>
      </c>
      <c r="E357" s="73" t="s">
        <v>103</v>
      </c>
      <c r="F357" s="72">
        <v>7.06</v>
      </c>
    </row>
    <row r="358" ht="22.5" customHeight="1">
      <c r="A358" s="63">
        <v>46096.0</v>
      </c>
      <c r="B358" s="60" t="s">
        <v>29</v>
      </c>
      <c r="C358" s="67" t="str">
        <f>VLOOKUP(B358,BASE_VEICULOS!A:B,2,0)</f>
        <v>TEQ2I74</v>
      </c>
      <c r="D358" s="68" t="s">
        <v>50</v>
      </c>
      <c r="E358" s="73" t="s">
        <v>103</v>
      </c>
      <c r="F358" s="72">
        <v>7.12</v>
      </c>
    </row>
    <row r="359" ht="22.5" customHeight="1">
      <c r="A359" s="63">
        <v>46096.0</v>
      </c>
      <c r="B359" s="60" t="s">
        <v>29</v>
      </c>
      <c r="C359" s="67" t="str">
        <f>VLOOKUP(B359,BASE_VEICULOS!A:B,2,0)</f>
        <v>TEQ2I74</v>
      </c>
      <c r="D359" s="68" t="s">
        <v>50</v>
      </c>
      <c r="E359" s="73" t="s">
        <v>103</v>
      </c>
      <c r="F359" s="72">
        <v>7.12</v>
      </c>
    </row>
    <row r="360" ht="22.5" customHeight="1">
      <c r="A360" s="63">
        <v>46096.0</v>
      </c>
      <c r="B360" s="60" t="s">
        <v>29</v>
      </c>
      <c r="C360" s="67" t="str">
        <f>VLOOKUP(B360,BASE_VEICULOS!A:B,2,0)</f>
        <v>TEQ2I74</v>
      </c>
      <c r="D360" s="68" t="s">
        <v>50</v>
      </c>
      <c r="E360" s="73" t="s">
        <v>103</v>
      </c>
      <c r="F360" s="72">
        <v>5.1</v>
      </c>
    </row>
    <row r="361" ht="22.5" customHeight="1">
      <c r="A361" s="63">
        <v>46096.0</v>
      </c>
      <c r="B361" s="60" t="s">
        <v>22</v>
      </c>
      <c r="C361" s="67" t="str">
        <f>VLOOKUP(B361,BASE_VEICULOS!A:B,2,0)</f>
        <v>TET5H37</v>
      </c>
      <c r="D361" s="68" t="s">
        <v>50</v>
      </c>
      <c r="E361" s="73" t="s">
        <v>104</v>
      </c>
      <c r="F361" s="72">
        <v>3.8</v>
      </c>
    </row>
    <row r="362" ht="22.5" customHeight="1">
      <c r="A362" s="63">
        <v>46096.0</v>
      </c>
      <c r="B362" s="60" t="s">
        <v>22</v>
      </c>
      <c r="C362" s="67" t="str">
        <f>VLOOKUP(B362,BASE_VEICULOS!A:B,2,0)</f>
        <v>TET5H37</v>
      </c>
      <c r="D362" s="68" t="s">
        <v>50</v>
      </c>
      <c r="E362" s="73" t="s">
        <v>104</v>
      </c>
      <c r="F362" s="72">
        <v>3.8</v>
      </c>
    </row>
    <row r="363" ht="22.5" customHeight="1">
      <c r="A363" s="63">
        <v>46096.0</v>
      </c>
      <c r="B363" s="60" t="s">
        <v>22</v>
      </c>
      <c r="C363" s="67" t="str">
        <f>VLOOKUP(B363,BASE_VEICULOS!A:B,2,0)</f>
        <v>TET5H37</v>
      </c>
      <c r="D363" s="68" t="s">
        <v>50</v>
      </c>
      <c r="E363" s="73" t="s">
        <v>104</v>
      </c>
      <c r="F363" s="72">
        <v>3.8</v>
      </c>
    </row>
    <row r="364" ht="22.5" customHeight="1">
      <c r="A364" s="63">
        <v>46096.0</v>
      </c>
      <c r="B364" s="60" t="s">
        <v>36</v>
      </c>
      <c r="C364" s="67" t="str">
        <f>VLOOKUP(B364,BASE_VEICULOS!A:B,2,0)</f>
        <v>#N/A</v>
      </c>
      <c r="D364" s="68" t="s">
        <v>50</v>
      </c>
      <c r="E364" s="73" t="s">
        <v>104</v>
      </c>
      <c r="F364" s="72">
        <v>3.8</v>
      </c>
    </row>
    <row r="365" ht="22.5" customHeight="1">
      <c r="A365" s="63">
        <v>46096.0</v>
      </c>
      <c r="B365" s="60" t="s">
        <v>36</v>
      </c>
      <c r="C365" s="67" t="str">
        <f>VLOOKUP(B365,BASE_VEICULOS!A:B,2,0)</f>
        <v>#N/A</v>
      </c>
      <c r="D365" s="68" t="s">
        <v>50</v>
      </c>
      <c r="E365" s="73" t="s">
        <v>104</v>
      </c>
      <c r="F365" s="72">
        <v>3.8</v>
      </c>
    </row>
    <row r="366" ht="22.5" customHeight="1">
      <c r="A366" s="63">
        <v>46097.0</v>
      </c>
      <c r="B366" s="60" t="s">
        <v>15</v>
      </c>
      <c r="C366" s="67" t="str">
        <f>VLOOKUP(B366,BASE_VEICULOS!A:B,2,0)</f>
        <v>EWH1B84</v>
      </c>
      <c r="D366" s="68" t="s">
        <v>50</v>
      </c>
      <c r="E366" s="73" t="s">
        <v>101</v>
      </c>
      <c r="F366" s="72">
        <v>6.2</v>
      </c>
    </row>
    <row r="367" ht="22.5" customHeight="1">
      <c r="A367" s="63">
        <v>46097.0</v>
      </c>
      <c r="B367" s="60" t="s">
        <v>13</v>
      </c>
      <c r="C367" s="67" t="str">
        <f>VLOOKUP(B367,BASE_VEICULOS!A:B,2,0)</f>
        <v>FGO3C61</v>
      </c>
      <c r="D367" s="68" t="s">
        <v>50</v>
      </c>
      <c r="E367" s="73" t="s">
        <v>102</v>
      </c>
      <c r="F367" s="72">
        <v>18.4</v>
      </c>
    </row>
    <row r="368" ht="22.5" customHeight="1">
      <c r="A368" s="63">
        <v>46097.0</v>
      </c>
      <c r="B368" s="60" t="s">
        <v>13</v>
      </c>
      <c r="C368" s="67" t="str">
        <f>VLOOKUP(B368,BASE_VEICULOS!A:B,2,0)</f>
        <v>FGO3C61</v>
      </c>
      <c r="D368" s="68" t="s">
        <v>50</v>
      </c>
      <c r="E368" s="73" t="s">
        <v>101</v>
      </c>
      <c r="F368" s="72">
        <v>6.2</v>
      </c>
    </row>
    <row r="369" ht="22.5" customHeight="1">
      <c r="A369" s="63">
        <v>46097.0</v>
      </c>
      <c r="B369" s="60" t="s">
        <v>29</v>
      </c>
      <c r="C369" s="67" t="str">
        <f>VLOOKUP(B369,BASE_VEICULOS!A:B,2,0)</f>
        <v>TEQ2I74</v>
      </c>
      <c r="D369" s="68" t="s">
        <v>50</v>
      </c>
      <c r="E369" s="73" t="s">
        <v>103</v>
      </c>
      <c r="F369" s="72">
        <v>7.12</v>
      </c>
    </row>
    <row r="370" ht="22.5" customHeight="1">
      <c r="A370" s="63">
        <v>46097.0</v>
      </c>
      <c r="B370" s="60" t="s">
        <v>29</v>
      </c>
      <c r="C370" s="67" t="str">
        <f>VLOOKUP(B370,BASE_VEICULOS!A:B,2,0)</f>
        <v>TEQ2I74</v>
      </c>
      <c r="D370" s="68" t="s">
        <v>50</v>
      </c>
      <c r="E370" s="73" t="s">
        <v>103</v>
      </c>
      <c r="F370" s="72">
        <v>7.12</v>
      </c>
    </row>
    <row r="371" ht="22.5" customHeight="1">
      <c r="A371" s="63">
        <v>46097.0</v>
      </c>
      <c r="B371" s="60" t="s">
        <v>29</v>
      </c>
      <c r="C371" s="67" t="str">
        <f>VLOOKUP(B371,BASE_VEICULOS!A:B,2,0)</f>
        <v>TEQ2I74</v>
      </c>
      <c r="D371" s="68" t="s">
        <v>50</v>
      </c>
      <c r="E371" s="73" t="s">
        <v>103</v>
      </c>
      <c r="F371" s="72">
        <v>4.7</v>
      </c>
    </row>
    <row r="372" ht="22.5" customHeight="1">
      <c r="A372" s="63">
        <v>46097.0</v>
      </c>
      <c r="B372" s="60" t="s">
        <v>22</v>
      </c>
      <c r="C372" s="67" t="str">
        <f>VLOOKUP(B372,BASE_VEICULOS!A:B,2,0)</f>
        <v>TET5H37</v>
      </c>
      <c r="D372" s="68" t="s">
        <v>50</v>
      </c>
      <c r="E372" s="73" t="s">
        <v>104</v>
      </c>
      <c r="F372" s="72">
        <v>3.8</v>
      </c>
    </row>
    <row r="373" ht="22.5" customHeight="1">
      <c r="A373" s="63">
        <v>46097.0</v>
      </c>
      <c r="B373" s="60" t="s">
        <v>22</v>
      </c>
      <c r="C373" s="67" t="str">
        <f>VLOOKUP(B373,BASE_VEICULOS!A:B,2,0)</f>
        <v>TET5H37</v>
      </c>
      <c r="D373" s="68" t="s">
        <v>50</v>
      </c>
      <c r="E373" s="73" t="s">
        <v>104</v>
      </c>
      <c r="F373" s="72">
        <v>3.8</v>
      </c>
    </row>
    <row r="374" ht="22.5" customHeight="1">
      <c r="A374" s="63">
        <v>46097.0</v>
      </c>
      <c r="B374" s="60" t="s">
        <v>36</v>
      </c>
      <c r="C374" s="67" t="str">
        <f>VLOOKUP(B374,BASE_VEICULOS!A:B,2,0)</f>
        <v>#N/A</v>
      </c>
      <c r="D374" s="68" t="s">
        <v>50</v>
      </c>
      <c r="E374" s="73" t="s">
        <v>103</v>
      </c>
      <c r="F374" s="72">
        <v>7.12</v>
      </c>
    </row>
    <row r="375" ht="22.5" customHeight="1">
      <c r="A375" s="63">
        <v>46097.0</v>
      </c>
      <c r="B375" s="60" t="s">
        <v>36</v>
      </c>
      <c r="C375" s="67" t="str">
        <f>VLOOKUP(B375,BASE_VEICULOS!A:B,2,0)</f>
        <v>#N/A</v>
      </c>
      <c r="D375" s="68" t="s">
        <v>50</v>
      </c>
      <c r="E375" s="73" t="s">
        <v>103</v>
      </c>
      <c r="F375" s="72">
        <v>7.12</v>
      </c>
    </row>
    <row r="376" ht="22.5" customHeight="1">
      <c r="A376" s="63">
        <v>46097.0</v>
      </c>
      <c r="B376" s="60" t="s">
        <v>36</v>
      </c>
      <c r="C376" s="67" t="str">
        <f>VLOOKUP(B376,BASE_VEICULOS!A:B,2,0)</f>
        <v>#N/A</v>
      </c>
      <c r="D376" s="68" t="s">
        <v>50</v>
      </c>
      <c r="E376" s="73" t="s">
        <v>103</v>
      </c>
      <c r="F376" s="72">
        <v>7.12</v>
      </c>
    </row>
    <row r="377" ht="22.5" customHeight="1">
      <c r="A377" s="63">
        <v>46097.0</v>
      </c>
      <c r="B377" s="60" t="s">
        <v>36</v>
      </c>
      <c r="C377" s="67" t="str">
        <f>VLOOKUP(B377,BASE_VEICULOS!A:B,2,0)</f>
        <v>#N/A</v>
      </c>
      <c r="D377" s="68" t="s">
        <v>50</v>
      </c>
      <c r="E377" s="73" t="s">
        <v>121</v>
      </c>
      <c r="F377" s="72">
        <v>11.0</v>
      </c>
    </row>
    <row r="378" ht="22.5" customHeight="1">
      <c r="A378" s="63">
        <v>46097.0</v>
      </c>
      <c r="B378" s="60" t="s">
        <v>36</v>
      </c>
      <c r="C378" s="67" t="str">
        <f>VLOOKUP(B378,BASE_VEICULOS!A:B,2,0)</f>
        <v>#N/A</v>
      </c>
      <c r="D378" s="68" t="s">
        <v>50</v>
      </c>
      <c r="E378" s="73" t="s">
        <v>99</v>
      </c>
      <c r="F378" s="72">
        <v>18.34</v>
      </c>
    </row>
    <row r="379" ht="22.5" customHeight="1">
      <c r="A379" s="63">
        <v>46097.0</v>
      </c>
      <c r="B379" s="60" t="s">
        <v>10</v>
      </c>
      <c r="C379" s="67" t="str">
        <f>VLOOKUP(B379,BASE_VEICULOS!A:B,2,0)</f>
        <v>TEW9A25</v>
      </c>
      <c r="D379" s="68" t="s">
        <v>50</v>
      </c>
      <c r="E379" s="73" t="s">
        <v>106</v>
      </c>
      <c r="F379" s="72">
        <v>8.95</v>
      </c>
    </row>
    <row r="380" ht="22.5" customHeight="1">
      <c r="A380" s="63">
        <v>46097.0</v>
      </c>
      <c r="B380" s="60" t="s">
        <v>10</v>
      </c>
      <c r="C380" s="67" t="str">
        <f>VLOOKUP(B380,BASE_VEICULOS!A:B,2,0)</f>
        <v>TEW9A25</v>
      </c>
      <c r="D380" s="68" t="s">
        <v>50</v>
      </c>
      <c r="E380" s="73" t="s">
        <v>106</v>
      </c>
      <c r="F380" s="72">
        <v>8.95</v>
      </c>
    </row>
    <row r="381" ht="22.5" customHeight="1">
      <c r="A381" s="63">
        <v>46097.0</v>
      </c>
      <c r="B381" s="60" t="s">
        <v>18</v>
      </c>
      <c r="C381" s="67" t="str">
        <f>VLOOKUP(B381,BASE_VEICULOS!A:B,2,0)</f>
        <v>TEW9A29</v>
      </c>
      <c r="D381" s="68" t="s">
        <v>50</v>
      </c>
      <c r="E381" s="73" t="s">
        <v>111</v>
      </c>
      <c r="F381" s="72">
        <v>19.79</v>
      </c>
    </row>
    <row r="382" ht="22.5" customHeight="1">
      <c r="A382" s="63">
        <v>46097.0</v>
      </c>
      <c r="B382" s="60" t="s">
        <v>18</v>
      </c>
      <c r="C382" s="67" t="str">
        <f>VLOOKUP(B382,BASE_VEICULOS!A:B,2,0)</f>
        <v>TEW9A29</v>
      </c>
      <c r="D382" s="68" t="s">
        <v>50</v>
      </c>
      <c r="E382" s="73" t="s">
        <v>111</v>
      </c>
      <c r="F382" s="72">
        <v>19.64</v>
      </c>
    </row>
    <row r="383" ht="22.5" customHeight="1">
      <c r="A383" s="63">
        <v>46097.0</v>
      </c>
      <c r="B383" s="60" t="s">
        <v>21</v>
      </c>
      <c r="C383" s="67" t="str">
        <f>VLOOKUP(B383,BASE_VEICULOS!A:B,2,0)</f>
        <v>TEW9A33</v>
      </c>
      <c r="D383" s="68" t="s">
        <v>50</v>
      </c>
      <c r="E383" s="73" t="s">
        <v>101</v>
      </c>
      <c r="F383" s="72">
        <v>6.2</v>
      </c>
    </row>
    <row r="384" ht="22.5" customHeight="1">
      <c r="A384" s="63">
        <v>46097.0</v>
      </c>
      <c r="B384" s="60" t="s">
        <v>113</v>
      </c>
      <c r="C384" s="67" t="str">
        <f>VLOOKUP(B384,BASE_VEICULOS!A:B,2,0)</f>
        <v>TYK8C73</v>
      </c>
      <c r="D384" s="68" t="s">
        <v>50</v>
      </c>
      <c r="E384" s="73" t="s">
        <v>104</v>
      </c>
      <c r="F384" s="72">
        <v>3.8</v>
      </c>
    </row>
    <row r="385" ht="22.5" customHeight="1">
      <c r="A385" s="63">
        <v>46098.0</v>
      </c>
      <c r="B385" s="60" t="s">
        <v>15</v>
      </c>
      <c r="C385" s="67" t="str">
        <f>VLOOKUP(B385,BASE_VEICULOS!A:B,2,0)</f>
        <v>EWH1B84</v>
      </c>
      <c r="D385" s="68" t="s">
        <v>50</v>
      </c>
      <c r="E385" s="73" t="s">
        <v>101</v>
      </c>
      <c r="F385" s="72">
        <v>6.2</v>
      </c>
    </row>
    <row r="386" ht="22.5" customHeight="1">
      <c r="A386" s="63">
        <v>46098.0</v>
      </c>
      <c r="B386" s="60" t="s">
        <v>33</v>
      </c>
      <c r="C386" s="67" t="str">
        <f>VLOOKUP(B386,BASE_VEICULOS!A:B,2,0)</f>
        <v>TEW9A30</v>
      </c>
      <c r="D386" s="68" t="s">
        <v>50</v>
      </c>
      <c r="E386" s="73" t="s">
        <v>106</v>
      </c>
      <c r="F386" s="72">
        <v>8.95</v>
      </c>
    </row>
    <row r="387" ht="22.5" customHeight="1">
      <c r="A387" s="63">
        <v>46098.0</v>
      </c>
      <c r="B387" s="60" t="s">
        <v>28</v>
      </c>
      <c r="C387" s="67" t="str">
        <f>VLOOKUP(B387,BASE_VEICULOS!A:B,2,0)</f>
        <v>#N/A</v>
      </c>
      <c r="D387" s="68" t="s">
        <v>50</v>
      </c>
      <c r="E387" s="73" t="s">
        <v>103</v>
      </c>
      <c r="F387" s="72">
        <v>7.12</v>
      </c>
    </row>
    <row r="388" ht="22.5" customHeight="1">
      <c r="A388" s="63">
        <v>46098.0</v>
      </c>
      <c r="B388" s="60" t="s">
        <v>28</v>
      </c>
      <c r="C388" s="67" t="str">
        <f>VLOOKUP(B388,BASE_VEICULOS!A:B,2,0)</f>
        <v>#N/A</v>
      </c>
      <c r="D388" s="68" t="s">
        <v>50</v>
      </c>
      <c r="E388" s="73" t="s">
        <v>101</v>
      </c>
      <c r="F388" s="72">
        <v>6.2</v>
      </c>
    </row>
    <row r="389" ht="22.5" customHeight="1">
      <c r="A389" s="63">
        <v>46098.0</v>
      </c>
      <c r="B389" s="60" t="s">
        <v>29</v>
      </c>
      <c r="C389" s="67" t="str">
        <f>VLOOKUP(B389,BASE_VEICULOS!A:B,2,0)</f>
        <v>TEQ2I74</v>
      </c>
      <c r="D389" s="68" t="s">
        <v>50</v>
      </c>
      <c r="E389" s="73" t="s">
        <v>102</v>
      </c>
      <c r="F389" s="72">
        <v>18.4</v>
      </c>
    </row>
    <row r="390" ht="22.5" customHeight="1">
      <c r="A390" s="63">
        <v>46098.0</v>
      </c>
      <c r="B390" s="60" t="s">
        <v>29</v>
      </c>
      <c r="C390" s="67" t="str">
        <f>VLOOKUP(B390,BASE_VEICULOS!A:B,2,0)</f>
        <v>TEQ2I74</v>
      </c>
      <c r="D390" s="68" t="s">
        <v>50</v>
      </c>
      <c r="E390" s="73" t="s">
        <v>101</v>
      </c>
      <c r="F390" s="72">
        <v>6.2</v>
      </c>
    </row>
    <row r="391" ht="22.5" customHeight="1">
      <c r="A391" s="63">
        <v>46098.0</v>
      </c>
      <c r="B391" s="60" t="s">
        <v>29</v>
      </c>
      <c r="C391" s="67" t="str">
        <f>VLOOKUP(B391,BASE_VEICULOS!A:B,2,0)</f>
        <v>TEQ2I74</v>
      </c>
      <c r="D391" s="68" t="s">
        <v>50</v>
      </c>
      <c r="E391" s="73" t="s">
        <v>103</v>
      </c>
      <c r="F391" s="72">
        <v>7.12</v>
      </c>
    </row>
    <row r="392" ht="22.5" customHeight="1">
      <c r="A392" s="63">
        <v>46098.0</v>
      </c>
      <c r="B392" s="60" t="s">
        <v>29</v>
      </c>
      <c r="C392" s="67" t="str">
        <f>VLOOKUP(B392,BASE_VEICULOS!A:B,2,0)</f>
        <v>TEQ2I74</v>
      </c>
      <c r="D392" s="68" t="s">
        <v>50</v>
      </c>
      <c r="E392" s="73" t="s">
        <v>103</v>
      </c>
      <c r="F392" s="72">
        <v>7.12</v>
      </c>
    </row>
    <row r="393" ht="22.5" customHeight="1">
      <c r="A393" s="63">
        <v>46098.0</v>
      </c>
      <c r="B393" s="60" t="s">
        <v>29</v>
      </c>
      <c r="C393" s="67" t="str">
        <f>VLOOKUP(B393,BASE_VEICULOS!A:B,2,0)</f>
        <v>TEQ2I74</v>
      </c>
      <c r="D393" s="68" t="s">
        <v>50</v>
      </c>
      <c r="E393" s="73" t="s">
        <v>103</v>
      </c>
      <c r="F393" s="72">
        <v>4.32</v>
      </c>
    </row>
    <row r="394" ht="22.5" customHeight="1">
      <c r="A394" s="63">
        <v>46098.0</v>
      </c>
      <c r="B394" s="60" t="s">
        <v>27</v>
      </c>
      <c r="C394" s="67" t="str">
        <f>VLOOKUP(B394,BASE_VEICULOS!A:B,2,0)</f>
        <v>UDA5B37</v>
      </c>
      <c r="D394" s="68" t="s">
        <v>50</v>
      </c>
      <c r="E394" s="73" t="s">
        <v>101</v>
      </c>
      <c r="F394" s="72">
        <v>6.2</v>
      </c>
    </row>
    <row r="395" ht="22.5" customHeight="1">
      <c r="A395" s="63">
        <v>46098.0</v>
      </c>
      <c r="B395" s="60" t="s">
        <v>23</v>
      </c>
      <c r="C395" s="67" t="str">
        <f>VLOOKUP(B395,BASE_VEICULOS!A:B,2,0)</f>
        <v>TEH3I02</v>
      </c>
      <c r="D395" s="68" t="s">
        <v>50</v>
      </c>
      <c r="E395" s="73" t="s">
        <v>101</v>
      </c>
      <c r="F395" s="72">
        <v>6.2</v>
      </c>
    </row>
    <row r="396" ht="22.5" customHeight="1">
      <c r="A396" s="63">
        <v>46098.0</v>
      </c>
      <c r="B396" s="60" t="s">
        <v>22</v>
      </c>
      <c r="C396" s="67" t="str">
        <f>VLOOKUP(B396,BASE_VEICULOS!A:B,2,0)</f>
        <v>TET5H37</v>
      </c>
      <c r="D396" s="68" t="s">
        <v>50</v>
      </c>
      <c r="E396" s="73" t="s">
        <v>106</v>
      </c>
      <c r="F396" s="72">
        <v>8.95</v>
      </c>
    </row>
    <row r="397" ht="22.5" customHeight="1">
      <c r="A397" s="63">
        <v>46098.0</v>
      </c>
      <c r="B397" s="60" t="s">
        <v>22</v>
      </c>
      <c r="C397" s="67" t="str">
        <f>VLOOKUP(B397,BASE_VEICULOS!A:B,2,0)</f>
        <v>TET5H37</v>
      </c>
      <c r="D397" s="68" t="s">
        <v>50</v>
      </c>
      <c r="E397" s="73" t="s">
        <v>106</v>
      </c>
      <c r="F397" s="72">
        <v>8.95</v>
      </c>
    </row>
    <row r="398" ht="22.5" customHeight="1">
      <c r="A398" s="63">
        <v>46098.0</v>
      </c>
      <c r="B398" s="60" t="s">
        <v>36</v>
      </c>
      <c r="C398" s="67" t="str">
        <f>VLOOKUP(B398,BASE_VEICULOS!A:B,2,0)</f>
        <v>#N/A</v>
      </c>
      <c r="D398" s="68" t="s">
        <v>50</v>
      </c>
      <c r="E398" s="73" t="s">
        <v>103</v>
      </c>
      <c r="F398" s="72">
        <v>7.12</v>
      </c>
    </row>
    <row r="399" ht="22.5" customHeight="1">
      <c r="A399" s="63">
        <v>46098.0</v>
      </c>
      <c r="B399" s="60" t="s">
        <v>36</v>
      </c>
      <c r="C399" s="67" t="str">
        <f>VLOOKUP(B399,BASE_VEICULOS!A:B,2,0)</f>
        <v>#N/A</v>
      </c>
      <c r="D399" s="68" t="s">
        <v>50</v>
      </c>
      <c r="E399" s="73" t="s">
        <v>103</v>
      </c>
      <c r="F399" s="72">
        <v>6.55</v>
      </c>
    </row>
    <row r="400" ht="22.5" customHeight="1">
      <c r="A400" s="63">
        <v>46098.0</v>
      </c>
      <c r="B400" s="60" t="s">
        <v>36</v>
      </c>
      <c r="C400" s="67" t="str">
        <f>VLOOKUP(B400,BASE_VEICULOS!A:B,2,0)</f>
        <v>#N/A</v>
      </c>
      <c r="D400" s="68" t="s">
        <v>50</v>
      </c>
      <c r="E400" s="73" t="s">
        <v>103</v>
      </c>
      <c r="F400" s="72">
        <v>7.12</v>
      </c>
    </row>
    <row r="401" ht="22.5" customHeight="1">
      <c r="A401" s="63">
        <v>46098.0</v>
      </c>
      <c r="B401" s="60" t="s">
        <v>10</v>
      </c>
      <c r="C401" s="67" t="str">
        <f>VLOOKUP(B401,BASE_VEICULOS!A:B,2,0)</f>
        <v>TEW9A25</v>
      </c>
      <c r="D401" s="68" t="s">
        <v>50</v>
      </c>
      <c r="E401" s="73" t="s">
        <v>106</v>
      </c>
      <c r="F401" s="72">
        <v>8.95</v>
      </c>
    </row>
    <row r="402" ht="22.5" customHeight="1">
      <c r="A402" s="63">
        <v>46098.0</v>
      </c>
      <c r="B402" s="60" t="s">
        <v>10</v>
      </c>
      <c r="C402" s="67" t="str">
        <f>VLOOKUP(B402,BASE_VEICULOS!A:B,2,0)</f>
        <v>TEW9A25</v>
      </c>
      <c r="D402" s="68" t="s">
        <v>50</v>
      </c>
      <c r="E402" s="73" t="s">
        <v>106</v>
      </c>
      <c r="F402" s="72">
        <v>8.95</v>
      </c>
    </row>
    <row r="403" ht="22.5" customHeight="1">
      <c r="A403" s="63">
        <v>46098.0</v>
      </c>
      <c r="B403" s="60" t="s">
        <v>18</v>
      </c>
      <c r="C403" s="67" t="str">
        <f>VLOOKUP(B403,BASE_VEICULOS!A:B,2,0)</f>
        <v>TEW9A29</v>
      </c>
      <c r="D403" s="68" t="s">
        <v>50</v>
      </c>
      <c r="E403" s="73" t="s">
        <v>99</v>
      </c>
      <c r="F403" s="72">
        <v>17.04</v>
      </c>
    </row>
    <row r="404" ht="22.5" customHeight="1">
      <c r="A404" s="63">
        <v>46098.0</v>
      </c>
      <c r="B404" s="60" t="s">
        <v>18</v>
      </c>
      <c r="C404" s="67" t="str">
        <f>VLOOKUP(B404,BASE_VEICULOS!A:B,2,0)</f>
        <v>TEW9A29</v>
      </c>
      <c r="D404" s="68" t="s">
        <v>50</v>
      </c>
      <c r="E404" s="73" t="s">
        <v>99</v>
      </c>
      <c r="F404" s="72">
        <v>17.04</v>
      </c>
    </row>
    <row r="405" ht="22.5" customHeight="1">
      <c r="A405" s="63">
        <v>46098.0</v>
      </c>
      <c r="B405" s="60" t="s">
        <v>18</v>
      </c>
      <c r="C405" s="67" t="str">
        <f>VLOOKUP(B405,BASE_VEICULOS!A:B,2,0)</f>
        <v>TEW9A29</v>
      </c>
      <c r="D405" s="68" t="s">
        <v>50</v>
      </c>
      <c r="E405" s="73" t="s">
        <v>104</v>
      </c>
      <c r="F405" s="72">
        <v>3.8</v>
      </c>
    </row>
    <row r="406" ht="22.5" customHeight="1">
      <c r="A406" s="63">
        <v>46098.0</v>
      </c>
      <c r="B406" s="60" t="s">
        <v>21</v>
      </c>
      <c r="C406" s="67" t="str">
        <f>VLOOKUP(B406,BASE_VEICULOS!A:B,2,0)</f>
        <v>TEW9A33</v>
      </c>
      <c r="D406" s="68" t="s">
        <v>50</v>
      </c>
      <c r="E406" s="73" t="s">
        <v>102</v>
      </c>
      <c r="F406" s="72">
        <v>18.4</v>
      </c>
    </row>
    <row r="407" ht="22.5" customHeight="1">
      <c r="A407" s="63">
        <v>46098.0</v>
      </c>
      <c r="B407" s="60" t="s">
        <v>113</v>
      </c>
      <c r="C407" s="67" t="str">
        <f>VLOOKUP(B407,BASE_VEICULOS!A:B,2,0)</f>
        <v>TYK8C73</v>
      </c>
      <c r="D407" s="68" t="s">
        <v>50</v>
      </c>
      <c r="E407" s="73" t="s">
        <v>104</v>
      </c>
      <c r="F407" s="72">
        <v>3.8</v>
      </c>
    </row>
    <row r="408" ht="22.5" customHeight="1">
      <c r="A408" s="63">
        <v>46099.0</v>
      </c>
      <c r="B408" s="60" t="s">
        <v>15</v>
      </c>
      <c r="C408" s="67" t="str">
        <f>VLOOKUP(B408,BASE_VEICULOS!A:B,2,0)</f>
        <v>EWH1B84</v>
      </c>
      <c r="D408" s="68" t="s">
        <v>50</v>
      </c>
      <c r="E408" s="73" t="s">
        <v>102</v>
      </c>
      <c r="F408" s="72">
        <v>18.4</v>
      </c>
    </row>
    <row r="409" ht="22.5" customHeight="1">
      <c r="A409" s="63">
        <v>46099.0</v>
      </c>
      <c r="B409" s="60" t="s">
        <v>15</v>
      </c>
      <c r="C409" s="67" t="str">
        <f>VLOOKUP(B409,BASE_VEICULOS!A:B,2,0)</f>
        <v>EWH1B84</v>
      </c>
      <c r="D409" s="68" t="s">
        <v>50</v>
      </c>
      <c r="E409" s="73" t="s">
        <v>101</v>
      </c>
      <c r="F409" s="72">
        <v>6.6</v>
      </c>
    </row>
    <row r="410" ht="22.5" customHeight="1">
      <c r="A410" s="63">
        <v>46099.0</v>
      </c>
      <c r="B410" s="60" t="s">
        <v>120</v>
      </c>
      <c r="C410" s="67" t="str">
        <f>VLOOKUP(B410,BASE_VEICULOS!A:B,2,0)</f>
        <v>#N/A</v>
      </c>
      <c r="D410" s="68" t="s">
        <v>50</v>
      </c>
      <c r="E410" s="73" t="s">
        <v>104</v>
      </c>
      <c r="F410" s="72">
        <v>3.8</v>
      </c>
    </row>
    <row r="411" ht="22.5" customHeight="1">
      <c r="A411" s="63">
        <v>46099.0</v>
      </c>
      <c r="B411" s="60" t="s">
        <v>120</v>
      </c>
      <c r="C411" s="67" t="str">
        <f>VLOOKUP(B411,BASE_VEICULOS!A:B,2,0)</f>
        <v>#N/A</v>
      </c>
      <c r="D411" s="68" t="s">
        <v>50</v>
      </c>
      <c r="E411" s="73" t="s">
        <v>104</v>
      </c>
      <c r="F411" s="72">
        <v>3.8</v>
      </c>
    </row>
    <row r="412" ht="22.5" customHeight="1">
      <c r="A412" s="63">
        <v>46099.0</v>
      </c>
      <c r="B412" s="60"/>
      <c r="C412" s="67" t="s">
        <v>122</v>
      </c>
      <c r="D412" s="68" t="s">
        <v>50</v>
      </c>
      <c r="E412" s="73" t="s">
        <v>116</v>
      </c>
      <c r="F412" s="72">
        <v>4.56</v>
      </c>
    </row>
    <row r="413" ht="22.5" customHeight="1">
      <c r="A413" s="63">
        <v>46099.0</v>
      </c>
      <c r="B413" s="60"/>
      <c r="C413" s="67" t="s">
        <v>122</v>
      </c>
      <c r="D413" s="68" t="s">
        <v>50</v>
      </c>
      <c r="E413" s="73" t="s">
        <v>116</v>
      </c>
      <c r="F413" s="72">
        <v>4.56</v>
      </c>
    </row>
    <row r="414" ht="22.5" customHeight="1">
      <c r="A414" s="63">
        <v>46099.0</v>
      </c>
      <c r="B414" s="60" t="s">
        <v>29</v>
      </c>
      <c r="C414" s="67" t="str">
        <f>VLOOKUP(B414,BASE_VEICULOS!A:B,2,0)</f>
        <v>TEQ2I74</v>
      </c>
      <c r="D414" s="68" t="s">
        <v>50</v>
      </c>
      <c r="E414" s="73" t="s">
        <v>103</v>
      </c>
      <c r="F414" s="72">
        <v>7.12</v>
      </c>
    </row>
    <row r="415" ht="22.5" customHeight="1">
      <c r="A415" s="63">
        <v>46099.0</v>
      </c>
      <c r="B415" s="60" t="s">
        <v>29</v>
      </c>
      <c r="C415" s="67" t="str">
        <f>VLOOKUP(B415,BASE_VEICULOS!A:B,2,0)</f>
        <v>TEQ2I74</v>
      </c>
      <c r="D415" s="68" t="s">
        <v>50</v>
      </c>
      <c r="E415" s="73" t="s">
        <v>103</v>
      </c>
      <c r="F415" s="72">
        <v>7.12</v>
      </c>
    </row>
    <row r="416" ht="22.5" customHeight="1">
      <c r="A416" s="63">
        <v>46099.0</v>
      </c>
      <c r="B416" s="60" t="s">
        <v>29</v>
      </c>
      <c r="C416" s="67" t="str">
        <f>VLOOKUP(B416,BASE_VEICULOS!A:B,2,0)</f>
        <v>TEQ2I74</v>
      </c>
      <c r="D416" s="68" t="s">
        <v>50</v>
      </c>
      <c r="E416" s="73" t="s">
        <v>103</v>
      </c>
      <c r="F416" s="72">
        <v>3.98</v>
      </c>
    </row>
    <row r="417" ht="22.5" customHeight="1">
      <c r="A417" s="63">
        <v>46099.0</v>
      </c>
      <c r="B417" s="60" t="s">
        <v>34</v>
      </c>
      <c r="C417" s="67" t="str">
        <f>VLOOKUP(B417,BASE_VEICULOS!A:B,2,0)</f>
        <v>SRU8D16</v>
      </c>
      <c r="D417" s="68" t="s">
        <v>50</v>
      </c>
      <c r="E417" s="73" t="s">
        <v>101</v>
      </c>
      <c r="F417" s="72">
        <v>6.6</v>
      </c>
    </row>
    <row r="418" ht="22.5" customHeight="1">
      <c r="A418" s="63">
        <v>46099.0</v>
      </c>
      <c r="B418" s="60" t="s">
        <v>16</v>
      </c>
      <c r="C418" s="67" t="str">
        <f>VLOOKUP(B418,BASE_VEICULOS!A:B,2,0)</f>
        <v>TEW9A27</v>
      </c>
      <c r="D418" s="68" t="s">
        <v>50</v>
      </c>
      <c r="E418" s="73" t="s">
        <v>101</v>
      </c>
      <c r="F418" s="72">
        <v>6.6</v>
      </c>
    </row>
    <row r="419" ht="22.5" customHeight="1">
      <c r="A419" s="63">
        <v>46099.0</v>
      </c>
      <c r="B419" s="60" t="s">
        <v>26</v>
      </c>
      <c r="C419" s="67" t="str">
        <f>VLOOKUP(B419,BASE_VEICULOS!A:B,2,0)</f>
        <v>#N/A</v>
      </c>
      <c r="D419" s="68" t="s">
        <v>50</v>
      </c>
      <c r="E419" s="73" t="s">
        <v>101</v>
      </c>
      <c r="F419" s="72">
        <v>6.6</v>
      </c>
    </row>
    <row r="420" ht="22.5" customHeight="1">
      <c r="A420" s="63">
        <v>46099.0</v>
      </c>
      <c r="B420" s="60" t="s">
        <v>23</v>
      </c>
      <c r="C420" s="67" t="str">
        <f>VLOOKUP(B420,BASE_VEICULOS!A:B,2,0)</f>
        <v>TEH3I02</v>
      </c>
      <c r="D420" s="68" t="s">
        <v>51</v>
      </c>
      <c r="E420" s="73" t="s">
        <v>123</v>
      </c>
      <c r="F420" s="72">
        <v>20.0</v>
      </c>
    </row>
    <row r="421" ht="22.5" customHeight="1">
      <c r="A421" s="63">
        <v>46099.0</v>
      </c>
      <c r="B421" s="60" t="s">
        <v>22</v>
      </c>
      <c r="C421" s="67" t="str">
        <f>VLOOKUP(B421,BASE_VEICULOS!A:B,2,0)</f>
        <v>TET5H37</v>
      </c>
      <c r="D421" s="68" t="s">
        <v>50</v>
      </c>
      <c r="E421" s="73" t="s">
        <v>99</v>
      </c>
      <c r="F421" s="72">
        <v>9.98</v>
      </c>
    </row>
    <row r="422" ht="22.5" customHeight="1">
      <c r="A422" s="63">
        <v>46099.0</v>
      </c>
      <c r="B422" s="60" t="s">
        <v>22</v>
      </c>
      <c r="C422" s="67" t="str">
        <f>VLOOKUP(B422,BASE_VEICULOS!A:B,2,0)</f>
        <v>TET5H37</v>
      </c>
      <c r="D422" s="68" t="s">
        <v>50</v>
      </c>
      <c r="E422" s="73" t="s">
        <v>116</v>
      </c>
      <c r="F422" s="72">
        <v>4.56</v>
      </c>
    </row>
    <row r="423" ht="22.5" customHeight="1">
      <c r="A423" s="63">
        <v>46099.0</v>
      </c>
      <c r="B423" s="60" t="s">
        <v>22</v>
      </c>
      <c r="C423" s="67" t="str">
        <f>VLOOKUP(B423,BASE_VEICULOS!A:B,2,0)</f>
        <v>TET5H37</v>
      </c>
      <c r="D423" s="68" t="s">
        <v>50</v>
      </c>
      <c r="E423" s="73" t="s">
        <v>116</v>
      </c>
      <c r="F423" s="72">
        <v>4.56</v>
      </c>
    </row>
    <row r="424" ht="22.5" customHeight="1">
      <c r="A424" s="63">
        <v>46099.0</v>
      </c>
      <c r="B424" s="60" t="s">
        <v>22</v>
      </c>
      <c r="C424" s="67" t="str">
        <f>VLOOKUP(B424,BASE_VEICULOS!A:B,2,0)</f>
        <v>TET5H37</v>
      </c>
      <c r="D424" s="68" t="s">
        <v>50</v>
      </c>
      <c r="E424" s="73" t="s">
        <v>116</v>
      </c>
      <c r="F424" s="72">
        <v>4.56</v>
      </c>
    </row>
    <row r="425" ht="22.5" customHeight="1">
      <c r="A425" s="63">
        <v>46099.0</v>
      </c>
      <c r="B425" s="60" t="s">
        <v>22</v>
      </c>
      <c r="C425" s="67" t="str">
        <f>VLOOKUP(B425,BASE_VEICULOS!A:B,2,0)</f>
        <v>TET5H37</v>
      </c>
      <c r="D425" s="68" t="s">
        <v>50</v>
      </c>
      <c r="E425" s="73" t="s">
        <v>116</v>
      </c>
      <c r="F425" s="72">
        <v>4.56</v>
      </c>
    </row>
    <row r="426" ht="22.5" customHeight="1">
      <c r="A426" s="63">
        <v>46099.0</v>
      </c>
      <c r="B426" s="60" t="s">
        <v>22</v>
      </c>
      <c r="C426" s="67" t="str">
        <f>VLOOKUP(B426,BASE_VEICULOS!A:B,2,0)</f>
        <v>TET5H37</v>
      </c>
      <c r="D426" s="68" t="s">
        <v>50</v>
      </c>
      <c r="E426" s="73" t="s">
        <v>99</v>
      </c>
      <c r="F426" s="72">
        <v>9.98</v>
      </c>
    </row>
    <row r="427" ht="22.5" customHeight="1">
      <c r="A427" s="63">
        <v>46099.0</v>
      </c>
      <c r="B427" s="60" t="s">
        <v>22</v>
      </c>
      <c r="C427" s="67" t="str">
        <f>VLOOKUP(B427,BASE_VEICULOS!A:B,2,0)</f>
        <v>TET5H37</v>
      </c>
      <c r="D427" s="68" t="s">
        <v>50</v>
      </c>
      <c r="E427" s="73" t="s">
        <v>104</v>
      </c>
      <c r="F427" s="72">
        <v>3.8</v>
      </c>
    </row>
    <row r="428" ht="22.5" customHeight="1">
      <c r="A428" s="63">
        <v>46099.0</v>
      </c>
      <c r="B428" s="60" t="s">
        <v>22</v>
      </c>
      <c r="C428" s="67" t="str">
        <f>VLOOKUP(B428,BASE_VEICULOS!A:B,2,0)</f>
        <v>TET5H37</v>
      </c>
      <c r="D428" s="68" t="s">
        <v>50</v>
      </c>
      <c r="E428" s="73" t="s">
        <v>104</v>
      </c>
      <c r="F428" s="72">
        <v>3.8</v>
      </c>
    </row>
    <row r="429" ht="22.5" customHeight="1">
      <c r="A429" s="63">
        <v>46099.0</v>
      </c>
      <c r="B429" s="60" t="s">
        <v>36</v>
      </c>
      <c r="C429" s="67" t="str">
        <f>VLOOKUP(B429,BASE_VEICULOS!A:B,2,0)</f>
        <v>#N/A</v>
      </c>
      <c r="D429" s="68" t="s">
        <v>50</v>
      </c>
      <c r="E429" s="73" t="s">
        <v>104</v>
      </c>
      <c r="F429" s="72">
        <v>3.8</v>
      </c>
    </row>
    <row r="430" ht="22.5" customHeight="1">
      <c r="A430" s="63">
        <v>46099.0</v>
      </c>
      <c r="B430" s="60" t="s">
        <v>36</v>
      </c>
      <c r="C430" s="67" t="str">
        <f>VLOOKUP(B430,BASE_VEICULOS!A:B,2,0)</f>
        <v>#N/A</v>
      </c>
      <c r="D430" s="68" t="s">
        <v>50</v>
      </c>
      <c r="E430" s="73" t="s">
        <v>104</v>
      </c>
      <c r="F430" s="72">
        <v>3.8</v>
      </c>
    </row>
    <row r="431" ht="22.5" customHeight="1">
      <c r="A431" s="63">
        <v>46099.0</v>
      </c>
      <c r="B431" s="60" t="s">
        <v>36</v>
      </c>
      <c r="C431" s="67" t="str">
        <f>VLOOKUP(B431,BASE_VEICULOS!A:B,2,0)</f>
        <v>#N/A</v>
      </c>
      <c r="D431" s="68" t="s">
        <v>51</v>
      </c>
      <c r="E431" s="73" t="s">
        <v>124</v>
      </c>
      <c r="F431" s="72">
        <v>17.0</v>
      </c>
    </row>
    <row r="432" ht="22.5" customHeight="1">
      <c r="A432" s="63">
        <v>46099.0</v>
      </c>
      <c r="B432" s="60" t="s">
        <v>19</v>
      </c>
      <c r="C432" s="67" t="str">
        <f>VLOOKUP(B432,BASE_VEICULOS!A:B,2,0)</f>
        <v>TEW9A24</v>
      </c>
      <c r="D432" s="68" t="s">
        <v>50</v>
      </c>
      <c r="E432" s="73" t="s">
        <v>103</v>
      </c>
      <c r="F432" s="72">
        <v>7.12</v>
      </c>
    </row>
    <row r="433" ht="22.5" customHeight="1">
      <c r="A433" s="63">
        <v>46099.0</v>
      </c>
      <c r="B433" s="60" t="s">
        <v>19</v>
      </c>
      <c r="C433" s="67" t="str">
        <f>VLOOKUP(B433,BASE_VEICULOS!A:B,2,0)</f>
        <v>TEW9A24</v>
      </c>
      <c r="D433" s="68" t="s">
        <v>50</v>
      </c>
      <c r="E433" s="73" t="s">
        <v>103</v>
      </c>
      <c r="F433" s="72">
        <v>7.12</v>
      </c>
    </row>
    <row r="434" ht="22.5" customHeight="1">
      <c r="A434" s="63">
        <v>46099.0</v>
      </c>
      <c r="B434" s="60" t="s">
        <v>19</v>
      </c>
      <c r="C434" s="67" t="str">
        <f>VLOOKUP(B434,BASE_VEICULOS!A:B,2,0)</f>
        <v>TEW9A24</v>
      </c>
      <c r="D434" s="68" t="s">
        <v>50</v>
      </c>
      <c r="E434" s="73" t="s">
        <v>103</v>
      </c>
      <c r="F434" s="72">
        <v>7.0</v>
      </c>
    </row>
    <row r="435" ht="22.5" customHeight="1">
      <c r="A435" s="63">
        <v>46099.0</v>
      </c>
      <c r="B435" s="60" t="s">
        <v>19</v>
      </c>
      <c r="C435" s="67" t="str">
        <f>VLOOKUP(B435,BASE_VEICULOS!A:B,2,0)</f>
        <v>TEW9A24</v>
      </c>
      <c r="D435" s="68" t="s">
        <v>50</v>
      </c>
      <c r="E435" s="73" t="s">
        <v>103</v>
      </c>
      <c r="F435" s="72">
        <v>7.12</v>
      </c>
    </row>
    <row r="436" ht="22.5" customHeight="1">
      <c r="A436" s="63">
        <v>46099.0</v>
      </c>
      <c r="B436" s="60" t="s">
        <v>19</v>
      </c>
      <c r="C436" s="67" t="str">
        <f>VLOOKUP(B436,BASE_VEICULOS!A:B,2,0)</f>
        <v>TEW9A24</v>
      </c>
      <c r="D436" s="68" t="s">
        <v>50</v>
      </c>
      <c r="E436" s="73" t="s">
        <v>103</v>
      </c>
      <c r="F436" s="72">
        <v>7.0</v>
      </c>
    </row>
    <row r="437" ht="22.5" customHeight="1">
      <c r="A437" s="63">
        <v>46099.0</v>
      </c>
      <c r="B437" s="60" t="s">
        <v>19</v>
      </c>
      <c r="C437" s="67" t="str">
        <f>VLOOKUP(B437,BASE_VEICULOS!A:B,2,0)</f>
        <v>TEW9A24</v>
      </c>
      <c r="D437" s="68" t="s">
        <v>50</v>
      </c>
      <c r="E437" s="73" t="s">
        <v>103</v>
      </c>
      <c r="F437" s="72">
        <v>7.12</v>
      </c>
    </row>
    <row r="438" ht="22.5" customHeight="1">
      <c r="A438" s="63">
        <v>46099.0</v>
      </c>
      <c r="B438" s="60" t="s">
        <v>10</v>
      </c>
      <c r="C438" s="67" t="str">
        <f>VLOOKUP(B438,BASE_VEICULOS!A:B,2,0)</f>
        <v>TEW9A25</v>
      </c>
      <c r="D438" s="68" t="s">
        <v>50</v>
      </c>
      <c r="E438" s="73" t="s">
        <v>106</v>
      </c>
      <c r="F438" s="72">
        <v>8.95</v>
      </c>
    </row>
    <row r="439" ht="22.5" customHeight="1">
      <c r="A439" s="63">
        <v>46099.0</v>
      </c>
      <c r="B439" s="60" t="s">
        <v>10</v>
      </c>
      <c r="C439" s="67" t="str">
        <f>VLOOKUP(B439,BASE_VEICULOS!A:B,2,0)</f>
        <v>TEW9A25</v>
      </c>
      <c r="D439" s="68" t="s">
        <v>51</v>
      </c>
      <c r="E439" s="73" t="s">
        <v>108</v>
      </c>
      <c r="F439" s="72">
        <v>40.0</v>
      </c>
    </row>
    <row r="440" ht="22.5" customHeight="1">
      <c r="A440" s="63">
        <v>46099.0</v>
      </c>
      <c r="B440" s="60" t="s">
        <v>10</v>
      </c>
      <c r="C440" s="67" t="str">
        <f>VLOOKUP(B440,BASE_VEICULOS!A:B,2,0)</f>
        <v>TEW9A25</v>
      </c>
      <c r="D440" s="68" t="s">
        <v>50</v>
      </c>
      <c r="E440" s="73" t="s">
        <v>104</v>
      </c>
      <c r="F440" s="72">
        <v>3.8</v>
      </c>
    </row>
    <row r="441" ht="22.5" customHeight="1">
      <c r="A441" s="63">
        <v>46099.0</v>
      </c>
      <c r="B441" s="60" t="s">
        <v>18</v>
      </c>
      <c r="C441" s="67" t="str">
        <f>VLOOKUP(B441,BASE_VEICULOS!A:B,2,0)</f>
        <v>TEW9A29</v>
      </c>
      <c r="D441" s="68" t="s">
        <v>50</v>
      </c>
      <c r="E441" s="73" t="s">
        <v>111</v>
      </c>
      <c r="F441" s="72">
        <v>19.64</v>
      </c>
    </row>
    <row r="442" ht="22.5" customHeight="1">
      <c r="A442" s="63">
        <v>46099.0</v>
      </c>
      <c r="B442" s="60" t="s">
        <v>18</v>
      </c>
      <c r="C442" s="67" t="str">
        <f>VLOOKUP(B442,BASE_VEICULOS!A:B,2,0)</f>
        <v>TEW9A29</v>
      </c>
      <c r="D442" s="68" t="s">
        <v>50</v>
      </c>
      <c r="E442" s="73" t="s">
        <v>111</v>
      </c>
      <c r="F442" s="72">
        <v>19.49</v>
      </c>
    </row>
    <row r="443" ht="22.5" customHeight="1">
      <c r="A443" s="63">
        <v>46099.0</v>
      </c>
      <c r="B443" s="60" t="s">
        <v>18</v>
      </c>
      <c r="C443" s="67" t="str">
        <f>VLOOKUP(B443,BASE_VEICULOS!A:B,2,0)</f>
        <v>TEW9A29</v>
      </c>
      <c r="D443" s="68" t="s">
        <v>50</v>
      </c>
      <c r="E443" s="73" t="s">
        <v>104</v>
      </c>
      <c r="F443" s="72">
        <v>3.8</v>
      </c>
    </row>
    <row r="444" ht="22.5" customHeight="1">
      <c r="A444" s="63">
        <v>46099.0</v>
      </c>
      <c r="B444" s="60" t="s">
        <v>17</v>
      </c>
      <c r="C444" s="67" t="str">
        <f>VLOOKUP(B444,BASE_VEICULOS!A:B,2,0)</f>
        <v>#N/A</v>
      </c>
      <c r="D444" s="68" t="s">
        <v>50</v>
      </c>
      <c r="E444" s="73" t="s">
        <v>99</v>
      </c>
      <c r="F444" s="72">
        <v>17.04</v>
      </c>
    </row>
    <row r="445" ht="22.5" customHeight="1">
      <c r="A445" s="63">
        <v>46099.0</v>
      </c>
      <c r="B445" s="60" t="s">
        <v>17</v>
      </c>
      <c r="C445" s="67" t="str">
        <f>VLOOKUP(B445,BASE_VEICULOS!A:B,2,0)</f>
        <v>#N/A</v>
      </c>
      <c r="D445" s="68" t="s">
        <v>50</v>
      </c>
      <c r="E445" s="73" t="s">
        <v>100</v>
      </c>
      <c r="F445" s="72">
        <v>9.6</v>
      </c>
    </row>
    <row r="446" ht="22.5" customHeight="1">
      <c r="A446" s="63">
        <v>46099.0</v>
      </c>
      <c r="B446" s="60" t="s">
        <v>17</v>
      </c>
      <c r="C446" s="67" t="str">
        <f>VLOOKUP(B446,BASE_VEICULOS!A:B,2,0)</f>
        <v>#N/A</v>
      </c>
      <c r="D446" s="68" t="s">
        <v>50</v>
      </c>
      <c r="E446" s="73" t="s">
        <v>99</v>
      </c>
      <c r="F446" s="72">
        <v>17.04</v>
      </c>
    </row>
    <row r="447" ht="22.5" customHeight="1">
      <c r="A447" s="63">
        <v>46100.0</v>
      </c>
      <c r="B447" s="60" t="s">
        <v>15</v>
      </c>
      <c r="C447" s="67" t="str">
        <f>VLOOKUP(B447,BASE_VEICULOS!A:B,2,0)</f>
        <v>EWH1B84</v>
      </c>
      <c r="D447" s="68" t="s">
        <v>50</v>
      </c>
      <c r="E447" s="73" t="s">
        <v>103</v>
      </c>
      <c r="F447" s="72">
        <v>7.12</v>
      </c>
    </row>
    <row r="448" ht="22.5" customHeight="1">
      <c r="A448" s="63">
        <v>46100.0</v>
      </c>
      <c r="B448" s="60" t="s">
        <v>15</v>
      </c>
      <c r="C448" s="67" t="str">
        <f>VLOOKUP(B448,BASE_VEICULOS!A:B,2,0)</f>
        <v>EWH1B84</v>
      </c>
      <c r="D448" s="68" t="s">
        <v>50</v>
      </c>
      <c r="E448" s="73" t="s">
        <v>102</v>
      </c>
      <c r="F448" s="72">
        <v>18.4</v>
      </c>
    </row>
    <row r="449" ht="22.5" customHeight="1">
      <c r="A449" s="63">
        <v>46100.0</v>
      </c>
      <c r="B449" s="60" t="s">
        <v>11</v>
      </c>
      <c r="C449" s="67" t="str">
        <f>VLOOKUP(B449,BASE_VEICULOS!A:B,2,0)</f>
        <v>TEW9A28</v>
      </c>
      <c r="D449" s="68" t="s">
        <v>50</v>
      </c>
      <c r="E449" s="73" t="s">
        <v>102</v>
      </c>
      <c r="F449" s="72">
        <v>18.4</v>
      </c>
    </row>
    <row r="450" ht="22.5" customHeight="1">
      <c r="A450" s="63">
        <v>46100.0</v>
      </c>
      <c r="B450" s="60" t="s">
        <v>34</v>
      </c>
      <c r="C450" s="67" t="str">
        <f>VLOOKUP(B450,BASE_VEICULOS!A:B,2,0)</f>
        <v>SRU8D16</v>
      </c>
      <c r="D450" s="68" t="s">
        <v>50</v>
      </c>
      <c r="E450" s="73" t="s">
        <v>103</v>
      </c>
      <c r="F450" s="72">
        <v>7.12</v>
      </c>
    </row>
    <row r="451" ht="22.5" customHeight="1">
      <c r="A451" s="63">
        <v>46100.0</v>
      </c>
      <c r="B451" s="60" t="s">
        <v>34</v>
      </c>
      <c r="C451" s="67" t="str">
        <f>VLOOKUP(B451,BASE_VEICULOS!A:B,2,0)</f>
        <v>SRU8D16</v>
      </c>
      <c r="D451" s="68" t="s">
        <v>50</v>
      </c>
      <c r="E451" s="73" t="s">
        <v>101</v>
      </c>
      <c r="F451" s="72">
        <v>6.6</v>
      </c>
    </row>
    <row r="452" ht="22.5" customHeight="1">
      <c r="A452" s="63">
        <v>46100.0</v>
      </c>
      <c r="B452" s="60" t="s">
        <v>22</v>
      </c>
      <c r="C452" s="67" t="str">
        <f>VLOOKUP(B452,BASE_VEICULOS!A:B,2,0)</f>
        <v>TET5H37</v>
      </c>
      <c r="D452" s="68" t="s">
        <v>50</v>
      </c>
      <c r="E452" s="73" t="s">
        <v>106</v>
      </c>
      <c r="F452" s="72">
        <v>8.95</v>
      </c>
    </row>
    <row r="453" ht="22.5" customHeight="1">
      <c r="A453" s="63">
        <v>46100.0</v>
      </c>
      <c r="B453" s="60" t="s">
        <v>22</v>
      </c>
      <c r="C453" s="67" t="str">
        <f>VLOOKUP(B453,BASE_VEICULOS!A:B,2,0)</f>
        <v>TET5H37</v>
      </c>
      <c r="D453" s="68" t="s">
        <v>50</v>
      </c>
      <c r="E453" s="73" t="s">
        <v>104</v>
      </c>
      <c r="F453" s="72">
        <v>3.8</v>
      </c>
    </row>
    <row r="454" ht="22.5" customHeight="1">
      <c r="A454" s="63">
        <v>46100.0</v>
      </c>
      <c r="B454" s="60" t="s">
        <v>22</v>
      </c>
      <c r="C454" s="67" t="str">
        <f>VLOOKUP(B454,BASE_VEICULOS!A:B,2,0)</f>
        <v>TET5H37</v>
      </c>
      <c r="D454" s="68" t="s">
        <v>50</v>
      </c>
      <c r="E454" s="73" t="s">
        <v>104</v>
      </c>
      <c r="F454" s="72">
        <v>3.8</v>
      </c>
    </row>
    <row r="455" ht="22.5" customHeight="1">
      <c r="A455" s="63">
        <v>46100.0</v>
      </c>
      <c r="B455" s="60" t="s">
        <v>22</v>
      </c>
      <c r="C455" s="67" t="str">
        <f>VLOOKUP(B455,BASE_VEICULOS!A:B,2,0)</f>
        <v>TET5H37</v>
      </c>
      <c r="D455" s="68" t="s">
        <v>50</v>
      </c>
      <c r="E455" s="73" t="s">
        <v>106</v>
      </c>
      <c r="F455" s="72">
        <v>8.95</v>
      </c>
    </row>
    <row r="456" ht="22.5" customHeight="1">
      <c r="A456" s="63">
        <v>46100.0</v>
      </c>
      <c r="B456" s="60" t="s">
        <v>22</v>
      </c>
      <c r="C456" s="67" t="str">
        <f>VLOOKUP(B456,BASE_VEICULOS!A:B,2,0)</f>
        <v>TET5H37</v>
      </c>
      <c r="D456" s="68" t="s">
        <v>50</v>
      </c>
      <c r="E456" s="73" t="s">
        <v>104</v>
      </c>
      <c r="F456" s="72">
        <v>3.8</v>
      </c>
    </row>
    <row r="457" ht="22.5" customHeight="1">
      <c r="A457" s="63">
        <v>46100.0</v>
      </c>
      <c r="B457" s="60" t="s">
        <v>10</v>
      </c>
      <c r="C457" s="67" t="str">
        <f>VLOOKUP(B457,BASE_VEICULOS!A:B,2,0)</f>
        <v>TEW9A25</v>
      </c>
      <c r="D457" s="68" t="s">
        <v>50</v>
      </c>
      <c r="E457" s="73" t="s">
        <v>106</v>
      </c>
      <c r="F457" s="72">
        <v>8.95</v>
      </c>
    </row>
    <row r="458" ht="22.5" customHeight="1">
      <c r="A458" s="63">
        <v>46100.0</v>
      </c>
      <c r="B458" s="60" t="s">
        <v>17</v>
      </c>
      <c r="C458" s="67" t="str">
        <f>VLOOKUP(B458,BASE_VEICULOS!A:B,2,0)</f>
        <v>#N/A</v>
      </c>
      <c r="D458" s="68" t="s">
        <v>50</v>
      </c>
      <c r="E458" s="73" t="s">
        <v>99</v>
      </c>
      <c r="F458" s="72">
        <v>15.83</v>
      </c>
    </row>
    <row r="459" ht="22.5" customHeight="1">
      <c r="A459" s="63">
        <v>46100.0</v>
      </c>
      <c r="B459" s="60" t="s">
        <v>17</v>
      </c>
      <c r="C459" s="67" t="str">
        <f>VLOOKUP(B459,BASE_VEICULOS!A:B,2,0)</f>
        <v>#N/A</v>
      </c>
      <c r="D459" s="68" t="s">
        <v>50</v>
      </c>
      <c r="E459" s="73" t="s">
        <v>99</v>
      </c>
      <c r="F459" s="72">
        <v>15.83</v>
      </c>
    </row>
    <row r="460" ht="22.5" customHeight="1">
      <c r="A460" s="63">
        <v>46100.0</v>
      </c>
      <c r="B460" s="60" t="s">
        <v>113</v>
      </c>
      <c r="C460" s="67" t="str">
        <f>VLOOKUP(B460,BASE_VEICULOS!A:B,2,0)</f>
        <v>TYK8C73</v>
      </c>
      <c r="D460" s="68" t="s">
        <v>51</v>
      </c>
      <c r="E460" s="73" t="s">
        <v>125</v>
      </c>
      <c r="F460" s="72">
        <v>15.0</v>
      </c>
    </row>
    <row r="461" ht="22.5" customHeight="1">
      <c r="A461" s="63">
        <v>46100.0</v>
      </c>
      <c r="B461" s="60" t="s">
        <v>113</v>
      </c>
      <c r="C461" s="67" t="str">
        <f>VLOOKUP(B461,BASE_VEICULOS!A:B,2,0)</f>
        <v>TYK8C73</v>
      </c>
      <c r="D461" s="68" t="s">
        <v>50</v>
      </c>
      <c r="E461" s="73" t="s">
        <v>104</v>
      </c>
      <c r="F461" s="72">
        <v>3.8</v>
      </c>
    </row>
    <row r="462" ht="22.5" customHeight="1">
      <c r="A462" s="63">
        <v>46100.0</v>
      </c>
      <c r="B462" s="60" t="s">
        <v>113</v>
      </c>
      <c r="C462" s="67" t="str">
        <f>VLOOKUP(B462,BASE_VEICULOS!A:B,2,0)</f>
        <v>TYK8C73</v>
      </c>
      <c r="D462" s="68" t="s">
        <v>50</v>
      </c>
      <c r="E462" s="73" t="s">
        <v>104</v>
      </c>
      <c r="F462" s="72">
        <v>3.8</v>
      </c>
    </row>
    <row r="463" ht="22.5" customHeight="1">
      <c r="A463" s="63">
        <v>46101.0</v>
      </c>
      <c r="B463" s="60" t="s">
        <v>11</v>
      </c>
      <c r="C463" s="67" t="str">
        <f>VLOOKUP(B463,BASE_VEICULOS!A:B,2,0)</f>
        <v>TEW9A28</v>
      </c>
      <c r="D463" s="68" t="s">
        <v>50</v>
      </c>
      <c r="E463" s="73" t="s">
        <v>101</v>
      </c>
      <c r="F463" s="74">
        <v>6.6</v>
      </c>
    </row>
    <row r="464" ht="22.5" customHeight="1">
      <c r="A464" s="63">
        <v>46101.0</v>
      </c>
      <c r="B464" s="60" t="s">
        <v>13</v>
      </c>
      <c r="C464" s="67" t="str">
        <f>VLOOKUP(B464,BASE_VEICULOS!A:B,2,0)</f>
        <v>FGO3C61</v>
      </c>
      <c r="D464" s="68" t="s">
        <v>50</v>
      </c>
      <c r="E464" s="73" t="s">
        <v>102</v>
      </c>
      <c r="F464" s="74">
        <v>30.6</v>
      </c>
    </row>
    <row r="465" ht="22.5" customHeight="1">
      <c r="A465" s="63">
        <v>46101.0</v>
      </c>
      <c r="B465" s="60" t="s">
        <v>29</v>
      </c>
      <c r="C465" s="67" t="str">
        <f>VLOOKUP(B465,BASE_VEICULOS!A:B,2,0)</f>
        <v>TEQ2I74</v>
      </c>
      <c r="D465" s="68" t="s">
        <v>50</v>
      </c>
      <c r="E465" s="73" t="s">
        <v>101</v>
      </c>
      <c r="F465" s="74">
        <v>9.9</v>
      </c>
    </row>
    <row r="466" ht="22.5" customHeight="1">
      <c r="A466" s="63">
        <v>46101.0</v>
      </c>
      <c r="B466" s="60" t="s">
        <v>29</v>
      </c>
      <c r="C466" s="67" t="str">
        <f>VLOOKUP(B466,BASE_VEICULOS!A:B,2,0)</f>
        <v>TEQ2I74</v>
      </c>
      <c r="D466" s="68" t="s">
        <v>50</v>
      </c>
      <c r="E466" s="73" t="s">
        <v>101</v>
      </c>
      <c r="F466" s="74">
        <v>6.6</v>
      </c>
    </row>
    <row r="467" ht="22.5" customHeight="1">
      <c r="A467" s="63">
        <v>46101.0</v>
      </c>
      <c r="B467" s="60" t="s">
        <v>29</v>
      </c>
      <c r="C467" s="67" t="str">
        <f>VLOOKUP(B467,BASE_VEICULOS!A:B,2,0)</f>
        <v>TEQ2I74</v>
      </c>
      <c r="D467" s="68" t="s">
        <v>50</v>
      </c>
      <c r="E467" s="73" t="s">
        <v>101</v>
      </c>
      <c r="F467" s="74">
        <v>9.9</v>
      </c>
    </row>
    <row r="468" ht="22.5" customHeight="1">
      <c r="A468" s="63">
        <v>46101.0</v>
      </c>
      <c r="B468" s="60" t="s">
        <v>29</v>
      </c>
      <c r="C468" s="67" t="str">
        <f>VLOOKUP(B468,BASE_VEICULOS!A:B,2,0)</f>
        <v>TEQ2I74</v>
      </c>
      <c r="D468" s="68" t="s">
        <v>50</v>
      </c>
      <c r="E468" s="73" t="s">
        <v>103</v>
      </c>
      <c r="F468" s="74">
        <v>7.12</v>
      </c>
    </row>
    <row r="469" ht="22.5" customHeight="1">
      <c r="A469" s="63">
        <v>46101.0</v>
      </c>
      <c r="B469" s="60" t="s">
        <v>29</v>
      </c>
      <c r="C469" s="67" t="str">
        <f>VLOOKUP(B469,BASE_VEICULOS!A:B,2,0)</f>
        <v>TEQ2I74</v>
      </c>
      <c r="D469" s="68" t="s">
        <v>50</v>
      </c>
      <c r="E469" s="73" t="s">
        <v>103</v>
      </c>
      <c r="F469" s="74">
        <v>7.12</v>
      </c>
    </row>
    <row r="470" ht="22.5" customHeight="1">
      <c r="A470" s="63">
        <v>46101.0</v>
      </c>
      <c r="B470" s="60" t="s">
        <v>29</v>
      </c>
      <c r="C470" s="67" t="str">
        <f>VLOOKUP(B470,BASE_VEICULOS!A:B,2,0)</f>
        <v>TEQ2I74</v>
      </c>
      <c r="D470" s="68" t="s">
        <v>50</v>
      </c>
      <c r="E470" s="73" t="s">
        <v>103</v>
      </c>
      <c r="F470" s="74">
        <v>3.66</v>
      </c>
    </row>
    <row r="471" ht="22.5" customHeight="1">
      <c r="A471" s="63">
        <v>46101.0</v>
      </c>
      <c r="B471" s="60" t="s">
        <v>34</v>
      </c>
      <c r="C471" s="67" t="str">
        <f>VLOOKUP(B471,BASE_VEICULOS!A:B,2,0)</f>
        <v>SRU8D16</v>
      </c>
      <c r="D471" s="68" t="s">
        <v>50</v>
      </c>
      <c r="E471" s="73" t="s">
        <v>101</v>
      </c>
      <c r="F471" s="74">
        <v>6.6</v>
      </c>
    </row>
    <row r="472" ht="22.5" customHeight="1">
      <c r="A472" s="63">
        <v>46101.0</v>
      </c>
      <c r="B472" s="60" t="s">
        <v>22</v>
      </c>
      <c r="C472" s="67" t="str">
        <f>VLOOKUP(B472,BASE_VEICULOS!A:B,2,0)</f>
        <v>TET5H37</v>
      </c>
      <c r="D472" s="68" t="s">
        <v>50</v>
      </c>
      <c r="E472" s="73" t="s">
        <v>106</v>
      </c>
      <c r="F472" s="74">
        <v>8.95</v>
      </c>
    </row>
    <row r="473" ht="22.5" customHeight="1">
      <c r="A473" s="63">
        <v>46101.0</v>
      </c>
      <c r="B473" s="60" t="s">
        <v>10</v>
      </c>
      <c r="C473" s="67" t="str">
        <f>VLOOKUP(B473,BASE_VEICULOS!A:B,2,0)</f>
        <v>TEW9A25</v>
      </c>
      <c r="D473" s="68" t="s">
        <v>50</v>
      </c>
      <c r="E473" s="73" t="s">
        <v>106</v>
      </c>
      <c r="F473" s="74">
        <v>8.95</v>
      </c>
    </row>
    <row r="474" ht="22.5" customHeight="1">
      <c r="A474" s="63">
        <v>46101.0</v>
      </c>
      <c r="B474" s="60" t="s">
        <v>30</v>
      </c>
      <c r="C474" s="67" t="str">
        <f>VLOOKUP(B474,BASE_VEICULOS!A:B,2,0)</f>
        <v>#N/A</v>
      </c>
      <c r="D474" s="68" t="s">
        <v>50</v>
      </c>
      <c r="E474" s="73" t="s">
        <v>103</v>
      </c>
      <c r="F474" s="74">
        <v>7.12</v>
      </c>
    </row>
    <row r="475" ht="22.5" customHeight="1">
      <c r="A475" s="63">
        <v>46101.0</v>
      </c>
      <c r="B475" s="60" t="s">
        <v>18</v>
      </c>
      <c r="C475" s="67" t="str">
        <f>VLOOKUP(B475,BASE_VEICULOS!A:B,2,0)</f>
        <v>TEW9A29</v>
      </c>
      <c r="D475" s="68" t="s">
        <v>50</v>
      </c>
      <c r="E475" s="73" t="s">
        <v>99</v>
      </c>
      <c r="F475" s="74">
        <v>15.83</v>
      </c>
    </row>
    <row r="476" ht="22.5" customHeight="1">
      <c r="A476" s="63">
        <v>46101.0</v>
      </c>
      <c r="B476" s="60" t="s">
        <v>18</v>
      </c>
      <c r="C476" s="67" t="str">
        <f>VLOOKUP(B476,BASE_VEICULOS!A:B,2,0)</f>
        <v>TEW9A29</v>
      </c>
      <c r="D476" s="68" t="s">
        <v>50</v>
      </c>
      <c r="E476" s="73" t="s">
        <v>99</v>
      </c>
      <c r="F476" s="74">
        <v>15.83</v>
      </c>
    </row>
    <row r="477" ht="22.5" customHeight="1">
      <c r="A477" s="63">
        <v>46101.0</v>
      </c>
      <c r="B477" s="60" t="s">
        <v>18</v>
      </c>
      <c r="C477" s="67" t="str">
        <f>VLOOKUP(B477,BASE_VEICULOS!A:B,2,0)</f>
        <v>TEW9A29</v>
      </c>
      <c r="D477" s="68" t="s">
        <v>50</v>
      </c>
      <c r="E477" s="73" t="s">
        <v>104</v>
      </c>
      <c r="F477" s="74">
        <v>3.8</v>
      </c>
    </row>
    <row r="478" ht="22.5" customHeight="1">
      <c r="A478" s="63">
        <v>46101.0</v>
      </c>
      <c r="B478" s="60" t="s">
        <v>20</v>
      </c>
      <c r="C478" s="67" t="str">
        <f>VLOOKUP(B478,BASE_VEICULOS!A:B,2,0)</f>
        <v>TEW9A34</v>
      </c>
      <c r="D478" s="68" t="s">
        <v>50</v>
      </c>
      <c r="E478" s="73" t="s">
        <v>102</v>
      </c>
      <c r="F478" s="74">
        <v>30.6</v>
      </c>
    </row>
    <row r="479" ht="22.5" customHeight="1">
      <c r="A479" s="63">
        <v>46101.0</v>
      </c>
      <c r="B479" s="60" t="s">
        <v>113</v>
      </c>
      <c r="C479" s="67" t="str">
        <f>VLOOKUP(B479,BASE_VEICULOS!A:B,2,0)</f>
        <v>TYK8C73</v>
      </c>
      <c r="D479" s="68" t="s">
        <v>50</v>
      </c>
      <c r="E479" s="73" t="s">
        <v>104</v>
      </c>
      <c r="F479" s="74">
        <v>3.8</v>
      </c>
    </row>
    <row r="480" ht="22.5" customHeight="1">
      <c r="A480" s="63">
        <v>46102.0</v>
      </c>
      <c r="B480" s="75" t="s">
        <v>28</v>
      </c>
      <c r="C480" s="67" t="str">
        <f>VLOOKUP(B480,BASE_VEICULOS!A:B,2,0)</f>
        <v>#N/A</v>
      </c>
      <c r="D480" s="68" t="s">
        <v>50</v>
      </c>
      <c r="E480" s="73" t="s">
        <v>101</v>
      </c>
      <c r="F480" s="74">
        <v>6.6</v>
      </c>
    </row>
    <row r="481" ht="22.5" customHeight="1">
      <c r="A481" s="63">
        <v>46102.0</v>
      </c>
      <c r="B481" s="75" t="s">
        <v>28</v>
      </c>
      <c r="C481" s="67" t="str">
        <f>VLOOKUP(B481,BASE_VEICULOS!A:B,2,0)</f>
        <v>#N/A</v>
      </c>
      <c r="D481" s="68" t="s">
        <v>50</v>
      </c>
      <c r="E481" s="73" t="s">
        <v>103</v>
      </c>
      <c r="F481" s="74">
        <v>7.12</v>
      </c>
    </row>
    <row r="482" ht="22.5" customHeight="1">
      <c r="A482" s="63">
        <v>46102.0</v>
      </c>
      <c r="B482" s="75" t="s">
        <v>28</v>
      </c>
      <c r="C482" s="67" t="str">
        <f>VLOOKUP(B482,BASE_VEICULOS!A:B,2,0)</f>
        <v>#N/A</v>
      </c>
      <c r="D482" s="68" t="s">
        <v>50</v>
      </c>
      <c r="E482" s="73" t="s">
        <v>103</v>
      </c>
      <c r="F482" s="74">
        <v>7.12</v>
      </c>
    </row>
    <row r="483" ht="22.5" customHeight="1">
      <c r="A483" s="63">
        <v>46102.0</v>
      </c>
      <c r="B483" s="75" t="s">
        <v>28</v>
      </c>
      <c r="C483" s="67" t="str">
        <f>VLOOKUP(B483,BASE_VEICULOS!A:B,2,0)</f>
        <v>#N/A</v>
      </c>
      <c r="D483" s="68" t="s">
        <v>50</v>
      </c>
      <c r="E483" s="73" t="s">
        <v>103</v>
      </c>
      <c r="F483" s="74">
        <v>7.12</v>
      </c>
    </row>
    <row r="484" ht="22.5" customHeight="1">
      <c r="A484" s="63">
        <v>46102.0</v>
      </c>
      <c r="B484" s="60" t="s">
        <v>36</v>
      </c>
      <c r="C484" s="67" t="str">
        <f>VLOOKUP(B484,BASE_VEICULOS!A:B,2,0)</f>
        <v>#N/A</v>
      </c>
      <c r="D484" s="68" t="s">
        <v>50</v>
      </c>
      <c r="E484" s="73" t="s">
        <v>101</v>
      </c>
      <c r="F484" s="74">
        <v>6.6</v>
      </c>
    </row>
    <row r="485" ht="22.5" customHeight="1">
      <c r="A485" s="63">
        <v>46102.0</v>
      </c>
      <c r="B485" s="60" t="s">
        <v>36</v>
      </c>
      <c r="C485" s="67" t="str">
        <f>VLOOKUP(B485,BASE_VEICULOS!A:B,2,0)</f>
        <v>#N/A</v>
      </c>
      <c r="D485" s="68" t="s">
        <v>50</v>
      </c>
      <c r="E485" s="73" t="s">
        <v>103</v>
      </c>
      <c r="F485" s="74">
        <v>7.12</v>
      </c>
    </row>
    <row r="486" ht="22.5" customHeight="1">
      <c r="A486" s="63">
        <v>46102.0</v>
      </c>
      <c r="B486" s="60" t="s">
        <v>36</v>
      </c>
      <c r="C486" s="67" t="str">
        <f>VLOOKUP(B486,BASE_VEICULOS!A:B,2,0)</f>
        <v>#N/A</v>
      </c>
      <c r="D486" s="68" t="s">
        <v>50</v>
      </c>
      <c r="E486" s="73" t="s">
        <v>103</v>
      </c>
      <c r="F486" s="74">
        <v>7.12</v>
      </c>
    </row>
    <row r="487" ht="22.5" customHeight="1">
      <c r="A487" s="63">
        <v>46102.0</v>
      </c>
      <c r="B487" s="60" t="s">
        <v>36</v>
      </c>
      <c r="C487" s="67" t="str">
        <f>VLOOKUP(B487,BASE_VEICULOS!A:B,2,0)</f>
        <v>#N/A</v>
      </c>
      <c r="D487" s="68" t="s">
        <v>50</v>
      </c>
      <c r="E487" s="73" t="s">
        <v>103</v>
      </c>
      <c r="F487" s="74">
        <v>6.03</v>
      </c>
    </row>
    <row r="488" ht="22.5" customHeight="1">
      <c r="A488" s="63">
        <v>46102.0</v>
      </c>
      <c r="B488" s="60" t="s">
        <v>36</v>
      </c>
      <c r="C488" s="67" t="str">
        <f>VLOOKUP(B488,BASE_VEICULOS!A:B,2,0)</f>
        <v>#N/A</v>
      </c>
      <c r="D488" s="68" t="s">
        <v>50</v>
      </c>
      <c r="E488" s="73" t="s">
        <v>100</v>
      </c>
      <c r="F488" s="74">
        <v>9.6</v>
      </c>
    </row>
    <row r="489" ht="22.5" customHeight="1">
      <c r="A489" s="63">
        <v>46102.0</v>
      </c>
      <c r="B489" s="60" t="s">
        <v>36</v>
      </c>
      <c r="C489" s="67" t="str">
        <f>VLOOKUP(B489,BASE_VEICULOS!A:B,2,0)</f>
        <v>#N/A</v>
      </c>
      <c r="D489" s="68" t="s">
        <v>50</v>
      </c>
      <c r="E489" s="73" t="s">
        <v>100</v>
      </c>
      <c r="F489" s="74">
        <v>9.6</v>
      </c>
    </row>
    <row r="490" ht="22.5" customHeight="1">
      <c r="A490" s="63">
        <v>46102.0</v>
      </c>
      <c r="B490" s="60" t="s">
        <v>36</v>
      </c>
      <c r="C490" s="67" t="str">
        <f>VLOOKUP(B490,BASE_VEICULOS!A:B,2,0)</f>
        <v>#N/A</v>
      </c>
      <c r="D490" s="68" t="s">
        <v>50</v>
      </c>
      <c r="E490" s="73" t="s">
        <v>100</v>
      </c>
      <c r="F490" s="74">
        <v>9.6</v>
      </c>
    </row>
    <row r="491" ht="22.5" customHeight="1">
      <c r="A491" s="63">
        <v>46102.0</v>
      </c>
      <c r="B491" s="60" t="s">
        <v>36</v>
      </c>
      <c r="C491" s="67" t="str">
        <f>VLOOKUP(B491,BASE_VEICULOS!A:B,2,0)</f>
        <v>#N/A</v>
      </c>
      <c r="D491" s="68" t="s">
        <v>50</v>
      </c>
      <c r="E491" s="73" t="s">
        <v>100</v>
      </c>
      <c r="F491" s="74">
        <v>9.6</v>
      </c>
    </row>
    <row r="492" ht="22.5" customHeight="1">
      <c r="A492" s="63">
        <v>46102.0</v>
      </c>
      <c r="B492" s="60" t="s">
        <v>36</v>
      </c>
      <c r="C492" s="67" t="str">
        <f>VLOOKUP(B492,BASE_VEICULOS!A:B,2,0)</f>
        <v>#N/A</v>
      </c>
      <c r="D492" s="68" t="s">
        <v>50</v>
      </c>
      <c r="E492" s="73" t="s">
        <v>101</v>
      </c>
      <c r="F492" s="74">
        <v>6.6</v>
      </c>
    </row>
    <row r="493" ht="22.5" customHeight="1">
      <c r="A493" s="63">
        <v>46103.0</v>
      </c>
      <c r="B493" s="60" t="s">
        <v>12</v>
      </c>
      <c r="C493" s="67" t="str">
        <f>VLOOKUP(B493,BASE_VEICULOS!A:B,2,0)</f>
        <v>FIL8C14</v>
      </c>
      <c r="D493" s="68" t="s">
        <v>50</v>
      </c>
      <c r="E493" s="73" t="s">
        <v>101</v>
      </c>
      <c r="F493" s="74">
        <v>6.6</v>
      </c>
    </row>
    <row r="494" ht="22.5" customHeight="1">
      <c r="A494" s="63">
        <v>46103.0</v>
      </c>
      <c r="B494" s="75" t="s">
        <v>28</v>
      </c>
      <c r="C494" s="67" t="str">
        <f>VLOOKUP(B494,BASE_VEICULOS!A:B,2,0)</f>
        <v>#N/A</v>
      </c>
      <c r="D494" s="68" t="s">
        <v>50</v>
      </c>
      <c r="E494" s="73" t="s">
        <v>101</v>
      </c>
      <c r="F494" s="74">
        <v>6.6</v>
      </c>
    </row>
    <row r="495" ht="22.5" customHeight="1">
      <c r="A495" s="63">
        <v>46103.0</v>
      </c>
      <c r="B495" s="75" t="s">
        <v>28</v>
      </c>
      <c r="C495" s="67" t="str">
        <f>VLOOKUP(B495,BASE_VEICULOS!A:B,2,0)</f>
        <v>#N/A</v>
      </c>
      <c r="D495" s="68" t="s">
        <v>50</v>
      </c>
      <c r="E495" s="73" t="s">
        <v>104</v>
      </c>
      <c r="F495" s="74">
        <v>3.8</v>
      </c>
    </row>
    <row r="496" ht="22.5" customHeight="1">
      <c r="A496" s="63">
        <v>46103.0</v>
      </c>
      <c r="B496" s="75" t="s">
        <v>28</v>
      </c>
      <c r="C496" s="67" t="str">
        <f>VLOOKUP(B496,BASE_VEICULOS!A:B,2,0)</f>
        <v>#N/A</v>
      </c>
      <c r="D496" s="68" t="s">
        <v>50</v>
      </c>
      <c r="E496" s="73" t="s">
        <v>106</v>
      </c>
      <c r="F496" s="74">
        <v>8.95</v>
      </c>
    </row>
    <row r="497" ht="22.5" customHeight="1">
      <c r="A497" s="63">
        <v>46103.0</v>
      </c>
      <c r="B497" s="60" t="s">
        <v>27</v>
      </c>
      <c r="C497" s="67" t="str">
        <f>VLOOKUP(B497,BASE_VEICULOS!A:B,2,0)</f>
        <v>UDA5B37</v>
      </c>
      <c r="D497" s="68" t="s">
        <v>50</v>
      </c>
      <c r="E497" s="73" t="s">
        <v>101</v>
      </c>
      <c r="F497" s="74">
        <v>6.6</v>
      </c>
    </row>
    <row r="498" ht="22.5" customHeight="1">
      <c r="A498" s="63">
        <v>46103.0</v>
      </c>
      <c r="B498" s="60" t="s">
        <v>36</v>
      </c>
      <c r="C498" s="67" t="str">
        <f>VLOOKUP(B498,BASE_VEICULOS!A:B,2,0)</f>
        <v>#N/A</v>
      </c>
      <c r="D498" s="68" t="s">
        <v>50</v>
      </c>
      <c r="E498" s="73" t="s">
        <v>99</v>
      </c>
      <c r="F498" s="74">
        <v>19.95</v>
      </c>
    </row>
    <row r="499" ht="22.5" customHeight="1">
      <c r="A499" s="63">
        <v>46103.0</v>
      </c>
      <c r="B499" s="60" t="s">
        <v>20</v>
      </c>
      <c r="C499" s="67" t="str">
        <f>VLOOKUP(B499,BASE_VEICULOS!A:B,2,0)</f>
        <v>TEW9A34</v>
      </c>
      <c r="D499" s="68" t="s">
        <v>50</v>
      </c>
      <c r="E499" s="73" t="s">
        <v>99</v>
      </c>
      <c r="F499" s="74">
        <v>19.95</v>
      </c>
    </row>
    <row r="500" ht="22.5" customHeight="1">
      <c r="A500" s="63">
        <v>46103.0</v>
      </c>
      <c r="B500" s="60" t="s">
        <v>20</v>
      </c>
      <c r="C500" s="67" t="str">
        <f>VLOOKUP(B500,BASE_VEICULOS!A:B,2,0)</f>
        <v>TEW9A34</v>
      </c>
      <c r="D500" s="68" t="s">
        <v>50</v>
      </c>
      <c r="E500" s="73" t="s">
        <v>99</v>
      </c>
      <c r="F500" s="74">
        <v>19.95</v>
      </c>
    </row>
    <row r="501" ht="22.5" customHeight="1">
      <c r="A501" s="63">
        <v>46104.0</v>
      </c>
      <c r="B501" s="60" t="s">
        <v>15</v>
      </c>
      <c r="C501" s="67" t="str">
        <f>VLOOKUP(B501,BASE_VEICULOS!A:B,2,0)</f>
        <v>EWH1B84</v>
      </c>
      <c r="D501" s="68" t="s">
        <v>50</v>
      </c>
      <c r="E501" s="73" t="s">
        <v>102</v>
      </c>
      <c r="F501" s="74">
        <v>18.4</v>
      </c>
    </row>
    <row r="502" ht="22.5" customHeight="1">
      <c r="A502" s="63">
        <v>46104.0</v>
      </c>
      <c r="B502" s="60" t="s">
        <v>15</v>
      </c>
      <c r="C502" s="67" t="str">
        <f>VLOOKUP(B502,BASE_VEICULOS!A:B,2,0)</f>
        <v>EWH1B84</v>
      </c>
      <c r="D502" s="68" t="s">
        <v>50</v>
      </c>
      <c r="E502" s="73" t="s">
        <v>101</v>
      </c>
      <c r="F502" s="74">
        <v>6.6</v>
      </c>
    </row>
    <row r="503" ht="22.5" customHeight="1">
      <c r="A503" s="63">
        <v>46104.0</v>
      </c>
      <c r="B503" s="60" t="s">
        <v>11</v>
      </c>
      <c r="C503" s="67" t="str">
        <f>VLOOKUP(B503,BASE_VEICULOS!A:B,2,0)</f>
        <v>TEW9A28</v>
      </c>
      <c r="D503" s="68" t="s">
        <v>50</v>
      </c>
      <c r="E503" s="73" t="s">
        <v>102</v>
      </c>
      <c r="F503" s="74">
        <v>30.6</v>
      </c>
    </row>
    <row r="504" ht="22.5" customHeight="1">
      <c r="A504" s="63">
        <v>46104.0</v>
      </c>
      <c r="B504" s="60" t="s">
        <v>11</v>
      </c>
      <c r="C504" s="67" t="str">
        <f>VLOOKUP(B504,BASE_VEICULOS!A:B,2,0)</f>
        <v>TEW9A28</v>
      </c>
      <c r="D504" s="68" t="s">
        <v>50</v>
      </c>
      <c r="E504" s="73" t="s">
        <v>102</v>
      </c>
      <c r="F504" s="74">
        <v>30.6</v>
      </c>
    </row>
    <row r="505" ht="22.5" customHeight="1">
      <c r="A505" s="63">
        <v>46104.0</v>
      </c>
      <c r="B505" s="60" t="s">
        <v>12</v>
      </c>
      <c r="C505" s="67" t="str">
        <f>VLOOKUP(B505,BASE_VEICULOS!A:B,2,0)</f>
        <v>FIL8C14</v>
      </c>
      <c r="D505" s="68" t="s">
        <v>50</v>
      </c>
      <c r="E505" s="73" t="s">
        <v>101</v>
      </c>
      <c r="F505" s="74">
        <v>6.6</v>
      </c>
    </row>
    <row r="506" ht="22.5" customHeight="1">
      <c r="A506" s="63">
        <v>46104.0</v>
      </c>
      <c r="B506" s="60" t="s">
        <v>14</v>
      </c>
      <c r="C506" s="67" t="str">
        <f>VLOOKUP(B506,BASE_VEICULOS!A:B,2,0)</f>
        <v>FOK8A73</v>
      </c>
      <c r="D506" s="68" t="s">
        <v>50</v>
      </c>
      <c r="E506" s="73" t="s">
        <v>104</v>
      </c>
      <c r="F506" s="74">
        <v>3.8</v>
      </c>
    </row>
    <row r="507" ht="22.5" customHeight="1">
      <c r="A507" s="63">
        <v>46104.0</v>
      </c>
      <c r="B507" s="60" t="s">
        <v>33</v>
      </c>
      <c r="C507" s="67" t="str">
        <f>VLOOKUP(B507,BASE_VEICULOS!A:B,2,0)</f>
        <v>TEW9A30</v>
      </c>
      <c r="D507" s="68" t="s">
        <v>50</v>
      </c>
      <c r="E507" s="73" t="s">
        <v>99</v>
      </c>
      <c r="F507" s="74">
        <v>19.19</v>
      </c>
    </row>
    <row r="508" ht="22.5" customHeight="1">
      <c r="A508" s="63">
        <v>46104.0</v>
      </c>
      <c r="B508" s="60" t="s">
        <v>33</v>
      </c>
      <c r="C508" s="67" t="str">
        <f>VLOOKUP(B508,BASE_VEICULOS!A:B,2,0)</f>
        <v>TEW9A30</v>
      </c>
      <c r="D508" s="68" t="s">
        <v>50</v>
      </c>
      <c r="E508" s="73" t="s">
        <v>100</v>
      </c>
      <c r="F508" s="74">
        <v>9.6</v>
      </c>
    </row>
    <row r="509" ht="22.5" customHeight="1">
      <c r="A509" s="63">
        <v>46104.0</v>
      </c>
      <c r="B509" s="60" t="s">
        <v>33</v>
      </c>
      <c r="C509" s="67" t="str">
        <f>VLOOKUP(B509,BASE_VEICULOS!A:B,2,0)</f>
        <v>TEW9A30</v>
      </c>
      <c r="D509" s="68" t="s">
        <v>50</v>
      </c>
      <c r="E509" s="73" t="s">
        <v>101</v>
      </c>
      <c r="F509" s="74">
        <v>6.6</v>
      </c>
    </row>
    <row r="510" ht="22.5" customHeight="1">
      <c r="A510" s="63">
        <v>46104.0</v>
      </c>
      <c r="B510" s="60" t="s">
        <v>34</v>
      </c>
      <c r="C510" s="67" t="str">
        <f>VLOOKUP(B510,BASE_VEICULOS!A:B,2,0)</f>
        <v>SRU8D16</v>
      </c>
      <c r="D510" s="68" t="s">
        <v>50</v>
      </c>
      <c r="E510" s="73" t="s">
        <v>101</v>
      </c>
      <c r="F510" s="74">
        <v>6.6</v>
      </c>
    </row>
    <row r="511" ht="22.5" customHeight="1">
      <c r="A511" s="63">
        <v>46104.0</v>
      </c>
      <c r="B511" s="60" t="s">
        <v>26</v>
      </c>
      <c r="C511" s="67" t="str">
        <f>VLOOKUP(B511,BASE_VEICULOS!A:B,2,0)</f>
        <v>#N/A</v>
      </c>
      <c r="D511" s="68" t="s">
        <v>50</v>
      </c>
      <c r="E511" s="73" t="s">
        <v>99</v>
      </c>
      <c r="F511" s="74">
        <v>19.19</v>
      </c>
    </row>
    <row r="512" ht="22.5" customHeight="1">
      <c r="A512" s="63">
        <v>46104.0</v>
      </c>
      <c r="B512" s="60" t="s">
        <v>26</v>
      </c>
      <c r="C512" s="67" t="str">
        <f>VLOOKUP(B512,BASE_VEICULOS!A:B,2,0)</f>
        <v>#N/A</v>
      </c>
      <c r="D512" s="68" t="s">
        <v>50</v>
      </c>
      <c r="E512" s="73" t="s">
        <v>99</v>
      </c>
      <c r="F512" s="74">
        <v>19.19</v>
      </c>
    </row>
    <row r="513" ht="22.5" customHeight="1">
      <c r="A513" s="63">
        <v>46104.0</v>
      </c>
      <c r="B513" s="60" t="s">
        <v>22</v>
      </c>
      <c r="C513" s="67" t="str">
        <f>VLOOKUP(B513,BASE_VEICULOS!A:B,2,0)</f>
        <v>TET5H37</v>
      </c>
      <c r="D513" s="68" t="s">
        <v>50</v>
      </c>
      <c r="E513" s="73" t="s">
        <v>106</v>
      </c>
      <c r="F513" s="74">
        <v>8.95</v>
      </c>
    </row>
    <row r="514" ht="22.5" customHeight="1">
      <c r="A514" s="63">
        <v>46104.0</v>
      </c>
      <c r="B514" s="60" t="s">
        <v>22</v>
      </c>
      <c r="C514" s="67" t="str">
        <f>VLOOKUP(B514,BASE_VEICULOS!A:B,2,0)</f>
        <v>TET5H37</v>
      </c>
      <c r="D514" s="68" t="s">
        <v>50</v>
      </c>
      <c r="E514" s="73" t="s">
        <v>104</v>
      </c>
      <c r="F514" s="74">
        <v>3.8</v>
      </c>
    </row>
    <row r="515" ht="22.5" customHeight="1">
      <c r="A515" s="63">
        <v>46104.0</v>
      </c>
      <c r="B515" s="60" t="s">
        <v>36</v>
      </c>
      <c r="C515" s="67" t="str">
        <f>VLOOKUP(B515,BASE_VEICULOS!A:B,2,0)</f>
        <v>#N/A</v>
      </c>
      <c r="D515" s="68" t="s">
        <v>50</v>
      </c>
      <c r="E515" s="73" t="s">
        <v>101</v>
      </c>
      <c r="F515" s="74">
        <v>6.6</v>
      </c>
    </row>
    <row r="516" ht="22.5" customHeight="1">
      <c r="A516" s="63">
        <v>46104.0</v>
      </c>
      <c r="B516" s="60" t="s">
        <v>36</v>
      </c>
      <c r="C516" s="67" t="str">
        <f>VLOOKUP(B516,BASE_VEICULOS!A:B,2,0)</f>
        <v>#N/A</v>
      </c>
      <c r="D516" s="68" t="s">
        <v>50</v>
      </c>
      <c r="E516" s="73" t="s">
        <v>104</v>
      </c>
      <c r="F516" s="74">
        <v>3.8</v>
      </c>
    </row>
    <row r="517" ht="22.5" customHeight="1">
      <c r="A517" s="63">
        <v>46104.0</v>
      </c>
      <c r="B517" s="60" t="s">
        <v>36</v>
      </c>
      <c r="C517" s="67" t="str">
        <f>VLOOKUP(B517,BASE_VEICULOS!A:B,2,0)</f>
        <v>#N/A</v>
      </c>
      <c r="D517" s="68" t="s">
        <v>51</v>
      </c>
      <c r="E517" s="73" t="s">
        <v>112</v>
      </c>
      <c r="F517" s="74">
        <v>31.0</v>
      </c>
    </row>
    <row r="518" ht="22.5" customHeight="1">
      <c r="A518" s="63">
        <v>46104.0</v>
      </c>
      <c r="B518" s="60" t="s">
        <v>36</v>
      </c>
      <c r="C518" s="67" t="str">
        <f>VLOOKUP(B518,BASE_VEICULOS!A:B,2,0)</f>
        <v>#N/A</v>
      </c>
      <c r="D518" s="68" t="s">
        <v>50</v>
      </c>
      <c r="E518" s="73" t="s">
        <v>104</v>
      </c>
      <c r="F518" s="74">
        <v>3.8</v>
      </c>
    </row>
    <row r="519" ht="22.5" customHeight="1">
      <c r="A519" s="63">
        <v>46104.0</v>
      </c>
      <c r="B519" s="60" t="s">
        <v>10</v>
      </c>
      <c r="C519" s="67" t="str">
        <f>VLOOKUP(B519,BASE_VEICULOS!A:B,2,0)</f>
        <v>TEW9A25</v>
      </c>
      <c r="D519" s="68" t="s">
        <v>50</v>
      </c>
      <c r="E519" s="73" t="s">
        <v>106</v>
      </c>
      <c r="F519" s="74">
        <v>8.95</v>
      </c>
    </row>
    <row r="520" ht="22.5" customHeight="1">
      <c r="A520" s="63">
        <v>46104.0</v>
      </c>
      <c r="B520" s="60" t="s">
        <v>25</v>
      </c>
      <c r="C520" s="67" t="str">
        <f>VLOOKUP(B520,BASE_VEICULOS!A:B,2,0)</f>
        <v>TEW9A26</v>
      </c>
      <c r="D520" s="68" t="s">
        <v>50</v>
      </c>
      <c r="E520" s="73" t="s">
        <v>99</v>
      </c>
      <c r="F520" s="74">
        <v>19.19</v>
      </c>
    </row>
    <row r="521" ht="22.5" customHeight="1">
      <c r="A521" s="63">
        <v>46104.0</v>
      </c>
      <c r="B521" s="60" t="s">
        <v>25</v>
      </c>
      <c r="C521" s="67" t="str">
        <f>VLOOKUP(B521,BASE_VEICULOS!A:B,2,0)</f>
        <v>TEW9A26</v>
      </c>
      <c r="D521" s="68" t="s">
        <v>50</v>
      </c>
      <c r="E521" s="73" t="s">
        <v>99</v>
      </c>
      <c r="F521" s="74">
        <v>19.19</v>
      </c>
    </row>
    <row r="522" ht="22.5" customHeight="1">
      <c r="A522" s="63">
        <v>46104.0</v>
      </c>
      <c r="B522" s="60" t="s">
        <v>18</v>
      </c>
      <c r="C522" s="67" t="str">
        <f>VLOOKUP(B522,BASE_VEICULOS!A:B,2,0)</f>
        <v>TEW9A29</v>
      </c>
      <c r="D522" s="68" t="s">
        <v>50</v>
      </c>
      <c r="E522" s="73" t="s">
        <v>99</v>
      </c>
      <c r="F522" s="74">
        <v>16.57</v>
      </c>
    </row>
    <row r="523" ht="22.5" customHeight="1">
      <c r="A523" s="63">
        <v>46104.0</v>
      </c>
      <c r="B523" s="60" t="s">
        <v>18</v>
      </c>
      <c r="C523" s="67" t="str">
        <f>VLOOKUP(B523,BASE_VEICULOS!A:B,2,0)</f>
        <v>TEW9A29</v>
      </c>
      <c r="D523" s="68" t="s">
        <v>50</v>
      </c>
      <c r="E523" s="73" t="s">
        <v>99</v>
      </c>
      <c r="F523" s="74">
        <v>15.39</v>
      </c>
    </row>
    <row r="524" ht="22.5" customHeight="1">
      <c r="A524" s="63">
        <v>46104.0</v>
      </c>
      <c r="B524" s="60" t="s">
        <v>18</v>
      </c>
      <c r="C524" s="67" t="str">
        <f>VLOOKUP(B524,BASE_VEICULOS!A:B,2,0)</f>
        <v>TEW9A29</v>
      </c>
      <c r="D524" s="68" t="s">
        <v>50</v>
      </c>
      <c r="E524" s="73" t="s">
        <v>99</v>
      </c>
      <c r="F524" s="74">
        <v>16.57</v>
      </c>
    </row>
    <row r="525" ht="22.5" customHeight="1">
      <c r="A525" s="63">
        <v>46104.0</v>
      </c>
      <c r="B525" s="60" t="s">
        <v>18</v>
      </c>
      <c r="C525" s="67" t="str">
        <f>VLOOKUP(B525,BASE_VEICULOS!A:B,2,0)</f>
        <v>TEW9A29</v>
      </c>
      <c r="D525" s="68" t="s">
        <v>50</v>
      </c>
      <c r="E525" s="73" t="s">
        <v>99</v>
      </c>
      <c r="F525" s="74">
        <v>15.39</v>
      </c>
    </row>
    <row r="526" ht="22.5" customHeight="1">
      <c r="A526" s="63">
        <v>46104.0</v>
      </c>
      <c r="B526" s="60" t="s">
        <v>17</v>
      </c>
      <c r="C526" s="67" t="str">
        <f>VLOOKUP(B526,BASE_VEICULOS!A:B,2,0)</f>
        <v>#N/A</v>
      </c>
      <c r="D526" s="68" t="s">
        <v>50</v>
      </c>
      <c r="E526" s="73" t="s">
        <v>99</v>
      </c>
      <c r="F526" s="74">
        <v>15.39</v>
      </c>
    </row>
    <row r="527" ht="22.5" customHeight="1">
      <c r="A527" s="63">
        <v>46104.0</v>
      </c>
      <c r="B527" s="60" t="s">
        <v>17</v>
      </c>
      <c r="C527" s="67" t="str">
        <f>VLOOKUP(B527,BASE_VEICULOS!A:B,2,0)</f>
        <v>#N/A</v>
      </c>
      <c r="D527" s="68" t="s">
        <v>50</v>
      </c>
      <c r="E527" s="73" t="s">
        <v>99</v>
      </c>
      <c r="F527" s="74">
        <v>15.39</v>
      </c>
    </row>
    <row r="528" ht="22.5" customHeight="1">
      <c r="A528" s="63">
        <v>46104.0</v>
      </c>
      <c r="B528" s="60" t="s">
        <v>113</v>
      </c>
      <c r="C528" s="67" t="str">
        <f>VLOOKUP(B528,BASE_VEICULOS!A:B,2,0)</f>
        <v>TYK8C73</v>
      </c>
      <c r="D528" s="68" t="s">
        <v>50</v>
      </c>
      <c r="E528" s="73" t="s">
        <v>104</v>
      </c>
      <c r="F528" s="74">
        <v>3.8</v>
      </c>
    </row>
    <row r="529" ht="22.5" customHeight="1">
      <c r="A529" s="63">
        <v>46104.0</v>
      </c>
      <c r="B529" s="60" t="s">
        <v>113</v>
      </c>
      <c r="C529" s="67" t="str">
        <f>VLOOKUP(B529,BASE_VEICULOS!A:B,2,0)</f>
        <v>TYK8C73</v>
      </c>
      <c r="D529" s="68" t="s">
        <v>50</v>
      </c>
      <c r="E529" s="73" t="s">
        <v>104</v>
      </c>
      <c r="F529" s="74">
        <v>3.8</v>
      </c>
    </row>
    <row r="530" ht="22.5" customHeight="1">
      <c r="A530" s="63">
        <v>46105.0</v>
      </c>
      <c r="B530" s="60" t="s">
        <v>15</v>
      </c>
      <c r="C530" s="67" t="str">
        <f>VLOOKUP(B530,BASE_VEICULOS!A:B,2,0)</f>
        <v>EWH1B84</v>
      </c>
      <c r="D530" s="68" t="s">
        <v>50</v>
      </c>
      <c r="E530" s="73" t="s">
        <v>102</v>
      </c>
      <c r="F530" s="74">
        <v>18.4</v>
      </c>
    </row>
    <row r="531" ht="22.5" customHeight="1">
      <c r="A531" s="63">
        <v>46105.0</v>
      </c>
      <c r="B531" s="60" t="s">
        <v>15</v>
      </c>
      <c r="C531" s="67" t="str">
        <f>VLOOKUP(B531,BASE_VEICULOS!A:B,2,0)</f>
        <v>EWH1B84</v>
      </c>
      <c r="D531" s="68" t="s">
        <v>50</v>
      </c>
      <c r="E531" s="73" t="s">
        <v>101</v>
      </c>
      <c r="F531" s="74">
        <v>6.6</v>
      </c>
    </row>
    <row r="532" ht="22.5" customHeight="1">
      <c r="A532" s="63">
        <v>46105.0</v>
      </c>
      <c r="B532" s="60" t="s">
        <v>15</v>
      </c>
      <c r="C532" s="67" t="str">
        <f>VLOOKUP(B532,BASE_VEICULOS!A:B,2,0)</f>
        <v>EWH1B84</v>
      </c>
      <c r="D532" s="68" t="s">
        <v>50</v>
      </c>
      <c r="E532" s="73" t="s">
        <v>103</v>
      </c>
      <c r="F532" s="74">
        <v>7.12</v>
      </c>
    </row>
    <row r="533" ht="22.5" customHeight="1">
      <c r="A533" s="63">
        <v>46105.0</v>
      </c>
      <c r="B533" s="60" t="s">
        <v>15</v>
      </c>
      <c r="C533" s="67" t="str">
        <f>VLOOKUP(B533,BASE_VEICULOS!A:B,2,0)</f>
        <v>EWH1B84</v>
      </c>
      <c r="D533" s="68" t="s">
        <v>50</v>
      </c>
      <c r="E533" s="73" t="s">
        <v>103</v>
      </c>
      <c r="F533" s="74">
        <v>7.12</v>
      </c>
    </row>
    <row r="534" ht="22.5" customHeight="1">
      <c r="A534" s="63">
        <v>46105.0</v>
      </c>
      <c r="B534" s="60" t="s">
        <v>15</v>
      </c>
      <c r="C534" s="67" t="str">
        <f>VLOOKUP(B534,BASE_VEICULOS!A:B,2,0)</f>
        <v>EWH1B84</v>
      </c>
      <c r="D534" s="68" t="s">
        <v>50</v>
      </c>
      <c r="E534" s="73" t="s">
        <v>103</v>
      </c>
      <c r="F534" s="74">
        <v>6.55</v>
      </c>
    </row>
    <row r="535" ht="22.5" customHeight="1">
      <c r="A535" s="63">
        <v>46105.0</v>
      </c>
      <c r="B535" s="60" t="s">
        <v>15</v>
      </c>
      <c r="C535" s="67" t="str">
        <f>VLOOKUP(B535,BASE_VEICULOS!A:B,2,0)</f>
        <v>EWH1B84</v>
      </c>
      <c r="D535" s="68" t="s">
        <v>50</v>
      </c>
      <c r="E535" s="73" t="s">
        <v>102</v>
      </c>
      <c r="F535" s="74">
        <v>18.4</v>
      </c>
    </row>
    <row r="536" ht="22.5" customHeight="1">
      <c r="A536" s="63">
        <v>46105.0</v>
      </c>
      <c r="B536" s="60" t="s">
        <v>14</v>
      </c>
      <c r="C536" s="67" t="str">
        <f>VLOOKUP(B536,BASE_VEICULOS!A:B,2,0)</f>
        <v>FOK8A73</v>
      </c>
      <c r="D536" s="68" t="s">
        <v>50</v>
      </c>
      <c r="E536" s="73" t="s">
        <v>104</v>
      </c>
      <c r="F536" s="74">
        <v>3.8</v>
      </c>
    </row>
    <row r="537" ht="22.5" customHeight="1">
      <c r="A537" s="63">
        <v>46105.0</v>
      </c>
      <c r="B537" s="60" t="s">
        <v>29</v>
      </c>
      <c r="C537" s="67" t="str">
        <f>VLOOKUP(B537,BASE_VEICULOS!A:B,2,0)</f>
        <v>TEQ2I74</v>
      </c>
      <c r="D537" s="68" t="s">
        <v>50</v>
      </c>
      <c r="E537" s="73" t="s">
        <v>103</v>
      </c>
      <c r="F537" s="74">
        <v>7.12</v>
      </c>
    </row>
    <row r="538" ht="22.5" customHeight="1">
      <c r="A538" s="63">
        <v>46105.0</v>
      </c>
      <c r="B538" s="60" t="s">
        <v>29</v>
      </c>
      <c r="C538" s="67" t="str">
        <f>VLOOKUP(B538,BASE_VEICULOS!A:B,2,0)</f>
        <v>TEQ2I74</v>
      </c>
      <c r="D538" s="68" t="s">
        <v>50</v>
      </c>
      <c r="E538" s="73" t="s">
        <v>103</v>
      </c>
      <c r="F538" s="74">
        <v>7.12</v>
      </c>
    </row>
    <row r="539" ht="22.5" customHeight="1">
      <c r="A539" s="63">
        <v>46105.0</v>
      </c>
      <c r="B539" s="60" t="s">
        <v>29</v>
      </c>
      <c r="C539" s="67" t="str">
        <f>VLOOKUP(B539,BASE_VEICULOS!A:B,2,0)</f>
        <v>TEQ2I74</v>
      </c>
      <c r="D539" s="68" t="s">
        <v>50</v>
      </c>
      <c r="E539" s="73" t="s">
        <v>103</v>
      </c>
      <c r="F539" s="74">
        <v>3.37</v>
      </c>
    </row>
    <row r="540" ht="22.5" customHeight="1">
      <c r="A540" s="63">
        <v>46105.0</v>
      </c>
      <c r="B540" s="60" t="s">
        <v>29</v>
      </c>
      <c r="C540" s="67" t="str">
        <f>VLOOKUP(B540,BASE_VEICULOS!A:B,2,0)</f>
        <v>TEQ2I74</v>
      </c>
      <c r="D540" s="68" t="s">
        <v>50</v>
      </c>
      <c r="E540" s="73" t="s">
        <v>102</v>
      </c>
      <c r="F540" s="74">
        <v>18.4</v>
      </c>
    </row>
    <row r="541" ht="22.5" customHeight="1">
      <c r="A541" s="63">
        <v>46105.0</v>
      </c>
      <c r="B541" s="60" t="s">
        <v>29</v>
      </c>
      <c r="C541" s="67" t="str">
        <f>VLOOKUP(B541,BASE_VEICULOS!A:B,2,0)</f>
        <v>TEQ2I74</v>
      </c>
      <c r="D541" s="68" t="s">
        <v>50</v>
      </c>
      <c r="E541" s="73" t="s">
        <v>102</v>
      </c>
      <c r="F541" s="74">
        <v>18.4</v>
      </c>
    </row>
    <row r="542" ht="22.5" customHeight="1">
      <c r="A542" s="63">
        <v>46105.0</v>
      </c>
      <c r="B542" s="60" t="s">
        <v>34</v>
      </c>
      <c r="C542" s="67" t="str">
        <f>VLOOKUP(B542,BASE_VEICULOS!A:B,2,0)</f>
        <v>SRU8D16</v>
      </c>
      <c r="D542" s="68" t="s">
        <v>50</v>
      </c>
      <c r="E542" s="73" t="s">
        <v>101</v>
      </c>
      <c r="F542" s="74">
        <v>6.6</v>
      </c>
    </row>
    <row r="543" ht="22.5" customHeight="1">
      <c r="A543" s="63">
        <v>46105.0</v>
      </c>
      <c r="B543" s="60" t="s">
        <v>22</v>
      </c>
      <c r="C543" s="67" t="str">
        <f>VLOOKUP(B543,BASE_VEICULOS!A:B,2,0)</f>
        <v>TET5H37</v>
      </c>
      <c r="D543" s="68" t="s">
        <v>50</v>
      </c>
      <c r="E543" s="73" t="s">
        <v>106</v>
      </c>
      <c r="F543" s="74">
        <v>8.95</v>
      </c>
    </row>
    <row r="544" ht="22.5" customHeight="1">
      <c r="A544" s="63">
        <v>46105.0</v>
      </c>
      <c r="B544" s="60" t="s">
        <v>22</v>
      </c>
      <c r="C544" s="67" t="str">
        <f>VLOOKUP(B544,BASE_VEICULOS!A:B,2,0)</f>
        <v>TET5H37</v>
      </c>
      <c r="D544" s="68" t="s">
        <v>50</v>
      </c>
      <c r="E544" s="73" t="s">
        <v>104</v>
      </c>
      <c r="F544" s="74">
        <v>3.8</v>
      </c>
    </row>
    <row r="545" ht="22.5" customHeight="1">
      <c r="A545" s="63">
        <v>46105.0</v>
      </c>
      <c r="B545" s="60" t="s">
        <v>36</v>
      </c>
      <c r="C545" s="67" t="str">
        <f>VLOOKUP(B545,BASE_VEICULOS!A:B,2,0)</f>
        <v>#N/A</v>
      </c>
      <c r="D545" s="68" t="s">
        <v>50</v>
      </c>
      <c r="E545" s="73" t="s">
        <v>101</v>
      </c>
      <c r="F545" s="74">
        <v>6.6</v>
      </c>
    </row>
    <row r="546" ht="22.5" customHeight="1">
      <c r="A546" s="63">
        <v>46105.0</v>
      </c>
      <c r="B546" s="60" t="s">
        <v>10</v>
      </c>
      <c r="C546" s="67" t="str">
        <f>VLOOKUP(B546,BASE_VEICULOS!A:B,2,0)</f>
        <v>TEW9A25</v>
      </c>
      <c r="D546" s="68" t="s">
        <v>50</v>
      </c>
      <c r="E546" s="73" t="s">
        <v>106</v>
      </c>
      <c r="F546" s="74">
        <v>8.95</v>
      </c>
    </row>
    <row r="547" ht="22.5" customHeight="1">
      <c r="A547" s="63">
        <v>46105.0</v>
      </c>
      <c r="B547" s="60" t="s">
        <v>10</v>
      </c>
      <c r="C547" s="67" t="str">
        <f>VLOOKUP(B547,BASE_VEICULOS!A:B,2,0)</f>
        <v>TEW9A25</v>
      </c>
      <c r="D547" s="68" t="s">
        <v>50</v>
      </c>
      <c r="E547" s="73" t="s">
        <v>106</v>
      </c>
      <c r="F547" s="74">
        <v>8.95</v>
      </c>
    </row>
    <row r="548" ht="22.5" customHeight="1">
      <c r="A548" s="63">
        <v>46105.0</v>
      </c>
      <c r="B548" s="60" t="s">
        <v>30</v>
      </c>
      <c r="C548" s="67" t="str">
        <f>VLOOKUP(B548,BASE_VEICULOS!A:B,2,0)</f>
        <v>#N/A</v>
      </c>
      <c r="D548" s="68" t="s">
        <v>50</v>
      </c>
      <c r="E548" s="73" t="s">
        <v>101</v>
      </c>
      <c r="F548" s="74">
        <v>6.6</v>
      </c>
    </row>
    <row r="549" ht="22.5" customHeight="1">
      <c r="A549" s="63">
        <v>46105.0</v>
      </c>
      <c r="B549" s="60" t="s">
        <v>17</v>
      </c>
      <c r="C549" s="67" t="str">
        <f>VLOOKUP(B549,BASE_VEICULOS!A:B,2,0)</f>
        <v>#N/A</v>
      </c>
      <c r="D549" s="68" t="s">
        <v>50</v>
      </c>
      <c r="E549" s="73" t="s">
        <v>99</v>
      </c>
      <c r="F549" s="74">
        <v>14.3</v>
      </c>
    </row>
    <row r="550" ht="22.5" customHeight="1">
      <c r="A550" s="63">
        <v>46105.0</v>
      </c>
      <c r="B550" s="60" t="s">
        <v>17</v>
      </c>
      <c r="C550" s="67" t="str">
        <f>VLOOKUP(B550,BASE_VEICULOS!A:B,2,0)</f>
        <v>#N/A</v>
      </c>
      <c r="D550" s="68" t="s">
        <v>50</v>
      </c>
      <c r="E550" s="73" t="s">
        <v>99</v>
      </c>
      <c r="F550" s="74">
        <v>14.3</v>
      </c>
    </row>
    <row r="551" ht="22.5" customHeight="1">
      <c r="A551" s="63">
        <v>46105.0</v>
      </c>
      <c r="B551" s="60" t="s">
        <v>113</v>
      </c>
      <c r="C551" s="67" t="str">
        <f>VLOOKUP(B551,BASE_VEICULOS!A:B,2,0)</f>
        <v>TYK8C73</v>
      </c>
      <c r="D551" s="68" t="s">
        <v>50</v>
      </c>
      <c r="E551" s="73" t="s">
        <v>104</v>
      </c>
      <c r="F551" s="74">
        <v>3.8</v>
      </c>
    </row>
    <row r="552" ht="22.5" customHeight="1">
      <c r="A552" s="63">
        <v>46105.0</v>
      </c>
      <c r="B552" s="60" t="s">
        <v>113</v>
      </c>
      <c r="C552" s="67" t="str">
        <f>VLOOKUP(B552,BASE_VEICULOS!A:B,2,0)</f>
        <v>TYK8C73</v>
      </c>
      <c r="D552" s="68" t="s">
        <v>50</v>
      </c>
      <c r="E552" s="73" t="s">
        <v>104</v>
      </c>
      <c r="F552" s="74">
        <v>3.8</v>
      </c>
    </row>
    <row r="553" ht="22.5" customHeight="1">
      <c r="A553" s="63">
        <v>46106.0</v>
      </c>
      <c r="B553" s="60" t="s">
        <v>15</v>
      </c>
      <c r="C553" s="67" t="str">
        <f>VLOOKUP(B553,BASE_VEICULOS!A:B,2,0)</f>
        <v>EWH1B84</v>
      </c>
      <c r="D553" s="68" t="s">
        <v>50</v>
      </c>
      <c r="E553" s="73" t="s">
        <v>102</v>
      </c>
      <c r="F553" s="74">
        <v>18.4</v>
      </c>
    </row>
    <row r="554" ht="22.5" customHeight="1">
      <c r="A554" s="63">
        <v>46106.0</v>
      </c>
      <c r="B554" s="60" t="s">
        <v>15</v>
      </c>
      <c r="C554" s="67" t="str">
        <f>VLOOKUP(B554,BASE_VEICULOS!A:B,2,0)</f>
        <v>EWH1B84</v>
      </c>
      <c r="D554" s="68" t="s">
        <v>50</v>
      </c>
      <c r="E554" s="73" t="s">
        <v>101</v>
      </c>
      <c r="F554" s="74">
        <v>6.6</v>
      </c>
    </row>
    <row r="555" ht="22.5" customHeight="1">
      <c r="A555" s="63">
        <v>46106.0</v>
      </c>
      <c r="B555" s="60" t="s">
        <v>15</v>
      </c>
      <c r="C555" s="67" t="str">
        <f>VLOOKUP(B555,BASE_VEICULOS!A:B,2,0)</f>
        <v>EWH1B84</v>
      </c>
      <c r="D555" s="68" t="s">
        <v>50</v>
      </c>
      <c r="E555" s="73" t="s">
        <v>103</v>
      </c>
      <c r="F555" s="74">
        <v>7.12</v>
      </c>
    </row>
    <row r="556" ht="22.5" customHeight="1">
      <c r="A556" s="63">
        <v>46106.0</v>
      </c>
      <c r="B556" s="60" t="s">
        <v>15</v>
      </c>
      <c r="C556" s="67" t="str">
        <f>VLOOKUP(B556,BASE_VEICULOS!A:B,2,0)</f>
        <v>EWH1B84</v>
      </c>
      <c r="D556" s="68" t="s">
        <v>50</v>
      </c>
      <c r="E556" s="73" t="s">
        <v>103</v>
      </c>
      <c r="F556" s="74">
        <v>7.12</v>
      </c>
    </row>
    <row r="557" ht="22.5" customHeight="1">
      <c r="A557" s="63">
        <v>46106.0</v>
      </c>
      <c r="B557" s="60" t="s">
        <v>15</v>
      </c>
      <c r="C557" s="67" t="str">
        <f>VLOOKUP(B557,BASE_VEICULOS!A:B,2,0)</f>
        <v>EWH1B84</v>
      </c>
      <c r="D557" s="68" t="s">
        <v>50</v>
      </c>
      <c r="E557" s="73" t="s">
        <v>103</v>
      </c>
      <c r="F557" s="74">
        <v>6.03</v>
      </c>
    </row>
    <row r="558" ht="22.5" customHeight="1">
      <c r="A558" s="63">
        <v>46106.0</v>
      </c>
      <c r="B558" s="60" t="s">
        <v>15</v>
      </c>
      <c r="C558" s="67" t="str">
        <f>VLOOKUP(B558,BASE_VEICULOS!A:B,2,0)</f>
        <v>EWH1B84</v>
      </c>
      <c r="D558" s="68" t="s">
        <v>50</v>
      </c>
      <c r="E558" s="73" t="s">
        <v>102</v>
      </c>
      <c r="F558" s="74">
        <v>18.4</v>
      </c>
    </row>
    <row r="559" ht="22.5" customHeight="1">
      <c r="A559" s="63">
        <v>46106.0</v>
      </c>
      <c r="B559" s="60" t="s">
        <v>13</v>
      </c>
      <c r="C559" s="67" t="str">
        <f>VLOOKUP(B559,BASE_VEICULOS!A:B,2,0)</f>
        <v>FGO3C61</v>
      </c>
      <c r="D559" s="68" t="s">
        <v>50</v>
      </c>
      <c r="E559" s="73" t="s">
        <v>99</v>
      </c>
      <c r="F559" s="74">
        <v>19.95</v>
      </c>
    </row>
    <row r="560" ht="22.5" customHeight="1">
      <c r="A560" s="63">
        <v>46106.0</v>
      </c>
      <c r="B560" s="60" t="s">
        <v>13</v>
      </c>
      <c r="C560" s="67" t="str">
        <f>VLOOKUP(B560,BASE_VEICULOS!A:B,2,0)</f>
        <v>FGO3C61</v>
      </c>
      <c r="D560" s="68" t="s">
        <v>50</v>
      </c>
      <c r="E560" s="73" t="s">
        <v>102</v>
      </c>
      <c r="F560" s="74">
        <v>18.4</v>
      </c>
    </row>
    <row r="561" ht="22.5" customHeight="1">
      <c r="A561" s="63">
        <v>46106.0</v>
      </c>
      <c r="B561" s="60" t="s">
        <v>13</v>
      </c>
      <c r="C561" s="67" t="str">
        <f>VLOOKUP(B561,BASE_VEICULOS!A:B,2,0)</f>
        <v>FGO3C61</v>
      </c>
      <c r="D561" s="68" t="s">
        <v>50</v>
      </c>
      <c r="E561" s="73" t="s">
        <v>102</v>
      </c>
      <c r="F561" s="74">
        <v>18.4</v>
      </c>
    </row>
    <row r="562" ht="22.5" customHeight="1">
      <c r="A562" s="63">
        <v>46106.0</v>
      </c>
      <c r="B562" s="60" t="s">
        <v>13</v>
      </c>
      <c r="C562" s="67" t="str">
        <f>VLOOKUP(B562,BASE_VEICULOS!A:B,2,0)</f>
        <v>FGO3C61</v>
      </c>
      <c r="D562" s="68" t="s">
        <v>50</v>
      </c>
      <c r="E562" s="73" t="s">
        <v>99</v>
      </c>
      <c r="F562" s="74">
        <v>17.26</v>
      </c>
    </row>
    <row r="563" ht="22.5" customHeight="1">
      <c r="A563" s="63">
        <v>46106.0</v>
      </c>
      <c r="B563" s="60" t="s">
        <v>28</v>
      </c>
      <c r="C563" s="67" t="str">
        <f>VLOOKUP(B563,BASE_VEICULOS!A:B,2,0)</f>
        <v>#N/A</v>
      </c>
      <c r="D563" s="68" t="s">
        <v>50</v>
      </c>
      <c r="E563" s="73" t="s">
        <v>102</v>
      </c>
      <c r="F563" s="74">
        <v>18.4</v>
      </c>
    </row>
    <row r="564" ht="22.5" customHeight="1">
      <c r="A564" s="63">
        <v>46106.0</v>
      </c>
      <c r="B564" s="60" t="s">
        <v>28</v>
      </c>
      <c r="C564" s="67" t="str">
        <f>VLOOKUP(B564,BASE_VEICULOS!A:B,2,0)</f>
        <v>#N/A</v>
      </c>
      <c r="D564" s="68" t="s">
        <v>50</v>
      </c>
      <c r="E564" s="73" t="s">
        <v>101</v>
      </c>
      <c r="F564" s="74">
        <v>6.6</v>
      </c>
    </row>
    <row r="565" ht="22.5" customHeight="1">
      <c r="A565" s="63">
        <v>46106.0</v>
      </c>
      <c r="B565" s="60" t="s">
        <v>33</v>
      </c>
      <c r="C565" s="67" t="str">
        <f>VLOOKUP(B565,BASE_VEICULOS!A:B,2,0)</f>
        <v>TEW9A30</v>
      </c>
      <c r="D565" s="68" t="s">
        <v>50</v>
      </c>
      <c r="E565" s="73" t="s">
        <v>106</v>
      </c>
      <c r="F565" s="74">
        <v>8.95</v>
      </c>
    </row>
    <row r="566" ht="22.5" customHeight="1">
      <c r="A566" s="63">
        <v>46106.0</v>
      </c>
      <c r="B566" s="60" t="s">
        <v>27</v>
      </c>
      <c r="C566" s="67" t="str">
        <f>VLOOKUP(B566,BASE_VEICULOS!A:B,2,0)</f>
        <v>UDA5B37</v>
      </c>
      <c r="D566" s="68" t="s">
        <v>50</v>
      </c>
      <c r="E566" s="73" t="s">
        <v>103</v>
      </c>
      <c r="F566" s="74">
        <v>7.12</v>
      </c>
    </row>
    <row r="567" ht="22.5" customHeight="1">
      <c r="A567" s="63">
        <v>46106.0</v>
      </c>
      <c r="B567" s="60" t="s">
        <v>27</v>
      </c>
      <c r="C567" s="67" t="str">
        <f>VLOOKUP(B567,BASE_VEICULOS!A:B,2,0)</f>
        <v>UDA5B37</v>
      </c>
      <c r="D567" s="68" t="s">
        <v>50</v>
      </c>
      <c r="E567" s="73" t="s">
        <v>103</v>
      </c>
      <c r="F567" s="74">
        <v>7.12</v>
      </c>
    </row>
    <row r="568" ht="22.5" customHeight="1">
      <c r="A568" s="63">
        <v>46106.0</v>
      </c>
      <c r="B568" s="60" t="s">
        <v>27</v>
      </c>
      <c r="C568" s="67" t="str">
        <f>VLOOKUP(B568,BASE_VEICULOS!A:B,2,0)</f>
        <v>UDA5B37</v>
      </c>
      <c r="D568" s="68" t="s">
        <v>50</v>
      </c>
      <c r="E568" s="73" t="s">
        <v>103</v>
      </c>
      <c r="F568" s="74">
        <v>6.55</v>
      </c>
    </row>
    <row r="569" ht="22.5" customHeight="1">
      <c r="A569" s="63">
        <v>46106.0</v>
      </c>
      <c r="B569" s="60" t="s">
        <v>27</v>
      </c>
      <c r="C569" s="67" t="str">
        <f>VLOOKUP(B569,BASE_VEICULOS!A:B,2,0)</f>
        <v>UDA5B37</v>
      </c>
      <c r="D569" s="68" t="s">
        <v>50</v>
      </c>
      <c r="E569" s="73" t="s">
        <v>101</v>
      </c>
      <c r="F569" s="74">
        <v>6.6</v>
      </c>
    </row>
    <row r="570" ht="22.5" customHeight="1">
      <c r="A570" s="63">
        <v>46106.0</v>
      </c>
      <c r="B570" s="60" t="s">
        <v>16</v>
      </c>
      <c r="C570" s="67" t="str">
        <f>VLOOKUP(B570,BASE_VEICULOS!A:B,2,0)</f>
        <v>TEW9A27</v>
      </c>
      <c r="D570" s="68" t="s">
        <v>50</v>
      </c>
      <c r="E570" s="73" t="s">
        <v>103</v>
      </c>
      <c r="F570" s="74">
        <v>7.12</v>
      </c>
    </row>
    <row r="571" ht="22.5" customHeight="1">
      <c r="A571" s="63">
        <v>46106.0</v>
      </c>
      <c r="B571" s="60" t="s">
        <v>16</v>
      </c>
      <c r="C571" s="67" t="str">
        <f>VLOOKUP(B571,BASE_VEICULOS!A:B,2,0)</f>
        <v>TEW9A27</v>
      </c>
      <c r="D571" s="68" t="s">
        <v>50</v>
      </c>
      <c r="E571" s="73" t="s">
        <v>103</v>
      </c>
      <c r="F571" s="74">
        <v>7.12</v>
      </c>
    </row>
    <row r="572" ht="22.5" customHeight="1">
      <c r="A572" s="63">
        <v>46106.0</v>
      </c>
      <c r="B572" s="60" t="s">
        <v>16</v>
      </c>
      <c r="C572" s="67" t="str">
        <f>VLOOKUP(B572,BASE_VEICULOS!A:B,2,0)</f>
        <v>TEW9A27</v>
      </c>
      <c r="D572" s="68" t="s">
        <v>50</v>
      </c>
      <c r="E572" s="73" t="s">
        <v>103</v>
      </c>
      <c r="F572" s="74">
        <v>6.55</v>
      </c>
    </row>
    <row r="573" ht="22.5" customHeight="1">
      <c r="A573" s="63">
        <v>46106.0</v>
      </c>
      <c r="B573" s="60" t="s">
        <v>16</v>
      </c>
      <c r="C573" s="67" t="str">
        <f>VLOOKUP(B573,BASE_VEICULOS!A:B,2,0)</f>
        <v>TEW9A27</v>
      </c>
      <c r="D573" s="68" t="s">
        <v>50</v>
      </c>
      <c r="E573" s="73" t="s">
        <v>102</v>
      </c>
      <c r="F573" s="74">
        <v>18.4</v>
      </c>
    </row>
    <row r="574" ht="22.5" customHeight="1">
      <c r="A574" s="63">
        <v>46106.0</v>
      </c>
      <c r="B574" s="60" t="s">
        <v>16</v>
      </c>
      <c r="C574" s="67" t="str">
        <f>VLOOKUP(B574,BASE_VEICULOS!A:B,2,0)</f>
        <v>TEW9A27</v>
      </c>
      <c r="D574" s="68" t="s">
        <v>50</v>
      </c>
      <c r="E574" s="73" t="s">
        <v>102</v>
      </c>
      <c r="F574" s="74">
        <v>18.4</v>
      </c>
    </row>
    <row r="575" ht="22.5" customHeight="1">
      <c r="A575" s="63">
        <v>46106.0</v>
      </c>
      <c r="B575" s="60" t="s">
        <v>22</v>
      </c>
      <c r="C575" s="67" t="str">
        <f>VLOOKUP(B575,BASE_VEICULOS!A:B,2,0)</f>
        <v>TET5H37</v>
      </c>
      <c r="D575" s="68" t="s">
        <v>50</v>
      </c>
      <c r="E575" s="73" t="s">
        <v>99</v>
      </c>
      <c r="F575" s="74">
        <v>16.34</v>
      </c>
    </row>
    <row r="576" ht="22.5" customHeight="1">
      <c r="A576" s="63">
        <v>46106.0</v>
      </c>
      <c r="B576" s="60" t="s">
        <v>22</v>
      </c>
      <c r="C576" s="67" t="str">
        <f>VLOOKUP(B576,BASE_VEICULOS!A:B,2,0)</f>
        <v>TET5H37</v>
      </c>
      <c r="D576" s="68" t="s">
        <v>50</v>
      </c>
      <c r="E576" s="73" t="s">
        <v>99</v>
      </c>
      <c r="F576" s="74">
        <v>16.34</v>
      </c>
    </row>
    <row r="577" ht="22.5" customHeight="1">
      <c r="A577" s="63">
        <v>46106.0</v>
      </c>
      <c r="B577" s="60" t="s">
        <v>36</v>
      </c>
      <c r="C577" s="67" t="str">
        <f>VLOOKUP(B577,BASE_VEICULOS!A:B,2,0)</f>
        <v>#N/A</v>
      </c>
      <c r="D577" s="68" t="s">
        <v>50</v>
      </c>
      <c r="E577" s="73" t="s">
        <v>101</v>
      </c>
      <c r="F577" s="74">
        <v>6.6</v>
      </c>
    </row>
    <row r="578" ht="22.5" customHeight="1">
      <c r="A578" s="63">
        <v>46106.0</v>
      </c>
      <c r="B578" s="60" t="s">
        <v>36</v>
      </c>
      <c r="C578" s="67" t="str">
        <f>VLOOKUP(B578,BASE_VEICULOS!A:B,2,0)</f>
        <v>#N/A</v>
      </c>
      <c r="D578" s="68" t="s">
        <v>50</v>
      </c>
      <c r="E578" s="73" t="s">
        <v>103</v>
      </c>
      <c r="F578" s="74">
        <v>7.12</v>
      </c>
    </row>
    <row r="579" ht="22.5" customHeight="1">
      <c r="A579" s="63">
        <v>46106.0</v>
      </c>
      <c r="B579" s="60" t="s">
        <v>36</v>
      </c>
      <c r="C579" s="67" t="str">
        <f>VLOOKUP(B579,BASE_VEICULOS!A:B,2,0)</f>
        <v>#N/A</v>
      </c>
      <c r="D579" s="68" t="s">
        <v>50</v>
      </c>
      <c r="E579" s="73" t="s">
        <v>103</v>
      </c>
      <c r="F579" s="74">
        <v>7.12</v>
      </c>
    </row>
    <row r="580" ht="22.5" customHeight="1">
      <c r="A580" s="63">
        <v>46106.0</v>
      </c>
      <c r="B580" s="60" t="s">
        <v>36</v>
      </c>
      <c r="C580" s="67" t="str">
        <f>VLOOKUP(B580,BASE_VEICULOS!A:B,2,0)</f>
        <v>#N/A</v>
      </c>
      <c r="D580" s="68" t="s">
        <v>50</v>
      </c>
      <c r="E580" s="73" t="s">
        <v>103</v>
      </c>
      <c r="F580" s="74">
        <v>5.54</v>
      </c>
    </row>
    <row r="581" ht="22.5" customHeight="1">
      <c r="A581" s="63">
        <v>46106.0</v>
      </c>
      <c r="B581" s="60" t="s">
        <v>19</v>
      </c>
      <c r="C581" s="67" t="str">
        <f>VLOOKUP(B581,BASE_VEICULOS!A:B,2,0)</f>
        <v>TEW9A24</v>
      </c>
      <c r="D581" s="68" t="s">
        <v>50</v>
      </c>
      <c r="E581" s="73" t="s">
        <v>103</v>
      </c>
      <c r="F581" s="74">
        <v>7.12</v>
      </c>
    </row>
    <row r="582" ht="22.5" customHeight="1">
      <c r="A582" s="63">
        <v>46106.0</v>
      </c>
      <c r="B582" s="60" t="s">
        <v>19</v>
      </c>
      <c r="C582" s="67" t="str">
        <f>VLOOKUP(B582,BASE_VEICULOS!A:B,2,0)</f>
        <v>TEW9A24</v>
      </c>
      <c r="D582" s="68" t="s">
        <v>50</v>
      </c>
      <c r="E582" s="73" t="s">
        <v>103</v>
      </c>
      <c r="F582" s="74">
        <v>7.12</v>
      </c>
    </row>
    <row r="583" ht="22.5" customHeight="1">
      <c r="A583" s="63">
        <v>46106.0</v>
      </c>
      <c r="B583" s="60" t="s">
        <v>19</v>
      </c>
      <c r="C583" s="67" t="str">
        <f>VLOOKUP(B583,BASE_VEICULOS!A:B,2,0)</f>
        <v>TEW9A24</v>
      </c>
      <c r="D583" s="68" t="s">
        <v>50</v>
      </c>
      <c r="E583" s="73" t="s">
        <v>103</v>
      </c>
      <c r="F583" s="74">
        <v>6.95</v>
      </c>
    </row>
    <row r="584" ht="22.5" customHeight="1">
      <c r="A584" s="63">
        <v>46106.0</v>
      </c>
      <c r="B584" s="60" t="s">
        <v>19</v>
      </c>
      <c r="C584" s="67" t="str">
        <f>VLOOKUP(B584,BASE_VEICULOS!A:B,2,0)</f>
        <v>TEW9A24</v>
      </c>
      <c r="D584" s="68" t="s">
        <v>50</v>
      </c>
      <c r="E584" s="73" t="s">
        <v>103</v>
      </c>
      <c r="F584" s="74">
        <v>7.12</v>
      </c>
    </row>
    <row r="585" ht="22.5" customHeight="1">
      <c r="A585" s="63">
        <v>46106.0</v>
      </c>
      <c r="B585" s="60" t="s">
        <v>19</v>
      </c>
      <c r="C585" s="67" t="str">
        <f>VLOOKUP(B585,BASE_VEICULOS!A:B,2,0)</f>
        <v>TEW9A24</v>
      </c>
      <c r="D585" s="68" t="s">
        <v>50</v>
      </c>
      <c r="E585" s="73" t="s">
        <v>103</v>
      </c>
      <c r="F585" s="74">
        <v>7.12</v>
      </c>
    </row>
    <row r="586" ht="22.5" customHeight="1">
      <c r="A586" s="63">
        <v>46106.0</v>
      </c>
      <c r="B586" s="60" t="s">
        <v>19</v>
      </c>
      <c r="C586" s="67" t="str">
        <f>VLOOKUP(B586,BASE_VEICULOS!A:B,2,0)</f>
        <v>TEW9A24</v>
      </c>
      <c r="D586" s="68" t="s">
        <v>50</v>
      </c>
      <c r="E586" s="73" t="s">
        <v>103</v>
      </c>
      <c r="F586" s="74">
        <v>6.95</v>
      </c>
    </row>
    <row r="587" ht="22.5" customHeight="1">
      <c r="A587" s="63">
        <v>46106.0</v>
      </c>
      <c r="B587" s="60" t="s">
        <v>10</v>
      </c>
      <c r="C587" s="67" t="str">
        <f>VLOOKUP(B587,BASE_VEICULOS!A:B,2,0)</f>
        <v>TEW9A25</v>
      </c>
      <c r="D587" s="68" t="s">
        <v>50</v>
      </c>
      <c r="E587" s="73" t="s">
        <v>106</v>
      </c>
      <c r="F587" s="74">
        <v>8.95</v>
      </c>
    </row>
    <row r="588" ht="22.5" customHeight="1">
      <c r="A588" s="63">
        <v>46106.0</v>
      </c>
      <c r="B588" s="60" t="s">
        <v>18</v>
      </c>
      <c r="C588" s="67" t="str">
        <f>VLOOKUP(B588,BASE_VEICULOS!A:B,2,0)</f>
        <v>TEW9A29</v>
      </c>
      <c r="D588" s="68" t="s">
        <v>50</v>
      </c>
      <c r="E588" s="73" t="s">
        <v>104</v>
      </c>
      <c r="F588" s="74">
        <v>3.8</v>
      </c>
    </row>
    <row r="589" ht="22.5" customHeight="1">
      <c r="A589" s="63">
        <v>46106.0</v>
      </c>
      <c r="B589" s="60" t="s">
        <v>17</v>
      </c>
      <c r="C589" s="67" t="str">
        <f>VLOOKUP(B589,BASE_VEICULOS!A:B,2,0)</f>
        <v>#N/A</v>
      </c>
      <c r="D589" s="68" t="s">
        <v>50</v>
      </c>
      <c r="E589" s="73" t="s">
        <v>99</v>
      </c>
      <c r="F589" s="74">
        <v>13.29</v>
      </c>
    </row>
    <row r="590" ht="22.5" customHeight="1">
      <c r="A590" s="63">
        <v>46106.0</v>
      </c>
      <c r="B590" s="60" t="s">
        <v>17</v>
      </c>
      <c r="C590" s="67" t="str">
        <f>VLOOKUP(B590,BASE_VEICULOS!A:B,2,0)</f>
        <v>#N/A</v>
      </c>
      <c r="D590" s="68" t="s">
        <v>50</v>
      </c>
      <c r="E590" s="73" t="s">
        <v>99</v>
      </c>
      <c r="F590" s="74">
        <v>13.29</v>
      </c>
    </row>
    <row r="591" ht="22.5" customHeight="1">
      <c r="A591" s="63">
        <v>46106.0</v>
      </c>
      <c r="B591" s="60" t="s">
        <v>21</v>
      </c>
      <c r="C591" s="67" t="str">
        <f>VLOOKUP(B591,BASE_VEICULOS!A:B,2,0)</f>
        <v>TEW9A33</v>
      </c>
      <c r="D591" s="68" t="s">
        <v>50</v>
      </c>
      <c r="E591" s="73" t="s">
        <v>101</v>
      </c>
      <c r="F591" s="74">
        <v>6.6</v>
      </c>
    </row>
    <row r="592" ht="22.5" customHeight="1">
      <c r="A592" s="63">
        <v>46106.0</v>
      </c>
      <c r="B592" s="60" t="s">
        <v>113</v>
      </c>
      <c r="C592" s="67" t="str">
        <f>VLOOKUP(B592,BASE_VEICULOS!A:B,2,0)</f>
        <v>TYK8C73</v>
      </c>
      <c r="D592" s="68" t="s">
        <v>50</v>
      </c>
      <c r="E592" s="73" t="s">
        <v>104</v>
      </c>
      <c r="F592" s="74">
        <v>3.8</v>
      </c>
    </row>
    <row r="593" ht="22.5" customHeight="1">
      <c r="A593" s="63">
        <v>46107.0</v>
      </c>
      <c r="B593" s="60" t="s">
        <v>15</v>
      </c>
      <c r="C593" s="67" t="str">
        <f>VLOOKUP(B593,BASE_VEICULOS!A:B,2,0)</f>
        <v>EWH1B84</v>
      </c>
      <c r="D593" s="68" t="s">
        <v>50</v>
      </c>
      <c r="E593" s="73" t="s">
        <v>103</v>
      </c>
      <c r="F593" s="74">
        <v>7.12</v>
      </c>
    </row>
    <row r="594" ht="22.5" customHeight="1">
      <c r="A594" s="63">
        <v>46107.0</v>
      </c>
      <c r="B594" s="60" t="s">
        <v>15</v>
      </c>
      <c r="C594" s="67" t="str">
        <f>VLOOKUP(B594,BASE_VEICULOS!A:B,2,0)</f>
        <v>EWH1B84</v>
      </c>
      <c r="D594" s="68" t="s">
        <v>50</v>
      </c>
      <c r="E594" s="73" t="s">
        <v>103</v>
      </c>
      <c r="F594" s="74">
        <v>5.54</v>
      </c>
    </row>
    <row r="595" ht="22.5" customHeight="1">
      <c r="A595" s="63">
        <v>46107.0</v>
      </c>
      <c r="B595" s="60" t="s">
        <v>15</v>
      </c>
      <c r="C595" s="67" t="str">
        <f>VLOOKUP(B595,BASE_VEICULOS!A:B,2,0)</f>
        <v>EWH1B84</v>
      </c>
      <c r="D595" s="68" t="s">
        <v>50</v>
      </c>
      <c r="E595" s="73" t="s">
        <v>103</v>
      </c>
      <c r="F595" s="74">
        <v>7.12</v>
      </c>
    </row>
    <row r="596" ht="22.5" customHeight="1">
      <c r="A596" s="63">
        <v>46107.0</v>
      </c>
      <c r="B596" s="60" t="s">
        <v>15</v>
      </c>
      <c r="C596" s="67" t="str">
        <f>VLOOKUP(B596,BASE_VEICULOS!A:B,2,0)</f>
        <v>EWH1B84</v>
      </c>
      <c r="D596" s="68" t="s">
        <v>50</v>
      </c>
      <c r="E596" s="73" t="s">
        <v>102</v>
      </c>
      <c r="F596" s="74">
        <v>18.4</v>
      </c>
    </row>
    <row r="597" ht="22.5" customHeight="1">
      <c r="A597" s="63">
        <v>46107.0</v>
      </c>
      <c r="B597" s="60" t="s">
        <v>29</v>
      </c>
      <c r="C597" s="67" t="str">
        <f>VLOOKUP(B597,BASE_VEICULOS!A:B,2,0)</f>
        <v>TEQ2I74</v>
      </c>
      <c r="D597" s="68" t="s">
        <v>50</v>
      </c>
      <c r="E597" s="73" t="s">
        <v>103</v>
      </c>
      <c r="F597" s="74">
        <v>7.12</v>
      </c>
    </row>
    <row r="598" ht="22.5" customHeight="1">
      <c r="A598" s="63">
        <v>46107.0</v>
      </c>
      <c r="B598" s="60" t="s">
        <v>29</v>
      </c>
      <c r="C598" s="67" t="str">
        <f>VLOOKUP(B598,BASE_VEICULOS!A:B,2,0)</f>
        <v>TEQ2I74</v>
      </c>
      <c r="D598" s="68" t="s">
        <v>50</v>
      </c>
      <c r="E598" s="73" t="s">
        <v>103</v>
      </c>
      <c r="F598" s="74">
        <v>7.12</v>
      </c>
    </row>
    <row r="599" ht="22.5" customHeight="1">
      <c r="A599" s="63">
        <v>46107.0</v>
      </c>
      <c r="B599" s="60" t="s">
        <v>29</v>
      </c>
      <c r="C599" s="67" t="str">
        <f>VLOOKUP(B599,BASE_VEICULOS!A:B,2,0)</f>
        <v>TEQ2I74</v>
      </c>
      <c r="D599" s="68" t="s">
        <v>50</v>
      </c>
      <c r="E599" s="73" t="s">
        <v>103</v>
      </c>
      <c r="F599" s="74">
        <v>3.1</v>
      </c>
    </row>
    <row r="600" ht="22.5" customHeight="1">
      <c r="A600" s="63">
        <v>46107.0</v>
      </c>
      <c r="B600" s="60" t="s">
        <v>34</v>
      </c>
      <c r="C600" s="67" t="str">
        <f>VLOOKUP(B600,BASE_VEICULOS!A:B,2,0)</f>
        <v>SRU8D16</v>
      </c>
      <c r="D600" s="68" t="s">
        <v>50</v>
      </c>
      <c r="E600" s="73" t="s">
        <v>104</v>
      </c>
      <c r="F600" s="74">
        <v>3.8</v>
      </c>
    </row>
    <row r="601" ht="22.5" customHeight="1">
      <c r="A601" s="63">
        <v>46107.0</v>
      </c>
      <c r="B601" s="60" t="s">
        <v>16</v>
      </c>
      <c r="C601" s="67" t="str">
        <f>VLOOKUP(B601,BASE_VEICULOS!A:B,2,0)</f>
        <v>TEW9A27</v>
      </c>
      <c r="D601" s="68" t="s">
        <v>50</v>
      </c>
      <c r="E601" s="73" t="s">
        <v>101</v>
      </c>
      <c r="F601" s="74">
        <v>6.6</v>
      </c>
    </row>
    <row r="602" ht="22.5" customHeight="1">
      <c r="A602" s="63">
        <v>46107.0</v>
      </c>
      <c r="B602" s="60" t="s">
        <v>26</v>
      </c>
      <c r="C602" s="67" t="str">
        <f>VLOOKUP(B602,BASE_VEICULOS!A:B,2,0)</f>
        <v>#N/A</v>
      </c>
      <c r="D602" s="68" t="s">
        <v>50</v>
      </c>
      <c r="E602" s="73" t="s">
        <v>123</v>
      </c>
      <c r="F602" s="74">
        <v>26.0</v>
      </c>
    </row>
    <row r="603" ht="22.5" customHeight="1">
      <c r="A603" s="63">
        <v>46107.0</v>
      </c>
      <c r="B603" s="60" t="s">
        <v>22</v>
      </c>
      <c r="C603" s="67" t="str">
        <f>VLOOKUP(B603,BASE_VEICULOS!A:B,2,0)</f>
        <v>TET5H37</v>
      </c>
      <c r="D603" s="68" t="s">
        <v>50</v>
      </c>
      <c r="E603" s="73" t="s">
        <v>103</v>
      </c>
      <c r="F603" s="74">
        <v>7.12</v>
      </c>
    </row>
    <row r="604" ht="22.5" customHeight="1">
      <c r="A604" s="63">
        <v>46107.0</v>
      </c>
      <c r="B604" s="60" t="s">
        <v>22</v>
      </c>
      <c r="C604" s="67" t="str">
        <f>VLOOKUP(B604,BASE_VEICULOS!A:B,2,0)</f>
        <v>TET5H37</v>
      </c>
      <c r="D604" s="68" t="s">
        <v>50</v>
      </c>
      <c r="E604" s="73" t="s">
        <v>103</v>
      </c>
      <c r="F604" s="74">
        <v>7.12</v>
      </c>
    </row>
    <row r="605" ht="22.5" customHeight="1">
      <c r="A605" s="63">
        <v>46107.0</v>
      </c>
      <c r="B605" s="60" t="s">
        <v>22</v>
      </c>
      <c r="C605" s="67" t="str">
        <f>VLOOKUP(B605,BASE_VEICULOS!A:B,2,0)</f>
        <v>TET5H37</v>
      </c>
      <c r="D605" s="68" t="s">
        <v>50</v>
      </c>
      <c r="E605" s="73" t="s">
        <v>103</v>
      </c>
      <c r="F605" s="74">
        <v>6.55</v>
      </c>
    </row>
    <row r="606" ht="22.5" customHeight="1">
      <c r="A606" s="63">
        <v>46107.0</v>
      </c>
      <c r="B606" s="60" t="s">
        <v>22</v>
      </c>
      <c r="C606" s="67" t="str">
        <f>VLOOKUP(B606,BASE_VEICULOS!A:B,2,0)</f>
        <v>TET5H37</v>
      </c>
      <c r="D606" s="68" t="s">
        <v>50</v>
      </c>
      <c r="E606" s="73" t="s">
        <v>101</v>
      </c>
      <c r="F606" s="74">
        <v>6.6</v>
      </c>
    </row>
    <row r="607" ht="22.5" customHeight="1">
      <c r="A607" s="63">
        <v>46107.0</v>
      </c>
      <c r="B607" s="60" t="s">
        <v>36</v>
      </c>
      <c r="C607" s="67" t="str">
        <f>VLOOKUP(B607,BASE_VEICULOS!A:B,2,0)</f>
        <v>#N/A</v>
      </c>
      <c r="D607" s="68" t="s">
        <v>50</v>
      </c>
      <c r="E607" s="73" t="s">
        <v>101</v>
      </c>
      <c r="F607" s="74">
        <v>6.6</v>
      </c>
    </row>
    <row r="608" ht="22.5" customHeight="1">
      <c r="A608" s="63">
        <v>46107.0</v>
      </c>
      <c r="B608" s="60" t="s">
        <v>10</v>
      </c>
      <c r="C608" s="67" t="str">
        <f>VLOOKUP(B608,BASE_VEICULOS!A:B,2,0)</f>
        <v>TEW9A25</v>
      </c>
      <c r="D608" s="68" t="s">
        <v>50</v>
      </c>
      <c r="E608" s="73" t="s">
        <v>106</v>
      </c>
      <c r="F608" s="74">
        <v>8.95</v>
      </c>
    </row>
    <row r="609" ht="22.5" customHeight="1">
      <c r="A609" s="63">
        <v>46107.0</v>
      </c>
      <c r="B609" s="60" t="s">
        <v>10</v>
      </c>
      <c r="C609" s="67" t="str">
        <f>VLOOKUP(B609,BASE_VEICULOS!A:B,2,0)</f>
        <v>TEW9A25</v>
      </c>
      <c r="D609" s="68" t="s">
        <v>50</v>
      </c>
      <c r="E609" s="73" t="s">
        <v>104</v>
      </c>
      <c r="F609" s="74">
        <v>3.8</v>
      </c>
    </row>
    <row r="610" ht="22.5" customHeight="1">
      <c r="A610" s="63">
        <v>46107.0</v>
      </c>
      <c r="B610" s="60" t="s">
        <v>18</v>
      </c>
      <c r="C610" s="67" t="str">
        <f>VLOOKUP(B610,BASE_VEICULOS!A:B,2,0)</f>
        <v>TEW9A29</v>
      </c>
      <c r="D610" s="68" t="s">
        <v>50</v>
      </c>
      <c r="E610" s="73" t="s">
        <v>99</v>
      </c>
      <c r="F610" s="74">
        <v>15.39</v>
      </c>
    </row>
    <row r="611" ht="22.5" customHeight="1">
      <c r="A611" s="63">
        <v>46107.0</v>
      </c>
      <c r="B611" s="60" t="s">
        <v>18</v>
      </c>
      <c r="C611" s="67" t="str">
        <f>VLOOKUP(B611,BASE_VEICULOS!A:B,2,0)</f>
        <v>TEW9A29</v>
      </c>
      <c r="D611" s="68" t="s">
        <v>50</v>
      </c>
      <c r="E611" s="73" t="s">
        <v>99</v>
      </c>
      <c r="F611" s="74">
        <v>15.39</v>
      </c>
    </row>
    <row r="612" ht="22.5" customHeight="1">
      <c r="A612" s="63">
        <v>46107.0</v>
      </c>
      <c r="B612" s="60" t="s">
        <v>17</v>
      </c>
      <c r="C612" s="67" t="str">
        <f>VLOOKUP(B612,BASE_VEICULOS!A:B,2,0)</f>
        <v>#N/A</v>
      </c>
      <c r="D612" s="68" t="s">
        <v>50</v>
      </c>
      <c r="E612" s="73" t="s">
        <v>99</v>
      </c>
      <c r="F612" s="74">
        <v>12.34</v>
      </c>
    </row>
    <row r="613" ht="22.5" customHeight="1">
      <c r="A613" s="63">
        <v>46107.0</v>
      </c>
      <c r="B613" s="60" t="s">
        <v>17</v>
      </c>
      <c r="C613" s="67" t="str">
        <f>VLOOKUP(B613,BASE_VEICULOS!A:B,2,0)</f>
        <v>#N/A</v>
      </c>
      <c r="D613" s="68" t="s">
        <v>50</v>
      </c>
      <c r="E613" s="73" t="s">
        <v>100</v>
      </c>
      <c r="F613" s="74">
        <v>9.6</v>
      </c>
    </row>
    <row r="614" ht="22.5" customHeight="1">
      <c r="A614" s="63">
        <v>46107.0</v>
      </c>
      <c r="B614" s="60" t="s">
        <v>17</v>
      </c>
      <c r="C614" s="67" t="str">
        <f>VLOOKUP(B614,BASE_VEICULOS!A:B,2,0)</f>
        <v>#N/A</v>
      </c>
      <c r="D614" s="68" t="s">
        <v>50</v>
      </c>
      <c r="E614" s="73" t="s">
        <v>100</v>
      </c>
      <c r="F614" s="74">
        <v>9.6</v>
      </c>
    </row>
    <row r="615" ht="22.5" customHeight="1">
      <c r="A615" s="63">
        <v>46107.0</v>
      </c>
      <c r="B615" s="60" t="s">
        <v>17</v>
      </c>
      <c r="C615" s="67" t="str">
        <f>VLOOKUP(B615,BASE_VEICULOS!A:B,2,0)</f>
        <v>#N/A</v>
      </c>
      <c r="D615" s="68" t="s">
        <v>50</v>
      </c>
      <c r="E615" s="73" t="s">
        <v>99</v>
      </c>
      <c r="F615" s="74">
        <v>12.34</v>
      </c>
    </row>
    <row r="616" ht="22.5" customHeight="1">
      <c r="A616" s="63">
        <v>46107.0</v>
      </c>
      <c r="B616" s="60" t="s">
        <v>113</v>
      </c>
      <c r="C616" s="67" t="str">
        <f>VLOOKUP(B616,BASE_VEICULOS!A:B,2,0)</f>
        <v>TYK8C73</v>
      </c>
      <c r="D616" s="68" t="s">
        <v>50</v>
      </c>
      <c r="E616" s="73" t="s">
        <v>104</v>
      </c>
      <c r="F616" s="74">
        <v>3.8</v>
      </c>
    </row>
    <row r="617" ht="22.5" customHeight="1">
      <c r="A617" s="63">
        <v>46107.0</v>
      </c>
      <c r="B617" s="60" t="s">
        <v>113</v>
      </c>
      <c r="C617" s="67" t="str">
        <f>VLOOKUP(B617,BASE_VEICULOS!A:B,2,0)</f>
        <v>TYK8C73</v>
      </c>
      <c r="D617" s="68" t="s">
        <v>50</v>
      </c>
      <c r="E617" s="73" t="s">
        <v>104</v>
      </c>
      <c r="F617" s="74">
        <v>3.8</v>
      </c>
    </row>
    <row r="618" ht="22.5" customHeight="1">
      <c r="A618" s="63">
        <v>46108.0</v>
      </c>
      <c r="B618" s="60" t="s">
        <v>13</v>
      </c>
      <c r="C618" s="67" t="str">
        <f>VLOOKUP(B618,BASE_VEICULOS!A:B,2,0)</f>
        <v>FGO3C61</v>
      </c>
      <c r="D618" s="68" t="s">
        <v>50</v>
      </c>
      <c r="E618" s="73" t="s">
        <v>106</v>
      </c>
      <c r="F618" s="74">
        <v>8.95</v>
      </c>
    </row>
    <row r="619" ht="22.5" customHeight="1">
      <c r="A619" s="63">
        <v>46108.0</v>
      </c>
      <c r="B619" s="60" t="s">
        <v>13</v>
      </c>
      <c r="C619" s="67" t="str">
        <f>VLOOKUP(B619,BASE_VEICULOS!A:B,2,0)</f>
        <v>FGO3C61</v>
      </c>
      <c r="D619" s="68" t="s">
        <v>50</v>
      </c>
      <c r="E619" s="73" t="s">
        <v>106</v>
      </c>
      <c r="F619" s="74">
        <v>8.95</v>
      </c>
    </row>
    <row r="620" ht="22.5" customHeight="1">
      <c r="A620" s="63">
        <v>46108.0</v>
      </c>
      <c r="B620" s="60" t="s">
        <v>12</v>
      </c>
      <c r="C620" s="67" t="str">
        <f>VLOOKUP(B620,BASE_VEICULOS!A:B,2,0)</f>
        <v>FIL8C14</v>
      </c>
      <c r="D620" s="68" t="s">
        <v>50</v>
      </c>
      <c r="E620" s="73" t="s">
        <v>111</v>
      </c>
      <c r="F620" s="74">
        <v>19.95</v>
      </c>
    </row>
    <row r="621" ht="22.5" customHeight="1">
      <c r="A621" s="63">
        <v>46108.0</v>
      </c>
      <c r="B621" s="60" t="s">
        <v>12</v>
      </c>
      <c r="C621" s="67" t="str">
        <f>VLOOKUP(B621,BASE_VEICULOS!A:B,2,0)</f>
        <v>FIL8C14</v>
      </c>
      <c r="D621" s="68" t="s">
        <v>50</v>
      </c>
      <c r="E621" s="73" t="s">
        <v>111</v>
      </c>
      <c r="F621" s="74">
        <v>19.95</v>
      </c>
    </row>
    <row r="622" ht="22.5" customHeight="1">
      <c r="A622" s="63">
        <v>46108.0</v>
      </c>
      <c r="B622" s="60" t="s">
        <v>14</v>
      </c>
      <c r="C622" s="67" t="str">
        <f>VLOOKUP(B622,BASE_VEICULOS!A:B,2,0)</f>
        <v>FOK8A73</v>
      </c>
      <c r="D622" s="68" t="s">
        <v>50</v>
      </c>
      <c r="E622" s="73" t="s">
        <v>103</v>
      </c>
      <c r="F622" s="74">
        <v>7.12</v>
      </c>
    </row>
    <row r="623" ht="22.5" customHeight="1">
      <c r="A623" s="63">
        <v>46108.0</v>
      </c>
      <c r="B623" s="60" t="s">
        <v>14</v>
      </c>
      <c r="C623" s="67" t="str">
        <f>VLOOKUP(B623,BASE_VEICULOS!A:B,2,0)</f>
        <v>FOK8A73</v>
      </c>
      <c r="D623" s="68" t="s">
        <v>50</v>
      </c>
      <c r="E623" s="73" t="s">
        <v>100</v>
      </c>
      <c r="F623" s="74">
        <v>9.6</v>
      </c>
    </row>
    <row r="624" ht="22.5" customHeight="1">
      <c r="A624" s="63">
        <v>46108.0</v>
      </c>
      <c r="B624" s="60" t="s">
        <v>14</v>
      </c>
      <c r="C624" s="67" t="str">
        <f>VLOOKUP(B624,BASE_VEICULOS!A:B,2,0)</f>
        <v>FOK8A73</v>
      </c>
      <c r="D624" s="68" t="s">
        <v>50</v>
      </c>
      <c r="E624" s="73" t="s">
        <v>100</v>
      </c>
      <c r="F624" s="74">
        <v>9.6</v>
      </c>
    </row>
    <row r="625" ht="22.5" customHeight="1">
      <c r="A625" s="63">
        <v>46108.0</v>
      </c>
      <c r="B625" s="60" t="s">
        <v>14</v>
      </c>
      <c r="C625" s="67" t="str">
        <f>VLOOKUP(B625,BASE_VEICULOS!A:B,2,0)</f>
        <v>FOK8A73</v>
      </c>
      <c r="D625" s="68" t="s">
        <v>50</v>
      </c>
      <c r="E625" s="73" t="s">
        <v>100</v>
      </c>
      <c r="F625" s="74">
        <v>9.6</v>
      </c>
    </row>
    <row r="626" ht="22.5" customHeight="1">
      <c r="A626" s="63">
        <v>46108.0</v>
      </c>
      <c r="B626" s="60" t="s">
        <v>14</v>
      </c>
      <c r="C626" s="67" t="str">
        <f>VLOOKUP(B626,BASE_VEICULOS!A:B,2,0)</f>
        <v>FOK8A73</v>
      </c>
      <c r="D626" s="68" t="s">
        <v>50</v>
      </c>
      <c r="E626" s="73" t="s">
        <v>99</v>
      </c>
      <c r="F626" s="74">
        <v>19.19</v>
      </c>
    </row>
    <row r="627" ht="22.5" customHeight="1">
      <c r="A627" s="63">
        <v>46108.0</v>
      </c>
      <c r="B627" s="60" t="s">
        <v>33</v>
      </c>
      <c r="C627" s="67" t="str">
        <f>VLOOKUP(B627,BASE_VEICULOS!A:B,2,0)</f>
        <v>TEW9A30</v>
      </c>
      <c r="D627" s="68" t="s">
        <v>51</v>
      </c>
      <c r="E627" s="73" t="s">
        <v>126</v>
      </c>
      <c r="F627" s="74">
        <v>11.0</v>
      </c>
    </row>
    <row r="628" ht="22.5" customHeight="1">
      <c r="A628" s="63">
        <v>46108.0</v>
      </c>
      <c r="B628" s="60" t="s">
        <v>33</v>
      </c>
      <c r="C628" s="67" t="str">
        <f>VLOOKUP(B628,BASE_VEICULOS!A:B,2,0)</f>
        <v>TEW9A30</v>
      </c>
      <c r="D628" s="68" t="s">
        <v>50</v>
      </c>
      <c r="E628" s="73" t="s">
        <v>104</v>
      </c>
      <c r="F628" s="74">
        <v>3.8</v>
      </c>
    </row>
    <row r="629" ht="22.5" customHeight="1">
      <c r="A629" s="63">
        <v>46108.0</v>
      </c>
      <c r="B629" s="60" t="s">
        <v>27</v>
      </c>
      <c r="C629" s="67" t="str">
        <f>VLOOKUP(B629,BASE_VEICULOS!A:B,2,0)</f>
        <v>UDA5B37</v>
      </c>
      <c r="D629" s="68" t="s">
        <v>51</v>
      </c>
      <c r="E629" s="73" t="s">
        <v>127</v>
      </c>
      <c r="F629" s="74">
        <v>16.0</v>
      </c>
    </row>
    <row r="630" ht="22.5" customHeight="1">
      <c r="A630" s="63">
        <v>46108.0</v>
      </c>
      <c r="B630" s="60" t="s">
        <v>29</v>
      </c>
      <c r="C630" s="67" t="str">
        <f>VLOOKUP(B630,BASE_VEICULOS!A:B,2,0)</f>
        <v>TEQ2I74</v>
      </c>
      <c r="D630" s="68" t="s">
        <v>50</v>
      </c>
      <c r="E630" s="73" t="s">
        <v>101</v>
      </c>
      <c r="F630" s="74">
        <v>6.6</v>
      </c>
    </row>
    <row r="631" ht="22.5" customHeight="1">
      <c r="A631" s="63">
        <v>46108.0</v>
      </c>
      <c r="B631" s="60" t="s">
        <v>29</v>
      </c>
      <c r="C631" s="67" t="str">
        <f>VLOOKUP(B631,BASE_VEICULOS!A:B,2,0)</f>
        <v>TEQ2I74</v>
      </c>
      <c r="D631" s="68" t="s">
        <v>50</v>
      </c>
      <c r="E631" s="73" t="s">
        <v>103</v>
      </c>
      <c r="F631" s="74">
        <v>7.12</v>
      </c>
    </row>
    <row r="632" ht="22.5" customHeight="1">
      <c r="A632" s="63">
        <v>46108.0</v>
      </c>
      <c r="B632" s="60" t="s">
        <v>29</v>
      </c>
      <c r="C632" s="67" t="str">
        <f>VLOOKUP(B632,BASE_VEICULOS!A:B,2,0)</f>
        <v>TEQ2I74</v>
      </c>
      <c r="D632" s="68" t="s">
        <v>50</v>
      </c>
      <c r="E632" s="73" t="s">
        <v>103</v>
      </c>
      <c r="F632" s="74">
        <v>7.12</v>
      </c>
    </row>
    <row r="633" ht="22.5" customHeight="1">
      <c r="A633" s="63">
        <v>46108.0</v>
      </c>
      <c r="B633" s="60" t="s">
        <v>29</v>
      </c>
      <c r="C633" s="67" t="str">
        <f>VLOOKUP(B633,BASE_VEICULOS!A:B,2,0)</f>
        <v>TEQ2I74</v>
      </c>
      <c r="D633" s="68" t="s">
        <v>50</v>
      </c>
      <c r="E633" s="73" t="s">
        <v>103</v>
      </c>
      <c r="F633" s="74">
        <v>2.85</v>
      </c>
    </row>
    <row r="634" ht="22.5" customHeight="1">
      <c r="A634" s="63">
        <v>46108.0</v>
      </c>
      <c r="B634" s="60" t="s">
        <v>16</v>
      </c>
      <c r="C634" s="67" t="str">
        <f>VLOOKUP(B634,BASE_VEICULOS!A:B,2,0)</f>
        <v>TEW9A27</v>
      </c>
      <c r="D634" s="68" t="s">
        <v>50</v>
      </c>
      <c r="E634" s="73" t="s">
        <v>103</v>
      </c>
      <c r="F634" s="74">
        <v>7.12</v>
      </c>
    </row>
    <row r="635" ht="22.5" customHeight="1">
      <c r="A635" s="63">
        <v>46108.0</v>
      </c>
      <c r="B635" s="60" t="s">
        <v>16</v>
      </c>
      <c r="C635" s="67" t="str">
        <f>VLOOKUP(B635,BASE_VEICULOS!A:B,2,0)</f>
        <v>TEW9A27</v>
      </c>
      <c r="D635" s="68" t="s">
        <v>50</v>
      </c>
      <c r="E635" s="73" t="s">
        <v>103</v>
      </c>
      <c r="F635" s="74">
        <v>7.12</v>
      </c>
    </row>
    <row r="636" ht="22.5" customHeight="1">
      <c r="A636" s="63">
        <v>46108.0</v>
      </c>
      <c r="B636" s="60" t="s">
        <v>16</v>
      </c>
      <c r="C636" s="67" t="str">
        <f>VLOOKUP(B636,BASE_VEICULOS!A:B,2,0)</f>
        <v>TEW9A27</v>
      </c>
      <c r="D636" s="68" t="s">
        <v>50</v>
      </c>
      <c r="E636" s="73" t="s">
        <v>103</v>
      </c>
      <c r="F636" s="74">
        <v>6.03</v>
      </c>
    </row>
    <row r="637" ht="22.5" customHeight="1">
      <c r="A637" s="63">
        <v>46108.0</v>
      </c>
      <c r="B637" s="60" t="s">
        <v>22</v>
      </c>
      <c r="C637" s="67" t="str">
        <f>VLOOKUP(B637,BASE_VEICULOS!A:B,2,0)</f>
        <v>TET5H37</v>
      </c>
      <c r="D637" s="68" t="s">
        <v>50</v>
      </c>
      <c r="E637" s="73" t="s">
        <v>106</v>
      </c>
      <c r="F637" s="74">
        <v>8.95</v>
      </c>
    </row>
    <row r="638" ht="22.5" customHeight="1">
      <c r="A638" s="63">
        <v>46108.0</v>
      </c>
      <c r="B638" s="60" t="s">
        <v>36</v>
      </c>
      <c r="C638" s="67" t="str">
        <f>VLOOKUP(B638,BASE_VEICULOS!A:B,2,0)</f>
        <v>#N/A</v>
      </c>
      <c r="D638" s="68" t="s">
        <v>50</v>
      </c>
      <c r="E638" s="73" t="s">
        <v>103</v>
      </c>
      <c r="F638" s="74">
        <v>7.12</v>
      </c>
    </row>
    <row r="639" ht="22.5" customHeight="1">
      <c r="A639" s="63">
        <v>46108.0</v>
      </c>
      <c r="B639" s="60" t="s">
        <v>36</v>
      </c>
      <c r="C639" s="67" t="str">
        <f>VLOOKUP(B639,BASE_VEICULOS!A:B,2,0)</f>
        <v>#N/A</v>
      </c>
      <c r="D639" s="68" t="s">
        <v>50</v>
      </c>
      <c r="E639" s="73" t="s">
        <v>103</v>
      </c>
      <c r="F639" s="74">
        <v>7.12</v>
      </c>
    </row>
    <row r="640" ht="22.5" customHeight="1">
      <c r="A640" s="63">
        <v>46108.0</v>
      </c>
      <c r="B640" s="60" t="s">
        <v>36</v>
      </c>
      <c r="C640" s="67" t="str">
        <f>VLOOKUP(B640,BASE_VEICULOS!A:B,2,0)</f>
        <v>#N/A</v>
      </c>
      <c r="D640" s="68" t="s">
        <v>50</v>
      </c>
      <c r="E640" s="73" t="s">
        <v>103</v>
      </c>
      <c r="F640" s="74">
        <v>5.1</v>
      </c>
    </row>
    <row r="641" ht="22.5" customHeight="1">
      <c r="A641" s="63">
        <v>46108.0</v>
      </c>
      <c r="B641" s="60" t="s">
        <v>36</v>
      </c>
      <c r="C641" s="67" t="str">
        <f>VLOOKUP(B641,BASE_VEICULOS!A:B,2,0)</f>
        <v>#N/A</v>
      </c>
      <c r="D641" s="68" t="s">
        <v>50</v>
      </c>
      <c r="E641" s="73" t="s">
        <v>101</v>
      </c>
      <c r="F641" s="74">
        <v>6.6</v>
      </c>
    </row>
    <row r="642" ht="22.5" customHeight="1">
      <c r="A642" s="63">
        <v>46108.0</v>
      </c>
      <c r="B642" s="60" t="s">
        <v>10</v>
      </c>
      <c r="C642" s="67" t="str">
        <f>VLOOKUP(B642,BASE_VEICULOS!A:B,2,0)</f>
        <v>TEW9A25</v>
      </c>
      <c r="D642" s="68" t="s">
        <v>50</v>
      </c>
      <c r="E642" s="73" t="s">
        <v>104</v>
      </c>
      <c r="F642" s="74">
        <v>3.8</v>
      </c>
    </row>
    <row r="643" ht="22.5" customHeight="1">
      <c r="A643" s="63">
        <v>46108.0</v>
      </c>
      <c r="B643" s="60" t="s">
        <v>10</v>
      </c>
      <c r="C643" s="67" t="str">
        <f>VLOOKUP(B643,BASE_VEICULOS!A:B,2,0)</f>
        <v>TEW9A25</v>
      </c>
      <c r="D643" s="68" t="s">
        <v>50</v>
      </c>
      <c r="E643" s="73" t="s">
        <v>106</v>
      </c>
      <c r="F643" s="74">
        <v>8.95</v>
      </c>
    </row>
    <row r="644" ht="22.5" customHeight="1">
      <c r="A644" s="63">
        <v>46108.0</v>
      </c>
      <c r="B644" s="60" t="s">
        <v>18</v>
      </c>
      <c r="C644" s="67" t="str">
        <f>VLOOKUP(B644,BASE_VEICULOS!A:B,2,0)</f>
        <v>TEW9A29</v>
      </c>
      <c r="D644" s="68" t="s">
        <v>50</v>
      </c>
      <c r="E644" s="73" t="s">
        <v>104</v>
      </c>
      <c r="F644" s="74">
        <v>3.8</v>
      </c>
    </row>
    <row r="645" ht="22.5" customHeight="1">
      <c r="A645" s="63">
        <v>46108.0</v>
      </c>
      <c r="B645" s="60" t="s">
        <v>17</v>
      </c>
      <c r="C645" s="67" t="str">
        <f>VLOOKUP(B645,BASE_VEICULOS!A:B,2,0)</f>
        <v>#N/A</v>
      </c>
      <c r="D645" s="68" t="s">
        <v>50</v>
      </c>
      <c r="E645" s="73" t="s">
        <v>99</v>
      </c>
      <c r="F645" s="74">
        <v>11.47</v>
      </c>
    </row>
    <row r="646" ht="22.5" customHeight="1">
      <c r="A646" s="63">
        <v>46108.0</v>
      </c>
      <c r="B646" s="60" t="s">
        <v>17</v>
      </c>
      <c r="C646" s="67" t="str">
        <f>VLOOKUP(B646,BASE_VEICULOS!A:B,2,0)</f>
        <v>#N/A</v>
      </c>
      <c r="D646" s="68" t="s">
        <v>50</v>
      </c>
      <c r="E646" s="73" t="s">
        <v>99</v>
      </c>
      <c r="F646" s="74">
        <v>11.47</v>
      </c>
    </row>
    <row r="647" ht="22.5" customHeight="1">
      <c r="A647" s="63">
        <v>46108.0</v>
      </c>
      <c r="B647" s="60" t="s">
        <v>113</v>
      </c>
      <c r="C647" s="67" t="str">
        <f>VLOOKUP(B647,BASE_VEICULOS!A:B,2,0)</f>
        <v>TYK8C73</v>
      </c>
      <c r="D647" s="68" t="s">
        <v>50</v>
      </c>
      <c r="E647" s="73" t="s">
        <v>104</v>
      </c>
      <c r="F647" s="74">
        <v>3.8</v>
      </c>
    </row>
    <row r="648" ht="22.5" customHeight="1">
      <c r="A648" s="63">
        <v>46109.0</v>
      </c>
      <c r="B648" s="60" t="s">
        <v>14</v>
      </c>
      <c r="C648" s="67" t="str">
        <f>VLOOKUP(B648,BASE_VEICULOS!A:B,2,0)</f>
        <v>FOK8A73</v>
      </c>
      <c r="D648" s="68" t="s">
        <v>50</v>
      </c>
      <c r="E648" s="73" t="s">
        <v>101</v>
      </c>
      <c r="F648" s="74">
        <v>6.6</v>
      </c>
    </row>
    <row r="649" ht="22.5" customHeight="1">
      <c r="A649" s="63">
        <v>46109.0</v>
      </c>
      <c r="B649" s="60" t="s">
        <v>28</v>
      </c>
      <c r="C649" s="67" t="str">
        <f>VLOOKUP(B649,BASE_VEICULOS!A:B,2,0)</f>
        <v>#N/A</v>
      </c>
      <c r="D649" s="68" t="s">
        <v>50</v>
      </c>
      <c r="E649" s="73" t="s">
        <v>103</v>
      </c>
      <c r="F649" s="74">
        <v>7.12</v>
      </c>
    </row>
    <row r="650" ht="22.5" customHeight="1">
      <c r="A650" s="63">
        <v>46109.0</v>
      </c>
      <c r="B650" s="60" t="s">
        <v>28</v>
      </c>
      <c r="C650" s="67" t="str">
        <f>VLOOKUP(B650,BASE_VEICULOS!A:B,2,0)</f>
        <v>#N/A</v>
      </c>
      <c r="D650" s="68" t="s">
        <v>50</v>
      </c>
      <c r="E650" s="73" t="s">
        <v>103</v>
      </c>
      <c r="F650" s="74">
        <v>7.12</v>
      </c>
    </row>
    <row r="651" ht="22.5" customHeight="1">
      <c r="A651" s="63">
        <v>46109.0</v>
      </c>
      <c r="B651" s="60" t="s">
        <v>28</v>
      </c>
      <c r="C651" s="67" t="str">
        <f>VLOOKUP(B651,BASE_VEICULOS!A:B,2,0)</f>
        <v>#N/A</v>
      </c>
      <c r="D651" s="68" t="s">
        <v>50</v>
      </c>
      <c r="E651" s="73" t="s">
        <v>103</v>
      </c>
      <c r="F651" s="74">
        <v>7.12</v>
      </c>
    </row>
    <row r="652" ht="22.5" customHeight="1">
      <c r="A652" s="63">
        <v>46109.0</v>
      </c>
      <c r="B652" s="60" t="s">
        <v>33</v>
      </c>
      <c r="C652" s="67" t="str">
        <f>VLOOKUP(B652,BASE_VEICULOS!A:B,2,0)</f>
        <v>TEW9A30</v>
      </c>
      <c r="D652" s="68" t="s">
        <v>50</v>
      </c>
      <c r="E652" s="73" t="s">
        <v>101</v>
      </c>
      <c r="F652" s="74">
        <v>6.6</v>
      </c>
    </row>
    <row r="653" ht="22.5" customHeight="1">
      <c r="A653" s="63">
        <v>46109.0</v>
      </c>
      <c r="B653" s="60" t="s">
        <v>27</v>
      </c>
      <c r="C653" s="67" t="str">
        <f>VLOOKUP(B653,BASE_VEICULOS!A:B,2,0)</f>
        <v>UDA5B37</v>
      </c>
      <c r="D653" s="68" t="s">
        <v>50</v>
      </c>
      <c r="E653" s="73" t="s">
        <v>101</v>
      </c>
      <c r="F653" s="74">
        <v>6.6</v>
      </c>
    </row>
    <row r="654" ht="22.5" customHeight="1">
      <c r="A654" s="63">
        <v>46109.0</v>
      </c>
      <c r="B654" s="60" t="s">
        <v>29</v>
      </c>
      <c r="C654" s="67" t="str">
        <f>VLOOKUP(B654,BASE_VEICULOS!A:B,2,0)</f>
        <v>TEQ2I74</v>
      </c>
      <c r="D654" s="68" t="s">
        <v>50</v>
      </c>
      <c r="E654" s="73" t="s">
        <v>103</v>
      </c>
      <c r="F654" s="74">
        <v>7.12</v>
      </c>
    </row>
    <row r="655" ht="22.5" customHeight="1">
      <c r="A655" s="63">
        <v>46109.0</v>
      </c>
      <c r="B655" s="60" t="s">
        <v>29</v>
      </c>
      <c r="C655" s="67" t="str">
        <f>VLOOKUP(B655,BASE_VEICULOS!A:B,2,0)</f>
        <v>TEQ2I74</v>
      </c>
      <c r="D655" s="68" t="s">
        <v>50</v>
      </c>
      <c r="E655" s="73" t="s">
        <v>103</v>
      </c>
      <c r="F655" s="74">
        <v>7.12</v>
      </c>
    </row>
    <row r="656" ht="22.5" customHeight="1">
      <c r="A656" s="63">
        <v>46109.0</v>
      </c>
      <c r="B656" s="60" t="s">
        <v>29</v>
      </c>
      <c r="C656" s="67" t="str">
        <f>VLOOKUP(B656,BASE_VEICULOS!A:B,2,0)</f>
        <v>TEQ2I74</v>
      </c>
      <c r="D656" s="68" t="s">
        <v>50</v>
      </c>
      <c r="E656" s="73" t="s">
        <v>103</v>
      </c>
      <c r="F656" s="74">
        <v>2.62</v>
      </c>
    </row>
    <row r="657" ht="22.5" customHeight="1">
      <c r="A657" s="63">
        <v>46109.0</v>
      </c>
      <c r="B657" s="60" t="s">
        <v>36</v>
      </c>
      <c r="C657" s="67" t="str">
        <f>VLOOKUP(B657,BASE_VEICULOS!A:B,2,0)</f>
        <v>#N/A</v>
      </c>
      <c r="D657" s="68" t="s">
        <v>50</v>
      </c>
      <c r="E657" s="73" t="s">
        <v>103</v>
      </c>
      <c r="F657" s="74">
        <v>7.12</v>
      </c>
    </row>
    <row r="658" ht="22.5" customHeight="1">
      <c r="A658" s="63">
        <v>46109.0</v>
      </c>
      <c r="B658" s="60" t="s">
        <v>36</v>
      </c>
      <c r="C658" s="67" t="str">
        <f>VLOOKUP(B658,BASE_VEICULOS!A:B,2,0)</f>
        <v>#N/A</v>
      </c>
      <c r="D658" s="68" t="s">
        <v>50</v>
      </c>
      <c r="E658" s="73" t="s">
        <v>103</v>
      </c>
      <c r="F658" s="74">
        <v>6.18</v>
      </c>
    </row>
    <row r="659" ht="22.5" customHeight="1">
      <c r="A659" s="63">
        <v>46109.0</v>
      </c>
      <c r="B659" s="60" t="s">
        <v>36</v>
      </c>
      <c r="C659" s="67" t="str">
        <f>VLOOKUP(B659,BASE_VEICULOS!A:B,2,0)</f>
        <v>#N/A</v>
      </c>
      <c r="D659" s="68" t="s">
        <v>50</v>
      </c>
      <c r="E659" s="73" t="s">
        <v>103</v>
      </c>
      <c r="F659" s="74">
        <v>7.12</v>
      </c>
    </row>
    <row r="660" ht="22.5" customHeight="1">
      <c r="A660" s="63">
        <v>46109.0</v>
      </c>
      <c r="B660" s="60" t="s">
        <v>36</v>
      </c>
      <c r="C660" s="67" t="str">
        <f>VLOOKUP(B660,BASE_VEICULOS!A:B,2,0)</f>
        <v>#N/A</v>
      </c>
      <c r="D660" s="68" t="s">
        <v>50</v>
      </c>
      <c r="E660" s="73" t="s">
        <v>103</v>
      </c>
      <c r="F660" s="74">
        <v>7.12</v>
      </c>
    </row>
    <row r="661" ht="22.5" customHeight="1">
      <c r="A661" s="63">
        <v>46109.0</v>
      </c>
      <c r="B661" s="60" t="s">
        <v>36</v>
      </c>
      <c r="C661" s="67" t="str">
        <f>VLOOKUP(B661,BASE_VEICULOS!A:B,2,0)</f>
        <v>#N/A</v>
      </c>
      <c r="D661" s="68" t="s">
        <v>50</v>
      </c>
      <c r="E661" s="73" t="s">
        <v>103</v>
      </c>
      <c r="F661" s="74">
        <v>7.12</v>
      </c>
    </row>
    <row r="662" ht="22.5" customHeight="1">
      <c r="A662" s="63">
        <v>46109.0</v>
      </c>
      <c r="B662" s="60" t="s">
        <v>36</v>
      </c>
      <c r="C662" s="67" t="str">
        <f>VLOOKUP(B662,BASE_VEICULOS!A:B,2,0)</f>
        <v>#N/A</v>
      </c>
      <c r="D662" s="68" t="s">
        <v>50</v>
      </c>
      <c r="E662" s="73" t="s">
        <v>101</v>
      </c>
      <c r="F662" s="74">
        <v>6.6</v>
      </c>
    </row>
    <row r="663" ht="22.5" customHeight="1">
      <c r="A663" s="63">
        <v>46109.0</v>
      </c>
      <c r="B663" s="60" t="s">
        <v>21</v>
      </c>
      <c r="C663" s="67" t="str">
        <f>VLOOKUP(B663,BASE_VEICULOS!A:B,2,0)</f>
        <v>TEW9A33</v>
      </c>
      <c r="D663" s="68" t="s">
        <v>50</v>
      </c>
      <c r="E663" s="73" t="s">
        <v>103</v>
      </c>
      <c r="F663" s="74">
        <v>7.12</v>
      </c>
    </row>
    <row r="664" ht="22.5" customHeight="1">
      <c r="A664" s="63">
        <v>46110.0</v>
      </c>
      <c r="B664" s="60" t="s">
        <v>36</v>
      </c>
      <c r="C664" s="67" t="str">
        <f>VLOOKUP(B664,BASE_VEICULOS!A:B,2,0)</f>
        <v>#N/A</v>
      </c>
      <c r="D664" s="68" t="s">
        <v>50</v>
      </c>
      <c r="E664" s="73" t="s">
        <v>103</v>
      </c>
      <c r="F664" s="74">
        <v>7.12</v>
      </c>
    </row>
    <row r="665" ht="22.5" customHeight="1">
      <c r="A665" s="63">
        <v>46110.0</v>
      </c>
      <c r="B665" s="60" t="s">
        <v>36</v>
      </c>
      <c r="C665" s="67" t="str">
        <f>VLOOKUP(B665,BASE_VEICULOS!A:B,2,0)</f>
        <v>#N/A</v>
      </c>
      <c r="D665" s="68" t="s">
        <v>50</v>
      </c>
      <c r="E665" s="73" t="s">
        <v>103</v>
      </c>
      <c r="F665" s="74">
        <v>7.12</v>
      </c>
    </row>
    <row r="666" ht="22.5" customHeight="1">
      <c r="A666" s="63">
        <v>46110.0</v>
      </c>
      <c r="B666" s="60" t="s">
        <v>36</v>
      </c>
      <c r="C666" s="67" t="str">
        <f>VLOOKUP(B666,BASE_VEICULOS!A:B,2,0)</f>
        <v>#N/A</v>
      </c>
      <c r="D666" s="68" t="s">
        <v>50</v>
      </c>
      <c r="E666" s="73" t="s">
        <v>103</v>
      </c>
      <c r="F666" s="74">
        <v>4.7</v>
      </c>
    </row>
    <row r="667" ht="22.5" customHeight="1">
      <c r="A667" s="63">
        <v>46110.0</v>
      </c>
      <c r="B667" s="60" t="s">
        <v>36</v>
      </c>
      <c r="C667" s="67" t="str">
        <f>VLOOKUP(B667,BASE_VEICULOS!A:B,2,0)</f>
        <v>#N/A</v>
      </c>
      <c r="D667" s="68" t="s">
        <v>50</v>
      </c>
      <c r="E667" s="73" t="s">
        <v>103</v>
      </c>
      <c r="F667" s="74">
        <v>7.12</v>
      </c>
    </row>
    <row r="668" ht="22.5" customHeight="1">
      <c r="A668" s="63">
        <v>46110.0</v>
      </c>
      <c r="B668" s="60" t="s">
        <v>36</v>
      </c>
      <c r="C668" s="67" t="str">
        <f>VLOOKUP(B668,BASE_VEICULOS!A:B,2,0)</f>
        <v>#N/A</v>
      </c>
      <c r="D668" s="68" t="s">
        <v>50</v>
      </c>
      <c r="E668" s="73" t="s">
        <v>103</v>
      </c>
      <c r="F668" s="74">
        <v>7.12</v>
      </c>
    </row>
    <row r="669" ht="22.5" customHeight="1">
      <c r="A669" s="63">
        <v>46110.0</v>
      </c>
      <c r="B669" s="60" t="s">
        <v>36</v>
      </c>
      <c r="C669" s="67" t="str">
        <f>VLOOKUP(B669,BASE_VEICULOS!A:B,2,0)</f>
        <v>#N/A</v>
      </c>
      <c r="D669" s="68" t="s">
        <v>50</v>
      </c>
      <c r="E669" s="73" t="s">
        <v>103</v>
      </c>
      <c r="F669" s="74">
        <v>6.72</v>
      </c>
    </row>
    <row r="670" ht="22.5" customHeight="1">
      <c r="A670" s="63">
        <v>46110.0</v>
      </c>
      <c r="B670" s="60" t="s">
        <v>25</v>
      </c>
      <c r="C670" s="67" t="str">
        <f>VLOOKUP(B670,BASE_VEICULOS!A:B,2,0)</f>
        <v>TEW9A26</v>
      </c>
      <c r="D670" s="68" t="s">
        <v>50</v>
      </c>
      <c r="E670" s="73" t="s">
        <v>111</v>
      </c>
      <c r="F670" s="74">
        <v>19.95</v>
      </c>
    </row>
    <row r="671" ht="22.5" customHeight="1">
      <c r="A671" s="63">
        <v>46110.0</v>
      </c>
      <c r="B671" s="60" t="s">
        <v>25</v>
      </c>
      <c r="C671" s="67" t="str">
        <f>VLOOKUP(B671,BASE_VEICULOS!A:B,2,0)</f>
        <v>TEW9A26</v>
      </c>
      <c r="D671" s="68" t="s">
        <v>50</v>
      </c>
      <c r="E671" s="73" t="s">
        <v>111</v>
      </c>
      <c r="F671" s="74">
        <v>19.95</v>
      </c>
    </row>
    <row r="672" ht="22.5" customHeight="1">
      <c r="A672" s="63">
        <v>46110.0</v>
      </c>
      <c r="B672" s="60" t="s">
        <v>25</v>
      </c>
      <c r="C672" s="67" t="str">
        <f>VLOOKUP(B672,BASE_VEICULOS!A:B,2,0)</f>
        <v>TEW9A26</v>
      </c>
      <c r="D672" s="68" t="s">
        <v>50</v>
      </c>
      <c r="E672" s="73" t="s">
        <v>106</v>
      </c>
      <c r="F672" s="74">
        <v>8.95</v>
      </c>
    </row>
    <row r="673" ht="22.5" customHeight="1">
      <c r="A673" s="63">
        <v>46111.0</v>
      </c>
      <c r="B673" s="60" t="s">
        <v>15</v>
      </c>
      <c r="C673" s="67" t="str">
        <f>VLOOKUP(B673,BASE_VEICULOS!A:B,2,0)</f>
        <v>EWH1B84</v>
      </c>
      <c r="D673" s="68" t="s">
        <v>50</v>
      </c>
      <c r="E673" s="73" t="s">
        <v>104</v>
      </c>
      <c r="F673" s="74">
        <v>3.8</v>
      </c>
    </row>
    <row r="674" ht="22.5" customHeight="1">
      <c r="A674" s="63">
        <v>46111.0</v>
      </c>
      <c r="B674" s="60" t="s">
        <v>14</v>
      </c>
      <c r="C674" s="67" t="str">
        <f>VLOOKUP(B674,BASE_VEICULOS!A:B,2,0)</f>
        <v>FOK8A73</v>
      </c>
      <c r="D674" s="68" t="s">
        <v>50</v>
      </c>
      <c r="E674" s="73" t="s">
        <v>106</v>
      </c>
      <c r="F674" s="74">
        <v>8.95</v>
      </c>
    </row>
    <row r="675" ht="22.5" customHeight="1">
      <c r="A675" s="63">
        <v>46111.0</v>
      </c>
      <c r="B675" s="60" t="s">
        <v>28</v>
      </c>
      <c r="C675" s="67" t="str">
        <f>VLOOKUP(B675,BASE_VEICULOS!A:B,2,0)</f>
        <v>#N/A</v>
      </c>
      <c r="D675" s="68" t="s">
        <v>50</v>
      </c>
      <c r="E675" s="73" t="s">
        <v>103</v>
      </c>
      <c r="F675" s="74">
        <v>7.12</v>
      </c>
    </row>
    <row r="676" ht="22.5" customHeight="1">
      <c r="A676" s="63">
        <v>46111.0</v>
      </c>
      <c r="B676" s="60" t="s">
        <v>28</v>
      </c>
      <c r="C676" s="67" t="str">
        <f>VLOOKUP(B676,BASE_VEICULOS!A:B,2,0)</f>
        <v>#N/A</v>
      </c>
      <c r="D676" s="68" t="s">
        <v>50</v>
      </c>
      <c r="E676" s="73" t="s">
        <v>103</v>
      </c>
      <c r="F676" s="74">
        <v>7.12</v>
      </c>
    </row>
    <row r="677" ht="22.5" customHeight="1">
      <c r="A677" s="63">
        <v>46111.0</v>
      </c>
      <c r="B677" s="60" t="s">
        <v>28</v>
      </c>
      <c r="C677" s="67" t="str">
        <f>VLOOKUP(B677,BASE_VEICULOS!A:B,2,0)</f>
        <v>#N/A</v>
      </c>
      <c r="D677" s="68" t="s">
        <v>50</v>
      </c>
      <c r="E677" s="73" t="s">
        <v>101</v>
      </c>
      <c r="F677" s="74">
        <v>6.6</v>
      </c>
    </row>
    <row r="678" ht="22.5" customHeight="1">
      <c r="A678" s="63">
        <v>46111.0</v>
      </c>
      <c r="B678" s="60" t="s">
        <v>33</v>
      </c>
      <c r="C678" s="67" t="str">
        <f>VLOOKUP(B678,BASE_VEICULOS!A:B,2,0)</f>
        <v>TEW9A30</v>
      </c>
      <c r="D678" s="68" t="s">
        <v>50</v>
      </c>
      <c r="E678" s="73" t="s">
        <v>106</v>
      </c>
      <c r="F678" s="74">
        <v>8.95</v>
      </c>
    </row>
    <row r="679" ht="22.5" customHeight="1">
      <c r="A679" s="63">
        <v>46111.0</v>
      </c>
      <c r="B679" s="60" t="s">
        <v>33</v>
      </c>
      <c r="C679" s="67" t="str">
        <f>VLOOKUP(B679,BASE_VEICULOS!A:B,2,0)</f>
        <v>TEW9A30</v>
      </c>
      <c r="D679" s="68" t="s">
        <v>51</v>
      </c>
      <c r="E679" s="73" t="s">
        <v>112</v>
      </c>
      <c r="F679" s="74">
        <v>41.0</v>
      </c>
    </row>
    <row r="680" ht="22.5" customHeight="1">
      <c r="A680" s="63">
        <v>46111.0</v>
      </c>
      <c r="B680" s="60" t="s">
        <v>27</v>
      </c>
      <c r="C680" s="67" t="str">
        <f>VLOOKUP(B680,BASE_VEICULOS!A:B,2,0)</f>
        <v>UDA5B37</v>
      </c>
      <c r="D680" s="68" t="s">
        <v>50</v>
      </c>
      <c r="E680" s="73" t="s">
        <v>101</v>
      </c>
      <c r="F680" s="74">
        <v>6.6</v>
      </c>
    </row>
    <row r="681" ht="22.5" customHeight="1">
      <c r="A681" s="63">
        <v>46111.0</v>
      </c>
      <c r="B681" s="60" t="s">
        <v>34</v>
      </c>
      <c r="C681" s="67" t="str">
        <f>VLOOKUP(B681,BASE_VEICULOS!A:B,2,0)</f>
        <v>SRU8D16</v>
      </c>
      <c r="D681" s="68" t="s">
        <v>50</v>
      </c>
      <c r="E681" s="73" t="s">
        <v>99</v>
      </c>
      <c r="F681" s="74">
        <v>19.95</v>
      </c>
    </row>
    <row r="682" ht="22.5" customHeight="1">
      <c r="A682" s="63">
        <v>46111.0</v>
      </c>
      <c r="B682" s="60" t="s">
        <v>34</v>
      </c>
      <c r="C682" s="67" t="str">
        <f>VLOOKUP(B682,BASE_VEICULOS!A:B,2,0)</f>
        <v>SRU8D16</v>
      </c>
      <c r="D682" s="68" t="s">
        <v>50</v>
      </c>
      <c r="E682" s="73" t="s">
        <v>101</v>
      </c>
      <c r="F682" s="74">
        <v>6.6</v>
      </c>
    </row>
    <row r="683" ht="22.5" customHeight="1">
      <c r="A683" s="63">
        <v>46111.0</v>
      </c>
      <c r="B683" s="60" t="s">
        <v>128</v>
      </c>
      <c r="C683" s="67" t="str">
        <f>VLOOKUP(B683,BASE_VEICULOS!A:B,2,0)</f>
        <v>TCJ1G00</v>
      </c>
      <c r="D683" s="68" t="s">
        <v>50</v>
      </c>
      <c r="E683" s="73" t="s">
        <v>101</v>
      </c>
      <c r="F683" s="74">
        <v>6.6</v>
      </c>
    </row>
    <row r="684" ht="22.5" customHeight="1">
      <c r="A684" s="63">
        <v>46111.0</v>
      </c>
      <c r="B684" s="60" t="s">
        <v>16</v>
      </c>
      <c r="C684" s="67" t="str">
        <f>VLOOKUP(B684,BASE_VEICULOS!A:B,2,0)</f>
        <v>TEW9A27</v>
      </c>
      <c r="D684" s="68" t="s">
        <v>51</v>
      </c>
      <c r="E684" s="73" t="s">
        <v>129</v>
      </c>
      <c r="F684" s="74">
        <v>18.0</v>
      </c>
    </row>
    <row r="685" ht="22.5" customHeight="1">
      <c r="A685" s="63">
        <v>46111.0</v>
      </c>
      <c r="B685" s="60" t="s">
        <v>16</v>
      </c>
      <c r="C685" s="67" t="str">
        <f>VLOOKUP(B685,BASE_VEICULOS!A:B,2,0)</f>
        <v>TEW9A27</v>
      </c>
      <c r="D685" s="68" t="s">
        <v>50</v>
      </c>
      <c r="E685" s="73" t="s">
        <v>102</v>
      </c>
      <c r="F685" s="74">
        <v>30.6</v>
      </c>
    </row>
    <row r="686" ht="22.5" customHeight="1">
      <c r="A686" s="63">
        <v>46111.0</v>
      </c>
      <c r="B686" s="60" t="s">
        <v>120</v>
      </c>
      <c r="C686" s="67" t="str">
        <f>VLOOKUP(B686,BASE_VEICULOS!A:B,2,0)</f>
        <v>#N/A</v>
      </c>
      <c r="D686" s="68" t="s">
        <v>50</v>
      </c>
      <c r="E686" s="73" t="s">
        <v>101</v>
      </c>
      <c r="F686" s="74">
        <v>6.6</v>
      </c>
    </row>
    <row r="687" ht="22.5" customHeight="1">
      <c r="A687" s="63">
        <v>46111.0</v>
      </c>
      <c r="B687" s="60" t="s">
        <v>23</v>
      </c>
      <c r="C687" s="67" t="str">
        <f>VLOOKUP(B687,BASE_VEICULOS!A:B,2,0)</f>
        <v>TEH3I02</v>
      </c>
      <c r="D687" s="68" t="s">
        <v>50</v>
      </c>
      <c r="E687" s="73" t="s">
        <v>101</v>
      </c>
      <c r="F687" s="74">
        <v>6.6</v>
      </c>
    </row>
    <row r="688" ht="22.5" customHeight="1">
      <c r="A688" s="63">
        <v>46111.0</v>
      </c>
      <c r="B688" s="60" t="s">
        <v>22</v>
      </c>
      <c r="C688" s="67" t="str">
        <f>VLOOKUP(B688,BASE_VEICULOS!A:B,2,0)</f>
        <v>TET5H37</v>
      </c>
      <c r="D688" s="68" t="s">
        <v>50</v>
      </c>
      <c r="E688" s="73" t="s">
        <v>104</v>
      </c>
      <c r="F688" s="74">
        <v>3.8</v>
      </c>
    </row>
    <row r="689" ht="22.5" customHeight="1">
      <c r="A689" s="63">
        <v>46111.0</v>
      </c>
      <c r="B689" s="60" t="s">
        <v>22</v>
      </c>
      <c r="C689" s="67" t="str">
        <f>VLOOKUP(B689,BASE_VEICULOS!A:B,2,0)</f>
        <v>TET5H37</v>
      </c>
      <c r="D689" s="68" t="s">
        <v>51</v>
      </c>
      <c r="E689" s="73" t="s">
        <v>130</v>
      </c>
      <c r="F689" s="74">
        <v>24.0</v>
      </c>
    </row>
    <row r="690" ht="22.5" customHeight="1">
      <c r="A690" s="63">
        <v>46111.0</v>
      </c>
      <c r="B690" s="60" t="s">
        <v>36</v>
      </c>
      <c r="C690" s="67" t="str">
        <f>VLOOKUP(B690,BASE_VEICULOS!A:B,2,0)</f>
        <v>#N/A</v>
      </c>
      <c r="D690" s="68" t="s">
        <v>50</v>
      </c>
      <c r="E690" s="73" t="s">
        <v>99</v>
      </c>
      <c r="F690" s="74">
        <v>17.26</v>
      </c>
    </row>
    <row r="691" ht="22.5" customHeight="1">
      <c r="A691" s="63">
        <v>46111.0</v>
      </c>
      <c r="B691" s="60" t="s">
        <v>36</v>
      </c>
      <c r="C691" s="67" t="str">
        <f>VLOOKUP(B691,BASE_VEICULOS!A:B,2,0)</f>
        <v>#N/A</v>
      </c>
      <c r="D691" s="68" t="s">
        <v>50</v>
      </c>
      <c r="E691" s="73" t="s">
        <v>99</v>
      </c>
      <c r="F691" s="74">
        <v>19.19</v>
      </c>
    </row>
    <row r="692" ht="22.5" customHeight="1">
      <c r="A692" s="63">
        <v>46111.0</v>
      </c>
      <c r="B692" s="60" t="s">
        <v>36</v>
      </c>
      <c r="C692" s="67" t="str">
        <f>VLOOKUP(B692,BASE_VEICULOS!A:B,2,0)</f>
        <v>#N/A</v>
      </c>
      <c r="D692" s="68" t="s">
        <v>50</v>
      </c>
      <c r="E692" s="73" t="s">
        <v>100</v>
      </c>
      <c r="F692" s="74">
        <v>9.6</v>
      </c>
    </row>
    <row r="693" ht="22.5" customHeight="1">
      <c r="A693" s="63">
        <v>46111.0</v>
      </c>
      <c r="B693" s="60" t="s">
        <v>36</v>
      </c>
      <c r="C693" s="67" t="str">
        <f>VLOOKUP(B693,BASE_VEICULOS!A:B,2,0)</f>
        <v>#N/A</v>
      </c>
      <c r="D693" s="68" t="s">
        <v>50</v>
      </c>
      <c r="E693" s="73" t="s">
        <v>100</v>
      </c>
      <c r="F693" s="74">
        <v>9.6</v>
      </c>
    </row>
    <row r="694" ht="22.5" customHeight="1">
      <c r="A694" s="63">
        <v>46111.0</v>
      </c>
      <c r="B694" s="60" t="s">
        <v>36</v>
      </c>
      <c r="C694" s="67" t="str">
        <f>VLOOKUP(B694,BASE_VEICULOS!A:B,2,0)</f>
        <v>#N/A</v>
      </c>
      <c r="D694" s="68" t="s">
        <v>50</v>
      </c>
      <c r="E694" s="73" t="s">
        <v>99</v>
      </c>
      <c r="F694" s="74">
        <v>17.83</v>
      </c>
    </row>
    <row r="695" ht="22.5" customHeight="1">
      <c r="A695" s="63">
        <v>46111.0</v>
      </c>
      <c r="B695" s="60" t="s">
        <v>10</v>
      </c>
      <c r="C695" s="67" t="str">
        <f>VLOOKUP(B695,BASE_VEICULOS!A:B,2,0)</f>
        <v>TEW9A25</v>
      </c>
      <c r="D695" s="68" t="s">
        <v>50</v>
      </c>
      <c r="E695" s="73" t="s">
        <v>106</v>
      </c>
      <c r="F695" s="74">
        <v>8.95</v>
      </c>
    </row>
    <row r="696" ht="22.5" customHeight="1">
      <c r="A696" s="63">
        <v>46111.0</v>
      </c>
      <c r="B696" s="60" t="s">
        <v>10</v>
      </c>
      <c r="C696" s="67" t="str">
        <f>VLOOKUP(B696,BASE_VEICULOS!A:B,2,0)</f>
        <v>TEW9A25</v>
      </c>
      <c r="D696" s="68" t="s">
        <v>51</v>
      </c>
      <c r="E696" s="73" t="s">
        <v>131</v>
      </c>
      <c r="F696" s="74">
        <v>3.0</v>
      </c>
    </row>
    <row r="697" ht="22.5" customHeight="1">
      <c r="A697" s="63">
        <v>46111.0</v>
      </c>
      <c r="B697" s="60" t="s">
        <v>10</v>
      </c>
      <c r="C697" s="67" t="str">
        <f>VLOOKUP(B697,BASE_VEICULOS!A:B,2,0)</f>
        <v>TEW9A25</v>
      </c>
      <c r="D697" s="68" t="s">
        <v>50</v>
      </c>
      <c r="E697" s="73" t="s">
        <v>106</v>
      </c>
      <c r="F697" s="74">
        <v>8.95</v>
      </c>
    </row>
    <row r="698" ht="22.5" customHeight="1">
      <c r="A698" s="63">
        <v>46111.0</v>
      </c>
      <c r="B698" s="60" t="s">
        <v>30</v>
      </c>
      <c r="C698" s="67" t="str">
        <f>VLOOKUP(B698,BASE_VEICULOS!A:B,2,0)</f>
        <v>#N/A</v>
      </c>
      <c r="D698" s="68" t="s">
        <v>50</v>
      </c>
      <c r="E698" s="73" t="s">
        <v>101</v>
      </c>
      <c r="F698" s="74">
        <v>6.6</v>
      </c>
    </row>
    <row r="699" ht="22.5" customHeight="1">
      <c r="A699" s="63">
        <v>46111.0</v>
      </c>
      <c r="B699" s="60" t="s">
        <v>18</v>
      </c>
      <c r="C699" s="67" t="str">
        <f>VLOOKUP(B699,BASE_VEICULOS!A:B,2,0)</f>
        <v>TEW9A29</v>
      </c>
      <c r="D699" s="68" t="s">
        <v>50</v>
      </c>
      <c r="E699" s="73" t="s">
        <v>101</v>
      </c>
      <c r="F699" s="74">
        <v>6.6</v>
      </c>
    </row>
    <row r="700" ht="22.5" customHeight="1">
      <c r="A700" s="63">
        <v>46111.0</v>
      </c>
      <c r="B700" s="60" t="s">
        <v>18</v>
      </c>
      <c r="C700" s="67" t="str">
        <f>VLOOKUP(B700,BASE_VEICULOS!A:B,2,0)</f>
        <v>TEW9A29</v>
      </c>
      <c r="D700" s="68" t="s">
        <v>50</v>
      </c>
      <c r="E700" s="73" t="s">
        <v>104</v>
      </c>
      <c r="F700" s="74">
        <v>3.8</v>
      </c>
    </row>
    <row r="701" ht="22.5" customHeight="1">
      <c r="A701" s="63">
        <v>46111.0</v>
      </c>
      <c r="B701" s="60" t="s">
        <v>17</v>
      </c>
      <c r="C701" s="67" t="str">
        <f>VLOOKUP(B701,BASE_VEICULOS!A:B,2,0)</f>
        <v>#N/A</v>
      </c>
      <c r="D701" s="68" t="s">
        <v>50</v>
      </c>
      <c r="E701" s="73" t="s">
        <v>101</v>
      </c>
      <c r="F701" s="74">
        <v>6.6</v>
      </c>
    </row>
    <row r="702" ht="22.5" customHeight="1">
      <c r="A702" s="63">
        <v>46111.0</v>
      </c>
      <c r="B702" s="60" t="s">
        <v>21</v>
      </c>
      <c r="C702" s="67" t="str">
        <f>VLOOKUP(B702,BASE_VEICULOS!A:B,2,0)</f>
        <v>TEW9A33</v>
      </c>
      <c r="D702" s="68" t="s">
        <v>50</v>
      </c>
      <c r="E702" s="73" t="s">
        <v>101</v>
      </c>
      <c r="F702" s="74">
        <v>6.6</v>
      </c>
    </row>
    <row r="703" ht="22.5" customHeight="1">
      <c r="A703" s="63">
        <v>46111.0</v>
      </c>
      <c r="B703" s="60" t="s">
        <v>113</v>
      </c>
      <c r="C703" s="67" t="str">
        <f>VLOOKUP(B703,BASE_VEICULOS!A:B,2,0)</f>
        <v>TYK8C73</v>
      </c>
      <c r="D703" s="68" t="s">
        <v>50</v>
      </c>
      <c r="E703" s="73" t="s">
        <v>106</v>
      </c>
      <c r="F703" s="74">
        <v>8.95</v>
      </c>
    </row>
    <row r="704" ht="22.5" customHeight="1">
      <c r="A704" s="63">
        <v>46111.0</v>
      </c>
      <c r="B704" s="60" t="s">
        <v>113</v>
      </c>
      <c r="C704" s="67" t="str">
        <f>VLOOKUP(B704,BASE_VEICULOS!A:B,2,0)</f>
        <v>TYK8C73</v>
      </c>
      <c r="D704" s="68" t="s">
        <v>50</v>
      </c>
      <c r="E704" s="73" t="s">
        <v>104</v>
      </c>
      <c r="F704" s="74">
        <v>3.8</v>
      </c>
    </row>
    <row r="705" ht="22.5" customHeight="1">
      <c r="A705" s="63">
        <v>46112.0</v>
      </c>
      <c r="B705" s="60" t="s">
        <v>15</v>
      </c>
      <c r="C705" s="67" t="str">
        <f>VLOOKUP(B705,BASE_VEICULOS!A:B,2,0)</f>
        <v>EWH1B84</v>
      </c>
      <c r="D705" s="68" t="s">
        <v>50</v>
      </c>
      <c r="E705" s="73" t="s">
        <v>104</v>
      </c>
      <c r="F705" s="74">
        <v>3.8</v>
      </c>
    </row>
    <row r="706" ht="22.5" customHeight="1">
      <c r="A706" s="63">
        <v>46112.0</v>
      </c>
      <c r="B706" s="60" t="s">
        <v>13</v>
      </c>
      <c r="C706" s="67" t="str">
        <f>VLOOKUP(B706,BASE_VEICULOS!A:B,2,0)</f>
        <v>FGO3C61</v>
      </c>
      <c r="D706" s="68" t="s">
        <v>50</v>
      </c>
      <c r="E706" s="73" t="s">
        <v>99</v>
      </c>
      <c r="F706" s="74">
        <v>17.83</v>
      </c>
    </row>
    <row r="707" ht="22.5" customHeight="1">
      <c r="A707" s="63">
        <v>46112.0</v>
      </c>
      <c r="B707" s="60" t="s">
        <v>13</v>
      </c>
      <c r="C707" s="67" t="str">
        <f>VLOOKUP(B707,BASE_VEICULOS!A:B,2,0)</f>
        <v>FGO3C61</v>
      </c>
      <c r="D707" s="68" t="s">
        <v>50</v>
      </c>
      <c r="E707" s="73" t="s">
        <v>99</v>
      </c>
      <c r="F707" s="74">
        <v>17.83</v>
      </c>
    </row>
    <row r="708" ht="22.5" customHeight="1">
      <c r="A708" s="63">
        <v>46112.0</v>
      </c>
      <c r="B708" s="60" t="s">
        <v>12</v>
      </c>
      <c r="C708" s="67" t="str">
        <f>VLOOKUP(B708,BASE_VEICULOS!A:B,2,0)</f>
        <v>FIL8C14</v>
      </c>
      <c r="D708" s="68" t="s">
        <v>50</v>
      </c>
      <c r="E708" s="73" t="s">
        <v>111</v>
      </c>
      <c r="F708" s="74">
        <v>19.79</v>
      </c>
    </row>
    <row r="709" ht="22.5" customHeight="1">
      <c r="A709" s="63">
        <v>46112.0</v>
      </c>
      <c r="B709" s="60" t="s">
        <v>12</v>
      </c>
      <c r="C709" s="67" t="str">
        <f>VLOOKUP(B709,BASE_VEICULOS!A:B,2,0)</f>
        <v>FIL8C14</v>
      </c>
      <c r="D709" s="68" t="s">
        <v>50</v>
      </c>
      <c r="E709" s="73" t="s">
        <v>111</v>
      </c>
      <c r="F709" s="74">
        <v>19.79</v>
      </c>
    </row>
    <row r="710" ht="22.5" customHeight="1">
      <c r="A710" s="63">
        <v>46112.0</v>
      </c>
      <c r="B710" s="60" t="s">
        <v>29</v>
      </c>
      <c r="C710" s="67" t="str">
        <f>VLOOKUP(B710,BASE_VEICULOS!A:B,2,0)</f>
        <v>TEQ2I74</v>
      </c>
      <c r="D710" s="68" t="s">
        <v>50</v>
      </c>
      <c r="E710" s="73" t="s">
        <v>99</v>
      </c>
      <c r="F710" s="74">
        <v>17.26</v>
      </c>
    </row>
    <row r="711" ht="22.5" customHeight="1">
      <c r="A711" s="63">
        <v>46112.0</v>
      </c>
      <c r="B711" s="60" t="s">
        <v>29</v>
      </c>
      <c r="C711" s="67" t="str">
        <f>VLOOKUP(B711,BASE_VEICULOS!A:B,2,0)</f>
        <v>TEQ2I74</v>
      </c>
      <c r="D711" s="68" t="s">
        <v>50</v>
      </c>
      <c r="E711" s="73" t="s">
        <v>99</v>
      </c>
      <c r="F711" s="74">
        <v>19.19</v>
      </c>
    </row>
    <row r="712" ht="22.5" customHeight="1">
      <c r="A712" s="63">
        <v>46112.0</v>
      </c>
      <c r="B712" s="60" t="s">
        <v>29</v>
      </c>
      <c r="C712" s="67" t="str">
        <f>VLOOKUP(B712,BASE_VEICULOS!A:B,2,0)</f>
        <v>TEQ2I74</v>
      </c>
      <c r="D712" s="68" t="s">
        <v>50</v>
      </c>
      <c r="E712" s="73" t="s">
        <v>100</v>
      </c>
      <c r="F712" s="74">
        <v>9.6</v>
      </c>
    </row>
    <row r="713" ht="22.5" customHeight="1">
      <c r="A713" s="63">
        <v>46112.0</v>
      </c>
      <c r="B713" s="60" t="s">
        <v>29</v>
      </c>
      <c r="C713" s="67" t="str">
        <f>VLOOKUP(B713,BASE_VEICULOS!A:B,2,0)</f>
        <v>TEQ2I74</v>
      </c>
      <c r="D713" s="68" t="s">
        <v>50</v>
      </c>
      <c r="E713" s="73" t="s">
        <v>100</v>
      </c>
      <c r="F713" s="74">
        <v>9.6</v>
      </c>
    </row>
    <row r="714" ht="22.5" customHeight="1">
      <c r="A714" s="63">
        <v>46112.0</v>
      </c>
      <c r="B714" s="60" t="s">
        <v>34</v>
      </c>
      <c r="C714" s="67" t="str">
        <f>VLOOKUP(B714,BASE_VEICULOS!A:B,2,0)</f>
        <v>SRU8D16</v>
      </c>
      <c r="D714" s="68" t="s">
        <v>50</v>
      </c>
      <c r="E714" s="73" t="s">
        <v>101</v>
      </c>
      <c r="F714" s="74">
        <v>6.6</v>
      </c>
    </row>
    <row r="715" ht="22.5" customHeight="1">
      <c r="A715" s="63">
        <v>46112.0</v>
      </c>
      <c r="B715" s="60" t="s">
        <v>23</v>
      </c>
      <c r="C715" s="67" t="str">
        <f>VLOOKUP(B715,BASE_VEICULOS!A:B,2,0)</f>
        <v>TEH3I02</v>
      </c>
      <c r="D715" s="68" t="s">
        <v>50</v>
      </c>
      <c r="E715" s="73" t="s">
        <v>101</v>
      </c>
      <c r="F715" s="74">
        <v>6.6</v>
      </c>
    </row>
    <row r="716" ht="22.5" customHeight="1">
      <c r="A716" s="63">
        <v>46112.0</v>
      </c>
      <c r="B716" s="60" t="s">
        <v>22</v>
      </c>
      <c r="C716" s="67" t="str">
        <f>VLOOKUP(B716,BASE_VEICULOS!A:B,2,0)</f>
        <v>TET5H37</v>
      </c>
      <c r="D716" s="68" t="s">
        <v>51</v>
      </c>
      <c r="E716" s="73" t="s">
        <v>115</v>
      </c>
      <c r="F716" s="74">
        <v>10.0</v>
      </c>
    </row>
    <row r="717" ht="22.5" customHeight="1">
      <c r="A717" s="63">
        <v>46112.0</v>
      </c>
      <c r="B717" s="60" t="s">
        <v>22</v>
      </c>
      <c r="C717" s="67" t="str">
        <f>VLOOKUP(B717,BASE_VEICULOS!A:B,2,0)</f>
        <v>TET5H37</v>
      </c>
      <c r="D717" s="68" t="s">
        <v>51</v>
      </c>
      <c r="E717" s="73" t="s">
        <v>115</v>
      </c>
      <c r="F717" s="74">
        <v>10.0</v>
      </c>
    </row>
    <row r="718" ht="22.5" customHeight="1">
      <c r="A718" s="63">
        <v>46112.0</v>
      </c>
      <c r="B718" s="60" t="s">
        <v>22</v>
      </c>
      <c r="C718" s="67" t="str">
        <f>VLOOKUP(B718,BASE_VEICULOS!A:B,2,0)</f>
        <v>TET5H37</v>
      </c>
      <c r="D718" s="68" t="s">
        <v>50</v>
      </c>
      <c r="E718" s="73" t="s">
        <v>106</v>
      </c>
      <c r="F718" s="74">
        <v>8.95</v>
      </c>
    </row>
    <row r="719" ht="22.5" customHeight="1">
      <c r="A719" s="63">
        <v>46112.0</v>
      </c>
      <c r="B719" s="60" t="s">
        <v>10</v>
      </c>
      <c r="C719" s="67" t="str">
        <f>VLOOKUP(B719,BASE_VEICULOS!A:B,2,0)</f>
        <v>TEW9A25</v>
      </c>
      <c r="D719" s="68" t="s">
        <v>50</v>
      </c>
      <c r="E719" s="73" t="s">
        <v>106</v>
      </c>
      <c r="F719" s="74">
        <v>8.95</v>
      </c>
    </row>
    <row r="720" ht="22.5" customHeight="1">
      <c r="A720" s="63">
        <v>46112.0</v>
      </c>
      <c r="B720" s="60" t="s">
        <v>30</v>
      </c>
      <c r="C720" s="67" t="str">
        <f>VLOOKUP(B720,BASE_VEICULOS!A:B,2,0)</f>
        <v>#N/A</v>
      </c>
      <c r="D720" s="68" t="s">
        <v>50</v>
      </c>
      <c r="E720" s="73" t="s">
        <v>101</v>
      </c>
      <c r="F720" s="74">
        <v>6.6</v>
      </c>
    </row>
    <row r="721" ht="22.5" customHeight="1">
      <c r="A721" s="63">
        <v>46112.0</v>
      </c>
      <c r="B721" s="60" t="s">
        <v>17</v>
      </c>
      <c r="C721" s="67" t="str">
        <f>VLOOKUP(B721,BASE_VEICULOS!A:B,2,0)</f>
        <v>#N/A</v>
      </c>
      <c r="D721" s="68" t="s">
        <v>50</v>
      </c>
      <c r="E721" s="73" t="s">
        <v>111</v>
      </c>
      <c r="F721" s="74">
        <v>19.79</v>
      </c>
    </row>
    <row r="722" ht="22.5" customHeight="1">
      <c r="A722" s="63">
        <v>46112.0</v>
      </c>
      <c r="B722" s="60" t="s">
        <v>17</v>
      </c>
      <c r="C722" s="67" t="str">
        <f>VLOOKUP(B722,BASE_VEICULOS!A:B,2,0)</f>
        <v>#N/A</v>
      </c>
      <c r="D722" s="68" t="s">
        <v>50</v>
      </c>
      <c r="E722" s="73" t="s">
        <v>111</v>
      </c>
      <c r="F722" s="74">
        <v>19.79</v>
      </c>
    </row>
    <row r="723" ht="22.5" customHeight="1">
      <c r="A723" s="63">
        <v>46112.0</v>
      </c>
      <c r="B723" s="60" t="s">
        <v>113</v>
      </c>
      <c r="C723" s="67" t="str">
        <f>VLOOKUP(B723,BASE_VEICULOS!A:B,2,0)</f>
        <v>TYK8C73</v>
      </c>
      <c r="D723" s="68" t="s">
        <v>50</v>
      </c>
      <c r="E723" s="73" t="s">
        <v>104</v>
      </c>
      <c r="F723" s="74">
        <v>3.8</v>
      </c>
    </row>
  </sheetData>
  <conditionalFormatting sqref="B480:B483 B494:B496">
    <cfRule type="expression" dxfId="5" priority="1">
      <formula>#REF!="EQUIPAMENTO"</formula>
    </cfRule>
  </conditionalFormatting>
  <conditionalFormatting sqref="B480:B483 B494:B496">
    <cfRule type="expression" dxfId="5" priority="2">
      <formula>#REF!="VEÍCULO (recém emplacado)"</formula>
    </cfRule>
  </conditionalFormatting>
  <conditionalFormatting sqref="B480:B483 B494:B496">
    <cfRule type="expression" dxfId="5" priority="3">
      <formula>#REF!="VEÍCULO (emplacado + de 45 dias)"</formula>
    </cfRule>
  </conditionalFormatting>
  <dataValidations>
    <dataValidation type="list" allowBlank="1" showErrorMessage="1" sqref="D2:D723">
      <formula1>"PEDAGIO,ESTACIONAMENTO"</formula1>
    </dataValidation>
    <dataValidation type="custom" allowBlank="1" showDropDown="1" sqref="A2:A723">
      <formula1>OR(NOT(ISERROR(DATEVALUE(A2))), AND(ISNUMBER(A2), LEFT(CELL("format", A2))="D"))</formula1>
    </dataValidation>
    <dataValidation type="custom" allowBlank="1" showDropDown="1" sqref="F2:F723">
      <formula1>AND(ISNUMBER(F2),(NOT(OR(NOT(ISERROR(DATEVALUE(F2))), AND(ISNUMBER(F2), LEFT(CELL("format", F2))="D")))))</formula1>
    </dataValidation>
    <dataValidation allowBlank="1" showDropDown="1" sqref="B2:C723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18.71"/>
    <col customWidth="1" min="3" max="3" width="18.0"/>
    <col customWidth="1" min="4" max="4" width="13.0"/>
    <col customWidth="1" min="5" max="5" width="18.29"/>
  </cols>
  <sheetData>
    <row r="1" ht="22.5" customHeight="1">
      <c r="A1" s="76" t="s">
        <v>0</v>
      </c>
      <c r="B1" s="76" t="s">
        <v>4</v>
      </c>
      <c r="C1" s="76" t="s">
        <v>132</v>
      </c>
      <c r="D1" s="77" t="s">
        <v>6</v>
      </c>
      <c r="E1" s="77" t="s">
        <v>133</v>
      </c>
    </row>
    <row r="2" ht="22.5" customHeight="1">
      <c r="A2" s="78">
        <v>46076.0</v>
      </c>
      <c r="B2" s="79" t="s">
        <v>10</v>
      </c>
      <c r="C2" s="80">
        <v>14236.0</v>
      </c>
      <c r="D2" s="81" t="str">
        <f>IFERROR(VLOOKUP(B2,BASE_VEICULOS!$A:$B,2,0),"")</f>
        <v>TEW9A25</v>
      </c>
      <c r="E2" s="82" t="str">
        <f>IFERROR(__xludf.DUMMYFUNCTION("IF(OR(A2="""",D2="""",C2=""""),"""",IFERROR(MAX(0,C2-MAX(FILTER($C$2:$C2,TRIM($D$2:$D2)=TRIM(D2),(($A$2:$A2&lt;A2)+(($A$2:$A2=A2)*(ROW($A$2:$A2)&lt;ROW(A2))))))),""""))"),"")</f>
        <v/>
      </c>
    </row>
    <row r="3" ht="22.5" customHeight="1">
      <c r="A3" s="78">
        <v>46076.0</v>
      </c>
      <c r="B3" s="79" t="s">
        <v>19</v>
      </c>
      <c r="C3" s="80">
        <v>14715.0</v>
      </c>
      <c r="D3" s="81" t="str">
        <f>IFERROR(VLOOKUP(B3,BASE_VEICULOS!$A:$B,2,0),"")</f>
        <v>TEW9A24</v>
      </c>
      <c r="E3" s="82" t="str">
        <f>IFERROR(__xludf.DUMMYFUNCTION("IF(OR(A3="""",D3="""",C3=""""),"""",IFERROR(MAX(0,C3-MAX(FILTER($C$2:$C3,TRIM($D$2:$D3)=TRIM(D3),(($A$2:$A3&lt;A3)+(($A$2:$A3=A3)*(ROW($A$2:$A3)&lt;ROW(A3))))))),""""))"),"")</f>
        <v/>
      </c>
    </row>
    <row r="4" ht="22.5" customHeight="1">
      <c r="A4" s="78">
        <v>46076.0</v>
      </c>
      <c r="B4" s="83" t="s">
        <v>34</v>
      </c>
      <c r="C4" s="80">
        <v>52136.0</v>
      </c>
      <c r="D4" s="81" t="str">
        <f>IFERROR(VLOOKUP(B4,BASE_VEICULOS!$A:$B,2,0),"")</f>
        <v>SRU8D16</v>
      </c>
      <c r="E4" s="82" t="str">
        <f>IFERROR(__xludf.DUMMYFUNCTION("IF(OR(A4="""",D4="""",C4=""""),"""",IFERROR(MAX(0,C4-MAX(FILTER($C$2:$C4,TRIM($D$2:$D4)=TRIM(D4),(($A$2:$A4&lt;A4)+(($A$2:$A4=A4)*(ROW($A$2:$A4)&lt;ROW(A4))))))),""""))"),"")</f>
        <v/>
      </c>
    </row>
    <row r="5" ht="22.5" customHeight="1">
      <c r="A5" s="78">
        <v>46076.0</v>
      </c>
      <c r="B5" s="79" t="s">
        <v>20</v>
      </c>
      <c r="C5" s="80">
        <v>13756.0</v>
      </c>
      <c r="D5" s="81" t="str">
        <f>IFERROR(VLOOKUP(B5,BASE_VEICULOS!$A:$B,2,0),"")</f>
        <v>TEW9A34</v>
      </c>
      <c r="E5" s="82" t="str">
        <f>IFERROR(__xludf.DUMMYFUNCTION("IF(OR(A5="""",D5="""",C5=""""),"""",IFERROR(MAX(0,C5-MAX(FILTER($C$2:$C5,TRIM($D$2:$D5)=TRIM(D5),(($A$2:$A5&lt;A5)+(($A$2:$A5=A5)*(ROW($A$2:$A5)&lt;ROW(A5))))))),""""))"),"")</f>
        <v/>
      </c>
    </row>
    <row r="6" ht="22.5" customHeight="1">
      <c r="A6" s="78">
        <v>46076.0</v>
      </c>
      <c r="B6" s="79" t="s">
        <v>21</v>
      </c>
      <c r="C6" s="80">
        <v>15391.0</v>
      </c>
      <c r="D6" s="81" t="str">
        <f>IFERROR(VLOOKUP(B6,BASE_VEICULOS!$A:$B,2,0),"")</f>
        <v>TEW9A33</v>
      </c>
      <c r="E6" s="82" t="str">
        <f>IFERROR(__xludf.DUMMYFUNCTION("IF(OR(A6="""",D6="""",C6=""""),"""",IFERROR(MAX(0,C6-MAX(FILTER($C$2:$C6,TRIM($D$2:$D6)=TRIM(D6),(($A$2:$A6&lt;A6)+(($A$2:$A6=A6)*(ROW($A$2:$A6)&lt;ROW(A6))))))),""""))"),"")</f>
        <v/>
      </c>
    </row>
    <row r="7" ht="22.5" customHeight="1">
      <c r="A7" s="78">
        <v>46076.0</v>
      </c>
      <c r="B7" s="79" t="s">
        <v>22</v>
      </c>
      <c r="C7" s="80">
        <v>24327.0</v>
      </c>
      <c r="D7" s="81" t="str">
        <f>IFERROR(VLOOKUP(B7,BASE_VEICULOS!$A:$B,2,0),"")</f>
        <v>TET5H37</v>
      </c>
      <c r="E7" s="82" t="str">
        <f>IFERROR(__xludf.DUMMYFUNCTION("IF(OR(A7="""",D7="""",C7=""""),"""",IFERROR(MAX(0,C7-MAX(FILTER($C$2:$C7,TRIM($D$2:$D7)=TRIM(D7),(($A$2:$A7&lt;A7)+(($A$2:$A7=A7)*(ROW($A$2:$A7)&lt;ROW(A7))))))),""""))"),"")</f>
        <v/>
      </c>
    </row>
    <row r="8" ht="22.5" customHeight="1">
      <c r="A8" s="78">
        <v>46076.0</v>
      </c>
      <c r="B8" s="79" t="s">
        <v>23</v>
      </c>
      <c r="C8" s="80">
        <v>14148.0</v>
      </c>
      <c r="D8" s="81" t="str">
        <f>IFERROR(VLOOKUP(B8,BASE_VEICULOS!$A:$B,2,0),"")</f>
        <v>TEH3I02</v>
      </c>
      <c r="E8" s="82" t="str">
        <f>IFERROR(__xludf.DUMMYFUNCTION("IF(OR(A8="""",D8="""",C8=""""),"""",IFERROR(MAX(0,C8-MAX(FILTER($C$2:$C8,TRIM($D$2:$D8)=TRIM(D8),(($A$2:$A8&lt;A8)+(($A$2:$A8=A8)*(ROW($A$2:$A8)&lt;ROW(A8))))))),""""))"),"")</f>
        <v/>
      </c>
    </row>
    <row r="9" ht="22.5" customHeight="1">
      <c r="A9" s="78">
        <v>46076.0</v>
      </c>
      <c r="B9" s="79" t="s">
        <v>11</v>
      </c>
      <c r="C9" s="80">
        <v>93945.0</v>
      </c>
      <c r="D9" s="81" t="str">
        <f>IFERROR(VLOOKUP(B9,BASE_VEICULOS!$A:$B,2,0),"")</f>
        <v>TEW9A28</v>
      </c>
      <c r="E9" s="82" t="str">
        <f>IFERROR(__xludf.DUMMYFUNCTION("IF(OR(A9="""",D9="""",C9=""""),"""",IFERROR(MAX(0,C9-MAX(FILTER($C$2:$C9,TRIM($D$2:$D9)=TRIM(D9),(($A$2:$A9&lt;A9)+(($A$2:$A9=A9)*(ROW($A$2:$A9)&lt;ROW(A9))))))),""""))"),"")</f>
        <v/>
      </c>
    </row>
    <row r="10" ht="22.5" customHeight="1">
      <c r="A10" s="78">
        <v>46076.0</v>
      </c>
      <c r="B10" s="83" t="s">
        <v>30</v>
      </c>
      <c r="C10" s="80">
        <v>16073.0</v>
      </c>
      <c r="D10" s="81" t="str">
        <f>IFERROR(VLOOKUP(B10,BASE_VEICULOS!$A:$B,2,0),"")</f>
        <v/>
      </c>
      <c r="E10" s="82" t="str">
        <f>IFERROR(__xludf.DUMMYFUNCTION("IF(OR(A10="""",D10="""",C10=""""),"""",IFERROR(MAX(0,C10-MAX(FILTER($C$2:$C10,TRIM($D$2:$D10)=TRIM(D10),(($A$2:$A10&lt;A10)+(($A$2:$A10=A10)*(ROW($A$2:$A10)&lt;ROW(A10))))))),""""))"),"")</f>
        <v/>
      </c>
    </row>
    <row r="11" ht="22.5" customHeight="1">
      <c r="A11" s="78">
        <v>46076.0</v>
      </c>
      <c r="B11" s="79" t="s">
        <v>24</v>
      </c>
      <c r="C11" s="80">
        <v>14187.0</v>
      </c>
      <c r="D11" s="81" t="str">
        <f>IFERROR(VLOOKUP(B11,BASE_VEICULOS!$A:$B,2,0),"")</f>
        <v>TEW9A23</v>
      </c>
      <c r="E11" s="82" t="str">
        <f>IFERROR(__xludf.DUMMYFUNCTION("IF(OR(A11="""",D11="""",C11=""""),"""",IFERROR(MAX(0,C11-MAX(FILTER($C$2:$C11,TRIM($D$2:$D11)=TRIM(D11),(($A$2:$A11&lt;A11)+(($A$2:$A11=A11)*(ROW($A$2:$A11)&lt;ROW(A11))))))),""""))"),"")</f>
        <v/>
      </c>
    </row>
    <row r="12" ht="22.5" customHeight="1">
      <c r="A12" s="78">
        <v>46076.0</v>
      </c>
      <c r="B12" s="79" t="s">
        <v>25</v>
      </c>
      <c r="C12" s="80">
        <v>12552.0</v>
      </c>
      <c r="D12" s="81" t="str">
        <f>IFERROR(VLOOKUP(B12,BASE_VEICULOS!$A:$B,2,0),"")</f>
        <v>TEW9A26</v>
      </c>
      <c r="E12" s="82" t="str">
        <f>IFERROR(__xludf.DUMMYFUNCTION("IF(OR(A12="""",D12="""",C12=""""),"""",IFERROR(MAX(0,C12-MAX(FILTER($C$2:$C12,TRIM($D$2:$D12)=TRIM(D12),(($A$2:$A12&lt;A12)+(($A$2:$A12=A12)*(ROW($A$2:$A12)&lt;ROW(A12))))))),""""))"),"")</f>
        <v/>
      </c>
    </row>
    <row r="13" ht="22.5" customHeight="1">
      <c r="A13" s="78">
        <v>46076.0</v>
      </c>
      <c r="B13" s="79" t="s">
        <v>28</v>
      </c>
      <c r="C13" s="80">
        <v>103981.0</v>
      </c>
      <c r="D13" s="81" t="str">
        <f>IFERROR(VLOOKUP(B13,BASE_VEICULOS!$A:$B,2,0),"")</f>
        <v/>
      </c>
      <c r="E13" s="82" t="str">
        <f>IFERROR(__xludf.DUMMYFUNCTION("IF(OR(A13="""",D13="""",C13=""""),"""",IFERROR(MAX(0,C13-MAX(FILTER($C$2:$C13,TRIM($D$2:$D13)=TRIM(D13),(($A$2:$A13&lt;A13)+(($A$2:$A13=A13)*(ROW($A$2:$A13)&lt;ROW(A13))))))),""""))"),"")</f>
        <v/>
      </c>
    </row>
    <row r="14" ht="22.5" customHeight="1">
      <c r="A14" s="78">
        <v>46076.0</v>
      </c>
      <c r="B14" s="79" t="s">
        <v>12</v>
      </c>
      <c r="C14" s="80">
        <v>87151.0</v>
      </c>
      <c r="D14" s="81" t="str">
        <f>IFERROR(VLOOKUP(B14,BASE_VEICULOS!$A:$B,2,0),"")</f>
        <v>FIL8C14</v>
      </c>
      <c r="E14" s="82" t="str">
        <f>IFERROR(__xludf.DUMMYFUNCTION("IF(OR(A14="""",D14="""",C14=""""),"""",IFERROR(MAX(0,C14-MAX(FILTER($C$2:$C14,TRIM($D$2:$D14)=TRIM(D14),(($A$2:$A14&lt;A14)+(($A$2:$A14=A14)*(ROW($A$2:$A14)&lt;ROW(A14))))))),""""))"),"")</f>
        <v/>
      </c>
    </row>
    <row r="15" ht="22.5" customHeight="1">
      <c r="A15" s="78">
        <v>46076.0</v>
      </c>
      <c r="B15" s="79" t="s">
        <v>13</v>
      </c>
      <c r="C15" s="80">
        <v>103459.0</v>
      </c>
      <c r="D15" s="81" t="str">
        <f>IFERROR(VLOOKUP(B15,BASE_VEICULOS!$A:$B,2,0),"")</f>
        <v>FGO3C61</v>
      </c>
      <c r="E15" s="82" t="str">
        <f>IFERROR(__xludf.DUMMYFUNCTION("IF(OR(A15="""",D15="""",C15=""""),"""",IFERROR(MAX(0,C15-MAX(FILTER($C$2:$C15,TRIM($D$2:$D15)=TRIM(D15),(($A$2:$A15&lt;A15)+(($A$2:$A15=A15)*(ROW($A$2:$A15)&lt;ROW(A15))))))),""""))"),"")</f>
        <v/>
      </c>
    </row>
    <row r="16" ht="22.5" customHeight="1">
      <c r="A16" s="78">
        <v>46076.0</v>
      </c>
      <c r="B16" s="79" t="s">
        <v>14</v>
      </c>
      <c r="C16" s="80">
        <v>87891.0</v>
      </c>
      <c r="D16" s="81" t="str">
        <f>IFERROR(VLOOKUP(B16,BASE_VEICULOS!$A:$B,2,0),"")</f>
        <v>FOK8A73</v>
      </c>
      <c r="E16" s="82" t="str">
        <f>IFERROR(__xludf.DUMMYFUNCTION("IF(OR(A16="""",D16="""",C16=""""),"""",IFERROR(MAX(0,C16-MAX(FILTER($C$2:$C16,TRIM($D$2:$D16)=TRIM(D16),(($A$2:$A16&lt;A16)+(($A$2:$A16=A16)*(ROW($A$2:$A16)&lt;ROW(A16))))))),""""))"),"")</f>
        <v/>
      </c>
    </row>
    <row r="17" ht="22.5" customHeight="1">
      <c r="A17" s="78">
        <v>46076.0</v>
      </c>
      <c r="B17" s="79" t="s">
        <v>15</v>
      </c>
      <c r="C17" s="80">
        <v>105805.0</v>
      </c>
      <c r="D17" s="81" t="str">
        <f>IFERROR(VLOOKUP(B17,BASE_VEICULOS!$A:$B,2,0),"")</f>
        <v>EWH1B84</v>
      </c>
      <c r="E17" s="82" t="str">
        <f>IFERROR(__xludf.DUMMYFUNCTION("IF(OR(A17="""",D17="""",C17=""""),"""",IFERROR(MAX(0,C17-MAX(FILTER($C$2:$C17,TRIM($D$2:$D17)=TRIM(D17),(($A$2:$A17&lt;A17)+(($A$2:$A17=A17)*(ROW($A$2:$A17)&lt;ROW(A17))))))),""""))"),"")</f>
        <v/>
      </c>
    </row>
    <row r="18" ht="22.5" customHeight="1">
      <c r="A18" s="78">
        <v>46076.0</v>
      </c>
      <c r="B18" s="79" t="s">
        <v>16</v>
      </c>
      <c r="C18" s="80">
        <v>9819.0</v>
      </c>
      <c r="D18" s="81" t="str">
        <f>IFERROR(VLOOKUP(B18,BASE_VEICULOS!$A:$B,2,0),"")</f>
        <v>TEW9A27</v>
      </c>
      <c r="E18" s="82" t="str">
        <f>IFERROR(__xludf.DUMMYFUNCTION("IF(OR(A18="""",D18="""",C18=""""),"""",IFERROR(MAX(0,C18-MAX(FILTER($C$2:$C18,TRIM($D$2:$D18)=TRIM(D18),(($A$2:$A18&lt;A18)+(($A$2:$A18=A18)*(ROW($A$2:$A18)&lt;ROW(A18))))))),""""))"),"")</f>
        <v/>
      </c>
    </row>
    <row r="19" ht="22.5" customHeight="1">
      <c r="A19" s="78">
        <v>46076.0</v>
      </c>
      <c r="B19" s="79" t="s">
        <v>17</v>
      </c>
      <c r="C19" s="80">
        <v>10224.0</v>
      </c>
      <c r="D19" s="81" t="str">
        <f>IFERROR(VLOOKUP(B19,BASE_VEICULOS!$A:$B,2,0),"")</f>
        <v/>
      </c>
      <c r="E19" s="82" t="str">
        <f>IFERROR(__xludf.DUMMYFUNCTION("IF(OR(A19="""",D19="""",C19=""""),"""",IFERROR(MAX(0,C19-MAX(FILTER($C$2:$C19,TRIM($D$2:$D19)=TRIM(D19),(($A$2:$A19&lt;A19)+(($A$2:$A19=A19)*(ROW($A$2:$A19)&lt;ROW(A19))))))),""""))"),"")</f>
        <v/>
      </c>
    </row>
    <row r="20" ht="22.5" customHeight="1">
      <c r="A20" s="78">
        <v>46076.0</v>
      </c>
      <c r="B20" s="79" t="s">
        <v>18</v>
      </c>
      <c r="C20" s="80">
        <v>14263.0</v>
      </c>
      <c r="D20" s="81" t="str">
        <f>IFERROR(VLOOKUP(B20,BASE_VEICULOS!$A:$B,2,0),"")</f>
        <v>TEW9A29</v>
      </c>
      <c r="E20" s="82" t="str">
        <f>IFERROR(__xludf.DUMMYFUNCTION("IF(OR(A20="""",D20="""",C20=""""),"""",IFERROR(MAX(0,C20-MAX(FILTER($C$2:$C20,TRIM($D$2:$D20)=TRIM(D20),(($A$2:$A20&lt;A20)+(($A$2:$A20=A20)*(ROW($A$2:$A20)&lt;ROW(A20))))))),""""))"),"")</f>
        <v/>
      </c>
    </row>
    <row r="21" ht="22.5" customHeight="1">
      <c r="A21" s="78">
        <v>46077.0</v>
      </c>
      <c r="B21" s="79" t="s">
        <v>10</v>
      </c>
      <c r="C21" s="80">
        <v>14453.0</v>
      </c>
      <c r="D21" s="81" t="str">
        <f>IFERROR(VLOOKUP(B21,BASE_VEICULOS!$A:$B,2,0),"")</f>
        <v>TEW9A25</v>
      </c>
      <c r="E21" s="82">
        <f>IFERROR(__xludf.DUMMYFUNCTION("IF(OR(A21="""",D21="""",C21=""""),"""",IFERROR(MAX(0,C21-MAX(FILTER($C$2:$C21,TRIM($D$2:$D21)=TRIM(D21),(($A$2:$A21&lt;A21)+(($A$2:$A21=A21)*(ROW($A$2:$A21)&lt;ROW(A21))))))),""""))"),217.0)</f>
        <v>217</v>
      </c>
    </row>
    <row r="22" ht="22.5" customHeight="1">
      <c r="A22" s="78">
        <v>46077.0</v>
      </c>
      <c r="B22" s="79" t="s">
        <v>19</v>
      </c>
      <c r="C22" s="80">
        <v>14822.0</v>
      </c>
      <c r="D22" s="81" t="str">
        <f>IFERROR(VLOOKUP(B22,BASE_VEICULOS!$A:$B,2,0),"")</f>
        <v>TEW9A24</v>
      </c>
      <c r="E22" s="82">
        <f>IFERROR(__xludf.DUMMYFUNCTION("IF(OR(A22="""",D22="""",C22=""""),"""",IFERROR(MAX(0,C22-MAX(FILTER($C$2:$C22,TRIM($D$2:$D22)=TRIM(D22),(($A$2:$A22&lt;A22)+(($A$2:$A22=A22)*(ROW($A$2:$A22)&lt;ROW(A22))))))),""""))"),107.0)</f>
        <v>107</v>
      </c>
    </row>
    <row r="23" ht="22.5" customHeight="1">
      <c r="A23" s="78">
        <v>46077.0</v>
      </c>
      <c r="B23" s="79" t="s">
        <v>20</v>
      </c>
      <c r="C23" s="80">
        <v>13891.0</v>
      </c>
      <c r="D23" s="81" t="str">
        <f>IFERROR(VLOOKUP(B23,BASE_VEICULOS!$A:$B,2,0),"")</f>
        <v>TEW9A34</v>
      </c>
      <c r="E23" s="82">
        <f>IFERROR(__xludf.DUMMYFUNCTION("IF(OR(A23="""",D23="""",C23=""""),"""",IFERROR(MAX(0,C23-MAX(FILTER($C$2:$C23,TRIM($D$2:$D23)=TRIM(D23),(($A$2:$A23&lt;A23)+(($A$2:$A23=A23)*(ROW($A$2:$A23)&lt;ROW(A23))))))),""""))"),135.0)</f>
        <v>135</v>
      </c>
    </row>
    <row r="24" ht="22.5" customHeight="1">
      <c r="A24" s="78">
        <v>46077.0</v>
      </c>
      <c r="B24" s="79" t="s">
        <v>21</v>
      </c>
      <c r="C24" s="80">
        <v>15463.0</v>
      </c>
      <c r="D24" s="81" t="str">
        <f>IFERROR(VLOOKUP(B24,BASE_VEICULOS!$A:$B,2,0),"")</f>
        <v>TEW9A33</v>
      </c>
      <c r="E24" s="82">
        <f>IFERROR(__xludf.DUMMYFUNCTION("IF(OR(A24="""",D24="""",C24=""""),"""",IFERROR(MAX(0,C24-MAX(FILTER($C$2:$C24,TRIM($D$2:$D24)=TRIM(D24),(($A$2:$A24&lt;A24)+(($A$2:$A24=A24)*(ROW($A$2:$A24)&lt;ROW(A24))))))),""""))"),72.0)</f>
        <v>72</v>
      </c>
    </row>
    <row r="25" ht="22.5" customHeight="1">
      <c r="A25" s="78">
        <v>46077.0</v>
      </c>
      <c r="B25" s="79" t="s">
        <v>23</v>
      </c>
      <c r="C25" s="80">
        <v>14292.0</v>
      </c>
      <c r="D25" s="81" t="str">
        <f>IFERROR(VLOOKUP(B25,BASE_VEICULOS!$A:$B,2,0),"")</f>
        <v>TEH3I02</v>
      </c>
      <c r="E25" s="82">
        <f>IFERROR(__xludf.DUMMYFUNCTION("IF(OR(A25="""",D25="""",C25=""""),"""",IFERROR(MAX(0,C25-MAX(FILTER($C$2:$C25,TRIM($D$2:$D25)=TRIM(D25),(($A$2:$A25&lt;A25)+(($A$2:$A25=A25)*(ROW($A$2:$A25)&lt;ROW(A25))))))),""""))"),144.0)</f>
        <v>144</v>
      </c>
    </row>
    <row r="26" ht="22.5" customHeight="1">
      <c r="A26" s="78">
        <v>46077.0</v>
      </c>
      <c r="B26" s="83" t="s">
        <v>30</v>
      </c>
      <c r="C26" s="80">
        <v>16186.0</v>
      </c>
      <c r="D26" s="81" t="str">
        <f>IFERROR(VLOOKUP(B26,BASE_VEICULOS!$A:$B,2,0),"")</f>
        <v/>
      </c>
      <c r="E26" s="82" t="str">
        <f>IFERROR(__xludf.DUMMYFUNCTION("IF(OR(A26="""",D26="""",C26=""""),"""",IFERROR(MAX(0,C26-MAX(FILTER($C$2:$C26,TRIM($D$2:$D26)=TRIM(D26),(($A$2:$A26&lt;A26)+(($A$2:$A26=A26)*(ROW($A$2:$A26)&lt;ROW(A26))))))),""""))"),"")</f>
        <v/>
      </c>
    </row>
    <row r="27" ht="22.5" customHeight="1">
      <c r="A27" s="78">
        <v>46077.0</v>
      </c>
      <c r="B27" s="79" t="s">
        <v>24</v>
      </c>
      <c r="C27" s="80">
        <v>14392.0</v>
      </c>
      <c r="D27" s="81" t="str">
        <f>IFERROR(VLOOKUP(B27,BASE_VEICULOS!$A:$B,2,0),"")</f>
        <v>TEW9A23</v>
      </c>
      <c r="E27" s="82">
        <f>IFERROR(__xludf.DUMMYFUNCTION("IF(OR(A27="""",D27="""",C27=""""),"""",IFERROR(MAX(0,C27-MAX(FILTER($C$2:$C27,TRIM($D$2:$D27)=TRIM(D27),(($A$2:$A27&lt;A27)+(($A$2:$A27=A27)*(ROW($A$2:$A27)&lt;ROW(A27))))))),""""))"),205.0)</f>
        <v>205</v>
      </c>
    </row>
    <row r="28" ht="22.5" customHeight="1">
      <c r="A28" s="78">
        <v>46077.0</v>
      </c>
      <c r="B28" s="79" t="s">
        <v>25</v>
      </c>
      <c r="C28" s="80">
        <v>12679.0</v>
      </c>
      <c r="D28" s="81" t="str">
        <f>IFERROR(VLOOKUP(B28,BASE_VEICULOS!$A:$B,2,0),"")</f>
        <v>TEW9A26</v>
      </c>
      <c r="E28" s="82">
        <f>IFERROR(__xludf.DUMMYFUNCTION("IF(OR(A28="""",D28="""",C28=""""),"""",IFERROR(MAX(0,C28-MAX(FILTER($C$2:$C28,TRIM($D$2:$D28)=TRIM(D28),(($A$2:$A28&lt;A28)+(($A$2:$A28=A28)*(ROW($A$2:$A28)&lt;ROW(A28))))))),""""))"),127.0)</f>
        <v>127</v>
      </c>
    </row>
    <row r="29" ht="22.5" customHeight="1">
      <c r="A29" s="78">
        <v>46077.0</v>
      </c>
      <c r="B29" s="79" t="s">
        <v>28</v>
      </c>
      <c r="C29" s="80">
        <v>104106.0</v>
      </c>
      <c r="D29" s="81" t="str">
        <f>IFERROR(VLOOKUP(B29,BASE_VEICULOS!$A:$B,2,0),"")</f>
        <v/>
      </c>
      <c r="E29" s="82" t="str">
        <f>IFERROR(__xludf.DUMMYFUNCTION("IF(OR(A29="""",D29="""",C29=""""),"""",IFERROR(MAX(0,C29-MAX(FILTER($C$2:$C29,TRIM($D$2:$D29)=TRIM(D29),(($A$2:$A29&lt;A29)+(($A$2:$A29=A29)*(ROW($A$2:$A29)&lt;ROW(A29))))))),""""))"),"")</f>
        <v/>
      </c>
    </row>
    <row r="30" ht="22.5" customHeight="1">
      <c r="A30" s="78">
        <v>46077.0</v>
      </c>
      <c r="B30" s="83" t="s">
        <v>29</v>
      </c>
      <c r="C30" s="80"/>
      <c r="D30" s="81" t="str">
        <f>IFERROR(VLOOKUP(B30,BASE_VEICULOS!$A:$B,2,0),"")</f>
        <v>TEQ2I74</v>
      </c>
      <c r="E30" s="82" t="str">
        <f>IFERROR(__xludf.DUMMYFUNCTION("IF(OR(A30="""",D30="""",C30=""""),"""",IFERROR(MAX(0,C30-MAX(FILTER($C$2:$C30,TRIM($D$2:$D30)=TRIM(D30),(($A$2:$A30&lt;A30)+(($A$2:$A30=A30)*(ROW($A$2:$A30)&lt;ROW(A30))))))),""""))"),"")</f>
        <v/>
      </c>
    </row>
    <row r="31" ht="22.5" customHeight="1">
      <c r="A31" s="78">
        <v>46077.0</v>
      </c>
      <c r="B31" s="79" t="s">
        <v>12</v>
      </c>
      <c r="C31" s="80">
        <v>87255.0</v>
      </c>
      <c r="D31" s="81" t="str">
        <f>IFERROR(VLOOKUP(B31,BASE_VEICULOS!$A:$B,2,0),"")</f>
        <v>FIL8C14</v>
      </c>
      <c r="E31" s="82">
        <f>IFERROR(__xludf.DUMMYFUNCTION("IF(OR(A31="""",D31="""",C31=""""),"""",IFERROR(MAX(0,C31-MAX(FILTER($C$2:$C31,TRIM($D$2:$D31)=TRIM(D31),(($A$2:$A31&lt;A31)+(($A$2:$A31=A31)*(ROW($A$2:$A31)&lt;ROW(A31))))))),""""))"),104.0)</f>
        <v>104</v>
      </c>
    </row>
    <row r="32" ht="22.5" customHeight="1">
      <c r="A32" s="78">
        <v>46077.0</v>
      </c>
      <c r="B32" s="79" t="s">
        <v>13</v>
      </c>
      <c r="C32" s="80">
        <v>103571.0</v>
      </c>
      <c r="D32" s="81" t="str">
        <f>IFERROR(VLOOKUP(B32,BASE_VEICULOS!$A:$B,2,0),"")</f>
        <v>FGO3C61</v>
      </c>
      <c r="E32" s="82">
        <f>IFERROR(__xludf.DUMMYFUNCTION("IF(OR(A32="""",D32="""",C32=""""),"""",IFERROR(MAX(0,C32-MAX(FILTER($C$2:$C32,TRIM($D$2:$D32)=TRIM(D32),(($A$2:$A32&lt;A32)+(($A$2:$A32=A32)*(ROW($A$2:$A32)&lt;ROW(A32))))))),""""))"),112.0)</f>
        <v>112</v>
      </c>
    </row>
    <row r="33" ht="22.5" customHeight="1">
      <c r="A33" s="78">
        <v>46077.0</v>
      </c>
      <c r="B33" s="79" t="s">
        <v>14</v>
      </c>
      <c r="C33" s="80">
        <v>88081.0</v>
      </c>
      <c r="D33" s="81" t="str">
        <f>IFERROR(VLOOKUP(B33,BASE_VEICULOS!$A:$B,2,0),"")</f>
        <v>FOK8A73</v>
      </c>
      <c r="E33" s="82">
        <f>IFERROR(__xludf.DUMMYFUNCTION("IF(OR(A33="""",D33="""",C33=""""),"""",IFERROR(MAX(0,C33-MAX(FILTER($C$2:$C33,TRIM($D$2:$D33)=TRIM(D33),(($A$2:$A33&lt;A33)+(($A$2:$A33=A33)*(ROW($A$2:$A33)&lt;ROW(A33))))))),""""))"),190.0)</f>
        <v>190</v>
      </c>
    </row>
    <row r="34" ht="22.5" customHeight="1">
      <c r="A34" s="78">
        <v>46077.0</v>
      </c>
      <c r="B34" s="79" t="s">
        <v>15</v>
      </c>
      <c r="C34" s="80">
        <v>105899.0</v>
      </c>
      <c r="D34" s="81" t="str">
        <f>IFERROR(VLOOKUP(B34,BASE_VEICULOS!$A:$B,2,0),"")</f>
        <v>EWH1B84</v>
      </c>
      <c r="E34" s="82">
        <f>IFERROR(__xludf.DUMMYFUNCTION("IF(OR(A34="""",D34="""",C34=""""),"""",IFERROR(MAX(0,C34-MAX(FILTER($C$2:$C34,TRIM($D$2:$D34)=TRIM(D34),(($A$2:$A34&lt;A34)+(($A$2:$A34=A34)*(ROW($A$2:$A34)&lt;ROW(A34))))))),""""))"),94.0)</f>
        <v>94</v>
      </c>
    </row>
    <row r="35" ht="22.5" customHeight="1">
      <c r="A35" s="78">
        <v>46077.0</v>
      </c>
      <c r="B35" s="79" t="s">
        <v>17</v>
      </c>
      <c r="C35" s="80">
        <v>10339.0</v>
      </c>
      <c r="D35" s="81" t="str">
        <f>IFERROR(VLOOKUP(B35,BASE_VEICULOS!$A:$B,2,0),"")</f>
        <v/>
      </c>
      <c r="E35" s="82" t="str">
        <f>IFERROR(__xludf.DUMMYFUNCTION("IF(OR(A35="""",D35="""",C35=""""),"""",IFERROR(MAX(0,C35-MAX(FILTER($C$2:$C35,TRIM($D$2:$D35)=TRIM(D35),(($A$2:$A35&lt;A35)+(($A$2:$A35=A35)*(ROW($A$2:$A35)&lt;ROW(A35))))))),""""))"),"")</f>
        <v/>
      </c>
    </row>
    <row r="36" ht="22.5" customHeight="1">
      <c r="A36" s="78">
        <v>46077.0</v>
      </c>
      <c r="B36" s="83" t="s">
        <v>36</v>
      </c>
      <c r="C36" s="80">
        <v>13566.0</v>
      </c>
      <c r="D36" s="81" t="str">
        <f>IFERROR(VLOOKUP(B36,BASE_VEICULOS!$A:$B,2,0),"")</f>
        <v/>
      </c>
      <c r="E36" s="82" t="str">
        <f>IFERROR(__xludf.DUMMYFUNCTION("IF(OR(A36="""",D36="""",C36=""""),"""",IFERROR(MAX(0,C36-MAX(FILTER($C$2:$C36,TRIM($D$2:$D36)=TRIM(D36),(($A$2:$A36&lt;A36)+(($A$2:$A36=A36)*(ROW($A$2:$A36)&lt;ROW(A36))))))),""""))"),"")</f>
        <v/>
      </c>
    </row>
    <row r="37" ht="22.5" customHeight="1">
      <c r="A37" s="78">
        <v>46078.0</v>
      </c>
      <c r="B37" s="83" t="s">
        <v>25</v>
      </c>
      <c r="C37" s="80">
        <v>12779.0</v>
      </c>
      <c r="D37" s="81" t="str">
        <f>IFERROR(VLOOKUP(B37,BASE_VEICULOS!$A:$B,2,0),"")</f>
        <v>TEW9A26</v>
      </c>
      <c r="E37" s="82">
        <f>IFERROR(__xludf.DUMMYFUNCTION("IF(OR(A37="""",D37="""",C37=""""),"""",IFERROR(MAX(0,C37-MAX(FILTER($C$2:$C37,TRIM($D$2:$D37)=TRIM(D37),(($A$2:$A37&lt;A37)+(($A$2:$A37=A37)*(ROW($A$2:$A37)&lt;ROW(A37))))))),""""))"),100.0)</f>
        <v>100</v>
      </c>
    </row>
    <row r="38" ht="22.5" customHeight="1">
      <c r="A38" s="78">
        <v>46078.0</v>
      </c>
      <c r="B38" s="7" t="s">
        <v>10</v>
      </c>
      <c r="C38" s="80">
        <v>14727.0</v>
      </c>
      <c r="D38" s="81" t="str">
        <f>IFERROR(VLOOKUP(B38,BASE_VEICULOS!$A:$B,2,0),"")</f>
        <v>TEW9A25</v>
      </c>
      <c r="E38" s="82">
        <f>IFERROR(__xludf.DUMMYFUNCTION("IF(OR(A38="""",D38="""",C38=""""),"""",IFERROR(MAX(0,C38-MAX(FILTER($C$2:$C38,TRIM($D$2:$D38)=TRIM(D38),(($A$2:$A38&lt;A38)+(($A$2:$A38=A38)*(ROW($A$2:$A38)&lt;ROW(A38))))))),""""))"),274.0)</f>
        <v>274</v>
      </c>
    </row>
    <row r="39" ht="22.5" customHeight="1">
      <c r="A39" s="78">
        <v>46078.0</v>
      </c>
      <c r="B39" s="7" t="s">
        <v>19</v>
      </c>
      <c r="C39" s="80">
        <v>14903.0</v>
      </c>
      <c r="D39" s="84" t="str">
        <f>IFERROR(VLOOKUP(B39,BASE_VEICULOS!$A:$B,2,0),"")</f>
        <v>TEW9A24</v>
      </c>
      <c r="E39" s="82">
        <f>IFERROR(__xludf.DUMMYFUNCTION("IF(OR(A39="""",D39="""",C39=""""),"""",IFERROR(MAX(0,C39-MAX(FILTER($C$2:$C39,TRIM($D$2:$D39)=TRIM(D39),(($A$2:$A39&lt;A39)+(($A$2:$A39=A39)*(ROW($A$2:$A39)&lt;ROW(A39))))))),""""))"),81.0)</f>
        <v>81</v>
      </c>
    </row>
    <row r="40" ht="22.5" customHeight="1">
      <c r="A40" s="78">
        <v>46078.0</v>
      </c>
      <c r="B40" s="7" t="s">
        <v>20</v>
      </c>
      <c r="C40" s="80">
        <v>14007.0</v>
      </c>
      <c r="D40" s="81" t="str">
        <f>IFERROR(VLOOKUP(B40,BASE_VEICULOS!$A:$B,2,0),"")</f>
        <v>TEW9A34</v>
      </c>
      <c r="E40" s="82">
        <f>IFERROR(__xludf.DUMMYFUNCTION("IF(OR(A40="""",D40="""",C40=""""),"""",IFERROR(MAX(0,C40-MAX(FILTER($C$2:$C40,TRIM($D$2:$D40)=TRIM(D40),(($A$2:$A40&lt;A40)+(($A$2:$A40=A40)*(ROW($A$2:$A40)&lt;ROW(A40))))))),""""))"),116.0)</f>
        <v>116</v>
      </c>
    </row>
    <row r="41" ht="22.5" customHeight="1">
      <c r="A41" s="78">
        <v>46078.0</v>
      </c>
      <c r="B41" s="7" t="s">
        <v>21</v>
      </c>
      <c r="C41" s="80">
        <v>15584.0</v>
      </c>
      <c r="D41" s="84" t="str">
        <f>IFERROR(VLOOKUP(B41,BASE_VEICULOS!$A:$B,2,0),"")</f>
        <v>TEW9A33</v>
      </c>
      <c r="E41" s="82">
        <f>IFERROR(__xludf.DUMMYFUNCTION("IF(OR(A41="""",D41="""",C41=""""),"""",IFERROR(MAX(0,C41-MAX(FILTER($C$2:$C41,TRIM($D$2:$D41)=TRIM(D41),(($A$2:$A41&lt;A41)+(($A$2:$A41=A41)*(ROW($A$2:$A41)&lt;ROW(A41))))))),""""))"),121.0)</f>
        <v>121</v>
      </c>
    </row>
    <row r="42" ht="22.5" customHeight="1">
      <c r="A42" s="78">
        <v>46078.0</v>
      </c>
      <c r="B42" s="7" t="s">
        <v>29</v>
      </c>
      <c r="C42" s="80">
        <v>70958.0</v>
      </c>
      <c r="D42" s="84" t="str">
        <f>IFERROR(VLOOKUP(B42,BASE_VEICULOS!$A:$B,2,0),"")</f>
        <v>TEQ2I74</v>
      </c>
      <c r="E42" s="82">
        <f>IFERROR(__xludf.DUMMYFUNCTION("IF(OR(A42="""",D42="""",C42=""""),"""",IFERROR(MAX(0,C42-MAX(FILTER($C$2:$C42,TRIM($D$2:$D42)=TRIM(D42),(($A$2:$A42&lt;A42)+(($A$2:$A42=A42)*(ROW($A$2:$A42)&lt;ROW(A42))))))),""""))"),70958.0)</f>
        <v>70958</v>
      </c>
    </row>
    <row r="43" ht="22.5" customHeight="1">
      <c r="A43" s="78">
        <v>46078.0</v>
      </c>
      <c r="B43" s="7" t="s">
        <v>22</v>
      </c>
      <c r="C43" s="80">
        <v>24560.0</v>
      </c>
      <c r="D43" s="81" t="str">
        <f>IFERROR(VLOOKUP(B43,BASE_VEICULOS!$A:$B,2,0),"")</f>
        <v>TET5H37</v>
      </c>
      <c r="E43" s="82">
        <f>IFERROR(__xludf.DUMMYFUNCTION("IF(OR(A43="""",D43="""",C43=""""),"""",IFERROR(MAX(0,C43-MAX(FILTER($C$2:$C43,TRIM($D$2:$D43)=TRIM(D43),(($A$2:$A43&lt;A43)+(($A$2:$A43=A43)*(ROW($A$2:$A43)&lt;ROW(A43))))))),""""))"),233.0)</f>
        <v>233</v>
      </c>
    </row>
    <row r="44" ht="22.5" customHeight="1">
      <c r="A44" s="78">
        <v>46078.0</v>
      </c>
      <c r="B44" s="7" t="s">
        <v>23</v>
      </c>
      <c r="C44" s="80">
        <v>14487.0</v>
      </c>
      <c r="D44" s="84" t="str">
        <f>IFERROR(VLOOKUP(B44,BASE_VEICULOS!$A:$B,2,0),"")</f>
        <v>TEH3I02</v>
      </c>
      <c r="E44" s="82">
        <f>IFERROR(__xludf.DUMMYFUNCTION("IF(OR(A44="""",D44="""",C44=""""),"""",IFERROR(MAX(0,C44-MAX(FILTER($C$2:$C44,TRIM($D$2:$D44)=TRIM(D44),(($A$2:$A44&lt;A44)+(($A$2:$A44=A44)*(ROW($A$2:$A44)&lt;ROW(A44))))))),""""))"),195.0)</f>
        <v>195</v>
      </c>
    </row>
    <row r="45" ht="22.5" customHeight="1">
      <c r="A45" s="78">
        <v>46078.0</v>
      </c>
      <c r="B45" s="7" t="s">
        <v>11</v>
      </c>
      <c r="C45" s="80">
        <v>94103.0</v>
      </c>
      <c r="D45" s="84" t="str">
        <f>IFERROR(VLOOKUP(B45,BASE_VEICULOS!$A:$B,2,0),"")</f>
        <v>TEW9A28</v>
      </c>
      <c r="E45" s="82">
        <f>IFERROR(__xludf.DUMMYFUNCTION("IF(OR(A45="""",D45="""",C45=""""),"""",IFERROR(MAX(0,C45-MAX(FILTER($C$2:$C45,TRIM($D$2:$D45)=TRIM(D45),(($A$2:$A45&lt;A45)+(($A$2:$A45=A45)*(ROW($A$2:$A45)&lt;ROW(A45))))))),""""))"),158.0)</f>
        <v>158</v>
      </c>
    </row>
    <row r="46" ht="22.5" customHeight="1">
      <c r="A46" s="78">
        <v>46078.0</v>
      </c>
      <c r="B46" s="7" t="s">
        <v>30</v>
      </c>
      <c r="C46" s="80">
        <v>16306.0</v>
      </c>
      <c r="D46" s="84" t="str">
        <f>IFERROR(VLOOKUP(B46,BASE_VEICULOS!$A:$B,2,0),"")</f>
        <v/>
      </c>
      <c r="E46" s="82" t="str">
        <f>IFERROR(__xludf.DUMMYFUNCTION("IF(OR(A46="""",D46="""",C46=""""),"""",IFERROR(MAX(0,C46-MAX(FILTER($C$2:$C46,TRIM($D$2:$D46)=TRIM(D46),(($A$2:$A46&lt;A46)+(($A$2:$A46=A46)*(ROW($A$2:$A46)&lt;ROW(A46))))))),""""))"),"")</f>
        <v/>
      </c>
    </row>
    <row r="47" ht="22.5" customHeight="1">
      <c r="A47" s="78">
        <v>46078.0</v>
      </c>
      <c r="B47" s="7" t="s">
        <v>24</v>
      </c>
      <c r="C47" s="80">
        <v>14599.0</v>
      </c>
      <c r="D47" s="81" t="str">
        <f>IFERROR(VLOOKUP(B47,BASE_VEICULOS!$A:$B,2,0),"")</f>
        <v>TEW9A23</v>
      </c>
      <c r="E47" s="82">
        <f>IFERROR(__xludf.DUMMYFUNCTION("IF(OR(A47="""",D47="""",C47=""""),"""",IFERROR(MAX(0,C47-MAX(FILTER($C$2:$C47,TRIM($D$2:$D47)=TRIM(D47),(($A$2:$A47&lt;A47)+(($A$2:$A47=A47)*(ROW($A$2:$A47)&lt;ROW(A47))))))),""""))"),207.0)</f>
        <v>207</v>
      </c>
    </row>
    <row r="48" ht="22.5" customHeight="1">
      <c r="A48" s="78">
        <v>46078.0</v>
      </c>
      <c r="B48" s="7" t="s">
        <v>28</v>
      </c>
      <c r="C48" s="80">
        <v>104121.0</v>
      </c>
      <c r="D48" s="81" t="str">
        <f>IFERROR(VLOOKUP(B48,BASE_VEICULOS!$A:$B,2,0),"")</f>
        <v/>
      </c>
      <c r="E48" s="82" t="str">
        <f>IFERROR(__xludf.DUMMYFUNCTION("IF(OR(A48="""",D48="""",C48=""""),"""",IFERROR(MAX(0,C48-MAX(FILTER($C$2:$C48,TRIM($D$2:$D48)=TRIM(D48),(($A$2:$A48&lt;A48)+(($A$2:$A48=A48)*(ROW($A$2:$A48)&lt;ROW(A48))))))),""""))"),"")</f>
        <v/>
      </c>
    </row>
    <row r="49" ht="22.5" customHeight="1">
      <c r="A49" s="78">
        <v>46078.0</v>
      </c>
      <c r="B49" s="7" t="s">
        <v>12</v>
      </c>
      <c r="C49" s="80">
        <v>87458.0</v>
      </c>
      <c r="D49" s="84" t="str">
        <f>IFERROR(VLOOKUP(B49,BASE_VEICULOS!$A:$B,2,0),"")</f>
        <v>FIL8C14</v>
      </c>
      <c r="E49" s="82">
        <f>IFERROR(__xludf.DUMMYFUNCTION("IF(OR(A49="""",D49="""",C49=""""),"""",IFERROR(MAX(0,C49-MAX(FILTER($C$2:$C49,TRIM($D$2:$D49)=TRIM(D49),(($A$2:$A49&lt;A49)+(($A$2:$A49=A49)*(ROW($A$2:$A49)&lt;ROW(A49))))))),""""))"),203.0)</f>
        <v>203</v>
      </c>
    </row>
    <row r="50" ht="22.5" customHeight="1">
      <c r="A50" s="78">
        <v>46078.0</v>
      </c>
      <c r="B50" s="7" t="s">
        <v>13</v>
      </c>
      <c r="C50" s="80">
        <v>103688.0</v>
      </c>
      <c r="D50" s="81" t="str">
        <f>IFERROR(VLOOKUP(B50,BASE_VEICULOS!$A:$B,2,0),"")</f>
        <v>FGO3C61</v>
      </c>
      <c r="E50" s="82">
        <f>IFERROR(__xludf.DUMMYFUNCTION("IF(OR(A50="""",D50="""",C50=""""),"""",IFERROR(MAX(0,C50-MAX(FILTER($C$2:$C50,TRIM($D$2:$D50)=TRIM(D50),(($A$2:$A50&lt;A50)+(($A$2:$A50=A50)*(ROW($A$2:$A50)&lt;ROW(A50))))))),""""))"),117.0)</f>
        <v>117</v>
      </c>
    </row>
    <row r="51" ht="22.5" customHeight="1">
      <c r="A51" s="78">
        <v>46078.0</v>
      </c>
      <c r="B51" s="7" t="s">
        <v>14</v>
      </c>
      <c r="C51" s="80">
        <v>88233.0</v>
      </c>
      <c r="D51" s="84" t="str">
        <f>IFERROR(VLOOKUP(B51,BASE_VEICULOS!$A:$B,2,0),"")</f>
        <v>FOK8A73</v>
      </c>
      <c r="E51" s="82">
        <f>IFERROR(__xludf.DUMMYFUNCTION("IF(OR(A51="""",D51="""",C51=""""),"""",IFERROR(MAX(0,C51-MAX(FILTER($C$2:$C51,TRIM($D$2:$D51)=TRIM(D51),(($A$2:$A51&lt;A51)+(($A$2:$A51=A51)*(ROW($A$2:$A51)&lt;ROW(A51))))))),""""))"),152.0)</f>
        <v>152</v>
      </c>
    </row>
    <row r="52" ht="22.5" customHeight="1">
      <c r="A52" s="78">
        <v>46078.0</v>
      </c>
      <c r="B52" s="7" t="s">
        <v>15</v>
      </c>
      <c r="C52" s="80">
        <v>105967.0</v>
      </c>
      <c r="D52" s="84" t="str">
        <f>IFERROR(VLOOKUP(B52,BASE_VEICULOS!$A:$B,2,0),"")</f>
        <v>EWH1B84</v>
      </c>
      <c r="E52" s="82">
        <f>IFERROR(__xludf.DUMMYFUNCTION("IF(OR(A52="""",D52="""",C52=""""),"""",IFERROR(MAX(0,C52-MAX(FILTER($C$2:$C52,TRIM($D$2:$D52)=TRIM(D52),(($A$2:$A52&lt;A52)+(($A$2:$A52=A52)*(ROW($A$2:$A52)&lt;ROW(A52))))))),""""))"),68.0)</f>
        <v>68</v>
      </c>
    </row>
    <row r="53" ht="22.5" customHeight="1">
      <c r="A53" s="78">
        <v>46078.0</v>
      </c>
      <c r="B53" s="7" t="s">
        <v>16</v>
      </c>
      <c r="C53" s="80">
        <v>10256.0</v>
      </c>
      <c r="D53" s="84" t="str">
        <f>IFERROR(VLOOKUP(B53,BASE_VEICULOS!$A:$B,2,0),"")</f>
        <v>TEW9A27</v>
      </c>
      <c r="E53" s="82">
        <f>IFERROR(__xludf.DUMMYFUNCTION("IF(OR(A53="""",D53="""",C53=""""),"""",IFERROR(MAX(0,C53-MAX(FILTER($C$2:$C53,TRIM($D$2:$D53)=TRIM(D53),(($A$2:$A53&lt;A53)+(($A$2:$A53=A53)*(ROW($A$2:$A53)&lt;ROW(A53))))))),""""))"),437.0)</f>
        <v>437</v>
      </c>
    </row>
    <row r="54" ht="22.5" customHeight="1">
      <c r="A54" s="78">
        <v>46078.0</v>
      </c>
      <c r="B54" s="7" t="s">
        <v>17</v>
      </c>
      <c r="C54" s="80">
        <v>10560.0</v>
      </c>
      <c r="D54" s="81" t="str">
        <f>IFERROR(VLOOKUP(B54,BASE_VEICULOS!$A:$B,2,0),"")</f>
        <v/>
      </c>
      <c r="E54" s="82" t="str">
        <f>IFERROR(__xludf.DUMMYFUNCTION("IF(OR(A54="""",D54="""",C54=""""),"""",IFERROR(MAX(0,C54-MAX(FILTER($C$2:$C54,TRIM($D$2:$D54)=TRIM(D54),(($A$2:$A54&lt;A54)+(($A$2:$A54=A54)*(ROW($A$2:$A54)&lt;ROW(A54))))))),""""))"),"")</f>
        <v/>
      </c>
    </row>
    <row r="55" ht="22.5" customHeight="1">
      <c r="A55" s="78">
        <v>46078.0</v>
      </c>
      <c r="B55" s="7" t="s">
        <v>18</v>
      </c>
      <c r="C55" s="80">
        <v>14430.0</v>
      </c>
      <c r="D55" s="84" t="str">
        <f>IFERROR(VLOOKUP(B55,BASE_VEICULOS!$A:$B,2,0),"")</f>
        <v>TEW9A29</v>
      </c>
      <c r="E55" s="82">
        <f>IFERROR(__xludf.DUMMYFUNCTION("IF(OR(A55="""",D55="""",C55=""""),"""",IFERROR(MAX(0,C55-MAX(FILTER($C$2:$C55,TRIM($D$2:$D55)=TRIM(D55),(($A$2:$A55&lt;A55)+(($A$2:$A55=A55)*(ROW($A$2:$A55)&lt;ROW(A55))))))),""""))"),167.0)</f>
        <v>167</v>
      </c>
    </row>
    <row r="56" ht="22.5" customHeight="1">
      <c r="A56" s="78">
        <v>46079.0</v>
      </c>
      <c r="B56" s="7" t="s">
        <v>10</v>
      </c>
      <c r="C56" s="80">
        <v>14890.0</v>
      </c>
      <c r="D56" s="84" t="str">
        <f>IFERROR(VLOOKUP(B56,BASE_VEICULOS!$A:$B,2,0),"")</f>
        <v>TEW9A25</v>
      </c>
      <c r="E56" s="82">
        <f>IFERROR(__xludf.DUMMYFUNCTION("IF(OR(A56="""",D56="""",C56=""""),"""",IFERROR(MAX(0,C56-MAX(FILTER($C$2:$C56,TRIM($D$2:$D56)=TRIM(D56),(($A$2:$A56&lt;A56)+(($A$2:$A56=A56)*(ROW($A$2:$A56)&lt;ROW(A56))))))),""""))"),163.0)</f>
        <v>163</v>
      </c>
    </row>
    <row r="57" ht="22.5" customHeight="1">
      <c r="A57" s="78">
        <v>46079.0</v>
      </c>
      <c r="B57" s="7" t="s">
        <v>19</v>
      </c>
      <c r="C57" s="80">
        <v>15165.0</v>
      </c>
      <c r="D57" s="84" t="str">
        <f>IFERROR(VLOOKUP(B57,BASE_VEICULOS!$A:$B,2,0),"")</f>
        <v>TEW9A24</v>
      </c>
      <c r="E57" s="82">
        <f>IFERROR(__xludf.DUMMYFUNCTION("IF(OR(A57="""",D57="""",C57=""""),"""",IFERROR(MAX(0,C57-MAX(FILTER($C$2:$C57,TRIM($D$2:$D57)=TRIM(D57),(($A$2:$A57&lt;A57)+(($A$2:$A57=A57)*(ROW($A$2:$A57)&lt;ROW(A57))))))),""""))"),262.0)</f>
        <v>262</v>
      </c>
    </row>
    <row r="58" ht="22.5" customHeight="1">
      <c r="A58" s="78">
        <v>46079.0</v>
      </c>
      <c r="B58" s="7" t="s">
        <v>20</v>
      </c>
      <c r="C58" s="80">
        <v>14217.0</v>
      </c>
      <c r="D58" s="84" t="str">
        <f>IFERROR(VLOOKUP(B58,BASE_VEICULOS!$A:$B,2,0),"")</f>
        <v>TEW9A34</v>
      </c>
      <c r="E58" s="82">
        <f>IFERROR(__xludf.DUMMYFUNCTION("IF(OR(A58="""",D58="""",C58=""""),"""",IFERROR(MAX(0,C58-MAX(FILTER($C$2:$C58,TRIM($D$2:$D58)=TRIM(D58),(($A$2:$A58&lt;A58)+(($A$2:$A58=A58)*(ROW($A$2:$A58)&lt;ROW(A58))))))),""""))"),210.0)</f>
        <v>210</v>
      </c>
    </row>
    <row r="59" ht="22.5" customHeight="1">
      <c r="A59" s="78">
        <v>46079.0</v>
      </c>
      <c r="B59" s="7" t="s">
        <v>21</v>
      </c>
      <c r="C59" s="80">
        <v>15673.0</v>
      </c>
      <c r="D59" s="84" t="str">
        <f>IFERROR(VLOOKUP(B59,BASE_VEICULOS!$A:$B,2,0),"")</f>
        <v>TEW9A33</v>
      </c>
      <c r="E59" s="82">
        <f>IFERROR(__xludf.DUMMYFUNCTION("IF(OR(A59="""",D59="""",C59=""""),"""",IFERROR(MAX(0,C59-MAX(FILTER($C$2:$C59,TRIM($D$2:$D59)=TRIM(D59),(($A$2:$A59&lt;A59)+(($A$2:$A59=A59)*(ROW($A$2:$A59)&lt;ROW(A59))))))),""""))"),89.0)</f>
        <v>89</v>
      </c>
    </row>
    <row r="60" ht="22.5" customHeight="1">
      <c r="A60" s="78">
        <v>46079.0</v>
      </c>
      <c r="B60" s="7" t="s">
        <v>81</v>
      </c>
      <c r="C60" s="80">
        <v>71106.0</v>
      </c>
      <c r="D60" s="81" t="s">
        <v>134</v>
      </c>
      <c r="E60" s="82" t="str">
        <f>IFERROR(__xludf.DUMMYFUNCTION("IF(OR(A60="""",D60="""",C60=""""),"""",IFERROR(MAX(0,C60-MAX(FILTER($C$2:$C60,TRIM($D$2:$D60)=TRIM(D60),(($A$2:$A60&lt;A60)+(($A$2:$A60=A60)*(ROW($A$2:$A60)&lt;ROW(A60))))))),""""))"),"")</f>
        <v/>
      </c>
    </row>
    <row r="61" ht="22.5" customHeight="1">
      <c r="A61" s="78">
        <v>46079.0</v>
      </c>
      <c r="B61" s="7" t="s">
        <v>22</v>
      </c>
      <c r="C61" s="80">
        <v>24912.0</v>
      </c>
      <c r="D61" s="84" t="str">
        <f>IFERROR(VLOOKUP(B61,BASE_VEICULOS!$A:$B,2,0),"")</f>
        <v>TET5H37</v>
      </c>
      <c r="E61" s="82">
        <f>IFERROR(__xludf.DUMMYFUNCTION("IF(OR(A61="""",D61="""",C61=""""),"""",IFERROR(MAX(0,C61-MAX(FILTER($C$2:$C61,TRIM($D$2:$D61)=TRIM(D61),(($A$2:$A61&lt;A61)+(($A$2:$A61=A61)*(ROW($A$2:$A61)&lt;ROW(A61))))))),""""))"),352.0)</f>
        <v>352</v>
      </c>
    </row>
    <row r="62" ht="22.5" customHeight="1">
      <c r="A62" s="78">
        <v>46079.0</v>
      </c>
      <c r="B62" s="7" t="s">
        <v>23</v>
      </c>
      <c r="C62" s="80">
        <v>14797.0</v>
      </c>
      <c r="D62" s="84" t="str">
        <f>IFERROR(VLOOKUP(B62,BASE_VEICULOS!$A:$B,2,0),"")</f>
        <v>TEH3I02</v>
      </c>
      <c r="E62" s="82">
        <f>IFERROR(__xludf.DUMMYFUNCTION("IF(OR(A62="""",D62="""",C62=""""),"""",IFERROR(MAX(0,C62-MAX(FILTER($C$2:$C62,TRIM($D$2:$D62)=TRIM(D62),(($A$2:$A62&lt;A62)+(($A$2:$A62=A62)*(ROW($A$2:$A62)&lt;ROW(A62))))))),""""))"),310.0)</f>
        <v>310</v>
      </c>
    </row>
    <row r="63" ht="22.5" customHeight="1">
      <c r="A63" s="78">
        <v>46079.0</v>
      </c>
      <c r="B63" s="7" t="s">
        <v>11</v>
      </c>
      <c r="C63" s="80">
        <v>94276.0</v>
      </c>
      <c r="D63" s="84" t="str">
        <f>IFERROR(VLOOKUP(B63,BASE_VEICULOS!$A:$B,2,0),"")</f>
        <v>TEW9A28</v>
      </c>
      <c r="E63" s="82">
        <f>IFERROR(__xludf.DUMMYFUNCTION("IF(OR(A63="""",D63="""",C63=""""),"""",IFERROR(MAX(0,C63-MAX(FILTER($C$2:$C63,TRIM($D$2:$D63)=TRIM(D63),(($A$2:$A63&lt;A63)+(($A$2:$A63=A63)*(ROW($A$2:$A63)&lt;ROW(A63))))))),""""))"),173.0)</f>
        <v>173</v>
      </c>
    </row>
    <row r="64" ht="22.5" customHeight="1">
      <c r="A64" s="78">
        <v>46079.0</v>
      </c>
      <c r="B64" s="7" t="s">
        <v>30</v>
      </c>
      <c r="C64" s="80">
        <v>16412.0</v>
      </c>
      <c r="D64" s="84" t="str">
        <f>IFERROR(VLOOKUP(B64,BASE_VEICULOS!$A:$B,2,0),"")</f>
        <v/>
      </c>
      <c r="E64" s="82" t="str">
        <f>IFERROR(__xludf.DUMMYFUNCTION("IF(OR(A64="""",D64="""",C64=""""),"""",IFERROR(MAX(0,C64-MAX(FILTER($C$2:$C64,TRIM($D$2:$D64)=TRIM(D64),(($A$2:$A64&lt;A64)+(($A$2:$A64=A64)*(ROW($A$2:$A64)&lt;ROW(A64))))))),""""))"),"")</f>
        <v/>
      </c>
    </row>
    <row r="65" ht="22.5" customHeight="1">
      <c r="A65" s="78">
        <v>46079.0</v>
      </c>
      <c r="B65" s="7" t="s">
        <v>24</v>
      </c>
      <c r="C65" s="80">
        <v>14826.0</v>
      </c>
      <c r="D65" s="84" t="str">
        <f>IFERROR(VLOOKUP(B65,BASE_VEICULOS!$A:$B,2,0),"")</f>
        <v>TEW9A23</v>
      </c>
      <c r="E65" s="82">
        <f>IFERROR(__xludf.DUMMYFUNCTION("IF(OR(A65="""",D65="""",C65=""""),"""",IFERROR(MAX(0,C65-MAX(FILTER($C$2:$C65,TRIM($D$2:$D65)=TRIM(D65),(($A$2:$A65&lt;A65)+(($A$2:$A65=A65)*(ROW($A$2:$A65)&lt;ROW(A65))))))),""""))"),227.0)</f>
        <v>227</v>
      </c>
    </row>
    <row r="66" ht="22.5" customHeight="1">
      <c r="A66" s="78">
        <v>46079.0</v>
      </c>
      <c r="B66" s="7" t="s">
        <v>25</v>
      </c>
      <c r="C66" s="80">
        <v>12898.0</v>
      </c>
      <c r="D66" s="84" t="str">
        <f>IFERROR(VLOOKUP(B66,BASE_VEICULOS!$A:$B,2,0),"")</f>
        <v>TEW9A26</v>
      </c>
      <c r="E66" s="82">
        <f>IFERROR(__xludf.DUMMYFUNCTION("IF(OR(A66="""",D66="""",C66=""""),"""",IFERROR(MAX(0,C66-MAX(FILTER($C$2:$C66,TRIM($D$2:$D66)=TRIM(D66),(($A$2:$A66&lt;A66)+(($A$2:$A66=A66)*(ROW($A$2:$A66)&lt;ROW(A66))))))),""""))"),119.0)</f>
        <v>119</v>
      </c>
    </row>
    <row r="67" ht="22.5" customHeight="1">
      <c r="A67" s="78">
        <v>46079.0</v>
      </c>
      <c r="B67" s="7" t="s">
        <v>28</v>
      </c>
      <c r="C67" s="80">
        <v>104322.0</v>
      </c>
      <c r="D67" s="84" t="str">
        <f>IFERROR(VLOOKUP(B67,BASE_VEICULOS!$A:$B,2,0),"")</f>
        <v/>
      </c>
      <c r="E67" s="82" t="str">
        <f>IFERROR(__xludf.DUMMYFUNCTION("IF(OR(A67="""",D67="""",C67=""""),"""",IFERROR(MAX(0,C67-MAX(FILTER($C$2:$C67,TRIM($D$2:$D67)=TRIM(D67),(($A$2:$A67&lt;A67)+(($A$2:$A67=A67)*(ROW($A$2:$A67)&lt;ROW(A67))))))),""""))"),"")</f>
        <v/>
      </c>
    </row>
    <row r="68" ht="22.5" customHeight="1">
      <c r="A68" s="78">
        <v>46079.0</v>
      </c>
      <c r="B68" s="7" t="s">
        <v>12</v>
      </c>
      <c r="C68" s="80">
        <v>87559.0</v>
      </c>
      <c r="D68" s="84" t="str">
        <f>IFERROR(VLOOKUP(B68,BASE_VEICULOS!$A:$B,2,0),"")</f>
        <v>FIL8C14</v>
      </c>
      <c r="E68" s="82">
        <f>IFERROR(__xludf.DUMMYFUNCTION("IF(OR(A68="""",D68="""",C68=""""),"""",IFERROR(MAX(0,C68-MAX(FILTER($C$2:$C68,TRIM($D$2:$D68)=TRIM(D68),(($A$2:$A68&lt;A68)+(($A$2:$A68=A68)*(ROW($A$2:$A68)&lt;ROW(A68))))))),""""))"),101.0)</f>
        <v>101</v>
      </c>
    </row>
    <row r="69" ht="22.5" customHeight="1">
      <c r="A69" s="78">
        <v>46079.0</v>
      </c>
      <c r="B69" s="7" t="s">
        <v>13</v>
      </c>
      <c r="C69" s="80">
        <v>103804.0</v>
      </c>
      <c r="D69" s="84" t="str">
        <f>IFERROR(VLOOKUP(B69,BASE_VEICULOS!$A:$B,2,0),"")</f>
        <v>FGO3C61</v>
      </c>
      <c r="E69" s="82">
        <f>IFERROR(__xludf.DUMMYFUNCTION("IF(OR(A69="""",D69="""",C69=""""),"""",IFERROR(MAX(0,C69-MAX(FILTER($C$2:$C69,TRIM($D$2:$D69)=TRIM(D69),(($A$2:$A69&lt;A69)+(($A$2:$A69=A69)*(ROW($A$2:$A69)&lt;ROW(A69))))))),""""))"),116.0)</f>
        <v>116</v>
      </c>
    </row>
    <row r="70" ht="22.5" customHeight="1">
      <c r="A70" s="78">
        <v>46079.0</v>
      </c>
      <c r="B70" s="7" t="s">
        <v>14</v>
      </c>
      <c r="C70" s="80">
        <v>88361.0</v>
      </c>
      <c r="D70" s="84" t="str">
        <f>IFERROR(VLOOKUP(B70,BASE_VEICULOS!$A:$B,2,0),"")</f>
        <v>FOK8A73</v>
      </c>
      <c r="E70" s="82">
        <f>IFERROR(__xludf.DUMMYFUNCTION("IF(OR(A70="""",D70="""",C70=""""),"""",IFERROR(MAX(0,C70-MAX(FILTER($C$2:$C70,TRIM($D$2:$D70)=TRIM(D70),(($A$2:$A70&lt;A70)+(($A$2:$A70=A70)*(ROW($A$2:$A70)&lt;ROW(A70))))))),""""))"),128.0)</f>
        <v>128</v>
      </c>
    </row>
    <row r="71" ht="22.5" customHeight="1">
      <c r="A71" s="78">
        <v>46079.0</v>
      </c>
      <c r="B71" s="7" t="s">
        <v>15</v>
      </c>
      <c r="C71" s="80">
        <v>106167.0</v>
      </c>
      <c r="D71" s="84" t="str">
        <f>IFERROR(VLOOKUP(B71,BASE_VEICULOS!$A:$B,2,0),"")</f>
        <v>EWH1B84</v>
      </c>
      <c r="E71" s="82">
        <f>IFERROR(__xludf.DUMMYFUNCTION("IF(OR(A71="""",D71="""",C71=""""),"""",IFERROR(MAX(0,C71-MAX(FILTER($C$2:$C71,TRIM($D$2:$D71)=TRIM(D71),(($A$2:$A71&lt;A71)+(($A$2:$A71=A71)*(ROW($A$2:$A71)&lt;ROW(A71))))))),""""))"),200.0)</f>
        <v>200</v>
      </c>
    </row>
    <row r="72" ht="22.5" customHeight="1">
      <c r="A72" s="78">
        <v>46079.0</v>
      </c>
      <c r="B72" s="7" t="s">
        <v>16</v>
      </c>
      <c r="C72" s="80">
        <v>10363.0</v>
      </c>
      <c r="D72" s="84" t="str">
        <f>IFERROR(VLOOKUP(B72,BASE_VEICULOS!$A:$B,2,0),"")</f>
        <v>TEW9A27</v>
      </c>
      <c r="E72" s="82">
        <f>IFERROR(__xludf.DUMMYFUNCTION("IF(OR(A72="""",D72="""",C72=""""),"""",IFERROR(MAX(0,C72-MAX(FILTER($C$2:$C72,TRIM($D$2:$D72)=TRIM(D72),(($A$2:$A72&lt;A72)+(($A$2:$A72=A72)*(ROW($A$2:$A72)&lt;ROW(A72))))))),""""))"),107.0)</f>
        <v>107</v>
      </c>
    </row>
    <row r="73" ht="22.5" customHeight="1">
      <c r="A73" s="78">
        <v>46079.0</v>
      </c>
      <c r="B73" s="7" t="s">
        <v>17</v>
      </c>
      <c r="C73" s="80">
        <v>10652.0</v>
      </c>
      <c r="D73" s="84" t="str">
        <f>IFERROR(VLOOKUP(B73,BASE_VEICULOS!$A:$B,2,0),"")</f>
        <v/>
      </c>
      <c r="E73" s="82" t="str">
        <f>IFERROR(__xludf.DUMMYFUNCTION("IF(OR(A73="""",D73="""",C73=""""),"""",IFERROR(MAX(0,C73-MAX(FILTER($C$2:$C73,TRIM($D$2:$D73)=TRIM(D73),(($A$2:$A73&lt;A73)+(($A$2:$A73=A73)*(ROW($A$2:$A73)&lt;ROW(A73))))))),""""))"),"")</f>
        <v/>
      </c>
    </row>
    <row r="74" ht="22.5" customHeight="1">
      <c r="A74" s="78">
        <v>46079.0</v>
      </c>
      <c r="B74" s="7" t="s">
        <v>18</v>
      </c>
      <c r="C74" s="80">
        <v>14552.0</v>
      </c>
      <c r="D74" s="84" t="str">
        <f>IFERROR(VLOOKUP(B74,BASE_VEICULOS!$A:$B,2,0),"")</f>
        <v>TEW9A29</v>
      </c>
      <c r="E74" s="82">
        <f>IFERROR(__xludf.DUMMYFUNCTION("IF(OR(A74="""",D74="""",C74=""""),"""",IFERROR(MAX(0,C74-MAX(FILTER($C$2:$C74,TRIM($D$2:$D74)=TRIM(D74),(($A$2:$A74&lt;A74)+(($A$2:$A74=A74)*(ROW($A$2:$A74)&lt;ROW(A74))))))),""""))"),122.0)</f>
        <v>122</v>
      </c>
    </row>
    <row r="75" ht="22.5" customHeight="1">
      <c r="A75" s="78">
        <v>46079.0</v>
      </c>
      <c r="B75" s="7" t="s">
        <v>36</v>
      </c>
      <c r="C75" s="80">
        <v>13579.0</v>
      </c>
      <c r="D75" s="84" t="str">
        <f>IFERROR(VLOOKUP(B75,BASE_VEICULOS!$A:$B,2,0),"")</f>
        <v/>
      </c>
      <c r="E75" s="82" t="str">
        <f>IFERROR(__xludf.DUMMYFUNCTION("IF(OR(A75="""",D75="""",C75=""""),"""",IFERROR(MAX(0,C75-MAX(FILTER($C$2:$C75,TRIM($D$2:$D75)=TRIM(D75),(($A$2:$A75&lt;A75)+(($A$2:$A75=A75)*(ROW($A$2:$A75)&lt;ROW(A75))))))),""""))"),"")</f>
        <v/>
      </c>
    </row>
    <row r="76" ht="22.5" customHeight="1">
      <c r="A76" s="78">
        <v>46079.0</v>
      </c>
      <c r="B76" s="7" t="s">
        <v>29</v>
      </c>
      <c r="C76" s="80">
        <v>71133.0</v>
      </c>
      <c r="D76" s="84" t="str">
        <f>IFERROR(VLOOKUP(B76,BASE_VEICULOS!$A:$B,2,0),"")</f>
        <v>TEQ2I74</v>
      </c>
      <c r="E76" s="82">
        <f>IFERROR(__xludf.DUMMYFUNCTION("IF(OR(A76="""",D76="""",C76=""""),"""",IFERROR(MAX(0,C76-MAX(FILTER($C$2:$C76,TRIM($D$2:$D76)=TRIM(D76),(($A$2:$A76&lt;A76)+(($A$2:$A76=A76)*(ROW($A$2:$A76)&lt;ROW(A76))))))),""""))"),175.0)</f>
        <v>175</v>
      </c>
    </row>
    <row r="77" ht="22.5" customHeight="1">
      <c r="A77" s="78">
        <v>46080.0</v>
      </c>
      <c r="B77" s="7" t="s">
        <v>10</v>
      </c>
      <c r="C77" s="80">
        <v>15168.0</v>
      </c>
      <c r="D77" s="84" t="str">
        <f>IFERROR(VLOOKUP(B77,BASE_VEICULOS!$A:$B,2,0),"")</f>
        <v>TEW9A25</v>
      </c>
      <c r="E77" s="82">
        <f>IFERROR(__xludf.DUMMYFUNCTION("IF(OR(A77="""",D77="""",C77=""""),"""",IFERROR(MAX(0,C77-MAX(FILTER($C$2:$C77,TRIM($D$2:$D77)=TRIM(D77),(($A$2:$A77&lt;A77)+(($A$2:$A77=A77)*(ROW($A$2:$A77)&lt;ROW(A77))))))),""""))"),278.0)</f>
        <v>278</v>
      </c>
    </row>
    <row r="78" ht="22.5" customHeight="1">
      <c r="A78" s="78">
        <v>46080.0</v>
      </c>
      <c r="B78" s="7" t="s">
        <v>19</v>
      </c>
      <c r="C78" s="80">
        <v>15720.0</v>
      </c>
      <c r="D78" s="84" t="str">
        <f>IFERROR(VLOOKUP(B78,BASE_VEICULOS!$A:$B,2,0),"")</f>
        <v>TEW9A24</v>
      </c>
      <c r="E78" s="82">
        <f>IFERROR(__xludf.DUMMYFUNCTION("IF(OR(A78="""",D78="""",C78=""""),"""",IFERROR(MAX(0,C78-MAX(FILTER($C$2:$C78,TRIM($D$2:$D78)=TRIM(D78),(($A$2:$A78&lt;A78)+(($A$2:$A78=A78)*(ROW($A$2:$A78)&lt;ROW(A78))))))),""""))"),555.0)</f>
        <v>555</v>
      </c>
    </row>
    <row r="79" ht="22.5" customHeight="1">
      <c r="A79" s="78">
        <v>46080.0</v>
      </c>
      <c r="B79" s="7" t="s">
        <v>20</v>
      </c>
      <c r="C79" s="80">
        <v>14261.0</v>
      </c>
      <c r="D79" s="84" t="str">
        <f>IFERROR(VLOOKUP(B79,BASE_VEICULOS!$A:$B,2,0),"")</f>
        <v>TEW9A34</v>
      </c>
      <c r="E79" s="82">
        <f>IFERROR(__xludf.DUMMYFUNCTION("IF(OR(A79="""",D79="""",C79=""""),"""",IFERROR(MAX(0,C79-MAX(FILTER($C$2:$C79,TRIM($D$2:$D79)=TRIM(D79),(($A$2:$A79&lt;A79)+(($A$2:$A79=A79)*(ROW($A$2:$A79)&lt;ROW(A79))))))),""""))"),44.0)</f>
        <v>44</v>
      </c>
    </row>
    <row r="80" ht="22.5" customHeight="1">
      <c r="A80" s="78">
        <v>46080.0</v>
      </c>
      <c r="B80" s="7" t="s">
        <v>21</v>
      </c>
      <c r="C80" s="80">
        <v>15738.0</v>
      </c>
      <c r="D80" s="84" t="str">
        <f>IFERROR(VLOOKUP(B80,BASE_VEICULOS!$A:$B,2,0),"")</f>
        <v>TEW9A33</v>
      </c>
      <c r="E80" s="82">
        <f>IFERROR(__xludf.DUMMYFUNCTION("IF(OR(A80="""",D80="""",C80=""""),"""",IFERROR(MAX(0,C80-MAX(FILTER($C$2:$C80,TRIM($D$2:$D80)=TRIM(D80),(($A$2:$A80&lt;A80)+(($A$2:$A80=A80)*(ROW($A$2:$A80)&lt;ROW(A80))))))),""""))"),65.0)</f>
        <v>65</v>
      </c>
    </row>
    <row r="81" ht="22.5" customHeight="1">
      <c r="A81" s="78">
        <v>46080.0</v>
      </c>
      <c r="B81" s="7" t="s">
        <v>22</v>
      </c>
      <c r="C81" s="80">
        <v>25183.0</v>
      </c>
      <c r="D81" s="84" t="str">
        <f>IFERROR(VLOOKUP(B81,BASE_VEICULOS!$A:$B,2,0),"")</f>
        <v>TET5H37</v>
      </c>
      <c r="E81" s="82">
        <f>IFERROR(__xludf.DUMMYFUNCTION("IF(OR(A81="""",D81="""",C81=""""),"""",IFERROR(MAX(0,C81-MAX(FILTER($C$2:$C81,TRIM($D$2:$D81)=TRIM(D81),(($A$2:$A81&lt;A81)+(($A$2:$A81=A81)*(ROW($A$2:$A81)&lt;ROW(A81))))))),""""))"),271.0)</f>
        <v>271</v>
      </c>
    </row>
    <row r="82" ht="22.5" customHeight="1">
      <c r="A82" s="78">
        <v>46080.0</v>
      </c>
      <c r="B82" s="7" t="s">
        <v>23</v>
      </c>
      <c r="C82" s="80">
        <v>15017.0</v>
      </c>
      <c r="D82" s="84" t="str">
        <f>IFERROR(VLOOKUP(B82,BASE_VEICULOS!$A:$B,2,0),"")</f>
        <v>TEH3I02</v>
      </c>
      <c r="E82" s="82">
        <f>IFERROR(__xludf.DUMMYFUNCTION("IF(OR(A82="""",D82="""",C82=""""),"""",IFERROR(MAX(0,C82-MAX(FILTER($C$2:$C82,TRIM($D$2:$D82)=TRIM(D82),(($A$2:$A82&lt;A82)+(($A$2:$A82=A82)*(ROW($A$2:$A82)&lt;ROW(A82))))))),""""))"),220.0)</f>
        <v>220</v>
      </c>
    </row>
    <row r="83" ht="22.5" customHeight="1">
      <c r="A83" s="78">
        <v>46080.0</v>
      </c>
      <c r="B83" s="7" t="s">
        <v>11</v>
      </c>
      <c r="C83" s="80">
        <v>94481.0</v>
      </c>
      <c r="D83" s="84" t="str">
        <f>IFERROR(VLOOKUP(B83,BASE_VEICULOS!$A:$B,2,0),"")</f>
        <v>TEW9A28</v>
      </c>
      <c r="E83" s="82">
        <f>IFERROR(__xludf.DUMMYFUNCTION("IF(OR(A83="""",D83="""",C83=""""),"""",IFERROR(MAX(0,C83-MAX(FILTER($C$2:$C83,TRIM($D$2:$D83)=TRIM(D83),(($A$2:$A83&lt;A83)+(($A$2:$A83=A83)*(ROW($A$2:$A83)&lt;ROW(A83))))))),""""))"),205.0)</f>
        <v>205</v>
      </c>
    </row>
    <row r="84" ht="22.5" customHeight="1">
      <c r="A84" s="78">
        <v>46080.0</v>
      </c>
      <c r="B84" s="7" t="s">
        <v>30</v>
      </c>
      <c r="C84" s="80">
        <v>16572.0</v>
      </c>
      <c r="D84" s="84" t="str">
        <f>IFERROR(VLOOKUP(B84,BASE_VEICULOS!$A:$B,2,0),"")</f>
        <v/>
      </c>
      <c r="E84" s="82" t="str">
        <f>IFERROR(__xludf.DUMMYFUNCTION("IF(OR(A84="""",D84="""",C84=""""),"""",IFERROR(MAX(0,C84-MAX(FILTER($C$2:$C84,TRIM($D$2:$D84)=TRIM(D84),(($A$2:$A84&lt;A84)+(($A$2:$A84=A84)*(ROW($A$2:$A84)&lt;ROW(A84))))))),""""))"),"")</f>
        <v/>
      </c>
    </row>
    <row r="85" ht="22.5" customHeight="1">
      <c r="A85" s="78">
        <v>46080.0</v>
      </c>
      <c r="B85" s="7" t="s">
        <v>24</v>
      </c>
      <c r="C85" s="80">
        <v>14978.0</v>
      </c>
      <c r="D85" s="84" t="str">
        <f>IFERROR(VLOOKUP(B85,BASE_VEICULOS!$A:$B,2,0),"")</f>
        <v>TEW9A23</v>
      </c>
      <c r="E85" s="82">
        <f>IFERROR(__xludf.DUMMYFUNCTION("IF(OR(A85="""",D85="""",C85=""""),"""",IFERROR(MAX(0,C85-MAX(FILTER($C$2:$C85,TRIM($D$2:$D85)=TRIM(D85),(($A$2:$A85&lt;A85)+(($A$2:$A85=A85)*(ROW($A$2:$A85)&lt;ROW(A85))))))),""""))"),152.0)</f>
        <v>152</v>
      </c>
    </row>
    <row r="86" ht="22.5" customHeight="1">
      <c r="A86" s="78">
        <v>46080.0</v>
      </c>
      <c r="B86" s="7" t="s">
        <v>25</v>
      </c>
      <c r="C86" s="80">
        <v>12985.0</v>
      </c>
      <c r="D86" s="84" t="str">
        <f>IFERROR(VLOOKUP(B86,BASE_VEICULOS!$A:$B,2,0),"")</f>
        <v>TEW9A26</v>
      </c>
      <c r="E86" s="82">
        <f>IFERROR(__xludf.DUMMYFUNCTION("IF(OR(A86="""",D86="""",C86=""""),"""",IFERROR(MAX(0,C86-MAX(FILTER($C$2:$C86,TRIM($D$2:$D86)=TRIM(D86),(($A$2:$A86&lt;A86)+(($A$2:$A86=A86)*(ROW($A$2:$A86)&lt;ROW(A86))))))),""""))"),87.0)</f>
        <v>87</v>
      </c>
    </row>
    <row r="87" ht="22.5" customHeight="1">
      <c r="A87" s="78">
        <v>46080.0</v>
      </c>
      <c r="B87" s="7" t="s">
        <v>28</v>
      </c>
      <c r="C87" s="80">
        <v>104616.0</v>
      </c>
      <c r="D87" s="84" t="str">
        <f>IFERROR(VLOOKUP(B87,BASE_VEICULOS!$A:$B,2,0),"")</f>
        <v/>
      </c>
      <c r="E87" s="82" t="str">
        <f>IFERROR(__xludf.DUMMYFUNCTION("IF(OR(A87="""",D87="""",C87=""""),"""",IFERROR(MAX(0,C87-MAX(FILTER($C$2:$C87,TRIM($D$2:$D87)=TRIM(D87),(($A$2:$A87&lt;A87)+(($A$2:$A87=A87)*(ROW($A$2:$A87)&lt;ROW(A87))))))),""""))"),"")</f>
        <v/>
      </c>
    </row>
    <row r="88" ht="22.5" customHeight="1">
      <c r="A88" s="78">
        <v>46080.0</v>
      </c>
      <c r="B88" s="7" t="s">
        <v>29</v>
      </c>
      <c r="C88" s="80">
        <v>71254.0</v>
      </c>
      <c r="D88" s="84" t="str">
        <f>IFERROR(VLOOKUP(B88,BASE_VEICULOS!$A:$B,2,0),"")</f>
        <v>TEQ2I74</v>
      </c>
      <c r="E88" s="82">
        <f>IFERROR(__xludf.DUMMYFUNCTION("IF(OR(A88="""",D88="""",C88=""""),"""",IFERROR(MAX(0,C88-MAX(FILTER($C$2:$C88,TRIM($D$2:$D88)=TRIM(D88),(($A$2:$A88&lt;A88)+(($A$2:$A88=A88)*(ROW($A$2:$A88)&lt;ROW(A88))))))),""""))"),121.0)</f>
        <v>121</v>
      </c>
    </row>
    <row r="89" ht="22.5" customHeight="1">
      <c r="A89" s="78">
        <v>46080.0</v>
      </c>
      <c r="B89" s="7" t="s">
        <v>12</v>
      </c>
      <c r="C89" s="80">
        <v>87668.0</v>
      </c>
      <c r="D89" s="84" t="str">
        <f>IFERROR(VLOOKUP(B89,BASE_VEICULOS!$A:$B,2,0),"")</f>
        <v>FIL8C14</v>
      </c>
      <c r="E89" s="82">
        <f>IFERROR(__xludf.DUMMYFUNCTION("IF(OR(A89="""",D89="""",C89=""""),"""",IFERROR(MAX(0,C89-MAX(FILTER($C$2:$C89,TRIM($D$2:$D89)=TRIM(D89),(($A$2:$A89&lt;A89)+(($A$2:$A89=A89)*(ROW($A$2:$A89)&lt;ROW(A89))))))),""""))"),109.0)</f>
        <v>109</v>
      </c>
    </row>
    <row r="90" ht="22.5" customHeight="1">
      <c r="A90" s="78">
        <v>46080.0</v>
      </c>
      <c r="B90" s="7" t="s">
        <v>13</v>
      </c>
      <c r="C90" s="80">
        <v>103986.0</v>
      </c>
      <c r="D90" s="84" t="str">
        <f>IFERROR(VLOOKUP(B90,BASE_VEICULOS!$A:$B,2,0),"")</f>
        <v>FGO3C61</v>
      </c>
      <c r="E90" s="82">
        <f>IFERROR(__xludf.DUMMYFUNCTION("IF(OR(A90="""",D90="""",C90=""""),"""",IFERROR(MAX(0,C90-MAX(FILTER($C$2:$C90,TRIM($D$2:$D90)=TRIM(D90),(($A$2:$A90&lt;A90)+(($A$2:$A90=A90)*(ROW($A$2:$A90)&lt;ROW(A90))))))),""""))"),182.0)</f>
        <v>182</v>
      </c>
    </row>
    <row r="91" ht="22.5" customHeight="1">
      <c r="A91" s="78">
        <v>46080.0</v>
      </c>
      <c r="B91" s="7" t="s">
        <v>14</v>
      </c>
      <c r="C91" s="80">
        <v>88501.0</v>
      </c>
      <c r="D91" s="84" t="str">
        <f>IFERROR(VLOOKUP(B91,BASE_VEICULOS!$A:$B,2,0),"")</f>
        <v>FOK8A73</v>
      </c>
      <c r="E91" s="82">
        <f>IFERROR(__xludf.DUMMYFUNCTION("IF(OR(A91="""",D91="""",C91=""""),"""",IFERROR(MAX(0,C91-MAX(FILTER($C$2:$C91,TRIM($D$2:$D91)=TRIM(D91),(($A$2:$A91&lt;A91)+(($A$2:$A91=A91)*(ROW($A$2:$A91)&lt;ROW(A91))))))),""""))"),140.0)</f>
        <v>140</v>
      </c>
    </row>
    <row r="92" ht="22.5" customHeight="1">
      <c r="A92" s="78">
        <v>46080.0</v>
      </c>
      <c r="B92" s="7" t="s">
        <v>15</v>
      </c>
      <c r="C92" s="80">
        <v>106356.0</v>
      </c>
      <c r="D92" s="84" t="str">
        <f>IFERROR(VLOOKUP(B92,BASE_VEICULOS!$A:$B,2,0),"")</f>
        <v>EWH1B84</v>
      </c>
      <c r="E92" s="82">
        <f>IFERROR(__xludf.DUMMYFUNCTION("IF(OR(A92="""",D92="""",C92=""""),"""",IFERROR(MAX(0,C92-MAX(FILTER($C$2:$C92,TRIM($D$2:$D92)=TRIM(D92),(($A$2:$A92&lt;A92)+(($A$2:$A92=A92)*(ROW($A$2:$A92)&lt;ROW(A92))))))),""""))"),189.0)</f>
        <v>189</v>
      </c>
    </row>
    <row r="93" ht="22.5" customHeight="1">
      <c r="A93" s="78">
        <v>46080.0</v>
      </c>
      <c r="B93" s="7" t="s">
        <v>16</v>
      </c>
      <c r="C93" s="80">
        <v>10640.0</v>
      </c>
      <c r="D93" s="84" t="str">
        <f>IFERROR(VLOOKUP(B93,BASE_VEICULOS!$A:$B,2,0),"")</f>
        <v>TEW9A27</v>
      </c>
      <c r="E93" s="82">
        <f>IFERROR(__xludf.DUMMYFUNCTION("IF(OR(A93="""",D93="""",C93=""""),"""",IFERROR(MAX(0,C93-MAX(FILTER($C$2:$C93,TRIM($D$2:$D93)=TRIM(D93),(($A$2:$A93&lt;A93)+(($A$2:$A93=A93)*(ROW($A$2:$A93)&lt;ROW(A93))))))),""""))"),277.0)</f>
        <v>277</v>
      </c>
    </row>
    <row r="94" ht="22.5" customHeight="1">
      <c r="A94" s="78">
        <v>46080.0</v>
      </c>
      <c r="B94" s="7" t="s">
        <v>17</v>
      </c>
      <c r="C94" s="80">
        <v>10780.0</v>
      </c>
      <c r="D94" s="84" t="str">
        <f>IFERROR(VLOOKUP(B94,BASE_VEICULOS!$A:$B,2,0),"")</f>
        <v/>
      </c>
      <c r="E94" s="82" t="str">
        <f>IFERROR(__xludf.DUMMYFUNCTION("IF(OR(A94="""",D94="""",C94=""""),"""",IFERROR(MAX(0,C94-MAX(FILTER($C$2:$C94,TRIM($D$2:$D94)=TRIM(D94),(($A$2:$A94&lt;A94)+(($A$2:$A94=A94)*(ROW($A$2:$A94)&lt;ROW(A94))))))),""""))"),"")</f>
        <v/>
      </c>
    </row>
    <row r="95" ht="22.5" customHeight="1">
      <c r="A95" s="78">
        <v>46080.0</v>
      </c>
      <c r="B95" s="7" t="s">
        <v>18</v>
      </c>
      <c r="C95" s="80">
        <v>14697.0</v>
      </c>
      <c r="D95" s="84" t="str">
        <f>IFERROR(VLOOKUP(B95,BASE_VEICULOS!$A:$B,2,0),"")</f>
        <v>TEW9A29</v>
      </c>
      <c r="E95" s="82">
        <f>IFERROR(__xludf.DUMMYFUNCTION("IF(OR(A95="""",D95="""",C95=""""),"""",IFERROR(MAX(0,C95-MAX(FILTER($C$2:$C95,TRIM($D$2:$D95)=TRIM(D95),(($A$2:$A95&lt;A95)+(($A$2:$A95=A95)*(ROW($A$2:$A95)&lt;ROW(A95))))))),""""))"),145.0)</f>
        <v>145</v>
      </c>
    </row>
    <row r="96" ht="22.5" customHeight="1">
      <c r="A96" s="78">
        <v>46081.0</v>
      </c>
      <c r="B96" s="7" t="s">
        <v>19</v>
      </c>
      <c r="C96" s="80">
        <v>15750.0</v>
      </c>
      <c r="D96" s="84" t="str">
        <f>IFERROR(VLOOKUP(B96,BASE_VEICULOS!$A:$B,2,0),"")</f>
        <v>TEW9A24</v>
      </c>
      <c r="E96" s="82">
        <f>IFERROR(__xludf.DUMMYFUNCTION("IF(OR(A96="""",D96="""",C96=""""),"""",IFERROR(MAX(0,C96-MAX(FILTER($C$2:$C96,TRIM($D$2:$D96)=TRIM(D96),(($A$2:$A96&lt;A96)+(($A$2:$A96=A96)*(ROW($A$2:$A96)&lt;ROW(A96))))))),""""))"),30.0)</f>
        <v>30</v>
      </c>
    </row>
    <row r="97" ht="22.5" customHeight="1">
      <c r="A97" s="78">
        <v>46081.0</v>
      </c>
      <c r="B97" s="7" t="s">
        <v>23</v>
      </c>
      <c r="C97" s="80">
        <v>15255.0</v>
      </c>
      <c r="D97" s="84" t="str">
        <f>IFERROR(VLOOKUP(B97,BASE_VEICULOS!$A:$B,2,0),"")</f>
        <v>TEH3I02</v>
      </c>
      <c r="E97" s="82">
        <f>IFERROR(__xludf.DUMMYFUNCTION("IF(OR(A97="""",D97="""",C97=""""),"""",IFERROR(MAX(0,C97-MAX(FILTER($C$2:$C97,TRIM($D$2:$D97)=TRIM(D97),(($A$2:$A97&lt;A97)+(($A$2:$A97=A97)*(ROW($A$2:$A97)&lt;ROW(A97))))))),""""))"),238.0)</f>
        <v>238</v>
      </c>
    </row>
    <row r="98" ht="22.5" customHeight="1">
      <c r="A98" s="78">
        <v>46081.0</v>
      </c>
      <c r="B98" s="7" t="s">
        <v>30</v>
      </c>
      <c r="C98" s="80">
        <v>16685.0</v>
      </c>
      <c r="D98" s="84" t="str">
        <f>IFERROR(VLOOKUP(B98,BASE_VEICULOS!$A:$B,2,0),"")</f>
        <v/>
      </c>
      <c r="E98" s="82" t="str">
        <f>IFERROR(__xludf.DUMMYFUNCTION("IF(OR(A98="""",D98="""",C98=""""),"""",IFERROR(MAX(0,C98-MAX(FILTER($C$2:$C98,TRIM($D$2:$D98)=TRIM(D98),(($A$2:$A98&lt;A98)+(($A$2:$A98=A98)*(ROW($A$2:$A98)&lt;ROW(A98))))))),""""))"),"")</f>
        <v/>
      </c>
    </row>
    <row r="99" ht="22.5" customHeight="1">
      <c r="A99" s="78">
        <v>46081.0</v>
      </c>
      <c r="B99" s="7" t="s">
        <v>24</v>
      </c>
      <c r="C99" s="80">
        <v>15255.0</v>
      </c>
      <c r="D99" s="84" t="str">
        <f>IFERROR(VLOOKUP(B99,BASE_VEICULOS!$A:$B,2,0),"")</f>
        <v>TEW9A23</v>
      </c>
      <c r="E99" s="82">
        <f>IFERROR(__xludf.DUMMYFUNCTION("IF(OR(A99="""",D99="""",C99=""""),"""",IFERROR(MAX(0,C99-MAX(FILTER($C$2:$C99,TRIM($D$2:$D99)=TRIM(D99),(($A$2:$A99&lt;A99)+(($A$2:$A99=A99)*(ROW($A$2:$A99)&lt;ROW(A99))))))),""""))"),277.0)</f>
        <v>277</v>
      </c>
    </row>
    <row r="100" ht="22.5" customHeight="1">
      <c r="A100" s="78">
        <v>46081.0</v>
      </c>
      <c r="B100" s="7" t="s">
        <v>14</v>
      </c>
      <c r="C100" s="80">
        <v>88721.0</v>
      </c>
      <c r="D100" s="84" t="str">
        <f>IFERROR(VLOOKUP(B100,BASE_VEICULOS!$A:$B,2,0),"")</f>
        <v>FOK8A73</v>
      </c>
      <c r="E100" s="82">
        <f>IFERROR(__xludf.DUMMYFUNCTION("IF(OR(A100="""",D100="""",C100=""""),"""",IFERROR(MAX(0,C100-MAX(FILTER($C$2:$C100,TRIM($D$2:$D100)=TRIM(D100),(($A$2:$A100&lt;A100)+(($A$2:$A100=A100)*(ROW($A$2:$A100)&lt;ROW(A100))))))),""""))"),220.0)</f>
        <v>220</v>
      </c>
    </row>
    <row r="101" ht="22.5" customHeight="1">
      <c r="A101" s="78">
        <v>46081.0</v>
      </c>
      <c r="B101" s="7" t="s">
        <v>16</v>
      </c>
      <c r="C101" s="80">
        <v>10923.0</v>
      </c>
      <c r="D101" s="84" t="str">
        <f>IFERROR(VLOOKUP(B101,BASE_VEICULOS!$A:$B,2,0),"")</f>
        <v>TEW9A27</v>
      </c>
      <c r="E101" s="82">
        <f>IFERROR(__xludf.DUMMYFUNCTION("IF(OR(A101="""",D101="""",C101=""""),"""",IFERROR(MAX(0,C101-MAX(FILTER($C$2:$C101,TRIM($D$2:$D101)=TRIM(D101),(($A$2:$A101&lt;A101)+(($A$2:$A101=A101)*(ROW($A$2:$A101)&lt;ROW(A101))))))),""""))"),283.0)</f>
        <v>283</v>
      </c>
    </row>
    <row r="102" ht="22.5" customHeight="1">
      <c r="A102" s="78">
        <v>46082.0</v>
      </c>
      <c r="B102" s="7" t="s">
        <v>30</v>
      </c>
      <c r="C102" s="80">
        <v>16899.0</v>
      </c>
      <c r="D102" s="84" t="str">
        <f>IFERROR(VLOOKUP(B102,BASE_VEICULOS!$A:$B,2,0),"")</f>
        <v/>
      </c>
      <c r="E102" s="82" t="str">
        <f>IFERROR(__xludf.DUMMYFUNCTION("IF(OR(A102="""",D102="""",C102=""""),"""",IFERROR(MAX(0,C102-MAX(FILTER($C$2:$C102,TRIM($D$2:$D102)=TRIM(D102),(($A$2:$A102&lt;A102)+(($A$2:$A102=A102)*(ROW($A$2:$A102)&lt;ROW(A102))))))),""""))"),"")</f>
        <v/>
      </c>
    </row>
    <row r="103" ht="22.5" customHeight="1">
      <c r="A103" s="78">
        <v>46082.0</v>
      </c>
      <c r="B103" s="7" t="s">
        <v>24</v>
      </c>
      <c r="C103" s="80">
        <v>15536.0</v>
      </c>
      <c r="D103" s="84" t="str">
        <f>IFERROR(VLOOKUP(B103,BASE_VEICULOS!$A:$B,2,0),"")</f>
        <v>TEW9A23</v>
      </c>
      <c r="E103" s="82">
        <f>IFERROR(__xludf.DUMMYFUNCTION("IF(OR(A103="""",D103="""",C103=""""),"""",IFERROR(MAX(0,C103-MAX(FILTER($C$2:$C103,TRIM($D$2:$D103)=TRIM(D103),(($A$2:$A103&lt;A103)+(($A$2:$A103=A103)*(ROW($A$2:$A103)&lt;ROW(A103))))))),""""))"),281.0)</f>
        <v>281</v>
      </c>
    </row>
    <row r="104" ht="22.5" customHeight="1">
      <c r="A104" s="78">
        <v>46083.0</v>
      </c>
      <c r="B104" s="7" t="s">
        <v>10</v>
      </c>
      <c r="C104" s="80">
        <v>15385.0</v>
      </c>
      <c r="D104" s="84" t="str">
        <f>IFERROR(VLOOKUP(B104,BASE_VEICULOS!$A:$B,2,0),"")</f>
        <v>TEW9A25</v>
      </c>
      <c r="E104" s="82">
        <f>IFERROR(__xludf.DUMMYFUNCTION("IF(OR(A104="""",D104="""",C104=""""),"""",IFERROR(MAX(0,C104-MAX(FILTER($C$2:$C104,TRIM($D$2:$D104)=TRIM(D104),(($A$2:$A104&lt;A104)+(($A$2:$A104=A104)*(ROW($A$2:$A104)&lt;ROW(A104))))))),""""))"),217.0)</f>
        <v>217</v>
      </c>
    </row>
    <row r="105" ht="22.5" customHeight="1">
      <c r="A105" s="78">
        <v>46083.0</v>
      </c>
      <c r="B105" s="7" t="s">
        <v>19</v>
      </c>
      <c r="C105" s="80">
        <v>15852.0</v>
      </c>
      <c r="D105" s="84" t="str">
        <f>IFERROR(VLOOKUP(B105,BASE_VEICULOS!$A:$B,2,0),"")</f>
        <v>TEW9A24</v>
      </c>
      <c r="E105" s="82">
        <f>IFERROR(__xludf.DUMMYFUNCTION("IF(OR(A105="""",D105="""",C105=""""),"""",IFERROR(MAX(0,C105-MAX(FILTER($C$2:$C105,TRIM($D$2:$D105)=TRIM(D105),(($A$2:$A105&lt;A105)+(($A$2:$A105=A105)*(ROW($A$2:$A105)&lt;ROW(A105))))))),""""))"),102.0)</f>
        <v>102</v>
      </c>
    </row>
    <row r="106" ht="22.5" customHeight="1">
      <c r="A106" s="78">
        <v>46083.0</v>
      </c>
      <c r="B106" s="7" t="s">
        <v>30</v>
      </c>
      <c r="C106" s="80">
        <v>17067.0</v>
      </c>
      <c r="D106" s="84" t="str">
        <f>IFERROR(VLOOKUP(B106,BASE_VEICULOS!$A:$B,2,0),"")</f>
        <v/>
      </c>
      <c r="E106" s="82" t="str">
        <f>IFERROR(__xludf.DUMMYFUNCTION("IF(OR(A106="""",D106="""",C106=""""),"""",IFERROR(MAX(0,C106-MAX(FILTER($C$2:$C106,TRIM($D$2:$D106)=TRIM(D106),(($A$2:$A106&lt;A106)+(($A$2:$A106=A106)*(ROW($A$2:$A106)&lt;ROW(A106))))))),""""))"),"")</f>
        <v/>
      </c>
    </row>
    <row r="107" ht="22.5" customHeight="1">
      <c r="A107" s="78">
        <v>46083.0</v>
      </c>
      <c r="B107" s="7" t="s">
        <v>20</v>
      </c>
      <c r="C107" s="80">
        <v>14387.0</v>
      </c>
      <c r="D107" s="84" t="str">
        <f>IFERROR(VLOOKUP(B107,BASE_VEICULOS!$A:$B,2,0),"")</f>
        <v>TEW9A34</v>
      </c>
      <c r="E107" s="82">
        <f>IFERROR(__xludf.DUMMYFUNCTION("IF(OR(A107="""",D107="""",C107=""""),"""",IFERROR(MAX(0,C107-MAX(FILTER($C$2:$C107,TRIM($D$2:$D107)=TRIM(D107),(($A$2:$A107&lt;A107)+(($A$2:$A107=A107)*(ROW($A$2:$A107)&lt;ROW(A107))))))),""""))"),126.0)</f>
        <v>126</v>
      </c>
    </row>
    <row r="108" ht="22.5" customHeight="1">
      <c r="A108" s="78">
        <v>46083.0</v>
      </c>
      <c r="B108" s="7" t="s">
        <v>21</v>
      </c>
      <c r="C108" s="80">
        <v>15867.0</v>
      </c>
      <c r="D108" s="84" t="str">
        <f>IFERROR(VLOOKUP(B108,BASE_VEICULOS!$A:$B,2,0),"")</f>
        <v>TEW9A33</v>
      </c>
      <c r="E108" s="82">
        <f>IFERROR(__xludf.DUMMYFUNCTION("IF(OR(A108="""",D108="""",C108=""""),"""",IFERROR(MAX(0,C108-MAX(FILTER($C$2:$C108,TRIM($D$2:$D108)=TRIM(D108),(($A$2:$A108&lt;A108)+(($A$2:$A108=A108)*(ROW($A$2:$A108)&lt;ROW(A108))))))),""""))"),129.0)</f>
        <v>129</v>
      </c>
    </row>
    <row r="109" ht="22.5" customHeight="1">
      <c r="A109" s="78">
        <v>46083.0</v>
      </c>
      <c r="B109" s="7" t="s">
        <v>22</v>
      </c>
      <c r="C109" s="80">
        <v>25547.0</v>
      </c>
      <c r="D109" s="84" t="str">
        <f>IFERROR(VLOOKUP(B109,BASE_VEICULOS!$A:$B,2,0),"")</f>
        <v>TET5H37</v>
      </c>
      <c r="E109" s="82">
        <f>IFERROR(__xludf.DUMMYFUNCTION("IF(OR(A109="""",D109="""",C109=""""),"""",IFERROR(MAX(0,C109-MAX(FILTER($C$2:$C109,TRIM($D$2:$D109)=TRIM(D109),(($A$2:$A109&lt;A109)+(($A$2:$A109=A109)*(ROW($A$2:$A109)&lt;ROW(A109))))))),""""))"),364.0)</f>
        <v>364</v>
      </c>
    </row>
    <row r="110" ht="22.5" customHeight="1">
      <c r="A110" s="78">
        <v>46083.0</v>
      </c>
      <c r="B110" s="7" t="s">
        <v>24</v>
      </c>
      <c r="C110" s="80">
        <v>15777.0</v>
      </c>
      <c r="D110" s="84" t="str">
        <f>IFERROR(VLOOKUP(B110,BASE_VEICULOS!$A:$B,2,0),"")</f>
        <v>TEW9A23</v>
      </c>
      <c r="E110" s="82">
        <f>IFERROR(__xludf.DUMMYFUNCTION("IF(OR(A110="""",D110="""",C110=""""),"""",IFERROR(MAX(0,C110-MAX(FILTER($C$2:$C110,TRIM($D$2:$D110)=TRIM(D110),(($A$2:$A110&lt;A110)+(($A$2:$A110=A110)*(ROW($A$2:$A110)&lt;ROW(A110))))))),""""))"),241.0)</f>
        <v>241</v>
      </c>
    </row>
    <row r="111" ht="22.5" customHeight="1">
      <c r="A111" s="78">
        <v>46083.0</v>
      </c>
      <c r="B111" s="7" t="s">
        <v>25</v>
      </c>
      <c r="C111" s="80">
        <v>13161.0</v>
      </c>
      <c r="D111" s="84" t="str">
        <f>IFERROR(VLOOKUP(B111,BASE_VEICULOS!$A:$B,2,0),"")</f>
        <v>TEW9A26</v>
      </c>
      <c r="E111" s="82">
        <f>IFERROR(__xludf.DUMMYFUNCTION("IF(OR(A111="""",D111="""",C111=""""),"""",IFERROR(MAX(0,C111-MAX(FILTER($C$2:$C111,TRIM($D$2:$D111)=TRIM(D111),(($A$2:$A111&lt;A111)+(($A$2:$A111=A111)*(ROW($A$2:$A111)&lt;ROW(A111))))))),""""))"),176.0)</f>
        <v>176</v>
      </c>
    </row>
    <row r="112" ht="22.5" customHeight="1">
      <c r="A112" s="78">
        <v>46083.0</v>
      </c>
      <c r="B112" s="7" t="s">
        <v>28</v>
      </c>
      <c r="C112" s="80">
        <v>104739.0</v>
      </c>
      <c r="D112" s="84" t="str">
        <f>IFERROR(VLOOKUP(B112,BASE_VEICULOS!$A:$B,2,0),"")</f>
        <v/>
      </c>
      <c r="E112" s="82" t="str">
        <f>IFERROR(__xludf.DUMMYFUNCTION("IF(OR(A112="""",D112="""",C112=""""),"""",IFERROR(MAX(0,C112-MAX(FILTER($C$2:$C112,TRIM($D$2:$D112)=TRIM(D112),(($A$2:$A112&lt;A112)+(($A$2:$A112=A112)*(ROW($A$2:$A112)&lt;ROW(A112))))))),""""))"),"")</f>
        <v/>
      </c>
    </row>
    <row r="113" ht="22.5" customHeight="1">
      <c r="A113" s="78">
        <v>46083.0</v>
      </c>
      <c r="B113" s="7" t="s">
        <v>29</v>
      </c>
      <c r="C113" s="80">
        <v>71417.0</v>
      </c>
      <c r="D113" s="84" t="str">
        <f>IFERROR(VLOOKUP(B113,BASE_VEICULOS!$A:$B,2,0),"")</f>
        <v>TEQ2I74</v>
      </c>
      <c r="E113" s="82">
        <f>IFERROR(__xludf.DUMMYFUNCTION("IF(OR(A113="""",D113="""",C113=""""),"""",IFERROR(MAX(0,C113-MAX(FILTER($C$2:$C113,TRIM($D$2:$D113)=TRIM(D113),(($A$2:$A113&lt;A113)+(($A$2:$A113=A113)*(ROW($A$2:$A113)&lt;ROW(A113))))))),""""))"),163.0)</f>
        <v>163</v>
      </c>
    </row>
    <row r="114" ht="22.5" customHeight="1">
      <c r="A114" s="78">
        <v>46083.0</v>
      </c>
      <c r="B114" s="7" t="s">
        <v>12</v>
      </c>
      <c r="C114" s="80">
        <v>87766.0</v>
      </c>
      <c r="D114" s="84" t="str">
        <f>IFERROR(VLOOKUP(B114,BASE_VEICULOS!$A:$B,2,0),"")</f>
        <v>FIL8C14</v>
      </c>
      <c r="E114" s="82">
        <f>IFERROR(__xludf.DUMMYFUNCTION("IF(OR(A114="""",D114="""",C114=""""),"""",IFERROR(MAX(0,C114-MAX(FILTER($C$2:$C114,TRIM($D$2:$D114)=TRIM(D114),(($A$2:$A114&lt;A114)+(($A$2:$A114=A114)*(ROW($A$2:$A114)&lt;ROW(A114))))))),""""))"),98.0)</f>
        <v>98</v>
      </c>
    </row>
    <row r="115" ht="22.5" customHeight="1">
      <c r="A115" s="78">
        <v>46083.0</v>
      </c>
      <c r="B115" s="7" t="s">
        <v>13</v>
      </c>
      <c r="C115" s="80">
        <v>104110.0</v>
      </c>
      <c r="D115" s="84" t="str">
        <f>IFERROR(VLOOKUP(B115,BASE_VEICULOS!$A:$B,2,0),"")</f>
        <v>FGO3C61</v>
      </c>
      <c r="E115" s="82">
        <f>IFERROR(__xludf.DUMMYFUNCTION("IF(OR(A115="""",D115="""",C115=""""),"""",IFERROR(MAX(0,C115-MAX(FILTER($C$2:$C115,TRIM($D$2:$D115)=TRIM(D115),(($A$2:$A115&lt;A115)+(($A$2:$A115=A115)*(ROW($A$2:$A115)&lt;ROW(A115))))))),""""))"),124.0)</f>
        <v>124</v>
      </c>
    </row>
    <row r="116" ht="22.5" customHeight="1">
      <c r="A116" s="78">
        <v>46083.0</v>
      </c>
      <c r="B116" s="7" t="s">
        <v>14</v>
      </c>
      <c r="C116" s="80">
        <v>88865.0</v>
      </c>
      <c r="D116" s="84" t="str">
        <f>IFERROR(VLOOKUP(B116,BASE_VEICULOS!$A:$B,2,0),"")</f>
        <v>FOK8A73</v>
      </c>
      <c r="E116" s="82">
        <f>IFERROR(__xludf.DUMMYFUNCTION("IF(OR(A116="""",D116="""",C116=""""),"""",IFERROR(MAX(0,C116-MAX(FILTER($C$2:$C116,TRIM($D$2:$D116)=TRIM(D116),(($A$2:$A116&lt;A116)+(($A$2:$A116=A116)*(ROW($A$2:$A116)&lt;ROW(A116))))))),""""))"),144.0)</f>
        <v>144</v>
      </c>
    </row>
    <row r="117" ht="22.5" customHeight="1">
      <c r="A117" s="78">
        <v>46083.0</v>
      </c>
      <c r="B117" s="7" t="s">
        <v>15</v>
      </c>
      <c r="C117" s="80">
        <v>106469.0</v>
      </c>
      <c r="D117" s="84" t="str">
        <f>IFERROR(VLOOKUP(B117,BASE_VEICULOS!$A:$B,2,0),"")</f>
        <v>EWH1B84</v>
      </c>
      <c r="E117" s="82">
        <f>IFERROR(__xludf.DUMMYFUNCTION("IF(OR(A117="""",D117="""",C117=""""),"""",IFERROR(MAX(0,C117-MAX(FILTER($C$2:$C117,TRIM($D$2:$D117)=TRIM(D117),(($A$2:$A117&lt;A117)+(($A$2:$A117=A117)*(ROW($A$2:$A117)&lt;ROW(A117))))))),""""))"),113.0)</f>
        <v>113</v>
      </c>
    </row>
    <row r="118" ht="22.5" customHeight="1">
      <c r="A118" s="78">
        <v>46083.0</v>
      </c>
      <c r="B118" s="7" t="s">
        <v>18</v>
      </c>
      <c r="C118" s="80">
        <v>14966.0</v>
      </c>
      <c r="D118" s="84" t="str">
        <f>IFERROR(VLOOKUP(B118,BASE_VEICULOS!$A:$B,2,0),"")</f>
        <v>TEW9A29</v>
      </c>
      <c r="E118" s="82">
        <f>IFERROR(__xludf.DUMMYFUNCTION("IF(OR(A118="""",D118="""",C118=""""),"""",IFERROR(MAX(0,C118-MAX(FILTER($C$2:$C118,TRIM($D$2:$D118)=TRIM(D118),(($A$2:$A118&lt;A118)+(($A$2:$A118=A118)*(ROW($A$2:$A118)&lt;ROW(A118))))))),""""))"),269.0)</f>
        <v>269</v>
      </c>
    </row>
    <row r="119" ht="22.5" customHeight="1">
      <c r="A119" s="78">
        <v>46083.0</v>
      </c>
      <c r="B119" s="7" t="s">
        <v>23</v>
      </c>
      <c r="C119" s="80">
        <v>15383.0</v>
      </c>
      <c r="D119" s="84" t="str">
        <f>IFERROR(VLOOKUP(B119,BASE_VEICULOS!$A:$B,2,0),"")</f>
        <v>TEH3I02</v>
      </c>
      <c r="E119" s="82">
        <f>IFERROR(__xludf.DUMMYFUNCTION("IF(OR(A119="""",D119="""",C119=""""),"""",IFERROR(MAX(0,C119-MAX(FILTER($C$2:$C119,TRIM($D$2:$D119)=TRIM(D119),(($A$2:$A119&lt;A119)+(($A$2:$A119=A119)*(ROW($A$2:$A119)&lt;ROW(A119))))))),""""))"),128.0)</f>
        <v>128</v>
      </c>
    </row>
    <row r="120" ht="22.5" customHeight="1">
      <c r="A120" s="78">
        <v>46084.0</v>
      </c>
      <c r="B120" s="7" t="s">
        <v>10</v>
      </c>
      <c r="C120" s="80">
        <v>15546.0</v>
      </c>
      <c r="D120" s="84" t="str">
        <f>IFERROR(VLOOKUP(B120,BASE_VEICULOS!$A:$B,2,0),"")</f>
        <v>TEW9A25</v>
      </c>
      <c r="E120" s="82">
        <f>IFERROR(__xludf.DUMMYFUNCTION("IF(OR(A120="""",D120="""",C120=""""),"""",IFERROR(MAX(0,C120-MAX(FILTER($C$2:$C120,TRIM($D$2:$D120)=TRIM(D120),(($A$2:$A120&lt;A120)+(($A$2:$A120=A120)*(ROW($A$2:$A120)&lt;ROW(A120))))))),""""))"),161.0)</f>
        <v>161</v>
      </c>
    </row>
    <row r="121" ht="22.5" customHeight="1">
      <c r="A121" s="78">
        <v>46084.0</v>
      </c>
      <c r="B121" s="7" t="s">
        <v>19</v>
      </c>
      <c r="C121" s="80">
        <v>15926.0</v>
      </c>
      <c r="D121" s="84" t="str">
        <f>IFERROR(VLOOKUP(B121,BASE_VEICULOS!$A:$B,2,0),"")</f>
        <v>TEW9A24</v>
      </c>
      <c r="E121" s="82">
        <f>IFERROR(__xludf.DUMMYFUNCTION("IF(OR(A121="""",D121="""",C121=""""),"""",IFERROR(MAX(0,C121-MAX(FILTER($C$2:$C121,TRIM($D$2:$D121)=TRIM(D121),(($A$2:$A121&lt;A121)+(($A$2:$A121=A121)*(ROW($A$2:$A121)&lt;ROW(A121))))))),""""))"),74.0)</f>
        <v>74</v>
      </c>
    </row>
    <row r="122" ht="22.5" customHeight="1">
      <c r="A122" s="78">
        <v>46084.0</v>
      </c>
      <c r="B122" s="7" t="s">
        <v>20</v>
      </c>
      <c r="C122" s="80">
        <v>14514.0</v>
      </c>
      <c r="D122" s="84" t="str">
        <f>IFERROR(VLOOKUP(B122,BASE_VEICULOS!$A:$B,2,0),"")</f>
        <v>TEW9A34</v>
      </c>
      <c r="E122" s="82">
        <f>IFERROR(__xludf.DUMMYFUNCTION("IF(OR(A122="""",D122="""",C122=""""),"""",IFERROR(MAX(0,C122-MAX(FILTER($C$2:$C122,TRIM($D$2:$D122)=TRIM(D122),(($A$2:$A122&lt;A122)+(($A$2:$A122=A122)*(ROW($A$2:$A122)&lt;ROW(A122))))))),""""))"),127.0)</f>
        <v>127</v>
      </c>
    </row>
    <row r="123" ht="22.5" customHeight="1">
      <c r="A123" s="78">
        <v>46084.0</v>
      </c>
      <c r="B123" s="7" t="s">
        <v>21</v>
      </c>
      <c r="C123" s="80">
        <v>16089.0</v>
      </c>
      <c r="D123" s="84" t="str">
        <f>IFERROR(VLOOKUP(B123,BASE_VEICULOS!$A:$B,2,0),"")</f>
        <v>TEW9A33</v>
      </c>
      <c r="E123" s="82">
        <f>IFERROR(__xludf.DUMMYFUNCTION("IF(OR(A123="""",D123="""",C123=""""),"""",IFERROR(MAX(0,C123-MAX(FILTER($C$2:$C123,TRIM($D$2:$D123)=TRIM(D123),(($A$2:$A123&lt;A123)+(($A$2:$A123=A123)*(ROW($A$2:$A123)&lt;ROW(A123))))))),""""))"),222.0)</f>
        <v>222</v>
      </c>
    </row>
    <row r="124" ht="22.5" customHeight="1">
      <c r="A124" s="78">
        <v>46084.0</v>
      </c>
      <c r="B124" s="7" t="s">
        <v>29</v>
      </c>
      <c r="C124" s="80">
        <v>71803.0</v>
      </c>
      <c r="D124" s="84" t="str">
        <f>IFERROR(VLOOKUP(B124,BASE_VEICULOS!$A:$B,2,0),"")</f>
        <v>TEQ2I74</v>
      </c>
      <c r="E124" s="82">
        <f>IFERROR(__xludf.DUMMYFUNCTION("IF(OR(A124="""",D124="""",C124=""""),"""",IFERROR(MAX(0,C124-MAX(FILTER($C$2:$C124,TRIM($D$2:$D124)=TRIM(D124),(($A$2:$A124&lt;A124)+(($A$2:$A124=A124)*(ROW($A$2:$A124)&lt;ROW(A124))))))),""""))"),386.0)</f>
        <v>386</v>
      </c>
    </row>
    <row r="125" ht="22.5" customHeight="1">
      <c r="A125" s="78">
        <v>46084.0</v>
      </c>
      <c r="B125" s="7" t="s">
        <v>22</v>
      </c>
      <c r="C125" s="80">
        <v>25778.0</v>
      </c>
      <c r="D125" s="84" t="str">
        <f>IFERROR(VLOOKUP(B125,BASE_VEICULOS!$A:$B,2,0),"")</f>
        <v>TET5H37</v>
      </c>
      <c r="E125" s="82">
        <f>IFERROR(__xludf.DUMMYFUNCTION("IF(OR(A125="""",D125="""",C125=""""),"""",IFERROR(MAX(0,C125-MAX(FILTER($C$2:$C125,TRIM($D$2:$D125)=TRIM(D125),(($A$2:$A125&lt;A125)+(($A$2:$A125=A125)*(ROW($A$2:$A125)&lt;ROW(A125))))))),""""))"),231.0)</f>
        <v>231</v>
      </c>
    </row>
    <row r="126" ht="22.5" customHeight="1">
      <c r="A126" s="78">
        <v>46084.0</v>
      </c>
      <c r="B126" s="7" t="s">
        <v>23</v>
      </c>
      <c r="C126" s="80">
        <v>15533.0</v>
      </c>
      <c r="D126" s="84" t="str">
        <f>IFERROR(VLOOKUP(B126,BASE_VEICULOS!$A:$B,2,0),"")</f>
        <v>TEH3I02</v>
      </c>
      <c r="E126" s="82">
        <f>IFERROR(__xludf.DUMMYFUNCTION("IF(OR(A126="""",D126="""",C126=""""),"""",IFERROR(MAX(0,C126-MAX(FILTER($C$2:$C126,TRIM($D$2:$D126)=TRIM(D126),(($A$2:$A126&lt;A126)+(($A$2:$A126=A126)*(ROW($A$2:$A126)&lt;ROW(A126))))))),""""))"),150.0)</f>
        <v>150</v>
      </c>
    </row>
    <row r="127" ht="22.5" customHeight="1">
      <c r="A127" s="78">
        <v>46084.0</v>
      </c>
      <c r="B127" s="7" t="s">
        <v>11</v>
      </c>
      <c r="C127" s="80">
        <v>94531.0</v>
      </c>
      <c r="D127" s="84" t="str">
        <f>IFERROR(VLOOKUP(B127,BASE_VEICULOS!$A:$B,2,0),"")</f>
        <v>TEW9A28</v>
      </c>
      <c r="E127" s="82">
        <f>IFERROR(__xludf.DUMMYFUNCTION("IF(OR(A127="""",D127="""",C127=""""),"""",IFERROR(MAX(0,C127-MAX(FILTER($C$2:$C127,TRIM($D$2:$D127)=TRIM(D127),(($A$2:$A127&lt;A127)+(($A$2:$A127=A127)*(ROW($A$2:$A127)&lt;ROW(A127))))))),""""))"),50.0)</f>
        <v>50</v>
      </c>
    </row>
    <row r="128" ht="22.5" customHeight="1">
      <c r="A128" s="78">
        <v>46084.0</v>
      </c>
      <c r="B128" s="7" t="s">
        <v>30</v>
      </c>
      <c r="C128" s="80">
        <v>17169.0</v>
      </c>
      <c r="D128" s="84" t="str">
        <f>IFERROR(VLOOKUP(B128,BASE_VEICULOS!$A:$B,2,0),"")</f>
        <v/>
      </c>
      <c r="E128" s="82" t="str">
        <f>IFERROR(__xludf.DUMMYFUNCTION("IF(OR(A128="""",D128="""",C128=""""),"""",IFERROR(MAX(0,C128-MAX(FILTER($C$2:$C128,TRIM($D$2:$D128)=TRIM(D128),(($A$2:$A128&lt;A128)+(($A$2:$A128=A128)*(ROW($A$2:$A128)&lt;ROW(A128))))))),""""))"),"")</f>
        <v/>
      </c>
    </row>
    <row r="129" ht="22.5" customHeight="1">
      <c r="A129" s="78">
        <v>46084.0</v>
      </c>
      <c r="B129" s="7" t="s">
        <v>24</v>
      </c>
      <c r="C129" s="80">
        <v>15940.0</v>
      </c>
      <c r="D129" s="84" t="str">
        <f>IFERROR(VLOOKUP(B129,BASE_VEICULOS!$A:$B,2,0),"")</f>
        <v>TEW9A23</v>
      </c>
      <c r="E129" s="82">
        <f>IFERROR(__xludf.DUMMYFUNCTION("IF(OR(A129="""",D129="""",C129=""""),"""",IFERROR(MAX(0,C129-MAX(FILTER($C$2:$C129,TRIM($D$2:$D129)=TRIM(D129),(($A$2:$A129&lt;A129)+(($A$2:$A129=A129)*(ROW($A$2:$A129)&lt;ROW(A129))))))),""""))"),163.0)</f>
        <v>163</v>
      </c>
    </row>
    <row r="130" ht="22.5" customHeight="1">
      <c r="A130" s="78">
        <v>46084.0</v>
      </c>
      <c r="B130" s="7" t="s">
        <v>25</v>
      </c>
      <c r="C130" s="80">
        <v>13289.0</v>
      </c>
      <c r="D130" s="84" t="str">
        <f>IFERROR(VLOOKUP(B130,BASE_VEICULOS!$A:$B,2,0),"")</f>
        <v>TEW9A26</v>
      </c>
      <c r="E130" s="82">
        <f>IFERROR(__xludf.DUMMYFUNCTION("IF(OR(A130="""",D130="""",C130=""""),"""",IFERROR(MAX(0,C130-MAX(FILTER($C$2:$C130,TRIM($D$2:$D130)=TRIM(D130),(($A$2:$A130&lt;A130)+(($A$2:$A130=A130)*(ROW($A$2:$A130)&lt;ROW(A130))))))),""""))"),128.0)</f>
        <v>128</v>
      </c>
    </row>
    <row r="131" ht="22.5" customHeight="1">
      <c r="A131" s="78">
        <v>46084.0</v>
      </c>
      <c r="B131" s="7" t="s">
        <v>28</v>
      </c>
      <c r="C131" s="80">
        <v>104795.0</v>
      </c>
      <c r="D131" s="84" t="str">
        <f>IFERROR(VLOOKUP(B131,BASE_VEICULOS!$A:$B,2,0),"")</f>
        <v/>
      </c>
      <c r="E131" s="82" t="str">
        <f>IFERROR(__xludf.DUMMYFUNCTION("IF(OR(A131="""",D131="""",C131=""""),"""",IFERROR(MAX(0,C131-MAX(FILTER($C$2:$C131,TRIM($D$2:$D131)=TRIM(D131),(($A$2:$A131&lt;A131)+(($A$2:$A131=A131)*(ROW($A$2:$A131)&lt;ROW(A131))))))),""""))"),"")</f>
        <v/>
      </c>
    </row>
    <row r="132" ht="22.5" customHeight="1">
      <c r="A132" s="78">
        <v>46084.0</v>
      </c>
      <c r="B132" s="7" t="s">
        <v>12</v>
      </c>
      <c r="C132" s="80">
        <v>87858.0</v>
      </c>
      <c r="D132" s="84" t="str">
        <f>IFERROR(VLOOKUP(B132,BASE_VEICULOS!$A:$B,2,0),"")</f>
        <v>FIL8C14</v>
      </c>
      <c r="E132" s="82">
        <f>IFERROR(__xludf.DUMMYFUNCTION("IF(OR(A132="""",D132="""",C132=""""),"""",IFERROR(MAX(0,C132-MAX(FILTER($C$2:$C132,TRIM($D$2:$D132)=TRIM(D132),(($A$2:$A132&lt;A132)+(($A$2:$A132=A132)*(ROW($A$2:$A132)&lt;ROW(A132))))))),""""))"),92.0)</f>
        <v>92</v>
      </c>
    </row>
    <row r="133" ht="22.5" customHeight="1">
      <c r="A133" s="78">
        <v>46084.0</v>
      </c>
      <c r="B133" s="7" t="s">
        <v>13</v>
      </c>
      <c r="C133" s="80">
        <v>104233.0</v>
      </c>
      <c r="D133" s="84" t="str">
        <f>IFERROR(VLOOKUP(B133,BASE_VEICULOS!$A:$B,2,0),"")</f>
        <v>FGO3C61</v>
      </c>
      <c r="E133" s="82">
        <f>IFERROR(__xludf.DUMMYFUNCTION("IF(OR(A133="""",D133="""",C133=""""),"""",IFERROR(MAX(0,C133-MAX(FILTER($C$2:$C133,TRIM($D$2:$D133)=TRIM(D133),(($A$2:$A133&lt;A133)+(($A$2:$A133=A133)*(ROW($A$2:$A133)&lt;ROW(A133))))))),""""))"),123.0)</f>
        <v>123</v>
      </c>
    </row>
    <row r="134" ht="22.5" customHeight="1">
      <c r="A134" s="78">
        <v>46084.0</v>
      </c>
      <c r="B134" s="7" t="s">
        <v>14</v>
      </c>
      <c r="C134" s="80">
        <v>88998.0</v>
      </c>
      <c r="D134" s="84" t="str">
        <f>IFERROR(VLOOKUP(B134,BASE_VEICULOS!$A:$B,2,0),"")</f>
        <v>FOK8A73</v>
      </c>
      <c r="E134" s="82">
        <f>IFERROR(__xludf.DUMMYFUNCTION("IF(OR(A134="""",D134="""",C134=""""),"""",IFERROR(MAX(0,C134-MAX(FILTER($C$2:$C134,TRIM($D$2:$D134)=TRIM(D134),(($A$2:$A134&lt;A134)+(($A$2:$A134=A134)*(ROW($A$2:$A134)&lt;ROW(A134))))))),""""))"),133.0)</f>
        <v>133</v>
      </c>
    </row>
    <row r="135" ht="22.5" customHeight="1">
      <c r="A135" s="78">
        <v>46084.0</v>
      </c>
      <c r="B135" s="7" t="s">
        <v>15</v>
      </c>
      <c r="C135" s="80">
        <v>106534.0</v>
      </c>
      <c r="D135" s="84" t="str">
        <f>IFERROR(VLOOKUP(B135,BASE_VEICULOS!$A:$B,2,0),"")</f>
        <v>EWH1B84</v>
      </c>
      <c r="E135" s="82">
        <f>IFERROR(__xludf.DUMMYFUNCTION("IF(OR(A135="""",D135="""",C135=""""),"""",IFERROR(MAX(0,C135-MAX(FILTER($C$2:$C135,TRIM($D$2:$D135)=TRIM(D135),(($A$2:$A135&lt;A135)+(($A$2:$A135=A135)*(ROW($A$2:$A135)&lt;ROW(A135))))))),""""))"),65.0)</f>
        <v>65</v>
      </c>
    </row>
    <row r="136" ht="22.5" customHeight="1">
      <c r="A136" s="78">
        <v>46084.0</v>
      </c>
      <c r="B136" s="7" t="s">
        <v>16</v>
      </c>
      <c r="C136" s="80">
        <v>11126.0</v>
      </c>
      <c r="D136" s="84" t="str">
        <f>IFERROR(VLOOKUP(B136,BASE_VEICULOS!$A:$B,2,0),"")</f>
        <v>TEW9A27</v>
      </c>
      <c r="E136" s="82">
        <f>IFERROR(__xludf.DUMMYFUNCTION("IF(OR(A136="""",D136="""",C136=""""),"""",IFERROR(MAX(0,C136-MAX(FILTER($C$2:$C136,TRIM($D$2:$D136)=TRIM(D136),(($A$2:$A136&lt;A136)+(($A$2:$A136=A136)*(ROW($A$2:$A136)&lt;ROW(A136))))))),""""))"),203.0)</f>
        <v>203</v>
      </c>
    </row>
    <row r="137" ht="22.5" customHeight="1">
      <c r="A137" s="78">
        <v>46084.0</v>
      </c>
      <c r="B137" s="7" t="s">
        <v>17</v>
      </c>
      <c r="C137" s="80">
        <v>11121.0</v>
      </c>
      <c r="D137" s="84" t="str">
        <f>IFERROR(VLOOKUP(B137,BASE_VEICULOS!$A:$B,2,0),"")</f>
        <v/>
      </c>
      <c r="E137" s="82" t="str">
        <f>IFERROR(__xludf.DUMMYFUNCTION("IF(OR(A137="""",D137="""",C137=""""),"""",IFERROR(MAX(0,C137-MAX(FILTER($C$2:$C137,TRIM($D$2:$D137)=TRIM(D137),(($A$2:$A137&lt;A137)+(($A$2:$A137=A137)*(ROW($A$2:$A137)&lt;ROW(A137))))))),""""))"),"")</f>
        <v/>
      </c>
    </row>
    <row r="138" ht="22.5" customHeight="1">
      <c r="A138" s="78">
        <v>46084.0</v>
      </c>
      <c r="B138" s="7" t="s">
        <v>18</v>
      </c>
      <c r="C138" s="80">
        <v>15037.0</v>
      </c>
      <c r="D138" s="84" t="str">
        <f>IFERROR(VLOOKUP(B138,BASE_VEICULOS!$A:$B,2,0),"")</f>
        <v>TEW9A29</v>
      </c>
      <c r="E138" s="82">
        <f>IFERROR(__xludf.DUMMYFUNCTION("IF(OR(A138="""",D138="""",C138=""""),"""",IFERROR(MAX(0,C138-MAX(FILTER($C$2:$C138,TRIM($D$2:$D138)=TRIM(D138),(($A$2:$A138&lt;A138)+(($A$2:$A138=A138)*(ROW($A$2:$A138)&lt;ROW(A138))))))),""""))"),71.0)</f>
        <v>71</v>
      </c>
    </row>
    <row r="139" ht="22.5" customHeight="1">
      <c r="A139" s="78">
        <v>46084.0</v>
      </c>
      <c r="B139" s="7" t="s">
        <v>33</v>
      </c>
      <c r="C139" s="80">
        <v>66424.0</v>
      </c>
      <c r="D139" s="84" t="str">
        <f>IFERROR(VLOOKUP(B139,BASE_VEICULOS!$A:$B,2,0),"")</f>
        <v>TEW9A30</v>
      </c>
      <c r="E139" s="82" t="str">
        <f>IFERROR(__xludf.DUMMYFUNCTION("IF(OR(A139="""",D139="""",C139=""""),"""",IFERROR(MAX(0,C139-MAX(FILTER($C$2:$C139,TRIM($D$2:$D139)=TRIM(D139),(($A$2:$A139&lt;A139)+(($A$2:$A139=A139)*(ROW($A$2:$A139)&lt;ROW(A139))))))),""""))"),"")</f>
        <v/>
      </c>
    </row>
    <row r="140" ht="22.5" customHeight="1">
      <c r="A140" s="78">
        <v>46085.0</v>
      </c>
      <c r="B140" s="7" t="s">
        <v>10</v>
      </c>
      <c r="C140" s="80">
        <v>15761.0</v>
      </c>
      <c r="D140" s="84" t="str">
        <f>IFERROR(VLOOKUP(B140,BASE_VEICULOS!$A:$B,2,0),"")</f>
        <v>TEW9A25</v>
      </c>
      <c r="E140" s="82">
        <f>IFERROR(__xludf.DUMMYFUNCTION("IF(OR(A140="""",D140="""",C140=""""),"""",IFERROR(MAX(0,C140-MAX(FILTER($C$2:$C140,TRIM($D$2:$D140)=TRIM(D140),(($A$2:$A140&lt;A140)+(($A$2:$A140=A140)*(ROW($A$2:$A140)&lt;ROW(A140))))))),""""))"),215.0)</f>
        <v>215</v>
      </c>
    </row>
    <row r="141" ht="22.5" customHeight="1">
      <c r="A141" s="78">
        <v>46085.0</v>
      </c>
      <c r="B141" s="7" t="s">
        <v>11</v>
      </c>
      <c r="C141" s="80">
        <v>94650.0</v>
      </c>
      <c r="D141" s="84" t="str">
        <f>IFERROR(VLOOKUP(B141,BASE_VEICULOS!$A:$B,2,0),"")</f>
        <v>TEW9A28</v>
      </c>
      <c r="E141" s="82">
        <f>IFERROR(__xludf.DUMMYFUNCTION("IF(OR(A141="""",D141="""",C141=""""),"""",IFERROR(MAX(0,C141-MAX(FILTER($C$2:$C141,TRIM($D$2:$D141)=TRIM(D141),(($A$2:$A141&lt;A141)+(($A$2:$A141=A141)*(ROW($A$2:$A141)&lt;ROW(A141))))))),""""))"),119.0)</f>
        <v>119</v>
      </c>
    </row>
    <row r="142" ht="22.5" customHeight="1">
      <c r="A142" s="78">
        <v>46085.0</v>
      </c>
      <c r="B142" s="7" t="s">
        <v>15</v>
      </c>
      <c r="C142" s="80">
        <v>106615.0</v>
      </c>
      <c r="D142" s="84" t="str">
        <f>IFERROR(VLOOKUP(B142,BASE_VEICULOS!$A:$B,2,0),"")</f>
        <v>EWH1B84</v>
      </c>
      <c r="E142" s="82">
        <f>IFERROR(__xludf.DUMMYFUNCTION("IF(OR(A142="""",D142="""",C142=""""),"""",IFERROR(MAX(0,C142-MAX(FILTER($C$2:$C142,TRIM($D$2:$D142)=TRIM(D142),(($A$2:$A142&lt;A142)+(($A$2:$A142=A142)*(ROW($A$2:$A142)&lt;ROW(A142))))))),""""))"),81.0)</f>
        <v>81</v>
      </c>
    </row>
    <row r="143" ht="22.5" customHeight="1">
      <c r="A143" s="78">
        <v>46085.0</v>
      </c>
      <c r="B143" s="7" t="s">
        <v>14</v>
      </c>
      <c r="C143" s="80">
        <v>89123.0</v>
      </c>
      <c r="D143" s="84" t="str">
        <f>IFERROR(VLOOKUP(B143,BASE_VEICULOS!$A:$B,2,0),"")</f>
        <v>FOK8A73</v>
      </c>
      <c r="E143" s="82">
        <f>IFERROR(__xludf.DUMMYFUNCTION("IF(OR(A143="""",D143="""",C143=""""),"""",IFERROR(MAX(0,C143-MAX(FILTER($C$2:$C143,TRIM($D$2:$D143)=TRIM(D143),(($A$2:$A143&lt;A143)+(($A$2:$A143=A143)*(ROW($A$2:$A143)&lt;ROW(A143))))))),""""))"),125.0)</f>
        <v>125</v>
      </c>
    </row>
    <row r="144" ht="22.5" customHeight="1">
      <c r="A144" s="78">
        <v>46085.0</v>
      </c>
      <c r="B144" s="7" t="s">
        <v>21</v>
      </c>
      <c r="C144" s="80">
        <v>16141.0</v>
      </c>
      <c r="D144" s="84" t="str">
        <f>IFERROR(VLOOKUP(B144,BASE_VEICULOS!$A:$B,2,0),"")</f>
        <v>TEW9A33</v>
      </c>
      <c r="E144" s="82">
        <f>IFERROR(__xludf.DUMMYFUNCTION("IF(OR(A144="""",D144="""",C144=""""),"""",IFERROR(MAX(0,C144-MAX(FILTER($C$2:$C144,TRIM($D$2:$D144)=TRIM(D144),(($A$2:$A144&lt;A144)+(($A$2:$A144=A144)*(ROW($A$2:$A144)&lt;ROW(A144))))))),""""))"),52.0)</f>
        <v>52</v>
      </c>
    </row>
    <row r="145" ht="22.5" customHeight="1">
      <c r="A145" s="78">
        <v>46085.0</v>
      </c>
      <c r="B145" s="7" t="s">
        <v>12</v>
      </c>
      <c r="C145" s="80">
        <v>87967.0</v>
      </c>
      <c r="D145" s="84" t="str">
        <f>IFERROR(VLOOKUP(B145,BASE_VEICULOS!$A:$B,2,0),"")</f>
        <v>FIL8C14</v>
      </c>
      <c r="E145" s="82">
        <f>IFERROR(__xludf.DUMMYFUNCTION("IF(OR(A145="""",D145="""",C145=""""),"""",IFERROR(MAX(0,C145-MAX(FILTER($C$2:$C145,TRIM($D$2:$D145)=TRIM(D145),(($A$2:$A145&lt;A145)+(($A$2:$A145=A145)*(ROW($A$2:$A145)&lt;ROW(A145))))))),""""))"),109.0)</f>
        <v>109</v>
      </c>
    </row>
    <row r="146" ht="22.5" customHeight="1">
      <c r="A146" s="78">
        <v>46085.0</v>
      </c>
      <c r="B146" s="7" t="s">
        <v>29</v>
      </c>
      <c r="C146" s="80">
        <v>71855.0</v>
      </c>
      <c r="D146" s="84" t="str">
        <f>IFERROR(VLOOKUP(B146,BASE_VEICULOS!$A:$B,2,0),"")</f>
        <v>TEQ2I74</v>
      </c>
      <c r="E146" s="82">
        <f>IFERROR(__xludf.DUMMYFUNCTION("IF(OR(A146="""",D146="""",C146=""""),"""",IFERROR(MAX(0,C146-MAX(FILTER($C$2:$C146,TRIM($D$2:$D146)=TRIM(D146),(($A$2:$A146&lt;A146)+(($A$2:$A146=A146)*(ROW($A$2:$A146)&lt;ROW(A146))))))),""""))"),52.0)</f>
        <v>52</v>
      </c>
    </row>
    <row r="147" ht="22.5" customHeight="1">
      <c r="A147" s="78">
        <v>46085.0</v>
      </c>
      <c r="B147" s="7" t="s">
        <v>16</v>
      </c>
      <c r="C147" s="80">
        <v>11291.0</v>
      </c>
      <c r="D147" s="84" t="str">
        <f>IFERROR(VLOOKUP(B147,BASE_VEICULOS!$A:$B,2,0),"")</f>
        <v>TEW9A27</v>
      </c>
      <c r="E147" s="82">
        <f>IFERROR(__xludf.DUMMYFUNCTION("IF(OR(A147="""",D147="""",C147=""""),"""",IFERROR(MAX(0,C147-MAX(FILTER($C$2:$C147,TRIM($D$2:$D147)=TRIM(D147),(($A$2:$A147&lt;A147)+(($A$2:$A147=A147)*(ROW($A$2:$A147)&lt;ROW(A147))))))),""""))"),165.0)</f>
        <v>165</v>
      </c>
    </row>
    <row r="148" ht="22.5" customHeight="1">
      <c r="A148" s="78">
        <v>46085.0</v>
      </c>
      <c r="B148" s="7" t="s">
        <v>17</v>
      </c>
      <c r="C148" s="80">
        <v>11303.0</v>
      </c>
      <c r="D148" s="84" t="str">
        <f>IFERROR(VLOOKUP(B148,BASE_VEICULOS!$A:$B,2,0),"")</f>
        <v/>
      </c>
      <c r="E148" s="82" t="str">
        <f>IFERROR(__xludf.DUMMYFUNCTION("IF(OR(A148="""",D148="""",C148=""""),"""",IFERROR(MAX(0,C148-MAX(FILTER($C$2:$C148,TRIM($D$2:$D148)=TRIM(D148),(($A$2:$A148&lt;A148)+(($A$2:$A148=A148)*(ROW($A$2:$A148)&lt;ROW(A148))))))),""""))"),"")</f>
        <v/>
      </c>
    </row>
    <row r="149" ht="22.5" customHeight="1">
      <c r="A149" s="78">
        <v>46085.0</v>
      </c>
      <c r="B149" s="7" t="s">
        <v>18</v>
      </c>
      <c r="C149" s="80">
        <v>15421.0</v>
      </c>
      <c r="D149" s="84" t="str">
        <f>IFERROR(VLOOKUP(B149,BASE_VEICULOS!$A:$B,2,0),"")</f>
        <v>TEW9A29</v>
      </c>
      <c r="E149" s="82">
        <f>IFERROR(__xludf.DUMMYFUNCTION("IF(OR(A149="""",D149="""",C149=""""),"""",IFERROR(MAX(0,C149-MAX(FILTER($C$2:$C149,TRIM($D$2:$D149)=TRIM(D149),(($A$2:$A149&lt;A149)+(($A$2:$A149=A149)*(ROW($A$2:$A149)&lt;ROW(A149))))))),""""))"),384.0)</f>
        <v>384</v>
      </c>
    </row>
    <row r="150" ht="22.5" customHeight="1">
      <c r="A150" s="78">
        <v>46085.0</v>
      </c>
      <c r="B150" s="7" t="s">
        <v>22</v>
      </c>
      <c r="C150" s="80">
        <v>25990.0</v>
      </c>
      <c r="D150" s="84" t="str">
        <f>IFERROR(VLOOKUP(B150,BASE_VEICULOS!$A:$B,2,0),"")</f>
        <v>TET5H37</v>
      </c>
      <c r="E150" s="82">
        <f>IFERROR(__xludf.DUMMYFUNCTION("IF(OR(A150="""",D150="""",C150=""""),"""",IFERROR(MAX(0,C150-MAX(FILTER($C$2:$C150,TRIM($D$2:$D150)=TRIM(D150),(($A$2:$A150&lt;A150)+(($A$2:$A150=A150)*(ROW($A$2:$A150)&lt;ROW(A150))))))),""""))"),212.0)</f>
        <v>212</v>
      </c>
    </row>
    <row r="151" ht="22.5" customHeight="1">
      <c r="A151" s="78">
        <v>46085.0</v>
      </c>
      <c r="B151" s="7" t="s">
        <v>20</v>
      </c>
      <c r="C151" s="80">
        <v>14648.0</v>
      </c>
      <c r="D151" s="84" t="str">
        <f>IFERROR(VLOOKUP(B151,BASE_VEICULOS!$A:$B,2,0),"")</f>
        <v>TEW9A34</v>
      </c>
      <c r="E151" s="82">
        <f>IFERROR(__xludf.DUMMYFUNCTION("IF(OR(A151="""",D151="""",C151=""""),"""",IFERROR(MAX(0,C151-MAX(FILTER($C$2:$C151,TRIM($D$2:$D151)=TRIM(D151),(($A$2:$A151&lt;A151)+(($A$2:$A151=A151)*(ROW($A$2:$A151)&lt;ROW(A151))))))),""""))"),134.0)</f>
        <v>134</v>
      </c>
    </row>
    <row r="152" ht="22.5" customHeight="1">
      <c r="A152" s="78">
        <v>46085.0</v>
      </c>
      <c r="B152" s="7" t="s">
        <v>33</v>
      </c>
      <c r="C152" s="80">
        <v>66497.0</v>
      </c>
      <c r="D152" s="84" t="str">
        <f>IFERROR(VLOOKUP(B152,BASE_VEICULOS!$A:$B,2,0),"")</f>
        <v>TEW9A30</v>
      </c>
      <c r="E152" s="82">
        <f>IFERROR(__xludf.DUMMYFUNCTION("IF(OR(A152="""",D152="""",C152=""""),"""",IFERROR(MAX(0,C152-MAX(FILTER($C$2:$C152,TRIM($D$2:$D152)=TRIM(D152),(($A$2:$A152&lt;A152)+(($A$2:$A152=A152)*(ROW($A$2:$A152)&lt;ROW(A152))))))),""""))"),73.0)</f>
        <v>73</v>
      </c>
    </row>
    <row r="153" ht="22.5" customHeight="1">
      <c r="A153" s="78">
        <v>46085.0</v>
      </c>
      <c r="B153" s="7" t="s">
        <v>13</v>
      </c>
      <c r="C153" s="80">
        <v>104359.0</v>
      </c>
      <c r="D153" s="84" t="str">
        <f>IFERROR(VLOOKUP(B153,BASE_VEICULOS!$A:$B,2,0),"")</f>
        <v>FGO3C61</v>
      </c>
      <c r="E153" s="82">
        <f>IFERROR(__xludf.DUMMYFUNCTION("IF(OR(A153="""",D153="""",C153=""""),"""",IFERROR(MAX(0,C153-MAX(FILTER($C$2:$C153,TRIM($D$2:$D153)=TRIM(D153),(($A$2:$A153&lt;A153)+(($A$2:$A153=A153)*(ROW($A$2:$A153)&lt;ROW(A153))))))),""""))"),126.0)</f>
        <v>126</v>
      </c>
    </row>
    <row r="154" ht="22.5" customHeight="1">
      <c r="A154" s="78">
        <v>46085.0</v>
      </c>
      <c r="B154" s="7" t="s">
        <v>24</v>
      </c>
      <c r="C154" s="80">
        <v>16189.0</v>
      </c>
      <c r="D154" s="84" t="str">
        <f>IFERROR(VLOOKUP(B154,BASE_VEICULOS!$A:$B,2,0),"")</f>
        <v>TEW9A23</v>
      </c>
      <c r="E154" s="82">
        <f>IFERROR(__xludf.DUMMYFUNCTION("IF(OR(A154="""",D154="""",C154=""""),"""",IFERROR(MAX(0,C154-MAX(FILTER($C$2:$C154,TRIM($D$2:$D154)=TRIM(D154),(($A$2:$A154&lt;A154)+(($A$2:$A154=A154)*(ROW($A$2:$A154)&lt;ROW(A154))))))),""""))"),249.0)</f>
        <v>249</v>
      </c>
    </row>
    <row r="155" ht="22.5" customHeight="1">
      <c r="A155" s="78">
        <v>46085.0</v>
      </c>
      <c r="B155" s="7" t="s">
        <v>19</v>
      </c>
      <c r="C155" s="80">
        <v>16024.0</v>
      </c>
      <c r="D155" s="84" t="str">
        <f>IFERROR(VLOOKUP(B155,BASE_VEICULOS!$A:$B,2,0),"")</f>
        <v>TEW9A24</v>
      </c>
      <c r="E155" s="82">
        <f>IFERROR(__xludf.DUMMYFUNCTION("IF(OR(A155="""",D155="""",C155=""""),"""",IFERROR(MAX(0,C155-MAX(FILTER($C$2:$C155,TRIM($D$2:$D155)=TRIM(D155),(($A$2:$A155&lt;A155)+(($A$2:$A155=A155)*(ROW($A$2:$A155)&lt;ROW(A155))))))),""""))"),98.0)</f>
        <v>98</v>
      </c>
    </row>
    <row r="156" ht="22.5" customHeight="1">
      <c r="A156" s="78">
        <v>46085.0</v>
      </c>
      <c r="B156" s="7" t="s">
        <v>30</v>
      </c>
      <c r="C156" s="80">
        <v>17287.0</v>
      </c>
      <c r="D156" s="84" t="str">
        <f>IFERROR(VLOOKUP(B156,BASE_VEICULOS!$A:$B,2,0),"")</f>
        <v/>
      </c>
      <c r="E156" s="82" t="str">
        <f>IFERROR(__xludf.DUMMYFUNCTION("IF(OR(A156="""",D156="""",C156=""""),"""",IFERROR(MAX(0,C156-MAX(FILTER($C$2:$C156,TRIM($D$2:$D156)=TRIM(D156),(($A$2:$A156&lt;A156)+(($A$2:$A156=A156)*(ROW($A$2:$A156)&lt;ROW(A156))))))),""""))"),"")</f>
        <v/>
      </c>
    </row>
    <row r="157" ht="22.5" customHeight="1">
      <c r="A157" s="78">
        <v>46085.0</v>
      </c>
      <c r="B157" s="7" t="s">
        <v>23</v>
      </c>
      <c r="C157" s="80">
        <v>15779.0</v>
      </c>
      <c r="D157" s="84" t="str">
        <f>IFERROR(VLOOKUP(B157,BASE_VEICULOS!$A:$B,2,0),"")</f>
        <v>TEH3I02</v>
      </c>
      <c r="E157" s="82">
        <f>IFERROR(__xludf.DUMMYFUNCTION("IF(OR(A157="""",D157="""",C157=""""),"""",IFERROR(MAX(0,C157-MAX(FILTER($C$2:$C157,TRIM($D$2:$D157)=TRIM(D157),(($A$2:$A157&lt;A157)+(($A$2:$A157=A157)*(ROW($A$2:$A157)&lt;ROW(A157))))))),""""))"),246.0)</f>
        <v>246</v>
      </c>
    </row>
    <row r="158" ht="22.5" customHeight="1">
      <c r="A158" s="78">
        <v>46085.0</v>
      </c>
      <c r="B158" s="7" t="s">
        <v>25</v>
      </c>
      <c r="C158" s="80">
        <v>13388.0</v>
      </c>
      <c r="D158" s="84" t="str">
        <f>IFERROR(VLOOKUP(B158,BASE_VEICULOS!$A:$B,2,0),"")</f>
        <v>TEW9A26</v>
      </c>
      <c r="E158" s="82">
        <f>IFERROR(__xludf.DUMMYFUNCTION("IF(OR(A158="""",D158="""",C158=""""),"""",IFERROR(MAX(0,C158-MAX(FILTER($C$2:$C158,TRIM($D$2:$D158)=TRIM(D158),(($A$2:$A158&lt;A158)+(($A$2:$A158=A158)*(ROW($A$2:$A158)&lt;ROW(A158))))))),""""))"),99.0)</f>
        <v>99</v>
      </c>
    </row>
    <row r="159" ht="22.5" customHeight="1">
      <c r="A159" s="78">
        <v>46086.0</v>
      </c>
      <c r="B159" s="7" t="s">
        <v>21</v>
      </c>
      <c r="C159" s="80">
        <v>16184.0</v>
      </c>
      <c r="D159" s="84" t="str">
        <f>IFERROR(VLOOKUP(B159,BASE_VEICULOS!$A:$B,2,0),"")</f>
        <v>TEW9A33</v>
      </c>
      <c r="E159" s="82">
        <f>IFERROR(__xludf.DUMMYFUNCTION("IF(OR(A159="""",D159="""",C159=""""),"""",IFERROR(MAX(0,C159-MAX(FILTER($C$2:$C159,TRIM($D$2:$D159)=TRIM(D159),(($A$2:$A159&lt;A159)+(($A$2:$A159=A159)*(ROW($A$2:$A159)&lt;ROW(A159))))))),""""))"),43.0)</f>
        <v>43</v>
      </c>
    </row>
    <row r="160" ht="22.5" customHeight="1">
      <c r="A160" s="78">
        <v>46086.0</v>
      </c>
      <c r="B160" s="7" t="s">
        <v>24</v>
      </c>
      <c r="C160" s="80">
        <v>16332.0</v>
      </c>
      <c r="D160" s="84" t="str">
        <f>IFERROR(VLOOKUP(B160,BASE_VEICULOS!$A:$B,2,0),"")</f>
        <v>TEW9A23</v>
      </c>
      <c r="E160" s="82">
        <f>IFERROR(__xludf.DUMMYFUNCTION("IF(OR(A160="""",D160="""",C160=""""),"""",IFERROR(MAX(0,C160-MAX(FILTER($C$2:$C160,TRIM($D$2:$D160)=TRIM(D160),(($A$2:$A160&lt;A160)+(($A$2:$A160=A160)*(ROW($A$2:$A160)&lt;ROW(A160))))))),""""))"),143.0)</f>
        <v>143</v>
      </c>
    </row>
    <row r="161" ht="22.5" customHeight="1">
      <c r="A161" s="78">
        <v>46086.0</v>
      </c>
      <c r="B161" s="7" t="s">
        <v>10</v>
      </c>
      <c r="C161" s="80">
        <v>16008.0</v>
      </c>
      <c r="D161" s="84" t="str">
        <f>IFERROR(VLOOKUP(B161,BASE_VEICULOS!$A:$B,2,0),"")</f>
        <v>TEW9A25</v>
      </c>
      <c r="E161" s="82">
        <f>IFERROR(__xludf.DUMMYFUNCTION("IF(OR(A161="""",D161="""",C161=""""),"""",IFERROR(MAX(0,C161-MAX(FILTER($C$2:$C161,TRIM($D$2:$D161)=TRIM(D161),(($A$2:$A161&lt;A161)+(($A$2:$A161=A161)*(ROW($A$2:$A161)&lt;ROW(A161))))))),""""))"),247.0)</f>
        <v>247</v>
      </c>
    </row>
    <row r="162" ht="22.5" customHeight="1">
      <c r="A162" s="78">
        <v>46086.0</v>
      </c>
      <c r="B162" s="7" t="s">
        <v>25</v>
      </c>
      <c r="C162" s="80">
        <v>13518.0</v>
      </c>
      <c r="D162" s="84" t="str">
        <f>IFERROR(VLOOKUP(B162,BASE_VEICULOS!$A:$B,2,0),"")</f>
        <v>TEW9A26</v>
      </c>
      <c r="E162" s="82">
        <f>IFERROR(__xludf.DUMMYFUNCTION("IF(OR(A162="""",D162="""",C162=""""),"""",IFERROR(MAX(0,C162-MAX(FILTER($C$2:$C162,TRIM($D$2:$D162)=TRIM(D162),(($A$2:$A162&lt;A162)+(($A$2:$A162=A162)*(ROW($A$2:$A162)&lt;ROW(A162))))))),""""))"),130.0)</f>
        <v>130</v>
      </c>
    </row>
    <row r="163" ht="22.5" customHeight="1">
      <c r="A163" s="78">
        <v>46086.0</v>
      </c>
      <c r="B163" s="7" t="s">
        <v>30</v>
      </c>
      <c r="C163" s="80">
        <v>17378.0</v>
      </c>
      <c r="D163" s="84" t="str">
        <f>IFERROR(VLOOKUP(B163,BASE_VEICULOS!$A:$B,2,0),"")</f>
        <v/>
      </c>
      <c r="E163" s="82" t="str">
        <f>IFERROR(__xludf.DUMMYFUNCTION("IF(OR(A163="""",D163="""",C163=""""),"""",IFERROR(MAX(0,C163-MAX(FILTER($C$2:$C163,TRIM($D$2:$D163)=TRIM(D163),(($A$2:$A163&lt;A163)+(($A$2:$A163=A163)*(ROW($A$2:$A163)&lt;ROW(A163))))))),""""))"),"")</f>
        <v/>
      </c>
    </row>
    <row r="164" ht="22.5" customHeight="1">
      <c r="A164" s="78">
        <v>46086.0</v>
      </c>
      <c r="B164" s="7" t="s">
        <v>20</v>
      </c>
      <c r="C164" s="80">
        <v>14770.0</v>
      </c>
      <c r="D164" s="84" t="str">
        <f>IFERROR(VLOOKUP(B164,BASE_VEICULOS!$A:$B,2,0),"")</f>
        <v>TEW9A34</v>
      </c>
      <c r="E164" s="82">
        <f>IFERROR(__xludf.DUMMYFUNCTION("IF(OR(A164="""",D164="""",C164=""""),"""",IFERROR(MAX(0,C164-MAX(FILTER($C$2:$C164,TRIM($D$2:$D164)=TRIM(D164),(($A$2:$A164&lt;A164)+(($A$2:$A164=A164)*(ROW($A$2:$A164)&lt;ROW(A164))))))),""""))"),122.0)</f>
        <v>122</v>
      </c>
    </row>
    <row r="165" ht="22.5" customHeight="1">
      <c r="A165" s="78">
        <v>46086.0</v>
      </c>
      <c r="B165" s="7" t="s">
        <v>11</v>
      </c>
      <c r="C165" s="80">
        <v>94807.0</v>
      </c>
      <c r="D165" s="84" t="str">
        <f>IFERROR(VLOOKUP(B165,BASE_VEICULOS!$A:$B,2,0),"")</f>
        <v>TEW9A28</v>
      </c>
      <c r="E165" s="82">
        <f>IFERROR(__xludf.DUMMYFUNCTION("IF(OR(A165="""",D165="""",C165=""""),"""",IFERROR(MAX(0,C165-MAX(FILTER($C$2:$C165,TRIM($D$2:$D165)=TRIM(D165),(($A$2:$A165&lt;A165)+(($A$2:$A165=A165)*(ROW($A$2:$A165)&lt;ROW(A165))))))),""""))"),157.0)</f>
        <v>157</v>
      </c>
    </row>
    <row r="166" ht="22.5" customHeight="1">
      <c r="A166" s="78">
        <v>46086.0</v>
      </c>
      <c r="B166" s="7" t="s">
        <v>14</v>
      </c>
      <c r="C166" s="80">
        <v>89245.0</v>
      </c>
      <c r="D166" s="84" t="str">
        <f>IFERROR(VLOOKUP(B166,BASE_VEICULOS!$A:$B,2,0),"")</f>
        <v>FOK8A73</v>
      </c>
      <c r="E166" s="82">
        <f>IFERROR(__xludf.DUMMYFUNCTION("IF(OR(A166="""",D166="""",C166=""""),"""",IFERROR(MAX(0,C166-MAX(FILTER($C$2:$C166,TRIM($D$2:$D166)=TRIM(D166),(($A$2:$A166&lt;A166)+(($A$2:$A166=A166)*(ROW($A$2:$A166)&lt;ROW(A166))))))),""""))"),122.0)</f>
        <v>122</v>
      </c>
    </row>
    <row r="167" ht="22.5" customHeight="1">
      <c r="A167" s="78">
        <v>46086.0</v>
      </c>
      <c r="B167" s="7" t="s">
        <v>15</v>
      </c>
      <c r="C167" s="80">
        <v>106651.0</v>
      </c>
      <c r="D167" s="84" t="str">
        <f>IFERROR(VLOOKUP(B167,BASE_VEICULOS!$A:$B,2,0),"")</f>
        <v>EWH1B84</v>
      </c>
      <c r="E167" s="82">
        <f>IFERROR(__xludf.DUMMYFUNCTION("IF(OR(A167="""",D167="""",C167=""""),"""",IFERROR(MAX(0,C167-MAX(FILTER($C$2:$C167,TRIM($D$2:$D167)=TRIM(D167),(($A$2:$A167&lt;A167)+(($A$2:$A167=A167)*(ROW($A$2:$A167)&lt;ROW(A167))))))),""""))"),36.0)</f>
        <v>36</v>
      </c>
    </row>
    <row r="168" ht="22.5" customHeight="1">
      <c r="A168" s="78">
        <v>46086.0</v>
      </c>
      <c r="B168" s="7" t="s">
        <v>23</v>
      </c>
      <c r="C168" s="80">
        <v>16073.0</v>
      </c>
      <c r="D168" s="84" t="str">
        <f>IFERROR(VLOOKUP(B168,BASE_VEICULOS!$A:$B,2,0),"")</f>
        <v>TEH3I02</v>
      </c>
      <c r="E168" s="82">
        <f>IFERROR(__xludf.DUMMYFUNCTION("IF(OR(A168="""",D168="""",C168=""""),"""",IFERROR(MAX(0,C168-MAX(FILTER($C$2:$C168,TRIM($D$2:$D168)=TRIM(D168),(($A$2:$A168&lt;A168)+(($A$2:$A168=A168)*(ROW($A$2:$A168)&lt;ROW(A168))))))),""""))"),294.0)</f>
        <v>294</v>
      </c>
    </row>
    <row r="169" ht="22.5" customHeight="1">
      <c r="A169" s="78">
        <v>46086.0</v>
      </c>
      <c r="B169" s="7" t="s">
        <v>12</v>
      </c>
      <c r="C169" s="80">
        <v>88057.0</v>
      </c>
      <c r="D169" s="84" t="str">
        <f>IFERROR(VLOOKUP(B169,BASE_VEICULOS!$A:$B,2,0),"")</f>
        <v>FIL8C14</v>
      </c>
      <c r="E169" s="82">
        <f>IFERROR(__xludf.DUMMYFUNCTION("IF(OR(A169="""",D169="""",C169=""""),"""",IFERROR(MAX(0,C169-MAX(FILTER($C$2:$C169,TRIM($D$2:$D169)=TRIM(D169),(($A$2:$A169&lt;A169)+(($A$2:$A169=A169)*(ROW($A$2:$A169)&lt;ROW(A169))))))),""""))"),90.0)</f>
        <v>90</v>
      </c>
    </row>
    <row r="170" ht="22.5" customHeight="1">
      <c r="A170" s="78">
        <v>46086.0</v>
      </c>
      <c r="B170" s="7" t="s">
        <v>16</v>
      </c>
      <c r="C170" s="80">
        <v>11352.0</v>
      </c>
      <c r="D170" s="84" t="str">
        <f>IFERROR(VLOOKUP(B170,BASE_VEICULOS!$A:$B,2,0),"")</f>
        <v>TEW9A27</v>
      </c>
      <c r="E170" s="82">
        <f>IFERROR(__xludf.DUMMYFUNCTION("IF(OR(A170="""",D170="""",C170=""""),"""",IFERROR(MAX(0,C170-MAX(FILTER($C$2:$C170,TRIM($D$2:$D170)=TRIM(D170),(($A$2:$A170&lt;A170)+(($A$2:$A170=A170)*(ROW($A$2:$A170)&lt;ROW(A170))))))),""""))"),61.0)</f>
        <v>61</v>
      </c>
    </row>
    <row r="171" ht="22.5" customHeight="1">
      <c r="A171" s="78">
        <v>46086.0</v>
      </c>
      <c r="B171" s="7" t="s">
        <v>22</v>
      </c>
      <c r="C171" s="80">
        <v>26181.0</v>
      </c>
      <c r="D171" s="84" t="str">
        <f>IFERROR(VLOOKUP(B171,BASE_VEICULOS!$A:$B,2,0),"")</f>
        <v>TET5H37</v>
      </c>
      <c r="E171" s="82">
        <f>IFERROR(__xludf.DUMMYFUNCTION("IF(OR(A171="""",D171="""",C171=""""),"""",IFERROR(MAX(0,C171-MAX(FILTER($C$2:$C171,TRIM($D$2:$D171)=TRIM(D171),(($A$2:$A171&lt;A171)+(($A$2:$A171=A171)*(ROW($A$2:$A171)&lt;ROW(A171))))))),""""))"),191.0)</f>
        <v>191</v>
      </c>
    </row>
    <row r="172" ht="22.5" customHeight="1">
      <c r="A172" s="78">
        <v>46086.0</v>
      </c>
      <c r="B172" s="7" t="s">
        <v>19</v>
      </c>
      <c r="C172" s="80">
        <v>16474.0</v>
      </c>
      <c r="D172" s="84" t="str">
        <f>IFERROR(VLOOKUP(B172,BASE_VEICULOS!$A:$B,2,0),"")</f>
        <v>TEW9A24</v>
      </c>
      <c r="E172" s="82">
        <f>IFERROR(__xludf.DUMMYFUNCTION("IF(OR(A172="""",D172="""",C172=""""),"""",IFERROR(MAX(0,C172-MAX(FILTER($C$2:$C172,TRIM($D$2:$D172)=TRIM(D172),(($A$2:$A172&lt;A172)+(($A$2:$A172=A172)*(ROW($A$2:$A172)&lt;ROW(A172))))))),""""))"),450.0)</f>
        <v>450</v>
      </c>
    </row>
    <row r="173" ht="22.5" customHeight="1">
      <c r="A173" s="78">
        <v>46086.0</v>
      </c>
      <c r="B173" s="7" t="s">
        <v>13</v>
      </c>
      <c r="C173" s="80">
        <v>104663.0</v>
      </c>
      <c r="D173" s="84" t="str">
        <f>IFERROR(VLOOKUP(B173,BASE_VEICULOS!$A:$B,2,0),"")</f>
        <v>FGO3C61</v>
      </c>
      <c r="E173" s="82">
        <f>IFERROR(__xludf.DUMMYFUNCTION("IF(OR(A173="""",D173="""",C173=""""),"""",IFERROR(MAX(0,C173-MAX(FILTER($C$2:$C173,TRIM($D$2:$D173)=TRIM(D173),(($A$2:$A173&lt;A173)+(($A$2:$A173=A173)*(ROW($A$2:$A173)&lt;ROW(A173))))))),""""))"),304.0)</f>
        <v>304</v>
      </c>
    </row>
    <row r="174" ht="22.5" customHeight="1">
      <c r="A174" s="78">
        <v>46086.0</v>
      </c>
      <c r="B174" s="7" t="s">
        <v>17</v>
      </c>
      <c r="C174" s="80">
        <v>11456.0</v>
      </c>
      <c r="D174" s="84" t="str">
        <f>IFERROR(VLOOKUP(B174,BASE_VEICULOS!$A:$B,2,0),"")</f>
        <v/>
      </c>
      <c r="E174" s="82" t="str">
        <f>IFERROR(__xludf.DUMMYFUNCTION("IF(OR(A174="""",D174="""",C174=""""),"""",IFERROR(MAX(0,C174-MAX(FILTER($C$2:$C174,TRIM($D$2:$D174)=TRIM(D174),(($A$2:$A174&lt;A174)+(($A$2:$A174=A174)*(ROW($A$2:$A174)&lt;ROW(A174))))))),""""))"),"")</f>
        <v/>
      </c>
    </row>
    <row r="175" ht="22.5" customHeight="1">
      <c r="A175" s="78">
        <v>46087.0</v>
      </c>
      <c r="B175" s="7" t="s">
        <v>16</v>
      </c>
      <c r="C175" s="80">
        <v>11433.0</v>
      </c>
      <c r="D175" s="84" t="str">
        <f>IFERROR(VLOOKUP(B175,BASE_VEICULOS!$A:$B,2,0),"")</f>
        <v>TEW9A27</v>
      </c>
      <c r="E175" s="82">
        <f>IFERROR(__xludf.DUMMYFUNCTION("IF(OR(A175="""",D175="""",C175=""""),"""",IFERROR(MAX(0,C175-MAX(FILTER($C$2:$C175,TRIM($D$2:$D175)=TRIM(D175),(($A$2:$A175&lt;A175)+(($A$2:$A175=A175)*(ROW($A$2:$A175)&lt;ROW(A175))))))),""""))"),81.0)</f>
        <v>81</v>
      </c>
    </row>
    <row r="176" ht="22.5" customHeight="1">
      <c r="A176" s="78">
        <v>46087.0</v>
      </c>
      <c r="B176" s="7" t="s">
        <v>25</v>
      </c>
      <c r="C176" s="80">
        <v>13593.0</v>
      </c>
      <c r="D176" s="84" t="str">
        <f>IFERROR(VLOOKUP(B176,BASE_VEICULOS!$A:$B,2,0),"")</f>
        <v>TEW9A26</v>
      </c>
      <c r="E176" s="82">
        <f>IFERROR(__xludf.DUMMYFUNCTION("IF(OR(A176="""",D176="""",C176=""""),"""",IFERROR(MAX(0,C176-MAX(FILTER($C$2:$C176,TRIM($D$2:$D176)=TRIM(D176),(($A$2:$A176&lt;A176)+(($A$2:$A176=A176)*(ROW($A$2:$A176)&lt;ROW(A176))))))),""""))"),75.0)</f>
        <v>75</v>
      </c>
    </row>
    <row r="177" ht="22.5" customHeight="1">
      <c r="A177" s="78">
        <v>46087.0</v>
      </c>
      <c r="B177" s="7" t="s">
        <v>10</v>
      </c>
      <c r="C177" s="80">
        <v>16161.0</v>
      </c>
      <c r="D177" s="84" t="str">
        <f>IFERROR(VLOOKUP(B177,BASE_VEICULOS!$A:$B,2,0),"")</f>
        <v>TEW9A25</v>
      </c>
      <c r="E177" s="82">
        <f>IFERROR(__xludf.DUMMYFUNCTION("IF(OR(A177="""",D177="""",C177=""""),"""",IFERROR(MAX(0,C177-MAX(FILTER($C$2:$C177,TRIM($D$2:$D177)=TRIM(D177),(($A$2:$A177&lt;A177)+(($A$2:$A177=A177)*(ROW($A$2:$A177)&lt;ROW(A177))))))),""""))"),153.0)</f>
        <v>153</v>
      </c>
    </row>
    <row r="178" ht="22.5" customHeight="1">
      <c r="A178" s="78">
        <v>46087.0</v>
      </c>
      <c r="B178" s="7" t="s">
        <v>19</v>
      </c>
      <c r="C178" s="80">
        <v>16566.0</v>
      </c>
      <c r="D178" s="84" t="str">
        <f>IFERROR(VLOOKUP(B178,BASE_VEICULOS!$A:$B,2,0),"")</f>
        <v>TEW9A24</v>
      </c>
      <c r="E178" s="82">
        <f>IFERROR(__xludf.DUMMYFUNCTION("IF(OR(A178="""",D178="""",C178=""""),"""",IFERROR(MAX(0,C178-MAX(FILTER($C$2:$C178,TRIM($D$2:$D178)=TRIM(D178),(($A$2:$A178&lt;A178)+(($A$2:$A178=A178)*(ROW($A$2:$A178)&lt;ROW(A178))))))),""""))"),92.0)</f>
        <v>92</v>
      </c>
    </row>
    <row r="179" ht="22.5" customHeight="1">
      <c r="A179" s="78">
        <v>46087.0</v>
      </c>
      <c r="B179" s="7" t="s">
        <v>20</v>
      </c>
      <c r="C179" s="80">
        <v>14907.0</v>
      </c>
      <c r="D179" s="84" t="str">
        <f>IFERROR(VLOOKUP(B179,BASE_VEICULOS!$A:$B,2,0),"")</f>
        <v>TEW9A34</v>
      </c>
      <c r="E179" s="82">
        <f>IFERROR(__xludf.DUMMYFUNCTION("IF(OR(A179="""",D179="""",C179=""""),"""",IFERROR(MAX(0,C179-MAX(FILTER($C$2:$C179,TRIM($D$2:$D179)=TRIM(D179),(($A$2:$A179&lt;A179)+(($A$2:$A179=A179)*(ROW($A$2:$A179)&lt;ROW(A179))))))),""""))"),137.0)</f>
        <v>137</v>
      </c>
    </row>
    <row r="180" ht="22.5" customHeight="1">
      <c r="A180" s="78">
        <v>46087.0</v>
      </c>
      <c r="B180" s="7" t="s">
        <v>11</v>
      </c>
      <c r="C180" s="80">
        <v>94931.0</v>
      </c>
      <c r="D180" s="84" t="str">
        <f>IFERROR(VLOOKUP(B180,BASE_VEICULOS!$A:$B,2,0),"")</f>
        <v>TEW9A28</v>
      </c>
      <c r="E180" s="82">
        <f>IFERROR(__xludf.DUMMYFUNCTION("IF(OR(A180="""",D180="""",C180=""""),"""",IFERROR(MAX(0,C180-MAX(FILTER($C$2:$C180,TRIM($D$2:$D180)=TRIM(D180),(($A$2:$A180&lt;A180)+(($A$2:$A180=A180)*(ROW($A$2:$A180)&lt;ROW(A180))))))),""""))"),124.0)</f>
        <v>124</v>
      </c>
    </row>
    <row r="181" ht="22.5" customHeight="1">
      <c r="A181" s="78">
        <v>46087.0</v>
      </c>
      <c r="B181" s="7" t="s">
        <v>17</v>
      </c>
      <c r="C181" s="80">
        <v>11625.0</v>
      </c>
      <c r="D181" s="84" t="str">
        <f>IFERROR(VLOOKUP(B181,BASE_VEICULOS!$A:$B,2,0),"")</f>
        <v/>
      </c>
      <c r="E181" s="82" t="str">
        <f>IFERROR(__xludf.DUMMYFUNCTION("IF(OR(A181="""",D181="""",C181=""""),"""",IFERROR(MAX(0,C181-MAX(FILTER($C$2:$C181,TRIM($D$2:$D181)=TRIM(D181),(($A$2:$A181&lt;A181)+(($A$2:$A181=A181)*(ROW($A$2:$A181)&lt;ROW(A181))))))),""""))"),"")</f>
        <v/>
      </c>
    </row>
    <row r="182" ht="22.5" customHeight="1">
      <c r="A182" s="78">
        <v>46087.0</v>
      </c>
      <c r="B182" s="7" t="s">
        <v>12</v>
      </c>
      <c r="C182" s="80">
        <v>88155.0</v>
      </c>
      <c r="D182" s="84" t="str">
        <f>IFERROR(VLOOKUP(B182,BASE_VEICULOS!$A:$B,2,0),"")</f>
        <v>FIL8C14</v>
      </c>
      <c r="E182" s="82">
        <f>IFERROR(__xludf.DUMMYFUNCTION("IF(OR(A182="""",D182="""",C182=""""),"""",IFERROR(MAX(0,C182-MAX(FILTER($C$2:$C182,TRIM($D$2:$D182)=TRIM(D182),(($A$2:$A182&lt;A182)+(($A$2:$A182=A182)*(ROW($A$2:$A182)&lt;ROW(A182))))))),""""))"),98.0)</f>
        <v>98</v>
      </c>
    </row>
    <row r="183" ht="22.5" customHeight="1">
      <c r="A183" s="78">
        <v>46087.0</v>
      </c>
      <c r="B183" s="7" t="s">
        <v>14</v>
      </c>
      <c r="C183" s="80">
        <v>89385.0</v>
      </c>
      <c r="D183" s="84" t="str">
        <f>IFERROR(VLOOKUP(B183,BASE_VEICULOS!$A:$B,2,0),"")</f>
        <v>FOK8A73</v>
      </c>
      <c r="E183" s="82">
        <f>IFERROR(__xludf.DUMMYFUNCTION("IF(OR(A183="""",D183="""",C183=""""),"""",IFERROR(MAX(0,C183-MAX(FILTER($C$2:$C183,TRIM($D$2:$D183)=TRIM(D183),(($A$2:$A183&lt;A183)+(($A$2:$A183=A183)*(ROW($A$2:$A183)&lt;ROW(A183))))))),""""))"),140.0)</f>
        <v>140</v>
      </c>
    </row>
    <row r="184" ht="22.5" customHeight="1">
      <c r="A184" s="78">
        <v>46087.0</v>
      </c>
      <c r="B184" s="7" t="s">
        <v>22</v>
      </c>
      <c r="C184" s="80">
        <v>26377.0</v>
      </c>
      <c r="D184" s="84" t="str">
        <f>IFERROR(VLOOKUP(B184,BASE_VEICULOS!$A:$B,2,0),"")</f>
        <v>TET5H37</v>
      </c>
      <c r="E184" s="82">
        <f>IFERROR(__xludf.DUMMYFUNCTION("IF(OR(A184="""",D184="""",C184=""""),"""",IFERROR(MAX(0,C184-MAX(FILTER($C$2:$C184,TRIM($D$2:$D184)=TRIM(D184),(($A$2:$A184&lt;A184)+(($A$2:$A184=A184)*(ROW($A$2:$A184)&lt;ROW(A184))))))),""""))"),196.0)</f>
        <v>196</v>
      </c>
    </row>
    <row r="185" ht="22.5" customHeight="1">
      <c r="A185" s="78">
        <v>46087.0</v>
      </c>
      <c r="B185" s="7" t="s">
        <v>21</v>
      </c>
      <c r="C185" s="80">
        <v>16470.0</v>
      </c>
      <c r="D185" s="84" t="str">
        <f>IFERROR(VLOOKUP(B185,BASE_VEICULOS!$A:$B,2,0),"")</f>
        <v>TEW9A33</v>
      </c>
      <c r="E185" s="82">
        <f>IFERROR(__xludf.DUMMYFUNCTION("IF(OR(A185="""",D185="""",C185=""""),"""",IFERROR(MAX(0,C185-MAX(FILTER($C$2:$C185,TRIM($D$2:$D185)=TRIM(D185),(($A$2:$A185&lt;A185)+(($A$2:$A185=A185)*(ROW($A$2:$A185)&lt;ROW(A185))))))),""""))"),286.0)</f>
        <v>286</v>
      </c>
    </row>
    <row r="186" ht="22.5" customHeight="1">
      <c r="A186" s="78">
        <v>46087.0</v>
      </c>
      <c r="B186" s="7" t="s">
        <v>18</v>
      </c>
      <c r="C186" s="80">
        <v>15818.0</v>
      </c>
      <c r="D186" s="84" t="str">
        <f>IFERROR(VLOOKUP(B186,BASE_VEICULOS!$A:$B,2,0),"")</f>
        <v>TEW9A29</v>
      </c>
      <c r="E186" s="82">
        <f>IFERROR(__xludf.DUMMYFUNCTION("IF(OR(A186="""",D186="""",C186=""""),"""",IFERROR(MAX(0,C186-MAX(FILTER($C$2:$C186,TRIM($D$2:$D186)=TRIM(D186),(($A$2:$A186&lt;A186)+(($A$2:$A186=A186)*(ROW($A$2:$A186)&lt;ROW(A186))))))),""""))"),397.0)</f>
        <v>397</v>
      </c>
    </row>
    <row r="187" ht="22.5" customHeight="1">
      <c r="A187" s="78">
        <v>46087.0</v>
      </c>
      <c r="B187" s="7" t="s">
        <v>30</v>
      </c>
      <c r="C187" s="80">
        <v>17515.0</v>
      </c>
      <c r="D187" s="84" t="str">
        <f>IFERROR(VLOOKUP(B187,BASE_VEICULOS!$A:$B,2,0),"")</f>
        <v/>
      </c>
      <c r="E187" s="82" t="str">
        <f>IFERROR(__xludf.DUMMYFUNCTION("IF(OR(A187="""",D187="""",C187=""""),"""",IFERROR(MAX(0,C187-MAX(FILTER($C$2:$C187,TRIM($D$2:$D187)=TRIM(D187),(($A$2:$A187&lt;A187)+(($A$2:$A187=A187)*(ROW($A$2:$A187)&lt;ROW(A187))))))),""""))"),"")</f>
        <v/>
      </c>
    </row>
    <row r="188" ht="22.5" customHeight="1">
      <c r="A188" s="78">
        <v>46087.0</v>
      </c>
      <c r="B188" s="7" t="s">
        <v>24</v>
      </c>
      <c r="C188" s="80">
        <v>16533.0</v>
      </c>
      <c r="D188" s="84" t="str">
        <f>IFERROR(VLOOKUP(B188,BASE_VEICULOS!$A:$B,2,0),"")</f>
        <v>TEW9A23</v>
      </c>
      <c r="E188" s="82">
        <f>IFERROR(__xludf.DUMMYFUNCTION("IF(OR(A188="""",D188="""",C188=""""),"""",IFERROR(MAX(0,C188-MAX(FILTER($C$2:$C188,TRIM($D$2:$D188)=TRIM(D188),(($A$2:$A188&lt;A188)+(($A$2:$A188=A188)*(ROW($A$2:$A188)&lt;ROW(A188))))))),""""))"),201.0)</f>
        <v>201</v>
      </c>
    </row>
    <row r="189" ht="22.5" customHeight="1">
      <c r="A189" s="78">
        <v>46087.0</v>
      </c>
      <c r="B189" s="7" t="s">
        <v>15</v>
      </c>
      <c r="C189" s="80">
        <v>106744.0</v>
      </c>
      <c r="D189" s="84" t="str">
        <f>IFERROR(VLOOKUP(B189,BASE_VEICULOS!$A:$B,2,0),"")</f>
        <v>EWH1B84</v>
      </c>
      <c r="E189" s="82">
        <f>IFERROR(__xludf.DUMMYFUNCTION("IF(OR(A189="""",D189="""",C189=""""),"""",IFERROR(MAX(0,C189-MAX(FILTER($C$2:$C189,TRIM($D$2:$D189)=TRIM(D189),(($A$2:$A189&lt;A189)+(($A$2:$A189=A189)*(ROW($A$2:$A189)&lt;ROW(A189))))))),""""))"),93.0)</f>
        <v>93</v>
      </c>
    </row>
    <row r="190" ht="22.5" customHeight="1">
      <c r="A190" s="78">
        <v>46087.0</v>
      </c>
      <c r="B190" s="7" t="s">
        <v>23</v>
      </c>
      <c r="C190" s="80">
        <v>16469.0</v>
      </c>
      <c r="D190" s="84" t="str">
        <f>IFERROR(VLOOKUP(B190,BASE_VEICULOS!$A:$B,2,0),"")</f>
        <v>TEH3I02</v>
      </c>
      <c r="E190" s="82">
        <f>IFERROR(__xludf.DUMMYFUNCTION("IF(OR(A190="""",D190="""",C190=""""),"""",IFERROR(MAX(0,C190-MAX(FILTER($C$2:$C190,TRIM($D$2:$D190)=TRIM(D190),(($A$2:$A190&lt;A190)+(($A$2:$A190=A190)*(ROW($A$2:$A190)&lt;ROW(A190))))))),""""))"),396.0)</f>
        <v>396</v>
      </c>
    </row>
    <row r="191" ht="22.5" customHeight="1">
      <c r="A191" s="78">
        <v>46088.0</v>
      </c>
      <c r="B191" s="7" t="s">
        <v>11</v>
      </c>
      <c r="C191" s="80">
        <v>94969.0</v>
      </c>
      <c r="D191" s="84" t="str">
        <f>IFERROR(VLOOKUP(B191,BASE_VEICULOS!$A:$B,2,0),"")</f>
        <v>TEW9A28</v>
      </c>
      <c r="E191" s="82">
        <f>IFERROR(__xludf.DUMMYFUNCTION("IF(OR(A191="""",D191="""",C191=""""),"""",IFERROR(MAX(0,C191-MAX(FILTER($C$2:$C191,TRIM($D$2:$D191)=TRIM(D191),(($A$2:$A191&lt;A191)+(($A$2:$A191=A191)*(ROW($A$2:$A191)&lt;ROW(A191))))))),""""))"),38.0)</f>
        <v>38</v>
      </c>
    </row>
    <row r="192" ht="22.5" customHeight="1">
      <c r="A192" s="78">
        <v>46088.0</v>
      </c>
      <c r="B192" s="7" t="s">
        <v>21</v>
      </c>
      <c r="C192" s="80">
        <v>16678.0</v>
      </c>
      <c r="D192" s="84" t="str">
        <f>IFERROR(VLOOKUP(B192,BASE_VEICULOS!$A:$B,2,0),"")</f>
        <v>TEW9A33</v>
      </c>
      <c r="E192" s="82">
        <f>IFERROR(__xludf.DUMMYFUNCTION("IF(OR(A192="""",D192="""",C192=""""),"""",IFERROR(MAX(0,C192-MAX(FILTER($C$2:$C192,TRIM($D$2:$D192)=TRIM(D192),(($A$2:$A192&lt;A192)+(($A$2:$A192=A192)*(ROW($A$2:$A192)&lt;ROW(A192))))))),""""))"),208.0)</f>
        <v>208</v>
      </c>
    </row>
    <row r="193" ht="22.5" customHeight="1">
      <c r="A193" s="78">
        <v>46088.0</v>
      </c>
      <c r="B193" s="7" t="s">
        <v>19</v>
      </c>
      <c r="C193" s="80">
        <v>16682.0</v>
      </c>
      <c r="D193" s="84" t="str">
        <f>IFERROR(VLOOKUP(B193,BASE_VEICULOS!$A:$B,2,0),"")</f>
        <v>TEW9A24</v>
      </c>
      <c r="E193" s="82">
        <f>IFERROR(__xludf.DUMMYFUNCTION("IF(OR(A193="""",D193="""",C193=""""),"""",IFERROR(MAX(0,C193-MAX(FILTER($C$2:$C193,TRIM($D$2:$D193)=TRIM(D193),(($A$2:$A193&lt;A193)+(($A$2:$A193=A193)*(ROW($A$2:$A193)&lt;ROW(A193))))))),""""))"),116.0)</f>
        <v>116</v>
      </c>
    </row>
    <row r="194" ht="22.5" customHeight="1">
      <c r="A194" s="78">
        <v>46088.0</v>
      </c>
      <c r="B194" s="7" t="s">
        <v>18</v>
      </c>
      <c r="C194" s="80">
        <v>15841.0</v>
      </c>
      <c r="D194" s="84" t="str">
        <f>IFERROR(VLOOKUP(B194,BASE_VEICULOS!$A:$B,2,0),"")</f>
        <v>TEW9A29</v>
      </c>
      <c r="E194" s="82">
        <f>IFERROR(__xludf.DUMMYFUNCTION("IF(OR(A194="""",D194="""",C194=""""),"""",IFERROR(MAX(0,C194-MAX(FILTER($C$2:$C194,TRIM($D$2:$D194)=TRIM(D194),(($A$2:$A194&lt;A194)+(($A$2:$A194=A194)*(ROW($A$2:$A194)&lt;ROW(A194))))))),""""))"),23.0)</f>
        <v>23</v>
      </c>
    </row>
    <row r="195" ht="22.5" customHeight="1">
      <c r="A195" s="78">
        <v>46088.0</v>
      </c>
      <c r="B195" s="7" t="s">
        <v>14</v>
      </c>
      <c r="C195" s="80">
        <v>89565.0</v>
      </c>
      <c r="D195" s="84" t="str">
        <f>IFERROR(VLOOKUP(B195,BASE_VEICULOS!$A:$B,2,0),"")</f>
        <v>FOK8A73</v>
      </c>
      <c r="E195" s="82">
        <f>IFERROR(__xludf.DUMMYFUNCTION("IF(OR(A195="""",D195="""",C195=""""),"""",IFERROR(MAX(0,C195-MAX(FILTER($C$2:$C195,TRIM($D$2:$D195)=TRIM(D195),(($A$2:$A195&lt;A195)+(($A$2:$A195=A195)*(ROW($A$2:$A195)&lt;ROW(A195))))))),""""))"),180.0)</f>
        <v>180</v>
      </c>
    </row>
    <row r="196" ht="22.5" customHeight="1">
      <c r="A196" s="78">
        <v>46089.0</v>
      </c>
      <c r="B196" s="7" t="s">
        <v>18</v>
      </c>
      <c r="C196" s="80">
        <v>16134.0</v>
      </c>
      <c r="D196" s="84" t="str">
        <f>IFERROR(VLOOKUP(B196,BASE_VEICULOS!$A:$B,2,0),"")</f>
        <v>TEW9A29</v>
      </c>
      <c r="E196" s="82">
        <f>IFERROR(__xludf.DUMMYFUNCTION("IF(OR(A196="""",D196="""",C196=""""),"""",IFERROR(MAX(0,C196-MAX(FILTER($C$2:$C196,TRIM($D$2:$D196)=TRIM(D196),(($A$2:$A196&lt;A196)+(($A$2:$A196=A196)*(ROW($A$2:$A196)&lt;ROW(A196))))))),""""))"),293.0)</f>
        <v>293</v>
      </c>
    </row>
    <row r="197" ht="22.5" customHeight="1">
      <c r="A197" s="78">
        <v>46089.0</v>
      </c>
      <c r="B197" s="7" t="s">
        <v>19</v>
      </c>
      <c r="C197" s="80">
        <v>16745.0</v>
      </c>
      <c r="D197" s="84" t="str">
        <f>IFERROR(VLOOKUP(B197,BASE_VEICULOS!$A:$B,2,0),"")</f>
        <v>TEW9A24</v>
      </c>
      <c r="E197" s="82">
        <f>IFERROR(__xludf.DUMMYFUNCTION("IF(OR(A197="""",D197="""",C197=""""),"""",IFERROR(MAX(0,C197-MAX(FILTER($C$2:$C197,TRIM($D$2:$D197)=TRIM(D197),(($A$2:$A197&lt;A197)+(($A$2:$A197=A197)*(ROW($A$2:$A197)&lt;ROW(A197))))))),""""))"),63.0)</f>
        <v>63</v>
      </c>
    </row>
    <row r="198" ht="22.5" customHeight="1">
      <c r="A198" s="78">
        <v>46089.0</v>
      </c>
      <c r="B198" s="7" t="s">
        <v>22</v>
      </c>
      <c r="C198" s="80">
        <v>26472.0</v>
      </c>
      <c r="D198" s="84" t="str">
        <f>IFERROR(VLOOKUP(B198,BASE_VEICULOS!$A:$B,2,0),"")</f>
        <v>TET5H37</v>
      </c>
      <c r="E198" s="82">
        <f>IFERROR(__xludf.DUMMYFUNCTION("IF(OR(A198="""",D198="""",C198=""""),"""",IFERROR(MAX(0,C198-MAX(FILTER($C$2:$C198,TRIM($D$2:$D198)=TRIM(D198),(($A$2:$A198&lt;A198)+(($A$2:$A198=A198)*(ROW($A$2:$A198)&lt;ROW(A198))))))),""""))"),95.0)</f>
        <v>95</v>
      </c>
    </row>
    <row r="199" ht="22.5" customHeight="1">
      <c r="A199" s="78">
        <v>46089.0</v>
      </c>
      <c r="B199" s="7" t="s">
        <v>14</v>
      </c>
      <c r="C199" s="80">
        <v>89765.0</v>
      </c>
      <c r="D199" s="84" t="str">
        <f>IFERROR(VLOOKUP(B199,BASE_VEICULOS!$A:$B,2,0),"")</f>
        <v>FOK8A73</v>
      </c>
      <c r="E199" s="82">
        <f>IFERROR(__xludf.DUMMYFUNCTION("IF(OR(A199="""",D199="""",C199=""""),"""",IFERROR(MAX(0,C199-MAX(FILTER($C$2:$C199,TRIM($D$2:$D199)=TRIM(D199),(($A$2:$A199&lt;A199)+(($A$2:$A199=A199)*(ROW($A$2:$A199)&lt;ROW(A199))))))),""""))"),200.0)</f>
        <v>200</v>
      </c>
    </row>
    <row r="200" ht="22.5" customHeight="1">
      <c r="A200" s="78">
        <v>46089.0</v>
      </c>
      <c r="B200" s="7" t="s">
        <v>21</v>
      </c>
      <c r="C200" s="80">
        <v>16877.0</v>
      </c>
      <c r="D200" s="84" t="str">
        <f>IFERROR(VLOOKUP(B200,BASE_VEICULOS!$A:$B,2,0),"")</f>
        <v>TEW9A33</v>
      </c>
      <c r="E200" s="82">
        <f>IFERROR(__xludf.DUMMYFUNCTION("IF(OR(A200="""",D200="""",C200=""""),"""",IFERROR(MAX(0,C200-MAX(FILTER($C$2:$C200,TRIM($D$2:$D200)=TRIM(D200),(($A$2:$A200&lt;A200)+(($A$2:$A200=A200)*(ROW($A$2:$A200)&lt;ROW(A200))))))),""""))"),199.0)</f>
        <v>199</v>
      </c>
    </row>
    <row r="201" ht="22.5" customHeight="1">
      <c r="A201" s="78">
        <v>46090.0</v>
      </c>
      <c r="B201" s="7" t="s">
        <v>29</v>
      </c>
      <c r="C201" s="80">
        <v>72300.0</v>
      </c>
      <c r="D201" s="84" t="str">
        <f>IFERROR(VLOOKUP(B201,BASE_VEICULOS!$A:$B,2,0),"")</f>
        <v>TEQ2I74</v>
      </c>
      <c r="E201" s="82">
        <f>IFERROR(__xludf.DUMMYFUNCTION("IF(OR(A201="""",D201="""",C201=""""),"""",IFERROR(MAX(0,C201-MAX(FILTER($C$2:$C201,TRIM($D$2:$D201)=TRIM(D201),(($A$2:$A201&lt;A201)+(($A$2:$A201=A201)*(ROW($A$2:$A201)&lt;ROW(A201))))))),""""))"),445.0)</f>
        <v>445</v>
      </c>
    </row>
    <row r="202" ht="22.5" customHeight="1">
      <c r="A202" s="78">
        <v>46090.0</v>
      </c>
      <c r="B202" s="7" t="s">
        <v>11</v>
      </c>
      <c r="C202" s="80">
        <v>95141.0</v>
      </c>
      <c r="D202" s="84" t="str">
        <f>IFERROR(VLOOKUP(B202,BASE_VEICULOS!$A:$B,2,0),"")</f>
        <v>TEW9A28</v>
      </c>
      <c r="E202" s="82">
        <f>IFERROR(__xludf.DUMMYFUNCTION("IF(OR(A202="""",D202="""",C202=""""),"""",IFERROR(MAX(0,C202-MAX(FILTER($C$2:$C202,TRIM($D$2:$D202)=TRIM(D202),(($A$2:$A202&lt;A202)+(($A$2:$A202=A202)*(ROW($A$2:$A202)&lt;ROW(A202))))))),""""))"),172.0)</f>
        <v>172</v>
      </c>
    </row>
    <row r="203" ht="22.5" customHeight="1">
      <c r="A203" s="78">
        <v>46090.0</v>
      </c>
      <c r="B203" s="7" t="s">
        <v>19</v>
      </c>
      <c r="C203" s="80">
        <v>16855.0</v>
      </c>
      <c r="D203" s="84" t="str">
        <f>IFERROR(VLOOKUP(B203,BASE_VEICULOS!$A:$B,2,0),"")</f>
        <v>TEW9A24</v>
      </c>
      <c r="E203" s="82">
        <f>IFERROR(__xludf.DUMMYFUNCTION("IF(OR(A203="""",D203="""",C203=""""),"""",IFERROR(MAX(0,C203-MAX(FILTER($C$2:$C203,TRIM($D$2:$D203)=TRIM(D203),(($A$2:$A203&lt;A203)+(($A$2:$A203=A203)*(ROW($A$2:$A203)&lt;ROW(A203))))))),""""))"),110.0)</f>
        <v>110</v>
      </c>
    </row>
    <row r="204" ht="22.5" customHeight="1">
      <c r="A204" s="78">
        <v>46090.0</v>
      </c>
      <c r="B204" s="7" t="s">
        <v>21</v>
      </c>
      <c r="C204" s="80">
        <v>16990.0</v>
      </c>
      <c r="D204" s="84" t="str">
        <f>IFERROR(VLOOKUP(B204,BASE_VEICULOS!$A:$B,2,0),"")</f>
        <v>TEW9A33</v>
      </c>
      <c r="E204" s="82">
        <f>IFERROR(__xludf.DUMMYFUNCTION("IF(OR(A204="""",D204="""",C204=""""),"""",IFERROR(MAX(0,C204-MAX(FILTER($C$2:$C204,TRIM($D$2:$D204)=TRIM(D204),(($A$2:$A204&lt;A204)+(($A$2:$A204=A204)*(ROW($A$2:$A204)&lt;ROW(A204))))))),""""))"),113.0)</f>
        <v>113</v>
      </c>
    </row>
    <row r="205" ht="22.5" customHeight="1">
      <c r="A205" s="78">
        <v>46090.0</v>
      </c>
      <c r="B205" s="7" t="s">
        <v>12</v>
      </c>
      <c r="C205" s="80">
        <v>88280.0</v>
      </c>
      <c r="D205" s="84" t="str">
        <f>IFERROR(VLOOKUP(B205,BASE_VEICULOS!$A:$B,2,0),"")</f>
        <v>FIL8C14</v>
      </c>
      <c r="E205" s="82">
        <f>IFERROR(__xludf.DUMMYFUNCTION("IF(OR(A205="""",D205="""",C205=""""),"""",IFERROR(MAX(0,C205-MAX(FILTER($C$2:$C205,TRIM($D$2:$D205)=TRIM(D205),(($A$2:$A205&lt;A205)+(($A$2:$A205=A205)*(ROW($A$2:$A205)&lt;ROW(A205))))))),""""))"),125.0)</f>
        <v>125</v>
      </c>
    </row>
    <row r="206" ht="22.5" customHeight="1">
      <c r="A206" s="78">
        <v>46090.0</v>
      </c>
      <c r="B206" s="7" t="s">
        <v>10</v>
      </c>
      <c r="C206" s="80">
        <v>16335.0</v>
      </c>
      <c r="D206" s="84" t="str">
        <f>IFERROR(VLOOKUP(B206,BASE_VEICULOS!$A:$B,2,0),"")</f>
        <v>TEW9A25</v>
      </c>
      <c r="E206" s="82">
        <f>IFERROR(__xludf.DUMMYFUNCTION("IF(OR(A206="""",D206="""",C206=""""),"""",IFERROR(MAX(0,C206-MAX(FILTER($C$2:$C206,TRIM($D$2:$D206)=TRIM(D206),(($A$2:$A206&lt;A206)+(($A$2:$A206=A206)*(ROW($A$2:$A206)&lt;ROW(A206))))))),""""))"),174.0)</f>
        <v>174</v>
      </c>
    </row>
    <row r="207" ht="22.5" customHeight="1">
      <c r="A207" s="78">
        <v>46090.0</v>
      </c>
      <c r="B207" s="7" t="s">
        <v>20</v>
      </c>
      <c r="C207" s="80">
        <v>15033.0</v>
      </c>
      <c r="D207" s="84" t="str">
        <f>IFERROR(VLOOKUP(B207,BASE_VEICULOS!$A:$B,2,0),"")</f>
        <v>TEW9A34</v>
      </c>
      <c r="E207" s="82">
        <f>IFERROR(__xludf.DUMMYFUNCTION("IF(OR(A207="""",D207="""",C207=""""),"""",IFERROR(MAX(0,C207-MAX(FILTER($C$2:$C207,TRIM($D$2:$D207)=TRIM(D207),(($A$2:$A207&lt;A207)+(($A$2:$A207=A207)*(ROW($A$2:$A207)&lt;ROW(A207))))))),""""))"),126.0)</f>
        <v>126</v>
      </c>
    </row>
    <row r="208" ht="22.5" customHeight="1">
      <c r="A208" s="78">
        <v>46090.0</v>
      </c>
      <c r="B208" s="7" t="s">
        <v>14</v>
      </c>
      <c r="C208" s="80">
        <v>89942.0</v>
      </c>
      <c r="D208" s="84" t="str">
        <f>IFERROR(VLOOKUP(B208,BASE_VEICULOS!$A:$B,2,0),"")</f>
        <v>FOK8A73</v>
      </c>
      <c r="E208" s="82">
        <f>IFERROR(__xludf.DUMMYFUNCTION("IF(OR(A208="""",D208="""",C208=""""),"""",IFERROR(MAX(0,C208-MAX(FILTER($C$2:$C208,TRIM($D$2:$D208)=TRIM(D208),(($A$2:$A208&lt;A208)+(($A$2:$A208=A208)*(ROW($A$2:$A208)&lt;ROW(A208))))))),""""))"),177.0)</f>
        <v>177</v>
      </c>
    </row>
    <row r="209" ht="22.5" customHeight="1">
      <c r="A209" s="78">
        <v>46090.0</v>
      </c>
      <c r="B209" s="7" t="s">
        <v>24</v>
      </c>
      <c r="C209" s="80">
        <v>16859.0</v>
      </c>
      <c r="D209" s="84" t="str">
        <f>IFERROR(VLOOKUP(B209,BASE_VEICULOS!$A:$B,2,0),"")</f>
        <v>TEW9A23</v>
      </c>
      <c r="E209" s="82">
        <f>IFERROR(__xludf.DUMMYFUNCTION("IF(OR(A209="""",D209="""",C209=""""),"""",IFERROR(MAX(0,C209-MAX(FILTER($C$2:$C209,TRIM($D$2:$D209)=TRIM(D209),(($A$2:$A209&lt;A209)+(($A$2:$A209=A209)*(ROW($A$2:$A209)&lt;ROW(A209))))))),""""))"),326.0)</f>
        <v>326</v>
      </c>
    </row>
    <row r="210" ht="22.5" customHeight="1">
      <c r="A210" s="78">
        <v>46090.0</v>
      </c>
      <c r="B210" s="7" t="s">
        <v>17</v>
      </c>
      <c r="C210" s="80">
        <v>12141.0</v>
      </c>
      <c r="D210" s="84" t="str">
        <f>IFERROR(VLOOKUP(B210,BASE_VEICULOS!$A:$B,2,0),"")</f>
        <v/>
      </c>
      <c r="E210" s="82" t="str">
        <f>IFERROR(__xludf.DUMMYFUNCTION("IF(OR(A210="""",D210="""",C210=""""),"""",IFERROR(MAX(0,C210-MAX(FILTER($C$2:$C210,TRIM($D$2:$D210)=TRIM(D210),(($A$2:$A210&lt;A210)+(($A$2:$A210=A210)*(ROW($A$2:$A210)&lt;ROW(A210))))))),""""))"),"")</f>
        <v/>
      </c>
    </row>
    <row r="211" ht="22.5" customHeight="1">
      <c r="A211" s="78">
        <v>46090.0</v>
      </c>
      <c r="B211" s="7" t="s">
        <v>22</v>
      </c>
      <c r="C211" s="80">
        <v>26754.0</v>
      </c>
      <c r="D211" s="84" t="str">
        <f>IFERROR(VLOOKUP(B211,BASE_VEICULOS!$A:$B,2,0),"")</f>
        <v>TET5H37</v>
      </c>
      <c r="E211" s="82">
        <f>IFERROR(__xludf.DUMMYFUNCTION("IF(OR(A211="""",D211="""",C211=""""),"""",IFERROR(MAX(0,C211-MAX(FILTER($C$2:$C211,TRIM($D$2:$D211)=TRIM(D211),(($A$2:$A211&lt;A211)+(($A$2:$A211=A211)*(ROW($A$2:$A211)&lt;ROW(A211))))))),""""))"),282.0)</f>
        <v>282</v>
      </c>
    </row>
    <row r="212" ht="22.5" customHeight="1">
      <c r="A212" s="78">
        <v>46090.0</v>
      </c>
      <c r="B212" s="7" t="s">
        <v>15</v>
      </c>
      <c r="C212" s="80">
        <v>106912.0</v>
      </c>
      <c r="D212" s="84" t="str">
        <f>IFERROR(VLOOKUP(B212,BASE_VEICULOS!$A:$B,2,0),"")</f>
        <v>EWH1B84</v>
      </c>
      <c r="E212" s="82">
        <f>IFERROR(__xludf.DUMMYFUNCTION("IF(OR(A212="""",D212="""",C212=""""),"""",IFERROR(MAX(0,C212-MAX(FILTER($C$2:$C212,TRIM($D$2:$D212)=TRIM(D212),(($A$2:$A212&lt;A212)+(($A$2:$A212=A212)*(ROW($A$2:$A212)&lt;ROW(A212))))))),""""))"),168.0)</f>
        <v>168</v>
      </c>
    </row>
    <row r="213" ht="22.5" customHeight="1">
      <c r="A213" s="78">
        <v>46090.0</v>
      </c>
      <c r="B213" s="7" t="s">
        <v>25</v>
      </c>
      <c r="C213" s="80">
        <v>13832.0</v>
      </c>
      <c r="D213" s="84" t="str">
        <f>IFERROR(VLOOKUP(B213,BASE_VEICULOS!$A:$B,2,0),"")</f>
        <v>TEW9A26</v>
      </c>
      <c r="E213" s="82">
        <f>IFERROR(__xludf.DUMMYFUNCTION("IF(OR(A213="""",D213="""",C213=""""),"""",IFERROR(MAX(0,C213-MAX(FILTER($C$2:$C213,TRIM($D$2:$D213)=TRIM(D213),(($A$2:$A213&lt;A213)+(($A$2:$A213=A213)*(ROW($A$2:$A213)&lt;ROW(A213))))))),""""))"),239.0)</f>
        <v>239</v>
      </c>
    </row>
    <row r="214" ht="22.5" customHeight="1">
      <c r="A214" s="78">
        <v>46090.0</v>
      </c>
      <c r="B214" s="7" t="s">
        <v>18</v>
      </c>
      <c r="C214" s="80">
        <v>16364.0</v>
      </c>
      <c r="D214" s="84" t="str">
        <f>IFERROR(VLOOKUP(B214,BASE_VEICULOS!$A:$B,2,0),"")</f>
        <v>TEW9A29</v>
      </c>
      <c r="E214" s="82">
        <f>IFERROR(__xludf.DUMMYFUNCTION("IF(OR(A214="""",D214="""",C214=""""),"""",IFERROR(MAX(0,C214-MAX(FILTER($C$2:$C214,TRIM($D$2:$D214)=TRIM(D214),(($A$2:$A214&lt;A214)+(($A$2:$A214=A214)*(ROW($A$2:$A214)&lt;ROW(A214))))))),""""))"),230.0)</f>
        <v>230</v>
      </c>
    </row>
    <row r="215" ht="22.5" customHeight="1">
      <c r="A215" s="78">
        <v>46090.0</v>
      </c>
      <c r="B215" s="7" t="s">
        <v>23</v>
      </c>
      <c r="C215" s="80">
        <v>16597.0</v>
      </c>
      <c r="D215" s="84" t="str">
        <f>IFERROR(VLOOKUP(B215,BASE_VEICULOS!$A:$B,2,0),"")</f>
        <v>TEH3I02</v>
      </c>
      <c r="E215" s="82">
        <f>IFERROR(__xludf.DUMMYFUNCTION("IF(OR(A215="""",D215="""",C215=""""),"""",IFERROR(MAX(0,C215-MAX(FILTER($C$2:$C215,TRIM($D$2:$D215)=TRIM(D215),(($A$2:$A215&lt;A215)+(($A$2:$A215=A215)*(ROW($A$2:$A215)&lt;ROW(A215))))))),""""))"),128.0)</f>
        <v>128</v>
      </c>
    </row>
    <row r="216" ht="22.5" customHeight="1">
      <c r="A216" s="78">
        <v>46091.0</v>
      </c>
      <c r="B216" s="7" t="s">
        <v>33</v>
      </c>
      <c r="C216" s="80">
        <v>66816.0</v>
      </c>
      <c r="D216" s="84" t="str">
        <f>IFERROR(VLOOKUP(B216,BASE_VEICULOS!$A:$B,2,0),"")</f>
        <v>TEW9A30</v>
      </c>
      <c r="E216" s="82">
        <f>IFERROR(__xludf.DUMMYFUNCTION("IF(OR(A216="""",D216="""",C216=""""),"""",IFERROR(MAX(0,C216-MAX(FILTER($C$2:$C216,TRIM($D$2:$D216)=TRIM(D216),(($A$2:$A216&lt;A216)+(($A$2:$A216=A216)*(ROW($A$2:$A216)&lt;ROW(A216))))))),""""))"),319.0)</f>
        <v>319</v>
      </c>
    </row>
    <row r="217" ht="22.5" customHeight="1">
      <c r="A217" s="78">
        <v>46091.0</v>
      </c>
      <c r="B217" s="7" t="s">
        <v>19</v>
      </c>
      <c r="C217" s="80">
        <v>16910.0</v>
      </c>
      <c r="D217" s="84" t="str">
        <f>IFERROR(VLOOKUP(B217,BASE_VEICULOS!$A:$B,2,0),"")</f>
        <v>TEW9A24</v>
      </c>
      <c r="E217" s="82">
        <f>IFERROR(__xludf.DUMMYFUNCTION("IF(OR(A217="""",D217="""",C217=""""),"""",IFERROR(MAX(0,C217-MAX(FILTER($C$2:$C217,TRIM($D$2:$D217)=TRIM(D217),(($A$2:$A217&lt;A217)+(($A$2:$A217=A217)*(ROW($A$2:$A217)&lt;ROW(A217))))))),""""))"),55.0)</f>
        <v>55</v>
      </c>
    </row>
    <row r="218" ht="22.5" customHeight="1">
      <c r="A218" s="78">
        <v>46091.0</v>
      </c>
      <c r="B218" s="7" t="s">
        <v>11</v>
      </c>
      <c r="C218" s="80">
        <v>95188.0</v>
      </c>
      <c r="D218" s="84" t="str">
        <f>IFERROR(VLOOKUP(B218,BASE_VEICULOS!$A:$B,2,0),"")</f>
        <v>TEW9A28</v>
      </c>
      <c r="E218" s="82">
        <f>IFERROR(__xludf.DUMMYFUNCTION("IF(OR(A218="""",D218="""",C218=""""),"""",IFERROR(MAX(0,C218-MAX(FILTER($C$2:$C218,TRIM($D$2:$D218)=TRIM(D218),(($A$2:$A218&lt;A218)+(($A$2:$A218=A218)*(ROW($A$2:$A218)&lt;ROW(A218))))))),""""))"),47.0)</f>
        <v>47</v>
      </c>
    </row>
    <row r="219" ht="22.5" customHeight="1">
      <c r="A219" s="78">
        <v>46091.0</v>
      </c>
      <c r="B219" s="7" t="s">
        <v>21</v>
      </c>
      <c r="C219" s="80">
        <v>17142.0</v>
      </c>
      <c r="D219" s="84" t="str">
        <f>IFERROR(VLOOKUP(B219,BASE_VEICULOS!$A:$B,2,0),"")</f>
        <v>TEW9A33</v>
      </c>
      <c r="E219" s="82">
        <f>IFERROR(__xludf.DUMMYFUNCTION("IF(OR(A219="""",D219="""",C219=""""),"""",IFERROR(MAX(0,C219-MAX(FILTER($C$2:$C219,TRIM($D$2:$D219)=TRIM(D219),(($A$2:$A219&lt;A219)+(($A$2:$A219=A219)*(ROW($A$2:$A219)&lt;ROW(A219))))))),""""))"),152.0)</f>
        <v>152</v>
      </c>
    </row>
    <row r="220" ht="22.5" customHeight="1">
      <c r="A220" s="78">
        <v>46091.0</v>
      </c>
      <c r="B220" s="7" t="s">
        <v>29</v>
      </c>
      <c r="C220" s="80">
        <v>72424.0</v>
      </c>
      <c r="D220" s="84" t="str">
        <f>IFERROR(VLOOKUP(B220,BASE_VEICULOS!$A:$B,2,0),"")</f>
        <v>TEQ2I74</v>
      </c>
      <c r="E220" s="82">
        <f>IFERROR(__xludf.DUMMYFUNCTION("IF(OR(A220="""",D220="""",C220=""""),"""",IFERROR(MAX(0,C220-MAX(FILTER($C$2:$C220,TRIM($D$2:$D220)=TRIM(D220),(($A$2:$A220&lt;A220)+(($A$2:$A220=A220)*(ROW($A$2:$A220)&lt;ROW(A220))))))),""""))"),124.0)</f>
        <v>124</v>
      </c>
    </row>
    <row r="221" ht="22.5" customHeight="1">
      <c r="A221" s="78">
        <v>46091.0</v>
      </c>
      <c r="B221" s="7" t="s">
        <v>10</v>
      </c>
      <c r="C221" s="80">
        <v>16459.0</v>
      </c>
      <c r="D221" s="84" t="str">
        <f>IFERROR(VLOOKUP(B221,BASE_VEICULOS!$A:$B,2,0),"")</f>
        <v>TEW9A25</v>
      </c>
      <c r="E221" s="82">
        <f>IFERROR(__xludf.DUMMYFUNCTION("IF(OR(A221="""",D221="""",C221=""""),"""",IFERROR(MAX(0,C221-MAX(FILTER($C$2:$C221,TRIM($D$2:$D221)=TRIM(D221),(($A$2:$A221&lt;A221)+(($A$2:$A221=A221)*(ROW($A$2:$A221)&lt;ROW(A221))))))),""""))"),124.0)</f>
        <v>124</v>
      </c>
    </row>
    <row r="222" ht="22.5" customHeight="1">
      <c r="A222" s="78">
        <v>46091.0</v>
      </c>
      <c r="B222" s="7" t="s">
        <v>24</v>
      </c>
      <c r="C222" s="80">
        <v>17119.0</v>
      </c>
      <c r="D222" s="84" t="str">
        <f>IFERROR(VLOOKUP(B222,BASE_VEICULOS!$A:$B,2,0),"")</f>
        <v>TEW9A23</v>
      </c>
      <c r="E222" s="82">
        <f>IFERROR(__xludf.DUMMYFUNCTION("IF(OR(A222="""",D222="""",C222=""""),"""",IFERROR(MAX(0,C222-MAX(FILTER($C$2:$C222,TRIM($D$2:$D222)=TRIM(D222),(($A$2:$A222&lt;A222)+(($A$2:$A222=A222)*(ROW($A$2:$A222)&lt;ROW(A222))))))),""""))"),260.0)</f>
        <v>260</v>
      </c>
    </row>
    <row r="223" ht="22.5" customHeight="1">
      <c r="A223" s="78">
        <v>46091.0</v>
      </c>
      <c r="B223" s="7" t="s">
        <v>30</v>
      </c>
      <c r="C223" s="80">
        <v>17887.0</v>
      </c>
      <c r="D223" s="84" t="str">
        <f>IFERROR(VLOOKUP(B223,BASE_VEICULOS!$A:$B,2,0),"")</f>
        <v/>
      </c>
      <c r="E223" s="82" t="str">
        <f>IFERROR(__xludf.DUMMYFUNCTION("IF(OR(A223="""",D223="""",C223=""""),"""",IFERROR(MAX(0,C223-MAX(FILTER($C$2:$C223,TRIM($D$2:$D223)=TRIM(D223),(($A$2:$A223&lt;A223)+(($A$2:$A223=A223)*(ROW($A$2:$A223)&lt;ROW(A223))))))),""""))"),"")</f>
        <v/>
      </c>
    </row>
    <row r="224" ht="22.5" customHeight="1">
      <c r="A224" s="78">
        <v>46091.0</v>
      </c>
      <c r="B224" s="7" t="s">
        <v>17</v>
      </c>
      <c r="C224" s="80">
        <v>12373.0</v>
      </c>
      <c r="D224" s="84" t="str">
        <f>IFERROR(VLOOKUP(B224,BASE_VEICULOS!$A:$B,2,0),"")</f>
        <v/>
      </c>
      <c r="E224" s="82" t="str">
        <f>IFERROR(__xludf.DUMMYFUNCTION("IF(OR(A224="""",D224="""",C224=""""),"""",IFERROR(MAX(0,C224-MAX(FILTER($C$2:$C224,TRIM($D$2:$D224)=TRIM(D224),(($A$2:$A224&lt;A224)+(($A$2:$A224=A224)*(ROW($A$2:$A224)&lt;ROW(A224))))))),""""))"),"")</f>
        <v/>
      </c>
    </row>
    <row r="225" ht="22.5" customHeight="1">
      <c r="A225" s="78">
        <v>46091.0</v>
      </c>
      <c r="B225" s="7" t="s">
        <v>15</v>
      </c>
      <c r="C225" s="80">
        <v>107020.0</v>
      </c>
      <c r="D225" s="84" t="str">
        <f>IFERROR(VLOOKUP(B225,BASE_VEICULOS!$A:$B,2,0),"")</f>
        <v>EWH1B84</v>
      </c>
      <c r="E225" s="82">
        <f>IFERROR(__xludf.DUMMYFUNCTION("IF(OR(A225="""",D225="""",C225=""""),"""",IFERROR(MAX(0,C225-MAX(FILTER($C$2:$C225,TRIM($D$2:$D225)=TRIM(D225),(($A$2:$A225&lt;A225)+(($A$2:$A225=A225)*(ROW($A$2:$A225)&lt;ROW(A225))))))),""""))"),108.0)</f>
        <v>108</v>
      </c>
    </row>
    <row r="226" ht="22.5" customHeight="1">
      <c r="A226" s="78">
        <v>46091.0</v>
      </c>
      <c r="B226" s="7" t="s">
        <v>14</v>
      </c>
      <c r="C226" s="80">
        <v>90146.0</v>
      </c>
      <c r="D226" s="84" t="str">
        <f>IFERROR(VLOOKUP(B226,BASE_VEICULOS!$A:$B,2,0),"")</f>
        <v>FOK8A73</v>
      </c>
      <c r="E226" s="82">
        <f>IFERROR(__xludf.DUMMYFUNCTION("IF(OR(A226="""",D226="""",C226=""""),"""",IFERROR(MAX(0,C226-MAX(FILTER($C$2:$C226,TRIM($D$2:$D226)=TRIM(D226),(($A$2:$A226&lt;A226)+(($A$2:$A226=A226)*(ROW($A$2:$A226)&lt;ROW(A226))))))),""""))"),204.0)</f>
        <v>204</v>
      </c>
    </row>
    <row r="227" ht="22.5" customHeight="1">
      <c r="A227" s="78">
        <v>46091.0</v>
      </c>
      <c r="B227" s="7" t="s">
        <v>22</v>
      </c>
      <c r="C227" s="80">
        <v>26816.0</v>
      </c>
      <c r="D227" s="84" t="str">
        <f>IFERROR(VLOOKUP(B227,BASE_VEICULOS!$A:$B,2,0),"")</f>
        <v>TET5H37</v>
      </c>
      <c r="E227" s="82">
        <f>IFERROR(__xludf.DUMMYFUNCTION("IF(OR(A227="""",D227="""",C227=""""),"""",IFERROR(MAX(0,C227-MAX(FILTER($C$2:$C227,TRIM($D$2:$D227)=TRIM(D227),(($A$2:$A227&lt;A227)+(($A$2:$A227=A227)*(ROW($A$2:$A227)&lt;ROW(A227))))))),""""))"),62.0)</f>
        <v>62</v>
      </c>
    </row>
    <row r="228" ht="22.5" customHeight="1">
      <c r="A228" s="78">
        <v>46091.0</v>
      </c>
      <c r="B228" s="7" t="s">
        <v>12</v>
      </c>
      <c r="C228" s="80">
        <v>88377.0</v>
      </c>
      <c r="D228" s="84" t="str">
        <f>IFERROR(VLOOKUP(B228,BASE_VEICULOS!$A:$B,2,0),"")</f>
        <v>FIL8C14</v>
      </c>
      <c r="E228" s="82">
        <f>IFERROR(__xludf.DUMMYFUNCTION("IF(OR(A228="""",D228="""",C228=""""),"""",IFERROR(MAX(0,C228-MAX(FILTER($C$2:$C228,TRIM($D$2:$D228)=TRIM(D228),(($A$2:$A228&lt;A228)+(($A$2:$A228=A228)*(ROW($A$2:$A228)&lt;ROW(A228))))))),""""))"),97.0)</f>
        <v>97</v>
      </c>
    </row>
    <row r="229" ht="22.5" customHeight="1">
      <c r="A229" s="78">
        <v>46091.0</v>
      </c>
      <c r="B229" s="7" t="s">
        <v>20</v>
      </c>
      <c r="C229" s="80">
        <v>15171.0</v>
      </c>
      <c r="D229" s="84" t="str">
        <f>IFERROR(VLOOKUP(B229,BASE_VEICULOS!$A:$B,2,0),"")</f>
        <v>TEW9A34</v>
      </c>
      <c r="E229" s="82">
        <f>IFERROR(__xludf.DUMMYFUNCTION("IF(OR(A229="""",D229="""",C229=""""),"""",IFERROR(MAX(0,C229-MAX(FILTER($C$2:$C229,TRIM($D$2:$D229)=TRIM(D229),(($A$2:$A229&lt;A229)+(($A$2:$A229=A229)*(ROW($A$2:$A229)&lt;ROW(A229))))))),""""))"),138.0)</f>
        <v>138</v>
      </c>
    </row>
    <row r="230" ht="22.5" customHeight="1">
      <c r="A230" s="78">
        <v>46091.0</v>
      </c>
      <c r="B230" s="7" t="s">
        <v>18</v>
      </c>
      <c r="C230" s="80">
        <v>16521.0</v>
      </c>
      <c r="D230" s="84" t="str">
        <f>IFERROR(VLOOKUP(B230,BASE_VEICULOS!$A:$B,2,0),"")</f>
        <v>TEW9A29</v>
      </c>
      <c r="E230" s="82">
        <f>IFERROR(__xludf.DUMMYFUNCTION("IF(OR(A230="""",D230="""",C230=""""),"""",IFERROR(MAX(0,C230-MAX(FILTER($C$2:$C230,TRIM($D$2:$D230)=TRIM(D230),(($A$2:$A230&lt;A230)+(($A$2:$A230=A230)*(ROW($A$2:$A230)&lt;ROW(A230))))))),""""))"),157.0)</f>
        <v>157</v>
      </c>
    </row>
    <row r="231" ht="22.5" customHeight="1">
      <c r="A231" s="78">
        <v>46091.0</v>
      </c>
      <c r="B231" s="7" t="s">
        <v>25</v>
      </c>
      <c r="C231" s="80">
        <v>13967.0</v>
      </c>
      <c r="D231" s="84" t="str">
        <f>IFERROR(VLOOKUP(B231,BASE_VEICULOS!$A:$B,2,0),"")</f>
        <v>TEW9A26</v>
      </c>
      <c r="E231" s="82">
        <f>IFERROR(__xludf.DUMMYFUNCTION("IF(OR(A231="""",D231="""",C231=""""),"""",IFERROR(MAX(0,C231-MAX(FILTER($C$2:$C231,TRIM($D$2:$D231)=TRIM(D231),(($A$2:$A231&lt;A231)+(($A$2:$A231=A231)*(ROW($A$2:$A231)&lt;ROW(A231))))))),""""))"),135.0)</f>
        <v>135</v>
      </c>
    </row>
    <row r="232" ht="22.5" customHeight="1">
      <c r="A232" s="78">
        <v>46091.0</v>
      </c>
      <c r="B232" s="7" t="s">
        <v>23</v>
      </c>
      <c r="C232" s="80">
        <v>16782.0</v>
      </c>
      <c r="D232" s="84" t="str">
        <f>IFERROR(VLOOKUP(B232,BASE_VEICULOS!$A:$B,2,0),"")</f>
        <v>TEH3I02</v>
      </c>
      <c r="E232" s="82">
        <f>IFERROR(__xludf.DUMMYFUNCTION("IF(OR(A232="""",D232="""",C232=""""),"""",IFERROR(MAX(0,C232-MAX(FILTER($C$2:$C232,TRIM($D$2:$D232)=TRIM(D232),(($A$2:$A232&lt;A232)+(($A$2:$A232=A232)*(ROW($A$2:$A232)&lt;ROW(A232))))))),""""))"),185.0)</f>
        <v>185</v>
      </c>
    </row>
    <row r="233" ht="22.5" customHeight="1">
      <c r="A233" s="78">
        <v>46092.0</v>
      </c>
      <c r="B233" s="7" t="s">
        <v>21</v>
      </c>
      <c r="C233" s="80">
        <v>17283.0</v>
      </c>
      <c r="D233" s="84" t="str">
        <f>IFERROR(VLOOKUP(B233,BASE_VEICULOS!$A:$B,2,0),"")</f>
        <v>TEW9A33</v>
      </c>
      <c r="E233" s="82">
        <f>IFERROR(__xludf.DUMMYFUNCTION("IF(OR(A233="""",D233="""",C233=""""),"""",IFERROR(MAX(0,C233-MAX(FILTER($C$2:$C233,TRIM($D$2:$D233)=TRIM(D233),(($A$2:$A233&lt;A233)+(($A$2:$A233=A233)*(ROW($A$2:$A233)&lt;ROW(A233))))))),""""))"),141.0)</f>
        <v>141</v>
      </c>
    </row>
    <row r="234" ht="22.5" customHeight="1">
      <c r="A234" s="78">
        <v>46092.0</v>
      </c>
      <c r="B234" s="7" t="s">
        <v>11</v>
      </c>
      <c r="C234" s="80">
        <v>95241.0</v>
      </c>
      <c r="D234" s="84" t="str">
        <f>IFERROR(VLOOKUP(B234,BASE_VEICULOS!$A:$B,2,0),"")</f>
        <v>TEW9A28</v>
      </c>
      <c r="E234" s="82">
        <f>IFERROR(__xludf.DUMMYFUNCTION("IF(OR(A234="""",D234="""",C234=""""),"""",IFERROR(MAX(0,C234-MAX(FILTER($C$2:$C234,TRIM($D$2:$D234)=TRIM(D234),(($A$2:$A234&lt;A234)+(($A$2:$A234=A234)*(ROW($A$2:$A234)&lt;ROW(A234))))))),""""))"),53.0)</f>
        <v>53</v>
      </c>
    </row>
    <row r="235" ht="22.5" customHeight="1">
      <c r="A235" s="78">
        <v>46092.0</v>
      </c>
      <c r="B235" s="7" t="s">
        <v>29</v>
      </c>
      <c r="C235" s="80">
        <v>72635.0</v>
      </c>
      <c r="D235" s="84" t="str">
        <f>IFERROR(VLOOKUP(B235,BASE_VEICULOS!$A:$B,2,0),"")</f>
        <v>TEQ2I74</v>
      </c>
      <c r="E235" s="82">
        <f>IFERROR(__xludf.DUMMYFUNCTION("IF(OR(A235="""",D235="""",C235=""""),"""",IFERROR(MAX(0,C235-MAX(FILTER($C$2:$C235,TRIM($D$2:$D235)=TRIM(D235),(($A$2:$A235&lt;A235)+(($A$2:$A235=A235)*(ROW($A$2:$A235)&lt;ROW(A235))))))),""""))"),211.0)</f>
        <v>211</v>
      </c>
    </row>
    <row r="236" ht="22.5" customHeight="1">
      <c r="A236" s="78">
        <v>46092.0</v>
      </c>
      <c r="B236" s="7" t="s">
        <v>10</v>
      </c>
      <c r="C236" s="80">
        <v>16613.0</v>
      </c>
      <c r="D236" s="84" t="str">
        <f>IFERROR(VLOOKUP(B236,BASE_VEICULOS!$A:$B,2,0),"")</f>
        <v>TEW9A25</v>
      </c>
      <c r="E236" s="82">
        <f>IFERROR(__xludf.DUMMYFUNCTION("IF(OR(A236="""",D236="""",C236=""""),"""",IFERROR(MAX(0,C236-MAX(FILTER($C$2:$C236,TRIM($D$2:$D236)=TRIM(D236),(($A$2:$A236&lt;A236)+(($A$2:$A236=A236)*(ROW($A$2:$A236)&lt;ROW(A236))))))),""""))"),154.0)</f>
        <v>154</v>
      </c>
    </row>
    <row r="237" ht="22.5" customHeight="1">
      <c r="A237" s="78">
        <v>46092.0</v>
      </c>
      <c r="B237" s="7" t="s">
        <v>19</v>
      </c>
      <c r="C237" s="80">
        <v>17016.0</v>
      </c>
      <c r="D237" s="84" t="str">
        <f>IFERROR(VLOOKUP(B237,BASE_VEICULOS!$A:$B,2,0),"")</f>
        <v>TEW9A24</v>
      </c>
      <c r="E237" s="82">
        <f>IFERROR(__xludf.DUMMYFUNCTION("IF(OR(A237="""",D237="""",C237=""""),"""",IFERROR(MAX(0,C237-MAX(FILTER($C$2:$C237,TRIM($D$2:$D237)=TRIM(D237),(($A$2:$A237&lt;A237)+(($A$2:$A237=A237)*(ROW($A$2:$A237)&lt;ROW(A237))))))),""""))"),106.0)</f>
        <v>106</v>
      </c>
    </row>
    <row r="238" ht="22.5" customHeight="1">
      <c r="A238" s="78">
        <v>46092.0</v>
      </c>
      <c r="B238" s="7" t="s">
        <v>25</v>
      </c>
      <c r="C238" s="80">
        <v>14085.0</v>
      </c>
      <c r="D238" s="84" t="str">
        <f>IFERROR(VLOOKUP(B238,BASE_VEICULOS!$A:$B,2,0),"")</f>
        <v>TEW9A26</v>
      </c>
      <c r="E238" s="82">
        <f>IFERROR(__xludf.DUMMYFUNCTION("IF(OR(A238="""",D238="""",C238=""""),"""",IFERROR(MAX(0,C238-MAX(FILTER($C$2:$C238,TRIM($D$2:$D238)=TRIM(D238),(($A$2:$A238&lt;A238)+(($A$2:$A238=A238)*(ROW($A$2:$A238)&lt;ROW(A238))))))),""""))"),118.0)</f>
        <v>118</v>
      </c>
    </row>
    <row r="239" ht="22.5" customHeight="1">
      <c r="A239" s="78">
        <v>46092.0</v>
      </c>
      <c r="B239" s="7" t="s">
        <v>24</v>
      </c>
      <c r="C239" s="80">
        <v>17324.0</v>
      </c>
      <c r="D239" s="84" t="str">
        <f>IFERROR(VLOOKUP(B239,BASE_VEICULOS!$A:$B,2,0),"")</f>
        <v>TEW9A23</v>
      </c>
      <c r="E239" s="82">
        <f>IFERROR(__xludf.DUMMYFUNCTION("IF(OR(A239="""",D239="""",C239=""""),"""",IFERROR(MAX(0,C239-MAX(FILTER($C$2:$C239,TRIM($D$2:$D239)=TRIM(D239),(($A$2:$A239&lt;A239)+(($A$2:$A239=A239)*(ROW($A$2:$A239)&lt;ROW(A239))))))),""""))"),205.0)</f>
        <v>205</v>
      </c>
    </row>
    <row r="240" ht="22.5" customHeight="1">
      <c r="A240" s="78">
        <v>46092.0</v>
      </c>
      <c r="B240" s="7" t="s">
        <v>33</v>
      </c>
      <c r="C240" s="80">
        <v>67036.0</v>
      </c>
      <c r="D240" s="84" t="str">
        <f>IFERROR(VLOOKUP(B240,BASE_VEICULOS!$A:$B,2,0),"")</f>
        <v>TEW9A30</v>
      </c>
      <c r="E240" s="82">
        <f>IFERROR(__xludf.DUMMYFUNCTION("IF(OR(A240="""",D240="""",C240=""""),"""",IFERROR(MAX(0,C240-MAX(FILTER($C$2:$C240,TRIM($D$2:$D240)=TRIM(D240),(($A$2:$A240&lt;A240)+(($A$2:$A240=A240)*(ROW($A$2:$A240)&lt;ROW(A240))))))),""""))"),220.0)</f>
        <v>220</v>
      </c>
    </row>
    <row r="241" ht="22.5" customHeight="1">
      <c r="A241" s="78">
        <v>46092.0</v>
      </c>
      <c r="B241" s="7" t="s">
        <v>15</v>
      </c>
      <c r="C241" s="80">
        <v>107114.0</v>
      </c>
      <c r="D241" s="84" t="str">
        <f>IFERROR(VLOOKUP(B241,BASE_VEICULOS!$A:$B,2,0),"")</f>
        <v>EWH1B84</v>
      </c>
      <c r="E241" s="82">
        <f>IFERROR(__xludf.DUMMYFUNCTION("IF(OR(A241="""",D241="""",C241=""""),"""",IFERROR(MAX(0,C241-MAX(FILTER($C$2:$C241,TRIM($D$2:$D241)=TRIM(D241),(($A$2:$A241&lt;A241)+(($A$2:$A241=A241)*(ROW($A$2:$A241)&lt;ROW(A241))))))),""""))"),94.0)</f>
        <v>94</v>
      </c>
    </row>
    <row r="242" ht="22.5" customHeight="1">
      <c r="A242" s="78">
        <v>46092.0</v>
      </c>
      <c r="B242" s="7" t="s">
        <v>20</v>
      </c>
      <c r="C242" s="80">
        <v>15314.0</v>
      </c>
      <c r="D242" s="84" t="str">
        <f>IFERROR(VLOOKUP(B242,BASE_VEICULOS!$A:$B,2,0),"")</f>
        <v>TEW9A34</v>
      </c>
      <c r="E242" s="82">
        <f>IFERROR(__xludf.DUMMYFUNCTION("IF(OR(A242="""",D242="""",C242=""""),"""",IFERROR(MAX(0,C242-MAX(FILTER($C$2:$C242,TRIM($D$2:$D242)=TRIM(D242),(($A$2:$A242&lt;A242)+(($A$2:$A242=A242)*(ROW($A$2:$A242)&lt;ROW(A242))))))),""""))"),143.0)</f>
        <v>143</v>
      </c>
    </row>
    <row r="243" ht="22.5" customHeight="1">
      <c r="A243" s="78">
        <v>46092.0</v>
      </c>
      <c r="B243" s="7" t="s">
        <v>12</v>
      </c>
      <c r="C243" s="80">
        <v>88480.0</v>
      </c>
      <c r="D243" s="84" t="str">
        <f>IFERROR(VLOOKUP(B243,BASE_VEICULOS!$A:$B,2,0),"")</f>
        <v>FIL8C14</v>
      </c>
      <c r="E243" s="82">
        <f>IFERROR(__xludf.DUMMYFUNCTION("IF(OR(A243="""",D243="""",C243=""""),"""",IFERROR(MAX(0,C243-MAX(FILTER($C$2:$C243,TRIM($D$2:$D243)=TRIM(D243),(($A$2:$A243&lt;A243)+(($A$2:$A243=A243)*(ROW($A$2:$A243)&lt;ROW(A243))))))),""""))"),103.0)</f>
        <v>103</v>
      </c>
    </row>
    <row r="244" ht="22.5" customHeight="1">
      <c r="A244" s="78">
        <v>46092.0</v>
      </c>
      <c r="B244" s="7" t="s">
        <v>14</v>
      </c>
      <c r="C244" s="80">
        <v>90276.0</v>
      </c>
      <c r="D244" s="84" t="str">
        <f>IFERROR(VLOOKUP(B244,BASE_VEICULOS!$A:$B,2,0),"")</f>
        <v>FOK8A73</v>
      </c>
      <c r="E244" s="82">
        <f>IFERROR(__xludf.DUMMYFUNCTION("IF(OR(A244="""",D244="""",C244=""""),"""",IFERROR(MAX(0,C244-MAX(FILTER($C$2:$C244,TRIM($D$2:$D244)=TRIM(D244),(($A$2:$A244&lt;A244)+(($A$2:$A244=A244)*(ROW($A$2:$A244)&lt;ROW(A244))))))),""""))"),130.0)</f>
        <v>130</v>
      </c>
    </row>
    <row r="245" ht="22.5" customHeight="1">
      <c r="A245" s="78">
        <v>46092.0</v>
      </c>
      <c r="B245" s="7" t="s">
        <v>18</v>
      </c>
      <c r="C245" s="80">
        <v>16642.0</v>
      </c>
      <c r="D245" s="84" t="str">
        <f>IFERROR(VLOOKUP(B245,BASE_VEICULOS!$A:$B,2,0),"")</f>
        <v>TEW9A29</v>
      </c>
      <c r="E245" s="82">
        <f>IFERROR(__xludf.DUMMYFUNCTION("IF(OR(A245="""",D245="""",C245=""""),"""",IFERROR(MAX(0,C245-MAX(FILTER($C$2:$C245,TRIM($D$2:$D245)=TRIM(D245),(($A$2:$A245&lt;A245)+(($A$2:$A245=A245)*(ROW($A$2:$A245)&lt;ROW(A245))))))),""""))"),121.0)</f>
        <v>121</v>
      </c>
    </row>
    <row r="246" ht="22.5" customHeight="1">
      <c r="A246" s="78">
        <v>46092.0</v>
      </c>
      <c r="B246" s="7" t="s">
        <v>23</v>
      </c>
      <c r="C246" s="80">
        <v>16916.0</v>
      </c>
      <c r="D246" s="84" t="str">
        <f>IFERROR(VLOOKUP(B246,BASE_VEICULOS!$A:$B,2,0),"")</f>
        <v>TEH3I02</v>
      </c>
      <c r="E246" s="82">
        <f>IFERROR(__xludf.DUMMYFUNCTION("IF(OR(A246="""",D246="""",C246=""""),"""",IFERROR(MAX(0,C246-MAX(FILTER($C$2:$C246,TRIM($D$2:$D246)=TRIM(D246),(($A$2:$A246&lt;A246)+(($A$2:$A246=A246)*(ROW($A$2:$A246)&lt;ROW(A246))))))),""""))"),134.0)</f>
        <v>134</v>
      </c>
    </row>
    <row r="247" ht="22.5" customHeight="1">
      <c r="A247" s="78">
        <v>46092.0</v>
      </c>
      <c r="B247" s="7" t="s">
        <v>17</v>
      </c>
      <c r="C247" s="80">
        <v>12651.0</v>
      </c>
      <c r="D247" s="84" t="str">
        <f>IFERROR(VLOOKUP(B247,BASE_VEICULOS!$A:$B,2,0),"")</f>
        <v/>
      </c>
      <c r="E247" s="82" t="str">
        <f>IFERROR(__xludf.DUMMYFUNCTION("IF(OR(A247="""",D247="""",C247=""""),"""",IFERROR(MAX(0,C247-MAX(FILTER($C$2:$C247,TRIM($D$2:$D247)=TRIM(D247),(($A$2:$A247&lt;A247)+(($A$2:$A247=A247)*(ROW($A$2:$A247)&lt;ROW(A247))))))),""""))"),"")</f>
        <v/>
      </c>
    </row>
    <row r="248" ht="22.5" customHeight="1">
      <c r="A248" s="78">
        <v>46093.0</v>
      </c>
      <c r="B248" s="7" t="s">
        <v>11</v>
      </c>
      <c r="C248" s="80">
        <v>95316.0</v>
      </c>
      <c r="D248" s="84" t="str">
        <f>IFERROR(VLOOKUP(B248,BASE_VEICULOS!$A:$B,2,0),"")</f>
        <v>TEW9A28</v>
      </c>
      <c r="E248" s="82">
        <f>IFERROR(__xludf.DUMMYFUNCTION("IF(OR(A248="""",D248="""",C248=""""),"""",IFERROR(MAX(0,C248-MAX(FILTER($C$2:$C248,TRIM($D$2:$D248)=TRIM(D248),(($A$2:$A248&lt;A248)+(($A$2:$A248=A248)*(ROW($A$2:$A248)&lt;ROW(A248))))))),""""))"),75.0)</f>
        <v>75</v>
      </c>
    </row>
    <row r="249" ht="22.5" customHeight="1">
      <c r="A249" s="78">
        <v>46093.0</v>
      </c>
      <c r="B249" s="7" t="s">
        <v>29</v>
      </c>
      <c r="C249" s="80">
        <v>72732.0</v>
      </c>
      <c r="D249" s="84" t="str">
        <f>IFERROR(VLOOKUP(B249,BASE_VEICULOS!$A:$B,2,0),"")</f>
        <v>TEQ2I74</v>
      </c>
      <c r="E249" s="82">
        <f>IFERROR(__xludf.DUMMYFUNCTION("IF(OR(A249="""",D249="""",C249=""""),"""",IFERROR(MAX(0,C249-MAX(FILTER($C$2:$C249,TRIM($D$2:$D249)=TRIM(D249),(($A$2:$A249&lt;A249)+(($A$2:$A249=A249)*(ROW($A$2:$A249)&lt;ROW(A249))))))),""""))"),97.0)</f>
        <v>97</v>
      </c>
    </row>
    <row r="250" ht="22.5" customHeight="1">
      <c r="A250" s="78">
        <v>46093.0</v>
      </c>
      <c r="B250" s="7" t="s">
        <v>10</v>
      </c>
      <c r="C250" s="80">
        <v>16750.0</v>
      </c>
      <c r="D250" s="84" t="str">
        <f>IFERROR(VLOOKUP(B250,BASE_VEICULOS!$A:$B,2,0),"")</f>
        <v>TEW9A25</v>
      </c>
      <c r="E250" s="82">
        <f>IFERROR(__xludf.DUMMYFUNCTION("IF(OR(A250="""",D250="""",C250=""""),"""",IFERROR(MAX(0,C250-MAX(FILTER($C$2:$C250,TRIM($D$2:$D250)=TRIM(D250),(($A$2:$A250&lt;A250)+(($A$2:$A250=A250)*(ROW($A$2:$A250)&lt;ROW(A250))))))),""""))"),137.0)</f>
        <v>137</v>
      </c>
    </row>
    <row r="251" ht="22.5" customHeight="1">
      <c r="A251" s="78">
        <v>46093.0</v>
      </c>
      <c r="B251" s="7" t="s">
        <v>12</v>
      </c>
      <c r="C251" s="80">
        <v>88569.0</v>
      </c>
      <c r="D251" s="84" t="str">
        <f>IFERROR(VLOOKUP(B251,BASE_VEICULOS!$A:$B,2,0),"")</f>
        <v>FIL8C14</v>
      </c>
      <c r="E251" s="82">
        <f>IFERROR(__xludf.DUMMYFUNCTION("IF(OR(A251="""",D251="""",C251=""""),"""",IFERROR(MAX(0,C251-MAX(FILTER($C$2:$C251,TRIM($D$2:$D251)=TRIM(D251),(($A$2:$A251&lt;A251)+(($A$2:$A251=A251)*(ROW($A$2:$A251)&lt;ROW(A251))))))),""""))"),89.0)</f>
        <v>89</v>
      </c>
    </row>
    <row r="252" ht="22.5" customHeight="1">
      <c r="A252" s="78">
        <v>46093.0</v>
      </c>
      <c r="B252" s="7" t="s">
        <v>24</v>
      </c>
      <c r="C252" s="80">
        <v>17363.0</v>
      </c>
      <c r="D252" s="84" t="str">
        <f>IFERROR(VLOOKUP(B252,BASE_VEICULOS!$A:$B,2,0),"")</f>
        <v>TEW9A23</v>
      </c>
      <c r="E252" s="82">
        <f>IFERROR(__xludf.DUMMYFUNCTION("IF(OR(A252="""",D252="""",C252=""""),"""",IFERROR(MAX(0,C252-MAX(FILTER($C$2:$C252,TRIM($D$2:$D252)=TRIM(D252),(($A$2:$A252&lt;A252)+(($A$2:$A252=A252)*(ROW($A$2:$A252)&lt;ROW(A252))))))),""""))"),39.0)</f>
        <v>39</v>
      </c>
    </row>
    <row r="253" ht="22.5" customHeight="1">
      <c r="A253" s="78">
        <v>46093.0</v>
      </c>
      <c r="B253" s="7" t="s">
        <v>19</v>
      </c>
      <c r="C253" s="80">
        <v>17280.0</v>
      </c>
      <c r="D253" s="84" t="str">
        <f>IFERROR(VLOOKUP(B253,BASE_VEICULOS!$A:$B,2,0),"")</f>
        <v>TEW9A24</v>
      </c>
      <c r="E253" s="82">
        <f>IFERROR(__xludf.DUMMYFUNCTION("IF(OR(A253="""",D253="""",C253=""""),"""",IFERROR(MAX(0,C253-MAX(FILTER($C$2:$C253,TRIM($D$2:$D253)=TRIM(D253),(($A$2:$A253&lt;A253)+(($A$2:$A253=A253)*(ROW($A$2:$A253)&lt;ROW(A253))))))),""""))"),264.0)</f>
        <v>264</v>
      </c>
    </row>
    <row r="254" ht="22.5" customHeight="1">
      <c r="A254" s="78">
        <v>46093.0</v>
      </c>
      <c r="B254" s="7" t="s">
        <v>14</v>
      </c>
      <c r="C254" s="80">
        <v>90402.0</v>
      </c>
      <c r="D254" s="84" t="str">
        <f>IFERROR(VLOOKUP(B254,BASE_VEICULOS!$A:$B,2,0),"")</f>
        <v>FOK8A73</v>
      </c>
      <c r="E254" s="82">
        <f>IFERROR(__xludf.DUMMYFUNCTION("IF(OR(A254="""",D254="""",C254=""""),"""",IFERROR(MAX(0,C254-MAX(FILTER($C$2:$C254,TRIM($D$2:$D254)=TRIM(D254),(($A$2:$A254&lt;A254)+(($A$2:$A254=A254)*(ROW($A$2:$A254)&lt;ROW(A254))))))),""""))"),126.0)</f>
        <v>126</v>
      </c>
    </row>
    <row r="255" ht="22.5" customHeight="1">
      <c r="A255" s="78">
        <v>46093.0</v>
      </c>
      <c r="B255" s="7" t="s">
        <v>15</v>
      </c>
      <c r="C255" s="80">
        <v>107197.0</v>
      </c>
      <c r="D255" s="84" t="str">
        <f>IFERROR(VLOOKUP(B255,BASE_VEICULOS!$A:$B,2,0),"")</f>
        <v>EWH1B84</v>
      </c>
      <c r="E255" s="82">
        <f>IFERROR(__xludf.DUMMYFUNCTION("IF(OR(A255="""",D255="""",C255=""""),"""",IFERROR(MAX(0,C255-MAX(FILTER($C$2:$C255,TRIM($D$2:$D255)=TRIM(D255),(($A$2:$A255&lt;A255)+(($A$2:$A255=A255)*(ROW($A$2:$A255)&lt;ROW(A255))))))),""""))"),83.0)</f>
        <v>83</v>
      </c>
    </row>
    <row r="256" ht="22.5" customHeight="1">
      <c r="A256" s="78">
        <v>46093.0</v>
      </c>
      <c r="B256" s="7" t="s">
        <v>21</v>
      </c>
      <c r="C256" s="80">
        <v>17373.0</v>
      </c>
      <c r="D256" s="84" t="str">
        <f>IFERROR(VLOOKUP(B256,BASE_VEICULOS!$A:$B,2,0),"")</f>
        <v>TEW9A33</v>
      </c>
      <c r="E256" s="82">
        <f>IFERROR(__xludf.DUMMYFUNCTION("IF(OR(A256="""",D256="""",C256=""""),"""",IFERROR(MAX(0,C256-MAX(FILTER($C$2:$C256,TRIM($D$2:$D256)=TRIM(D256),(($A$2:$A256&lt;A256)+(($A$2:$A256=A256)*(ROW($A$2:$A256)&lt;ROW(A256))))))),""""))"),90.0)</f>
        <v>90</v>
      </c>
    </row>
    <row r="257" ht="22.5" customHeight="1">
      <c r="A257" s="78">
        <v>46093.0</v>
      </c>
      <c r="B257" s="7" t="s">
        <v>33</v>
      </c>
      <c r="C257" s="80">
        <v>67216.0</v>
      </c>
      <c r="D257" s="84" t="str">
        <f>IFERROR(VLOOKUP(B257,BASE_VEICULOS!$A:$B,2,0),"")</f>
        <v>TEW9A30</v>
      </c>
      <c r="E257" s="82">
        <f>IFERROR(__xludf.DUMMYFUNCTION("IF(OR(A257="""",D257="""",C257=""""),"""",IFERROR(MAX(0,C257-MAX(FILTER($C$2:$C257,TRIM($D$2:$D257)=TRIM(D257),(($A$2:$A257&lt;A257)+(($A$2:$A257=A257)*(ROW($A$2:$A257)&lt;ROW(A257))))))),""""))"),180.0)</f>
        <v>180</v>
      </c>
    </row>
    <row r="258" ht="22.5" customHeight="1">
      <c r="A258" s="78">
        <v>46093.0</v>
      </c>
      <c r="B258" s="7" t="s">
        <v>23</v>
      </c>
      <c r="C258" s="80">
        <v>17113.0</v>
      </c>
      <c r="D258" s="84" t="str">
        <f>IFERROR(VLOOKUP(B258,BASE_VEICULOS!$A:$B,2,0),"")</f>
        <v>TEH3I02</v>
      </c>
      <c r="E258" s="82">
        <f>IFERROR(__xludf.DUMMYFUNCTION("IF(OR(A258="""",D258="""",C258=""""),"""",IFERROR(MAX(0,C258-MAX(FILTER($C$2:$C258,TRIM($D$2:$D258)=TRIM(D258),(($A$2:$A258&lt;A258)+(($A$2:$A258=A258)*(ROW($A$2:$A258)&lt;ROW(A258))))))),""""))"),197.0)</f>
        <v>197</v>
      </c>
    </row>
    <row r="259" ht="22.5" customHeight="1">
      <c r="A259" s="78">
        <v>46093.0</v>
      </c>
      <c r="B259" s="7" t="s">
        <v>20</v>
      </c>
      <c r="C259" s="80">
        <v>15441.0</v>
      </c>
      <c r="D259" s="84" t="str">
        <f>IFERROR(VLOOKUP(B259,BASE_VEICULOS!$A:$B,2,0),"")</f>
        <v>TEW9A34</v>
      </c>
      <c r="E259" s="82">
        <f>IFERROR(__xludf.DUMMYFUNCTION("IF(OR(A259="""",D259="""",C259=""""),"""",IFERROR(MAX(0,C259-MAX(FILTER($C$2:$C259,TRIM($D$2:$D259)=TRIM(D259),(($A$2:$A259&lt;A259)+(($A$2:$A259=A259)*(ROW($A$2:$A259)&lt;ROW(A259))))))),""""))"),127.0)</f>
        <v>127</v>
      </c>
    </row>
    <row r="260" ht="22.5" customHeight="1">
      <c r="A260" s="78">
        <v>46093.0</v>
      </c>
      <c r="B260" s="7" t="s">
        <v>17</v>
      </c>
      <c r="C260" s="80">
        <v>12994.0</v>
      </c>
      <c r="D260" s="84" t="str">
        <f>IFERROR(VLOOKUP(B260,BASE_VEICULOS!$A:$B,2,0),"")</f>
        <v/>
      </c>
      <c r="E260" s="82" t="str">
        <f>IFERROR(__xludf.DUMMYFUNCTION("IF(OR(A260="""",D260="""",C260=""""),"""",IFERROR(MAX(0,C260-MAX(FILTER($C$2:$C260,TRIM($D$2:$D260)=TRIM(D260),(($A$2:$A260&lt;A260)+(($A$2:$A260=A260)*(ROW($A$2:$A260)&lt;ROW(A260))))))),""""))"),"")</f>
        <v/>
      </c>
    </row>
    <row r="261" ht="22.5" customHeight="1">
      <c r="A261" s="78">
        <v>46093.0</v>
      </c>
      <c r="B261" s="7" t="s">
        <v>25</v>
      </c>
      <c r="C261" s="80">
        <v>14207.0</v>
      </c>
      <c r="D261" s="84" t="str">
        <f>IFERROR(VLOOKUP(B261,BASE_VEICULOS!$A:$B,2,0),"")</f>
        <v>TEW9A26</v>
      </c>
      <c r="E261" s="82">
        <f>IFERROR(__xludf.DUMMYFUNCTION("IF(OR(A261="""",D261="""",C261=""""),"""",IFERROR(MAX(0,C261-MAX(FILTER($C$2:$C261,TRIM($D$2:$D261)=TRIM(D261),(($A$2:$A261&lt;A261)+(($A$2:$A261=A261)*(ROW($A$2:$A261)&lt;ROW(A261))))))),""""))"),122.0)</f>
        <v>122</v>
      </c>
    </row>
    <row r="262" ht="22.5" customHeight="1">
      <c r="A262" s="78">
        <v>46093.0</v>
      </c>
      <c r="B262" s="7" t="s">
        <v>22</v>
      </c>
      <c r="C262" s="80">
        <v>27108.0</v>
      </c>
      <c r="D262" s="84" t="str">
        <f>IFERROR(VLOOKUP(B262,BASE_VEICULOS!$A:$B,2,0),"")</f>
        <v>TET5H37</v>
      </c>
      <c r="E262" s="82">
        <f>IFERROR(__xludf.DUMMYFUNCTION("IF(OR(A262="""",D262="""",C262=""""),"""",IFERROR(MAX(0,C262-MAX(FILTER($C$2:$C262,TRIM($D$2:$D262)=TRIM(D262),(($A$2:$A262&lt;A262)+(($A$2:$A262=A262)*(ROW($A$2:$A262)&lt;ROW(A262))))))),""""))"),292.0)</f>
        <v>292</v>
      </c>
    </row>
    <row r="263" ht="22.5" customHeight="1">
      <c r="A263" s="78">
        <v>46093.0</v>
      </c>
      <c r="B263" s="7" t="s">
        <v>18</v>
      </c>
      <c r="C263" s="80">
        <v>16833.0</v>
      </c>
      <c r="D263" s="84" t="str">
        <f>IFERROR(VLOOKUP(B263,BASE_VEICULOS!$A:$B,2,0),"")</f>
        <v>TEW9A29</v>
      </c>
      <c r="E263" s="82">
        <f>IFERROR(__xludf.DUMMYFUNCTION("IF(OR(A263="""",D263="""",C263=""""),"""",IFERROR(MAX(0,C263-MAX(FILTER($C$2:$C263,TRIM($D$2:$D263)=TRIM(D263),(($A$2:$A263&lt;A263)+(($A$2:$A263=A263)*(ROW($A$2:$A263)&lt;ROW(A263))))))),""""))"),191.0)</f>
        <v>191</v>
      </c>
    </row>
    <row r="264" ht="22.5" customHeight="1">
      <c r="A264" s="78">
        <v>46093.0</v>
      </c>
      <c r="B264" s="7" t="s">
        <v>30</v>
      </c>
      <c r="C264" s="80">
        <v>18073.0</v>
      </c>
      <c r="D264" s="84" t="str">
        <f>IFERROR(VLOOKUP(B264,BASE_VEICULOS!$A:$B,2,0),"")</f>
        <v/>
      </c>
      <c r="E264" s="82" t="str">
        <f>IFERROR(__xludf.DUMMYFUNCTION("IF(OR(A264="""",D264="""",C264=""""),"""",IFERROR(MAX(0,C264-MAX(FILTER($C$2:$C264,TRIM($D$2:$D264)=TRIM(D264),(($A$2:$A264&lt;A264)+(($A$2:$A264=A264)*(ROW($A$2:$A264)&lt;ROW(A264))))))),""""))"),"")</f>
        <v/>
      </c>
    </row>
    <row r="265" ht="22.5" customHeight="1">
      <c r="A265" s="78">
        <v>46094.0</v>
      </c>
      <c r="B265" s="7" t="s">
        <v>19</v>
      </c>
      <c r="C265" s="80">
        <v>17364.0</v>
      </c>
      <c r="D265" s="84" t="str">
        <f>IFERROR(VLOOKUP(B265,BASE_VEICULOS!$A:$B,2,0),"")</f>
        <v>TEW9A24</v>
      </c>
      <c r="E265" s="82">
        <f>IFERROR(__xludf.DUMMYFUNCTION("IF(OR(A265="""",D265="""",C265=""""),"""",IFERROR(MAX(0,C265-MAX(FILTER($C$2:$C265,TRIM($D$2:$D265)=TRIM(D265),(($A$2:$A265&lt;A265)+(($A$2:$A265=A265)*(ROW($A$2:$A265)&lt;ROW(A265))))))),""""))"),84.0)</f>
        <v>84</v>
      </c>
    </row>
    <row r="266" ht="22.5" customHeight="1">
      <c r="A266" s="78">
        <v>46094.0</v>
      </c>
      <c r="B266" s="7" t="s">
        <v>11</v>
      </c>
      <c r="C266" s="80">
        <v>95450.0</v>
      </c>
      <c r="D266" s="84" t="str">
        <f>IFERROR(VLOOKUP(B266,BASE_VEICULOS!$A:$B,2,0),"")</f>
        <v>TEW9A28</v>
      </c>
      <c r="E266" s="82">
        <f>IFERROR(__xludf.DUMMYFUNCTION("IF(OR(A266="""",D266="""",C266=""""),"""",IFERROR(MAX(0,C266-MAX(FILTER($C$2:$C266,TRIM($D$2:$D266)=TRIM(D266),(($A$2:$A266&lt;A266)+(($A$2:$A266=A266)*(ROW($A$2:$A266)&lt;ROW(A266))))))),""""))"),134.0)</f>
        <v>134</v>
      </c>
    </row>
    <row r="267" ht="22.5" customHeight="1">
      <c r="A267" s="78">
        <v>46094.0</v>
      </c>
      <c r="B267" s="7" t="s">
        <v>29</v>
      </c>
      <c r="C267" s="80">
        <v>72909.0</v>
      </c>
      <c r="D267" s="84" t="str">
        <f>IFERROR(VLOOKUP(B267,BASE_VEICULOS!$A:$B,2,0),"")</f>
        <v>TEQ2I74</v>
      </c>
      <c r="E267" s="82">
        <f>IFERROR(__xludf.DUMMYFUNCTION("IF(OR(A267="""",D267="""",C267=""""),"""",IFERROR(MAX(0,C267-MAX(FILTER($C$2:$C267,TRIM($D$2:$D267)=TRIM(D267),(($A$2:$A267&lt;A267)+(($A$2:$A267=A267)*(ROW($A$2:$A267)&lt;ROW(A267))))))),""""))"),177.0)</f>
        <v>177</v>
      </c>
    </row>
    <row r="268" ht="22.5" customHeight="1">
      <c r="A268" s="78">
        <v>46094.0</v>
      </c>
      <c r="B268" s="7" t="s">
        <v>24</v>
      </c>
      <c r="C268" s="80">
        <v>17635.0</v>
      </c>
      <c r="D268" s="84" t="str">
        <f>IFERROR(VLOOKUP(B268,BASE_VEICULOS!$A:$B,2,0),"")</f>
        <v>TEW9A23</v>
      </c>
      <c r="E268" s="82">
        <f>IFERROR(__xludf.DUMMYFUNCTION("IF(OR(A268="""",D268="""",C268=""""),"""",IFERROR(MAX(0,C268-MAX(FILTER($C$2:$C268,TRIM($D$2:$D268)=TRIM(D268),(($A$2:$A268&lt;A268)+(($A$2:$A268=A268)*(ROW($A$2:$A268)&lt;ROW(A268))))))),""""))"),272.0)</f>
        <v>272</v>
      </c>
    </row>
    <row r="269" ht="22.5" customHeight="1">
      <c r="A269" s="78">
        <v>46094.0</v>
      </c>
      <c r="B269" s="7" t="s">
        <v>33</v>
      </c>
      <c r="C269" s="80">
        <v>67428.0</v>
      </c>
      <c r="D269" s="84" t="str">
        <f>IFERROR(VLOOKUP(B269,BASE_VEICULOS!$A:$B,2,0),"")</f>
        <v>TEW9A30</v>
      </c>
      <c r="E269" s="82">
        <f>IFERROR(__xludf.DUMMYFUNCTION("IF(OR(A269="""",D269="""",C269=""""),"""",IFERROR(MAX(0,C269-MAX(FILTER($C$2:$C269,TRIM($D$2:$D269)=TRIM(D269),(($A$2:$A269&lt;A269)+(($A$2:$A269=A269)*(ROW($A$2:$A269)&lt;ROW(A269))))))),""""))"),212.0)</f>
        <v>212</v>
      </c>
    </row>
    <row r="270" ht="22.5" customHeight="1">
      <c r="A270" s="78">
        <v>46094.0</v>
      </c>
      <c r="B270" s="7" t="s">
        <v>15</v>
      </c>
      <c r="C270" s="80">
        <v>107273.0</v>
      </c>
      <c r="D270" s="84" t="str">
        <f>IFERROR(VLOOKUP(B270,BASE_VEICULOS!$A:$B,2,0),"")</f>
        <v>EWH1B84</v>
      </c>
      <c r="E270" s="82">
        <f>IFERROR(__xludf.DUMMYFUNCTION("IF(OR(A270="""",D270="""",C270=""""),"""",IFERROR(MAX(0,C270-MAX(FILTER($C$2:$C270,TRIM($D$2:$D270)=TRIM(D270),(($A$2:$A270&lt;A270)+(($A$2:$A270=A270)*(ROW($A$2:$A270)&lt;ROW(A270))))))),""""))"),76.0)</f>
        <v>76</v>
      </c>
    </row>
    <row r="271" ht="22.5" customHeight="1">
      <c r="A271" s="78">
        <v>46094.0</v>
      </c>
      <c r="B271" s="7" t="s">
        <v>18</v>
      </c>
      <c r="C271" s="80">
        <v>16920.0</v>
      </c>
      <c r="D271" s="84" t="str">
        <f>IFERROR(VLOOKUP(B271,BASE_VEICULOS!$A:$B,2,0),"")</f>
        <v>TEW9A29</v>
      </c>
      <c r="E271" s="82">
        <f>IFERROR(__xludf.DUMMYFUNCTION("IF(OR(A271="""",D271="""",C271=""""),"""",IFERROR(MAX(0,C271-MAX(FILTER($C$2:$C271,TRIM($D$2:$D271)=TRIM(D271),(($A$2:$A271&lt;A271)+(($A$2:$A271=A271)*(ROW($A$2:$A271)&lt;ROW(A271))))))),""""))"),87.0)</f>
        <v>87</v>
      </c>
    </row>
    <row r="272" ht="22.5" customHeight="1">
      <c r="A272" s="78">
        <v>46094.0</v>
      </c>
      <c r="B272" s="7" t="s">
        <v>12</v>
      </c>
      <c r="C272" s="80">
        <v>88677.0</v>
      </c>
      <c r="D272" s="84" t="str">
        <f>IFERROR(VLOOKUP(B272,BASE_VEICULOS!$A:$B,2,0),"")</f>
        <v>FIL8C14</v>
      </c>
      <c r="E272" s="82">
        <f>IFERROR(__xludf.DUMMYFUNCTION("IF(OR(A272="""",D272="""",C272=""""),"""",IFERROR(MAX(0,C272-MAX(FILTER($C$2:$C272,TRIM($D$2:$D272)=TRIM(D272),(($A$2:$A272&lt;A272)+(($A$2:$A272=A272)*(ROW($A$2:$A272)&lt;ROW(A272))))))),""""))"),108.0)</f>
        <v>108</v>
      </c>
    </row>
    <row r="273" ht="22.5" customHeight="1">
      <c r="A273" s="78">
        <v>46094.0</v>
      </c>
      <c r="B273" s="7" t="s">
        <v>20</v>
      </c>
      <c r="C273" s="80">
        <v>15568.0</v>
      </c>
      <c r="D273" s="84" t="str">
        <f>IFERROR(VLOOKUP(B273,BASE_VEICULOS!$A:$B,2,0),"")</f>
        <v>TEW9A34</v>
      </c>
      <c r="E273" s="82">
        <f>IFERROR(__xludf.DUMMYFUNCTION("IF(OR(A273="""",D273="""",C273=""""),"""",IFERROR(MAX(0,C273-MAX(FILTER($C$2:$C273,TRIM($D$2:$D273)=TRIM(D273),(($A$2:$A273&lt;A273)+(($A$2:$A273=A273)*(ROW($A$2:$A273)&lt;ROW(A273))))))),""""))"),127.0)</f>
        <v>127</v>
      </c>
    </row>
    <row r="274" ht="22.5" customHeight="1">
      <c r="A274" s="78">
        <v>46094.0</v>
      </c>
      <c r="B274" s="7" t="s">
        <v>23</v>
      </c>
      <c r="C274" s="80">
        <v>17252.0</v>
      </c>
      <c r="D274" s="84" t="str">
        <f>IFERROR(VLOOKUP(B274,BASE_VEICULOS!$A:$B,2,0),"")</f>
        <v>TEH3I02</v>
      </c>
      <c r="E274" s="82">
        <f>IFERROR(__xludf.DUMMYFUNCTION("IF(OR(A274="""",D274="""",C274=""""),"""",IFERROR(MAX(0,C274-MAX(FILTER($C$2:$C274,TRIM($D$2:$D274)=TRIM(D274),(($A$2:$A274&lt;A274)+(($A$2:$A274=A274)*(ROW($A$2:$A274)&lt;ROW(A274))))))),""""))"),139.0)</f>
        <v>139</v>
      </c>
    </row>
    <row r="275" ht="22.5" customHeight="1">
      <c r="A275" s="78">
        <v>46094.0</v>
      </c>
      <c r="B275" s="7" t="s">
        <v>14</v>
      </c>
      <c r="C275" s="80">
        <v>90550.0</v>
      </c>
      <c r="D275" s="84" t="str">
        <f>IFERROR(VLOOKUP(B275,BASE_VEICULOS!$A:$B,2,0),"")</f>
        <v>FOK8A73</v>
      </c>
      <c r="E275" s="82">
        <f>IFERROR(__xludf.DUMMYFUNCTION("IF(OR(A275="""",D275="""",C275=""""),"""",IFERROR(MAX(0,C275-MAX(FILTER($C$2:$C275,TRIM($D$2:$D275)=TRIM(D275),(($A$2:$A275&lt;A275)+(($A$2:$A275=A275)*(ROW($A$2:$A275)&lt;ROW(A275))))))),""""))"),148.0)</f>
        <v>148</v>
      </c>
    </row>
    <row r="276" ht="22.5" customHeight="1">
      <c r="A276" s="78">
        <v>46094.0</v>
      </c>
      <c r="B276" s="7" t="s">
        <v>10</v>
      </c>
      <c r="C276" s="80">
        <v>16921.0</v>
      </c>
      <c r="D276" s="84" t="str">
        <f>IFERROR(VLOOKUP(B276,BASE_VEICULOS!$A:$B,2,0),"")</f>
        <v>TEW9A25</v>
      </c>
      <c r="E276" s="82">
        <f>IFERROR(__xludf.DUMMYFUNCTION("IF(OR(A276="""",D276="""",C276=""""),"""",IFERROR(MAX(0,C276-MAX(FILTER($C$2:$C276,TRIM($D$2:$D276)=TRIM(D276),(($A$2:$A276&lt;A276)+(($A$2:$A276=A276)*(ROW($A$2:$A276)&lt;ROW(A276))))))),""""))"),171.0)</f>
        <v>171</v>
      </c>
    </row>
    <row r="277" ht="22.5" customHeight="1">
      <c r="A277" s="78">
        <v>46094.0</v>
      </c>
      <c r="B277" s="7" t="s">
        <v>25</v>
      </c>
      <c r="C277" s="80">
        <v>14563.0</v>
      </c>
      <c r="D277" s="84" t="str">
        <f>IFERROR(VLOOKUP(B277,BASE_VEICULOS!$A:$B,2,0),"")</f>
        <v>TEW9A26</v>
      </c>
      <c r="E277" s="82">
        <f>IFERROR(__xludf.DUMMYFUNCTION("IF(OR(A277="""",D277="""",C277=""""),"""",IFERROR(MAX(0,C277-MAX(FILTER($C$2:$C277,TRIM($D$2:$D277)=TRIM(D277),(($A$2:$A277&lt;A277)+(($A$2:$A277=A277)*(ROW($A$2:$A277)&lt;ROW(A277))))))),""""))"),356.0)</f>
        <v>356</v>
      </c>
    </row>
    <row r="278" ht="22.5" customHeight="1">
      <c r="A278" s="78">
        <v>46094.0</v>
      </c>
      <c r="B278" s="7" t="s">
        <v>17</v>
      </c>
      <c r="C278" s="80">
        <v>13257.0</v>
      </c>
      <c r="D278" s="84" t="str">
        <f>IFERROR(VLOOKUP(B278,BASE_VEICULOS!$A:$B,2,0),"")</f>
        <v/>
      </c>
      <c r="E278" s="82" t="str">
        <f>IFERROR(__xludf.DUMMYFUNCTION("IF(OR(A278="""",D278="""",C278=""""),"""",IFERROR(MAX(0,C278-MAX(FILTER($C$2:$C278,TRIM($D$2:$D278)=TRIM(D278),(($A$2:$A278&lt;A278)+(($A$2:$A278=A278)*(ROW($A$2:$A278)&lt;ROW(A278))))))),""""))"),"")</f>
        <v/>
      </c>
    </row>
    <row r="279" ht="22.5" customHeight="1">
      <c r="A279" s="78">
        <v>46095.0</v>
      </c>
      <c r="B279" s="7" t="s">
        <v>11</v>
      </c>
      <c r="C279" s="80">
        <v>95851.0</v>
      </c>
      <c r="D279" s="84" t="str">
        <f>IFERROR(VLOOKUP(B279,BASE_VEICULOS!$A:$B,2,0),"")</f>
        <v>TEW9A28</v>
      </c>
      <c r="E279" s="82">
        <f>IFERROR(__xludf.DUMMYFUNCTION("IF(OR(A279="""",D279="""",C279=""""),"""",IFERROR(MAX(0,C279-MAX(FILTER($C$2:$C279,TRIM($D$2:$D279)=TRIM(D279),(($A$2:$A279&lt;A279)+(($A$2:$A279=A279)*(ROW($A$2:$A279)&lt;ROW(A279))))))),""""))"),401.0)</f>
        <v>401</v>
      </c>
    </row>
    <row r="280" ht="22.5" customHeight="1">
      <c r="A280" s="78">
        <v>46095.0</v>
      </c>
      <c r="B280" s="7" t="s">
        <v>19</v>
      </c>
      <c r="C280" s="80">
        <v>17625.0</v>
      </c>
      <c r="D280" s="84" t="str">
        <f>IFERROR(VLOOKUP(B280,BASE_VEICULOS!$A:$B,2,0),"")</f>
        <v>TEW9A24</v>
      </c>
      <c r="E280" s="82">
        <f>IFERROR(__xludf.DUMMYFUNCTION("IF(OR(A280="""",D280="""",C280=""""),"""",IFERROR(MAX(0,C280-MAX(FILTER($C$2:$C280,TRIM($D$2:$D280)=TRIM(D280),(($A$2:$A280&lt;A280)+(($A$2:$A280=A280)*(ROW($A$2:$A280)&lt;ROW(A280))))))),""""))"),261.0)</f>
        <v>261</v>
      </c>
    </row>
    <row r="281" ht="22.5" customHeight="1">
      <c r="A281" s="78">
        <v>46095.0</v>
      </c>
      <c r="B281" s="7" t="s">
        <v>23</v>
      </c>
      <c r="C281" s="80">
        <v>17423.0</v>
      </c>
      <c r="D281" s="84" t="str">
        <f>IFERROR(VLOOKUP(B281,BASE_VEICULOS!$A:$B,2,0),"")</f>
        <v>TEH3I02</v>
      </c>
      <c r="E281" s="82">
        <f>IFERROR(__xludf.DUMMYFUNCTION("IF(OR(A281="""",D281="""",C281=""""),"""",IFERROR(MAX(0,C281-MAX(FILTER($C$2:$C281,TRIM($D$2:$D281)=TRIM(D281),(($A$2:$A281&lt;A281)+(($A$2:$A281=A281)*(ROW($A$2:$A281)&lt;ROW(A281))))))),""""))"),171.0)</f>
        <v>171</v>
      </c>
    </row>
    <row r="282" ht="22.5" customHeight="1">
      <c r="A282" s="78">
        <v>46095.0</v>
      </c>
      <c r="B282" s="7" t="s">
        <v>22</v>
      </c>
      <c r="C282" s="80">
        <v>27652.0</v>
      </c>
      <c r="D282" s="84" t="str">
        <f>IFERROR(VLOOKUP(B282,BASE_VEICULOS!$A:$B,2,0),"")</f>
        <v>TET5H37</v>
      </c>
      <c r="E282" s="82">
        <f>IFERROR(__xludf.DUMMYFUNCTION("IF(OR(A282="""",D282="""",C282=""""),"""",IFERROR(MAX(0,C282-MAX(FILTER($C$2:$C282,TRIM($D$2:$D282)=TRIM(D282),(($A$2:$A282&lt;A282)+(($A$2:$A282=A282)*(ROW($A$2:$A282)&lt;ROW(A282))))))),""""))"),544.0)</f>
        <v>544</v>
      </c>
    </row>
    <row r="283" ht="22.5" customHeight="1">
      <c r="A283" s="78">
        <v>46096.0</v>
      </c>
      <c r="B283" s="7" t="s">
        <v>19</v>
      </c>
      <c r="C283" s="80">
        <v>17877.0</v>
      </c>
      <c r="D283" s="84" t="str">
        <f>IFERROR(VLOOKUP(B283,BASE_VEICULOS!$A:$B,2,0),"")</f>
        <v>TEW9A24</v>
      </c>
      <c r="E283" s="82">
        <f>IFERROR(__xludf.DUMMYFUNCTION("IF(OR(A283="""",D283="""",C283=""""),"""",IFERROR(MAX(0,C283-MAX(FILTER($C$2:$C283,TRIM($D$2:$D283)=TRIM(D283),(($A$2:$A283&lt;A283)+(($A$2:$A283=A283)*(ROW($A$2:$A283)&lt;ROW(A283))))))),""""))"),252.0)</f>
        <v>252</v>
      </c>
    </row>
    <row r="284" ht="22.5" customHeight="1">
      <c r="A284" s="78">
        <v>46096.0</v>
      </c>
      <c r="B284" s="7" t="s">
        <v>22</v>
      </c>
      <c r="C284" s="80">
        <v>27921.0</v>
      </c>
      <c r="D284" s="84" t="str">
        <f>IFERROR(VLOOKUP(B284,BASE_VEICULOS!$A:$B,2,0),"")</f>
        <v>TET5H37</v>
      </c>
      <c r="E284" s="82">
        <f>IFERROR(__xludf.DUMMYFUNCTION("IF(OR(A284="""",D284="""",C284=""""),"""",IFERROR(MAX(0,C284-MAX(FILTER($C$2:$C284,TRIM($D$2:$D284)=TRIM(D284),(($A$2:$A284&lt;A284)+(($A$2:$A284=A284)*(ROW($A$2:$A284)&lt;ROW(A284))))))),""""))"),269.0)</f>
        <v>269</v>
      </c>
    </row>
    <row r="285" ht="22.5" customHeight="1">
      <c r="A285" s="78">
        <v>46097.0</v>
      </c>
      <c r="B285" s="7" t="s">
        <v>29</v>
      </c>
      <c r="C285" s="80">
        <v>73151.0</v>
      </c>
      <c r="D285" s="84" t="str">
        <f>IFERROR(VLOOKUP(B285,BASE_VEICULOS!$A:$B,2,0),"")</f>
        <v>TEQ2I74</v>
      </c>
      <c r="E285" s="82">
        <f>IFERROR(__xludf.DUMMYFUNCTION("IF(OR(A285="""",D285="""",C285=""""),"""",IFERROR(MAX(0,C285-MAX(FILTER($C$2:$C285,TRIM($D$2:$D285)=TRIM(D285),(($A$2:$A285&lt;A285)+(($A$2:$A285=A285)*(ROW($A$2:$A285)&lt;ROW(A285))))))),""""))"),242.0)</f>
        <v>242</v>
      </c>
    </row>
    <row r="286" ht="22.5" customHeight="1">
      <c r="A286" s="78">
        <v>46097.0</v>
      </c>
      <c r="B286" s="7" t="s">
        <v>13</v>
      </c>
      <c r="C286" s="80">
        <v>105094.0</v>
      </c>
      <c r="D286" s="84" t="str">
        <f>IFERROR(VLOOKUP(B286,BASE_VEICULOS!$A:$B,2,0),"")</f>
        <v>FGO3C61</v>
      </c>
      <c r="E286" s="82">
        <f>IFERROR(__xludf.DUMMYFUNCTION("IF(OR(A286="""",D286="""",C286=""""),"""",IFERROR(MAX(0,C286-MAX(FILTER($C$2:$C286,TRIM($D$2:$D286)=TRIM(D286),(($A$2:$A286&lt;A286)+(($A$2:$A286=A286)*(ROW($A$2:$A286)&lt;ROW(A286))))))),""""))"),431.0)</f>
        <v>431</v>
      </c>
    </row>
    <row r="287" ht="22.5" customHeight="1">
      <c r="A287" s="78">
        <v>46097.0</v>
      </c>
      <c r="B287" s="7" t="s">
        <v>21</v>
      </c>
      <c r="C287" s="80">
        <v>17554.0</v>
      </c>
      <c r="D287" s="84" t="str">
        <f>IFERROR(VLOOKUP(B287,BASE_VEICULOS!$A:$B,2,0),"")</f>
        <v>TEW9A33</v>
      </c>
      <c r="E287" s="82">
        <f>IFERROR(__xludf.DUMMYFUNCTION("IF(OR(A287="""",D287="""",C287=""""),"""",IFERROR(MAX(0,C287-MAX(FILTER($C$2:$C287,TRIM($D$2:$D287)=TRIM(D287),(($A$2:$A287&lt;A287)+(($A$2:$A287=A287)*(ROW($A$2:$A287)&lt;ROW(A287))))))),""""))"),181.0)</f>
        <v>181</v>
      </c>
    </row>
    <row r="288" ht="22.5" customHeight="1">
      <c r="A288" s="78">
        <v>46097.0</v>
      </c>
      <c r="B288" s="7" t="s">
        <v>11</v>
      </c>
      <c r="C288" s="80">
        <v>95937.0</v>
      </c>
      <c r="D288" s="84" t="str">
        <f>IFERROR(VLOOKUP(B288,BASE_VEICULOS!$A:$B,2,0),"")</f>
        <v>TEW9A28</v>
      </c>
      <c r="E288" s="82">
        <f>IFERROR(__xludf.DUMMYFUNCTION("IF(OR(A288="""",D288="""",C288=""""),"""",IFERROR(MAX(0,C288-MAX(FILTER($C$2:$C288,TRIM($D$2:$D288)=TRIM(D288),(($A$2:$A288&lt;A288)+(($A$2:$A288=A288)*(ROW($A$2:$A288)&lt;ROW(A288))))))),""""))"),86.0)</f>
        <v>86</v>
      </c>
    </row>
    <row r="289" ht="22.5" customHeight="1">
      <c r="A289" s="78">
        <v>46097.0</v>
      </c>
      <c r="B289" s="7" t="s">
        <v>24</v>
      </c>
      <c r="C289" s="80">
        <v>17753.0</v>
      </c>
      <c r="D289" s="84" t="str">
        <f>IFERROR(VLOOKUP(B289,BASE_VEICULOS!$A:$B,2,0),"")</f>
        <v>TEW9A23</v>
      </c>
      <c r="E289" s="82">
        <f>IFERROR(__xludf.DUMMYFUNCTION("IF(OR(A289="""",D289="""",C289=""""),"""",IFERROR(MAX(0,C289-MAX(FILTER($C$2:$C289,TRIM($D$2:$D289)=TRIM(D289),(($A$2:$A289&lt;A289)+(($A$2:$A289=A289)*(ROW($A$2:$A289)&lt;ROW(A289))))))),""""))"),118.0)</f>
        <v>118</v>
      </c>
    </row>
    <row r="290" ht="22.5" customHeight="1">
      <c r="A290" s="78">
        <v>46097.0</v>
      </c>
      <c r="B290" s="7" t="s">
        <v>19</v>
      </c>
      <c r="C290" s="80">
        <v>18169.0</v>
      </c>
      <c r="D290" s="84" t="str">
        <f>IFERROR(VLOOKUP(B290,BASE_VEICULOS!$A:$B,2,0),"")</f>
        <v>TEW9A24</v>
      </c>
      <c r="E290" s="82">
        <f>IFERROR(__xludf.DUMMYFUNCTION("IF(OR(A290="""",D290="""",C290=""""),"""",IFERROR(MAX(0,C290-MAX(FILTER($C$2:$C290,TRIM($D$2:$D290)=TRIM(D290),(($A$2:$A290&lt;A290)+(($A$2:$A290=A290)*(ROW($A$2:$A290)&lt;ROW(A290))))))),""""))"),292.0)</f>
        <v>292</v>
      </c>
    </row>
    <row r="291" ht="22.5" customHeight="1">
      <c r="A291" s="78">
        <v>46097.0</v>
      </c>
      <c r="B291" s="7" t="s">
        <v>18</v>
      </c>
      <c r="C291" s="80">
        <v>17102.0</v>
      </c>
      <c r="D291" s="84" t="str">
        <f>IFERROR(VLOOKUP(B291,BASE_VEICULOS!$A:$B,2,0),"")</f>
        <v>TEW9A29</v>
      </c>
      <c r="E291" s="82">
        <f>IFERROR(__xludf.DUMMYFUNCTION("IF(OR(A291="""",D291="""",C291=""""),"""",IFERROR(MAX(0,C291-MAX(FILTER($C$2:$C291,TRIM($D$2:$D291)=TRIM(D291),(($A$2:$A291&lt;A291)+(($A$2:$A291=A291)*(ROW($A$2:$A291)&lt;ROW(A291))))))),""""))"),182.0)</f>
        <v>182</v>
      </c>
    </row>
    <row r="292" ht="22.5" customHeight="1">
      <c r="A292" s="78">
        <v>46097.0</v>
      </c>
      <c r="B292" s="7" t="s">
        <v>25</v>
      </c>
      <c r="C292" s="80">
        <v>14694.0</v>
      </c>
      <c r="D292" s="84" t="str">
        <f>IFERROR(VLOOKUP(B292,BASE_VEICULOS!$A:$B,2,0),"")</f>
        <v>TEW9A26</v>
      </c>
      <c r="E292" s="82">
        <f>IFERROR(__xludf.DUMMYFUNCTION("IF(OR(A292="""",D292="""",C292=""""),"""",IFERROR(MAX(0,C292-MAX(FILTER($C$2:$C292,TRIM($D$2:$D292)=TRIM(D292),(($A$2:$A292&lt;A292)+(($A$2:$A292=A292)*(ROW($A$2:$A292)&lt;ROW(A292))))))),""""))"),131.0)</f>
        <v>131</v>
      </c>
    </row>
    <row r="293" ht="22.5" customHeight="1">
      <c r="A293" s="78">
        <v>46097.0</v>
      </c>
      <c r="B293" s="7" t="s">
        <v>15</v>
      </c>
      <c r="C293" s="80">
        <v>107375.0</v>
      </c>
      <c r="D293" s="84" t="str">
        <f>IFERROR(VLOOKUP(B293,BASE_VEICULOS!$A:$B,2,0),"")</f>
        <v>EWH1B84</v>
      </c>
      <c r="E293" s="82">
        <f>IFERROR(__xludf.DUMMYFUNCTION("IF(OR(A293="""",D293="""",C293=""""),"""",IFERROR(MAX(0,C293-MAX(FILTER($C$2:$C293,TRIM($D$2:$D293)=TRIM(D293),(($A$2:$A293&lt;A293)+(($A$2:$A293=A293)*(ROW($A$2:$A293)&lt;ROW(A293))))))),""""))"),102.0)</f>
        <v>102</v>
      </c>
    </row>
    <row r="294" ht="22.5" customHeight="1">
      <c r="A294" s="78">
        <v>46097.0</v>
      </c>
      <c r="B294" s="7" t="s">
        <v>12</v>
      </c>
      <c r="C294" s="80">
        <v>88788.0</v>
      </c>
      <c r="D294" s="84" t="str">
        <f>IFERROR(VLOOKUP(B294,BASE_VEICULOS!$A:$B,2,0),"")</f>
        <v>FIL8C14</v>
      </c>
      <c r="E294" s="82">
        <f>IFERROR(__xludf.DUMMYFUNCTION("IF(OR(A294="""",D294="""",C294=""""),"""",IFERROR(MAX(0,C294-MAX(FILTER($C$2:$C294,TRIM($D$2:$D294)=TRIM(D294),(($A$2:$A294&lt;A294)+(($A$2:$A294=A294)*(ROW($A$2:$A294)&lt;ROW(A294))))))),""""))"),111.0)</f>
        <v>111</v>
      </c>
    </row>
    <row r="295" ht="22.5" customHeight="1">
      <c r="A295" s="78">
        <v>46097.0</v>
      </c>
      <c r="B295" s="7" t="s">
        <v>20</v>
      </c>
      <c r="C295" s="80">
        <v>15688.0</v>
      </c>
      <c r="D295" s="84" t="str">
        <f>IFERROR(VLOOKUP(B295,BASE_VEICULOS!$A:$B,2,0),"")</f>
        <v>TEW9A34</v>
      </c>
      <c r="E295" s="82">
        <f>IFERROR(__xludf.DUMMYFUNCTION("IF(OR(A295="""",D295="""",C295=""""),"""",IFERROR(MAX(0,C295-MAX(FILTER($C$2:$C295,TRIM($D$2:$D295)=TRIM(D295),(($A$2:$A295&lt;A295)+(($A$2:$A295=A295)*(ROW($A$2:$A295)&lt;ROW(A295))))))),""""))"),120.0)</f>
        <v>120</v>
      </c>
    </row>
    <row r="296" ht="22.5" customHeight="1">
      <c r="A296" s="78">
        <v>46097.0</v>
      </c>
      <c r="B296" s="7" t="s">
        <v>10</v>
      </c>
      <c r="C296" s="80">
        <v>17065.0</v>
      </c>
      <c r="D296" s="84" t="str">
        <f>IFERROR(VLOOKUP(B296,BASE_VEICULOS!$A:$B,2,0),"")</f>
        <v>TEW9A25</v>
      </c>
      <c r="E296" s="82">
        <f>IFERROR(__xludf.DUMMYFUNCTION("IF(OR(A296="""",D296="""",C296=""""),"""",IFERROR(MAX(0,C296-MAX(FILTER($C$2:$C296,TRIM($D$2:$D296)=TRIM(D296),(($A$2:$A296&lt;A296)+(($A$2:$A296=A296)*(ROW($A$2:$A296)&lt;ROW(A296))))))),""""))"),144.0)</f>
        <v>144</v>
      </c>
    </row>
    <row r="297" ht="22.5" customHeight="1">
      <c r="A297" s="78">
        <v>46097.0</v>
      </c>
      <c r="B297" s="7" t="s">
        <v>33</v>
      </c>
      <c r="C297" s="80">
        <v>67576.0</v>
      </c>
      <c r="D297" s="84" t="str">
        <f>IFERROR(VLOOKUP(B297,BASE_VEICULOS!$A:$B,2,0),"")</f>
        <v>TEW9A30</v>
      </c>
      <c r="E297" s="82">
        <f>IFERROR(__xludf.DUMMYFUNCTION("IF(OR(A297="""",D297="""",C297=""""),"""",IFERROR(MAX(0,C297-MAX(FILTER($C$2:$C297,TRIM($D$2:$D297)=TRIM(D297),(($A$2:$A297&lt;A297)+(($A$2:$A297=A297)*(ROW($A$2:$A297)&lt;ROW(A297))))))),""""))"),148.0)</f>
        <v>148</v>
      </c>
    </row>
    <row r="298" ht="22.5" customHeight="1">
      <c r="A298" s="78">
        <v>46097.0</v>
      </c>
      <c r="B298" s="7" t="s">
        <v>14</v>
      </c>
      <c r="C298" s="80">
        <v>90876.0</v>
      </c>
      <c r="D298" s="84" t="str">
        <f>IFERROR(VLOOKUP(B298,BASE_VEICULOS!$A:$B,2,0),"")</f>
        <v>FOK8A73</v>
      </c>
      <c r="E298" s="82">
        <f>IFERROR(__xludf.DUMMYFUNCTION("IF(OR(A298="""",D298="""",C298=""""),"""",IFERROR(MAX(0,C298-MAX(FILTER($C$2:$C298,TRIM($D$2:$D298)=TRIM(D298),(($A$2:$A298&lt;A298)+(($A$2:$A298=A298)*(ROW($A$2:$A298)&lt;ROW(A298))))))),""""))"),326.0)</f>
        <v>326</v>
      </c>
    </row>
    <row r="299" ht="22.5" customHeight="1">
      <c r="A299" s="78">
        <v>46097.0</v>
      </c>
      <c r="B299" s="7" t="s">
        <v>22</v>
      </c>
      <c r="C299" s="80">
        <v>28160.0</v>
      </c>
      <c r="D299" s="84" t="str">
        <f>IFERROR(VLOOKUP(B299,BASE_VEICULOS!$A:$B,2,0),"")</f>
        <v>TET5H37</v>
      </c>
      <c r="E299" s="82">
        <f>IFERROR(__xludf.DUMMYFUNCTION("IF(OR(A299="""",D299="""",C299=""""),"""",IFERROR(MAX(0,C299-MAX(FILTER($C$2:$C299,TRIM($D$2:$D299)=TRIM(D299),(($A$2:$A299&lt;A299)+(($A$2:$A299=A299)*(ROW($A$2:$A299)&lt;ROW(A299))))))),""""))"),239.0)</f>
        <v>239</v>
      </c>
    </row>
    <row r="300" ht="22.5" customHeight="1">
      <c r="A300" s="78">
        <v>46097.0</v>
      </c>
      <c r="B300" s="7" t="s">
        <v>23</v>
      </c>
      <c r="C300" s="80">
        <v>17458.0</v>
      </c>
      <c r="D300" s="84" t="str">
        <f>IFERROR(VLOOKUP(B300,BASE_VEICULOS!$A:$B,2,0),"")</f>
        <v>TEH3I02</v>
      </c>
      <c r="E300" s="82">
        <f>IFERROR(__xludf.DUMMYFUNCTION("IF(OR(A300="""",D300="""",C300=""""),"""",IFERROR(MAX(0,C300-MAX(FILTER($C$2:$C300,TRIM($D$2:$D300)=TRIM(D300),(($A$2:$A300&lt;A300)+(($A$2:$A300=A300)*(ROW($A$2:$A300)&lt;ROW(A300))))))),""""))"),35.0)</f>
        <v>35</v>
      </c>
    </row>
    <row r="301" ht="22.5" customHeight="1">
      <c r="A301" s="78">
        <v>46097.0</v>
      </c>
      <c r="B301" s="7" t="s">
        <v>17</v>
      </c>
      <c r="C301" s="80">
        <v>13330.0</v>
      </c>
      <c r="D301" s="84" t="str">
        <f>IFERROR(VLOOKUP(B301,BASE_VEICULOS!$A:$B,2,0),"")</f>
        <v/>
      </c>
      <c r="E301" s="82" t="str">
        <f>IFERROR(__xludf.DUMMYFUNCTION("IF(OR(A301="""",D301="""",C301=""""),"""",IFERROR(MAX(0,C301-MAX(FILTER($C$2:$C301,TRIM($D$2:$D301)=TRIM(D301),(($A$2:$A301&lt;A301)+(($A$2:$A301=A301)*(ROW($A$2:$A301)&lt;ROW(A301))))))),""""))"),"")</f>
        <v/>
      </c>
    </row>
    <row r="302" ht="22.5" customHeight="1">
      <c r="A302" s="78">
        <v>46097.0</v>
      </c>
      <c r="B302" s="7" t="s">
        <v>30</v>
      </c>
      <c r="C302" s="80">
        <v>18660.0</v>
      </c>
      <c r="D302" s="84" t="str">
        <f>IFERROR(VLOOKUP(B302,BASE_VEICULOS!$A:$B,2,0),"")</f>
        <v/>
      </c>
      <c r="E302" s="82" t="str">
        <f>IFERROR(__xludf.DUMMYFUNCTION("IF(OR(A302="""",D302="""",C302=""""),"""",IFERROR(MAX(0,C302-MAX(FILTER($C$2:$C302,TRIM($D$2:$D302)=TRIM(D302),(($A$2:$A302&lt;A302)+(($A$2:$A302=A302)*(ROW($A$2:$A302)&lt;ROW(A302))))))),""""))"),"")</f>
        <v/>
      </c>
    </row>
    <row r="303" ht="22.5" customHeight="1">
      <c r="A303" s="78">
        <v>46098.0</v>
      </c>
      <c r="B303" s="7" t="s">
        <v>18</v>
      </c>
      <c r="C303" s="80">
        <v>17322.0</v>
      </c>
      <c r="D303" s="84" t="str">
        <f>IFERROR(VLOOKUP(B303,BASE_VEICULOS!$A:$B,2,0),"")</f>
        <v>TEW9A29</v>
      </c>
      <c r="E303" s="82">
        <f>IFERROR(__xludf.DUMMYFUNCTION("IF(OR(A303="""",D303="""",C303=""""),"""",IFERROR(MAX(0,C303-MAX(FILTER($C$2:$C303,TRIM($D$2:$D303)=TRIM(D303),(($A$2:$A303&lt;A303)+(($A$2:$A303=A303)*(ROW($A$2:$A303)&lt;ROW(A303))))))),""""))"),220.0)</f>
        <v>220</v>
      </c>
    </row>
    <row r="304" ht="22.5" customHeight="1">
      <c r="A304" s="78">
        <v>46098.0</v>
      </c>
      <c r="B304" s="7" t="s">
        <v>21</v>
      </c>
      <c r="C304" s="80">
        <v>17677.0</v>
      </c>
      <c r="D304" s="84" t="str">
        <f>IFERROR(VLOOKUP(B304,BASE_VEICULOS!$A:$B,2,0),"")</f>
        <v>TEW9A33</v>
      </c>
      <c r="E304" s="82">
        <f>IFERROR(__xludf.DUMMYFUNCTION("IF(OR(A304="""",D304="""",C304=""""),"""",IFERROR(MAX(0,C304-MAX(FILTER($C$2:$C304,TRIM($D$2:$D304)=TRIM(D304),(($A$2:$A304&lt;A304)+(($A$2:$A304=A304)*(ROW($A$2:$A304)&lt;ROW(A304))))))),""""))"),123.0)</f>
        <v>123</v>
      </c>
    </row>
    <row r="305" ht="22.5" customHeight="1">
      <c r="A305" s="78">
        <v>46098.0</v>
      </c>
      <c r="B305" s="7" t="s">
        <v>24</v>
      </c>
      <c r="C305" s="80">
        <v>17902.0</v>
      </c>
      <c r="D305" s="84" t="str">
        <f>IFERROR(VLOOKUP(B305,BASE_VEICULOS!$A:$B,2,0),"")</f>
        <v>TEW9A23</v>
      </c>
      <c r="E305" s="82">
        <f>IFERROR(__xludf.DUMMYFUNCTION("IF(OR(A305="""",D305="""",C305=""""),"""",IFERROR(MAX(0,C305-MAX(FILTER($C$2:$C305,TRIM($D$2:$D305)=TRIM(D305),(($A$2:$A305&lt;A305)+(($A$2:$A305=A305)*(ROW($A$2:$A305)&lt;ROW(A305))))))),""""))"),149.0)</f>
        <v>149</v>
      </c>
    </row>
    <row r="306" ht="22.5" customHeight="1">
      <c r="A306" s="78">
        <v>46098.0</v>
      </c>
      <c r="B306" s="7" t="s">
        <v>11</v>
      </c>
      <c r="C306" s="80">
        <v>96044.0</v>
      </c>
      <c r="D306" s="84" t="str">
        <f>IFERROR(VLOOKUP(B306,BASE_VEICULOS!$A:$B,2,0),"")</f>
        <v>TEW9A28</v>
      </c>
      <c r="E306" s="82">
        <f>IFERROR(__xludf.DUMMYFUNCTION("IF(OR(A306="""",D306="""",C306=""""),"""",IFERROR(MAX(0,C306-MAX(FILTER($C$2:$C306,TRIM($D$2:$D306)=TRIM(D306),(($A$2:$A306&lt;A306)+(($A$2:$A306=A306)*(ROW($A$2:$A306)&lt;ROW(A306))))))),""""))"),107.0)</f>
        <v>107</v>
      </c>
    </row>
    <row r="307" ht="22.5" customHeight="1">
      <c r="A307" s="78">
        <v>46098.0</v>
      </c>
      <c r="B307" s="7" t="s">
        <v>19</v>
      </c>
      <c r="C307" s="80">
        <v>18231.0</v>
      </c>
      <c r="D307" s="84" t="str">
        <f>IFERROR(VLOOKUP(B307,BASE_VEICULOS!$A:$B,2,0),"")</f>
        <v>TEW9A24</v>
      </c>
      <c r="E307" s="82">
        <f>IFERROR(__xludf.DUMMYFUNCTION("IF(OR(A307="""",D307="""",C307=""""),"""",IFERROR(MAX(0,C307-MAX(FILTER($C$2:$C307,TRIM($D$2:$D307)=TRIM(D307),(($A$2:$A307&lt;A307)+(($A$2:$A307=A307)*(ROW($A$2:$A307)&lt;ROW(A307))))))),""""))"),62.0)</f>
        <v>62</v>
      </c>
    </row>
    <row r="308" ht="22.5" customHeight="1">
      <c r="A308" s="78">
        <v>46098.0</v>
      </c>
      <c r="B308" s="7" t="s">
        <v>14</v>
      </c>
      <c r="C308" s="80">
        <v>91001.0</v>
      </c>
      <c r="D308" s="84" t="str">
        <f>IFERROR(VLOOKUP(B308,BASE_VEICULOS!$A:$B,2,0),"")</f>
        <v>FOK8A73</v>
      </c>
      <c r="E308" s="82">
        <f>IFERROR(__xludf.DUMMYFUNCTION("IF(OR(A308="""",D308="""",C308=""""),"""",IFERROR(MAX(0,C308-MAX(FILTER($C$2:$C308,TRIM($D$2:$D308)=TRIM(D308),(($A$2:$A308&lt;A308)+(($A$2:$A308=A308)*(ROW($A$2:$A308)&lt;ROW(A308))))))),""""))"),125.0)</f>
        <v>125</v>
      </c>
    </row>
    <row r="309" ht="22.5" customHeight="1">
      <c r="A309" s="78">
        <v>46098.0</v>
      </c>
      <c r="B309" s="7" t="s">
        <v>10</v>
      </c>
      <c r="C309" s="80">
        <v>17212.0</v>
      </c>
      <c r="D309" s="84" t="str">
        <f>IFERROR(VLOOKUP(B309,BASE_VEICULOS!$A:$B,2,0),"")</f>
        <v>TEW9A25</v>
      </c>
      <c r="E309" s="82">
        <f>IFERROR(__xludf.DUMMYFUNCTION("IF(OR(A309="""",D309="""",C309=""""),"""",IFERROR(MAX(0,C309-MAX(FILTER($C$2:$C309,TRIM($D$2:$D309)=TRIM(D309),(($A$2:$A309&lt;A309)+(($A$2:$A309=A309)*(ROW($A$2:$A309)&lt;ROW(A309))))))),""""))"),147.0)</f>
        <v>147</v>
      </c>
    </row>
    <row r="310" ht="22.5" customHeight="1">
      <c r="A310" s="78">
        <v>46098.0</v>
      </c>
      <c r="B310" s="7" t="s">
        <v>12</v>
      </c>
      <c r="C310" s="80">
        <v>88911.0</v>
      </c>
      <c r="D310" s="84" t="str">
        <f>IFERROR(VLOOKUP(B310,BASE_VEICULOS!$A:$B,2,0),"")</f>
        <v>FIL8C14</v>
      </c>
      <c r="E310" s="82">
        <f>IFERROR(__xludf.DUMMYFUNCTION("IF(OR(A310="""",D310="""",C310=""""),"""",IFERROR(MAX(0,C310-MAX(FILTER($C$2:$C310,TRIM($D$2:$D310)=TRIM(D310),(($A$2:$A310&lt;A310)+(($A$2:$A310=A310)*(ROW($A$2:$A310)&lt;ROW(A310))))))),""""))"),123.0)</f>
        <v>123</v>
      </c>
    </row>
    <row r="311" ht="22.5" customHeight="1">
      <c r="A311" s="78">
        <v>46098.0</v>
      </c>
      <c r="B311" s="7" t="s">
        <v>23</v>
      </c>
      <c r="C311" s="80">
        <v>17594.0</v>
      </c>
      <c r="D311" s="84" t="str">
        <f>IFERROR(VLOOKUP(B311,BASE_VEICULOS!$A:$B,2,0),"")</f>
        <v>TEH3I02</v>
      </c>
      <c r="E311" s="82">
        <f>IFERROR(__xludf.DUMMYFUNCTION("IF(OR(A311="""",D311="""",C311=""""),"""",IFERROR(MAX(0,C311-MAX(FILTER($C$2:$C311,TRIM($D$2:$D311)=TRIM(D311),(($A$2:$A311&lt;A311)+(($A$2:$A311=A311)*(ROW($A$2:$A311)&lt;ROW(A311))))))),""""))"),136.0)</f>
        <v>136</v>
      </c>
    </row>
    <row r="312" ht="22.5" customHeight="1">
      <c r="A312" s="78">
        <v>46098.0</v>
      </c>
      <c r="B312" s="7" t="s">
        <v>22</v>
      </c>
      <c r="C312" s="80">
        <v>28390.0</v>
      </c>
      <c r="D312" s="84" t="str">
        <f>IFERROR(VLOOKUP(B312,BASE_VEICULOS!$A:$B,2,0),"")</f>
        <v>TET5H37</v>
      </c>
      <c r="E312" s="82">
        <f>IFERROR(__xludf.DUMMYFUNCTION("IF(OR(A312="""",D312="""",C312=""""),"""",IFERROR(MAX(0,C312-MAX(FILTER($C$2:$C312,TRIM($D$2:$D312)=TRIM(D312),(($A$2:$A312&lt;A312)+(($A$2:$A312=A312)*(ROW($A$2:$A312)&lt;ROW(A312))))))),""""))"),230.0)</f>
        <v>230</v>
      </c>
    </row>
    <row r="313" ht="22.5" customHeight="1">
      <c r="A313" s="78">
        <v>46098.0</v>
      </c>
      <c r="B313" s="7" t="s">
        <v>20</v>
      </c>
      <c r="C313" s="80">
        <v>15805.0</v>
      </c>
      <c r="D313" s="84" t="str">
        <f>IFERROR(VLOOKUP(B313,BASE_VEICULOS!$A:$B,2,0),"")</f>
        <v>TEW9A34</v>
      </c>
      <c r="E313" s="82">
        <f>IFERROR(__xludf.DUMMYFUNCTION("IF(OR(A313="""",D313="""",C313=""""),"""",IFERROR(MAX(0,C313-MAX(FILTER($C$2:$C313,TRIM($D$2:$D313)=TRIM(D313),(($A$2:$A313&lt;A313)+(($A$2:$A313=A313)*(ROW($A$2:$A313)&lt;ROW(A313))))))),""""))"),117.0)</f>
        <v>117</v>
      </c>
    </row>
    <row r="314" ht="22.5" customHeight="1">
      <c r="A314" s="78">
        <v>46098.0</v>
      </c>
      <c r="B314" s="7" t="s">
        <v>33</v>
      </c>
      <c r="C314" s="80">
        <v>67756.0</v>
      </c>
      <c r="D314" s="84" t="str">
        <f>IFERROR(VLOOKUP(B314,BASE_VEICULOS!$A:$B,2,0),"")</f>
        <v>TEW9A30</v>
      </c>
      <c r="E314" s="82">
        <f>IFERROR(__xludf.DUMMYFUNCTION("IF(OR(A314="""",D314="""",C314=""""),"""",IFERROR(MAX(0,C314-MAX(FILTER($C$2:$C314,TRIM($D$2:$D314)=TRIM(D314),(($A$2:$A314&lt;A314)+(($A$2:$A314=A314)*(ROW($A$2:$A314)&lt;ROW(A314))))))),""""))"),180.0)</f>
        <v>180</v>
      </c>
    </row>
    <row r="315" ht="22.5" customHeight="1">
      <c r="A315" s="78">
        <v>46098.0</v>
      </c>
      <c r="B315" s="7" t="s">
        <v>34</v>
      </c>
      <c r="C315" s="80">
        <v>52220.0</v>
      </c>
      <c r="D315" s="84" t="str">
        <f>IFERROR(VLOOKUP(B315,BASE_VEICULOS!$A:$B,2,0),"")</f>
        <v>SRU8D16</v>
      </c>
      <c r="E315" s="82">
        <f>IFERROR(__xludf.DUMMYFUNCTION("IF(OR(A315="""",D315="""",C315=""""),"""",IFERROR(MAX(0,C315-MAX(FILTER($C$2:$C315,TRIM($D$2:$D315)=TRIM(D315),(($A$2:$A315&lt;A315)+(($A$2:$A315=A315)*(ROW($A$2:$A315)&lt;ROW(A315))))))),""""))"),84.0)</f>
        <v>84</v>
      </c>
    </row>
    <row r="316" ht="22.5" customHeight="1">
      <c r="A316" s="78">
        <v>46098.0</v>
      </c>
      <c r="B316" s="7" t="s">
        <v>17</v>
      </c>
      <c r="C316" s="80">
        <v>13425.0</v>
      </c>
      <c r="D316" s="84" t="str">
        <f>IFERROR(VLOOKUP(B316,BASE_VEICULOS!$A:$B,2,0),"")</f>
        <v/>
      </c>
      <c r="E316" s="82" t="str">
        <f>IFERROR(__xludf.DUMMYFUNCTION("IF(OR(A316="""",D316="""",C316=""""),"""",IFERROR(MAX(0,C316-MAX(FILTER($C$2:$C316,TRIM($D$2:$D316)=TRIM(D316),(($A$2:$A316&lt;A316)+(($A$2:$A316=A316)*(ROW($A$2:$A316)&lt;ROW(A316))))))),""""))"),"")</f>
        <v/>
      </c>
    </row>
    <row r="317" ht="22.5" customHeight="1">
      <c r="A317" s="78">
        <v>46098.0</v>
      </c>
      <c r="B317" s="7" t="s">
        <v>29</v>
      </c>
      <c r="C317" s="80">
        <v>73461.0</v>
      </c>
      <c r="D317" s="84" t="str">
        <f>IFERROR(VLOOKUP(B317,BASE_VEICULOS!$A:$B,2,0),"")</f>
        <v>TEQ2I74</v>
      </c>
      <c r="E317" s="82">
        <f>IFERROR(__xludf.DUMMYFUNCTION("IF(OR(A317="""",D317="""",C317=""""),"""",IFERROR(MAX(0,C317-MAX(FILTER($C$2:$C317,TRIM($D$2:$D317)=TRIM(D317),(($A$2:$A317&lt;A317)+(($A$2:$A317=A317)*(ROW($A$2:$A317)&lt;ROW(A317))))))),""""))"),310.0)</f>
        <v>310</v>
      </c>
    </row>
    <row r="318" ht="22.5" customHeight="1">
      <c r="A318" s="78">
        <v>46098.0</v>
      </c>
      <c r="B318" s="7" t="s">
        <v>25</v>
      </c>
      <c r="C318" s="80">
        <v>14786.0</v>
      </c>
      <c r="D318" s="84" t="str">
        <f>IFERROR(VLOOKUP(B318,BASE_VEICULOS!$A:$B,2,0),"")</f>
        <v>TEW9A26</v>
      </c>
      <c r="E318" s="82">
        <f>IFERROR(__xludf.DUMMYFUNCTION("IF(OR(A318="""",D318="""",C318=""""),"""",IFERROR(MAX(0,C318-MAX(FILTER($C$2:$C318,TRIM($D$2:$D318)=TRIM(D318),(($A$2:$A318&lt;A318)+(($A$2:$A318=A318)*(ROW($A$2:$A318)&lt;ROW(A318))))))),""""))"),92.0)</f>
        <v>92</v>
      </c>
    </row>
    <row r="319" ht="22.5" customHeight="1">
      <c r="A319" s="78">
        <v>46098.0</v>
      </c>
      <c r="B319" s="7" t="s">
        <v>13</v>
      </c>
      <c r="C319" s="80">
        <v>105214.0</v>
      </c>
      <c r="D319" s="84" t="str">
        <f>IFERROR(VLOOKUP(B319,BASE_VEICULOS!$A:$B,2,0),"")</f>
        <v>FGO3C61</v>
      </c>
      <c r="E319" s="82">
        <f>IFERROR(__xludf.DUMMYFUNCTION("IF(OR(A319="""",D319="""",C319=""""),"""",IFERROR(MAX(0,C319-MAX(FILTER($C$2:$C319,TRIM($D$2:$D319)=TRIM(D319),(($A$2:$A319&lt;A319)+(($A$2:$A319=A319)*(ROW($A$2:$A319)&lt;ROW(A319))))))),""""))"),120.0)</f>
        <v>120</v>
      </c>
    </row>
    <row r="320" ht="22.5" customHeight="1">
      <c r="A320" s="78">
        <v>46099.0</v>
      </c>
      <c r="B320" s="7" t="s">
        <v>33</v>
      </c>
      <c r="C320" s="80">
        <v>67851.0</v>
      </c>
      <c r="D320" s="84" t="str">
        <f>IFERROR(VLOOKUP(B320,BASE_VEICULOS!$A:$B,2,0),"")</f>
        <v>TEW9A30</v>
      </c>
      <c r="E320" s="82">
        <f>IFERROR(__xludf.DUMMYFUNCTION("IF(OR(A320="""",D320="""",C320=""""),"""",IFERROR(MAX(0,C320-MAX(FILTER($C$2:$C320,TRIM($D$2:$D320)=TRIM(D320),(($A$2:$A320&lt;A320)+(($A$2:$A320=A320)*(ROW($A$2:$A320)&lt;ROW(A320))))))),""""))"),95.0)</f>
        <v>95</v>
      </c>
    </row>
    <row r="321" ht="22.5" customHeight="1">
      <c r="A321" s="78">
        <v>46099.0</v>
      </c>
      <c r="B321" s="7" t="s">
        <v>18</v>
      </c>
      <c r="C321" s="80">
        <v>17533.0</v>
      </c>
      <c r="D321" s="84" t="str">
        <f>IFERROR(VLOOKUP(B321,BASE_VEICULOS!$A:$B,2,0),"")</f>
        <v>TEW9A29</v>
      </c>
      <c r="E321" s="82">
        <f>IFERROR(__xludf.DUMMYFUNCTION("IF(OR(A321="""",D321="""",C321=""""),"""",IFERROR(MAX(0,C321-MAX(FILTER($C$2:$C321,TRIM($D$2:$D321)=TRIM(D321),(($A$2:$A321&lt;A321)+(($A$2:$A321=A321)*(ROW($A$2:$A321)&lt;ROW(A321))))))),""""))"),211.0)</f>
        <v>211</v>
      </c>
    </row>
    <row r="322" ht="22.5" customHeight="1">
      <c r="A322" s="78">
        <v>46099.0</v>
      </c>
      <c r="B322" s="7" t="s">
        <v>21</v>
      </c>
      <c r="C322" s="80">
        <v>17796.0</v>
      </c>
      <c r="D322" s="84" t="str">
        <f>IFERROR(VLOOKUP(B322,BASE_VEICULOS!$A:$B,2,0),"")</f>
        <v>TEW9A33</v>
      </c>
      <c r="E322" s="82">
        <f>IFERROR(__xludf.DUMMYFUNCTION("IF(OR(A322="""",D322="""",C322=""""),"""",IFERROR(MAX(0,C322-MAX(FILTER($C$2:$C322,TRIM($D$2:$D322)=TRIM(D322),(($A$2:$A322&lt;A322)+(($A$2:$A322=A322)*(ROW($A$2:$A322)&lt;ROW(A322))))))),""""))"),119.0)</f>
        <v>119</v>
      </c>
    </row>
    <row r="323" ht="22.5" customHeight="1">
      <c r="A323" s="78">
        <v>46099.0</v>
      </c>
      <c r="B323" s="7" t="s">
        <v>24</v>
      </c>
      <c r="C323" s="80">
        <v>17986.0</v>
      </c>
      <c r="D323" s="84" t="str">
        <f>IFERROR(VLOOKUP(B323,BASE_VEICULOS!$A:$B,2,0),"")</f>
        <v>TEW9A23</v>
      </c>
      <c r="E323" s="82">
        <f>IFERROR(__xludf.DUMMYFUNCTION("IF(OR(A323="""",D323="""",C323=""""),"""",IFERROR(MAX(0,C323-MAX(FILTER($C$2:$C323,TRIM($D$2:$D323)=TRIM(D323),(($A$2:$A323&lt;A323)+(($A$2:$A323=A323)*(ROW($A$2:$A323)&lt;ROW(A323))))))),""""))"),84.0)</f>
        <v>84</v>
      </c>
    </row>
    <row r="324" ht="22.5" customHeight="1">
      <c r="A324" s="78">
        <v>46099.0</v>
      </c>
      <c r="B324" s="7" t="s">
        <v>11</v>
      </c>
      <c r="C324" s="80">
        <v>96203.0</v>
      </c>
      <c r="D324" s="84" t="str">
        <f>IFERROR(VLOOKUP(B324,BASE_VEICULOS!$A:$B,2,0),"")</f>
        <v>TEW9A28</v>
      </c>
      <c r="E324" s="82">
        <f>IFERROR(__xludf.DUMMYFUNCTION("IF(OR(A324="""",D324="""",C324=""""),"""",IFERROR(MAX(0,C324-MAX(FILTER($C$2:$C324,TRIM($D$2:$D324)=TRIM(D324),(($A$2:$A324&lt;A324)+(($A$2:$A324=A324)*(ROW($A$2:$A324)&lt;ROW(A324))))))),""""))"),159.0)</f>
        <v>159</v>
      </c>
    </row>
    <row r="325" ht="22.5" customHeight="1">
      <c r="A325" s="78">
        <v>46099.0</v>
      </c>
      <c r="B325" s="7" t="s">
        <v>15</v>
      </c>
      <c r="C325" s="80">
        <v>107773.0</v>
      </c>
      <c r="D325" s="84" t="str">
        <f>IFERROR(VLOOKUP(B325,BASE_VEICULOS!$A:$B,2,0),"")</f>
        <v>EWH1B84</v>
      </c>
      <c r="E325" s="82">
        <f>IFERROR(__xludf.DUMMYFUNCTION("IF(OR(A325="""",D325="""",C325=""""),"""",IFERROR(MAX(0,C325-MAX(FILTER($C$2:$C325,TRIM($D$2:$D325)=TRIM(D325),(($A$2:$A325&lt;A325)+(($A$2:$A325=A325)*(ROW($A$2:$A325)&lt;ROW(A325))))))),""""))"),398.0)</f>
        <v>398</v>
      </c>
    </row>
    <row r="326" ht="22.5" customHeight="1">
      <c r="A326" s="78">
        <v>46099.0</v>
      </c>
      <c r="B326" s="7" t="s">
        <v>19</v>
      </c>
      <c r="C326" s="80">
        <v>18443.0</v>
      </c>
      <c r="D326" s="84" t="str">
        <f>IFERROR(VLOOKUP(B326,BASE_VEICULOS!$A:$B,2,0),"")</f>
        <v>TEW9A24</v>
      </c>
      <c r="E326" s="82">
        <f>IFERROR(__xludf.DUMMYFUNCTION("IF(OR(A326="""",D326="""",C326=""""),"""",IFERROR(MAX(0,C326-MAX(FILTER($C$2:$C326,TRIM($D$2:$D326)=TRIM(D326),(($A$2:$A326&lt;A326)+(($A$2:$A326=A326)*(ROW($A$2:$A326)&lt;ROW(A326))))))),""""))"),212.0)</f>
        <v>212</v>
      </c>
    </row>
    <row r="327" ht="22.5" customHeight="1">
      <c r="A327" s="78">
        <v>46099.0</v>
      </c>
      <c r="B327" s="7" t="s">
        <v>29</v>
      </c>
      <c r="C327" s="80">
        <v>73603.0</v>
      </c>
      <c r="D327" s="84" t="str">
        <f>IFERROR(VLOOKUP(B327,BASE_VEICULOS!$A:$B,2,0),"")</f>
        <v>TEQ2I74</v>
      </c>
      <c r="E327" s="82">
        <f>IFERROR(__xludf.DUMMYFUNCTION("IF(OR(A327="""",D327="""",C327=""""),"""",IFERROR(MAX(0,C327-MAX(FILTER($C$2:$C327,TRIM($D$2:$D327)=TRIM(D327),(($A$2:$A327&lt;A327)+(($A$2:$A327=A327)*(ROW($A$2:$A327)&lt;ROW(A327))))))),""""))"),142.0)</f>
        <v>142</v>
      </c>
    </row>
    <row r="328" ht="22.5" customHeight="1">
      <c r="A328" s="78">
        <v>46099.0</v>
      </c>
      <c r="B328" s="7" t="s">
        <v>14</v>
      </c>
      <c r="C328" s="80">
        <v>91168.0</v>
      </c>
      <c r="D328" s="84" t="str">
        <f>IFERROR(VLOOKUP(B328,BASE_VEICULOS!$A:$B,2,0),"")</f>
        <v>FOK8A73</v>
      </c>
      <c r="E328" s="82">
        <f>IFERROR(__xludf.DUMMYFUNCTION("IF(OR(A328="""",D328="""",C328=""""),"""",IFERROR(MAX(0,C328-MAX(FILTER($C$2:$C328,TRIM($D$2:$D328)=TRIM(D328),(($A$2:$A328&lt;A328)+(($A$2:$A328=A328)*(ROW($A$2:$A328)&lt;ROW(A328))))))),""""))"),167.0)</f>
        <v>167</v>
      </c>
    </row>
    <row r="329" ht="22.5" customHeight="1">
      <c r="A329" s="78">
        <v>46099.0</v>
      </c>
      <c r="B329" s="7" t="s">
        <v>10</v>
      </c>
      <c r="C329" s="80">
        <v>17362.0</v>
      </c>
      <c r="D329" s="84" t="str">
        <f>IFERROR(VLOOKUP(B329,BASE_VEICULOS!$A:$B,2,0),"")</f>
        <v>TEW9A25</v>
      </c>
      <c r="E329" s="82">
        <f>IFERROR(__xludf.DUMMYFUNCTION("IF(OR(A329="""",D329="""",C329=""""),"""",IFERROR(MAX(0,C329-MAX(FILTER($C$2:$C329,TRIM($D$2:$D329)=TRIM(D329),(($A$2:$A329&lt;A329)+(($A$2:$A329=A329)*(ROW($A$2:$A329)&lt;ROW(A329))))))),""""))"),150.0)</f>
        <v>150</v>
      </c>
    </row>
    <row r="330" ht="22.5" customHeight="1">
      <c r="A330" s="78">
        <v>46099.0</v>
      </c>
      <c r="B330" s="7" t="s">
        <v>12</v>
      </c>
      <c r="C330" s="80">
        <v>89011.0</v>
      </c>
      <c r="D330" s="84" t="str">
        <f>IFERROR(VLOOKUP(B330,BASE_VEICULOS!$A:$B,2,0),"")</f>
        <v>FIL8C14</v>
      </c>
      <c r="E330" s="82">
        <f>IFERROR(__xludf.DUMMYFUNCTION("IF(OR(A330="""",D330="""",C330=""""),"""",IFERROR(MAX(0,C330-MAX(FILTER($C$2:$C330,TRIM($D$2:$D330)=TRIM(D330),(($A$2:$A330&lt;A330)+(($A$2:$A330=A330)*(ROW($A$2:$A330)&lt;ROW(A330))))))),""""))"),100.0)</f>
        <v>100</v>
      </c>
    </row>
    <row r="331" ht="22.5" customHeight="1">
      <c r="A331" s="78">
        <v>46099.0</v>
      </c>
      <c r="B331" s="7" t="s">
        <v>23</v>
      </c>
      <c r="C331" s="80">
        <v>17739.0</v>
      </c>
      <c r="D331" s="84" t="str">
        <f>IFERROR(VLOOKUP(B331,BASE_VEICULOS!$A:$B,2,0),"")</f>
        <v>TEH3I02</v>
      </c>
      <c r="E331" s="82">
        <f>IFERROR(__xludf.DUMMYFUNCTION("IF(OR(A331="""",D331="""",C331=""""),"""",IFERROR(MAX(0,C331-MAX(FILTER($C$2:$C331,TRIM($D$2:$D331)=TRIM(D331),(($A$2:$A331&lt;A331)+(($A$2:$A331=A331)*(ROW($A$2:$A331)&lt;ROW(A331))))))),""""))"),145.0)</f>
        <v>145</v>
      </c>
    </row>
    <row r="332" ht="22.5" customHeight="1">
      <c r="A332" s="78">
        <v>46099.0</v>
      </c>
      <c r="B332" s="7" t="s">
        <v>22</v>
      </c>
      <c r="C332" s="80">
        <v>28669.0</v>
      </c>
      <c r="D332" s="84" t="str">
        <f>IFERROR(VLOOKUP(B332,BASE_VEICULOS!$A:$B,2,0),"")</f>
        <v>TET5H37</v>
      </c>
      <c r="E332" s="82">
        <f>IFERROR(__xludf.DUMMYFUNCTION("IF(OR(A332="""",D332="""",C332=""""),"""",IFERROR(MAX(0,C332-MAX(FILTER($C$2:$C332,TRIM($D$2:$D332)=TRIM(D332),(($A$2:$A332&lt;A332)+(($A$2:$A332=A332)*(ROW($A$2:$A332)&lt;ROW(A332))))))),""""))"),279.0)</f>
        <v>279</v>
      </c>
    </row>
    <row r="333" ht="22.5" customHeight="1">
      <c r="A333" s="78">
        <v>46099.0</v>
      </c>
      <c r="B333" s="7" t="s">
        <v>20</v>
      </c>
      <c r="C333" s="80">
        <v>15937.0</v>
      </c>
      <c r="D333" s="84" t="str">
        <f>IFERROR(VLOOKUP(B333,BASE_VEICULOS!$A:$B,2,0),"")</f>
        <v>TEW9A34</v>
      </c>
      <c r="E333" s="82">
        <f>IFERROR(__xludf.DUMMYFUNCTION("IF(OR(A333="""",D333="""",C333=""""),"""",IFERROR(MAX(0,C333-MAX(FILTER($C$2:$C333,TRIM($D$2:$D333)=TRIM(D333),(($A$2:$A333&lt;A333)+(($A$2:$A333=A333)*(ROW($A$2:$A333)&lt;ROW(A333))))))),""""))"),132.0)</f>
        <v>132</v>
      </c>
    </row>
    <row r="334" ht="22.5" customHeight="1">
      <c r="A334" s="78">
        <v>46099.0</v>
      </c>
      <c r="B334" s="7" t="s">
        <v>34</v>
      </c>
      <c r="C334" s="80">
        <v>52411.0</v>
      </c>
      <c r="D334" s="84" t="str">
        <f>IFERROR(VLOOKUP(B334,BASE_VEICULOS!$A:$B,2,0),"")</f>
        <v>SRU8D16</v>
      </c>
      <c r="E334" s="82">
        <f>IFERROR(__xludf.DUMMYFUNCTION("IF(OR(A334="""",D334="""",C334=""""),"""",IFERROR(MAX(0,C334-MAX(FILTER($C$2:$C334,TRIM($D$2:$D334)=TRIM(D334),(($A$2:$A334&lt;A334)+(($A$2:$A334=A334)*(ROW($A$2:$A334)&lt;ROW(A334))))))),""""))"),191.0)</f>
        <v>191</v>
      </c>
    </row>
    <row r="335" ht="22.5" customHeight="1">
      <c r="A335" s="78">
        <v>46099.0</v>
      </c>
      <c r="B335" s="7" t="s">
        <v>17</v>
      </c>
      <c r="C335" s="80">
        <v>13748.0</v>
      </c>
      <c r="D335" s="84" t="str">
        <f>IFERROR(VLOOKUP(B335,BASE_VEICULOS!$A:$B,2,0),"")</f>
        <v/>
      </c>
      <c r="E335" s="82" t="str">
        <f>IFERROR(__xludf.DUMMYFUNCTION("IF(OR(A335="""",D335="""",C335=""""),"""",IFERROR(MAX(0,C335-MAX(FILTER($C$2:$C335,TRIM($D$2:$D335)=TRIM(D335),(($A$2:$A335&lt;A335)+(($A$2:$A335=A335)*(ROW($A$2:$A335)&lt;ROW(A335))))))),""""))"),"")</f>
        <v/>
      </c>
    </row>
    <row r="336" ht="22.5" customHeight="1">
      <c r="A336" s="78">
        <v>46099.0</v>
      </c>
      <c r="B336" s="7" t="s">
        <v>25</v>
      </c>
      <c r="C336" s="80">
        <v>14870.0</v>
      </c>
      <c r="D336" s="84" t="str">
        <f>IFERROR(VLOOKUP(B336,BASE_VEICULOS!$A:$B,2,0),"")</f>
        <v>TEW9A26</v>
      </c>
      <c r="E336" s="82">
        <f>IFERROR(__xludf.DUMMYFUNCTION("IF(OR(A336="""",D336="""",C336=""""),"""",IFERROR(MAX(0,C336-MAX(FILTER($C$2:$C336,TRIM($D$2:$D336)=TRIM(D336),(($A$2:$A336&lt;A336)+(($A$2:$A336=A336)*(ROW($A$2:$A336)&lt;ROW(A336))))))),""""))"),84.0)</f>
        <v>84</v>
      </c>
    </row>
    <row r="337" ht="22.5" customHeight="1">
      <c r="A337" s="78">
        <v>46099.0</v>
      </c>
      <c r="B337" s="7" t="s">
        <v>30</v>
      </c>
      <c r="C337" s="80">
        <v>18710.0</v>
      </c>
      <c r="D337" s="84" t="str">
        <f>IFERROR(VLOOKUP(B337,BASE_VEICULOS!$A:$B,2,0),"")</f>
        <v/>
      </c>
      <c r="E337" s="82" t="str">
        <f>IFERROR(__xludf.DUMMYFUNCTION("IF(OR(A337="""",D337="""",C337=""""),"""",IFERROR(MAX(0,C337-MAX(FILTER($C$2:$C337,TRIM($D$2:$D337)=TRIM(D337),(($A$2:$A337&lt;A337)+(($A$2:$A337=A337)*(ROW($A$2:$A337)&lt;ROW(A337))))))),""""))"),"")</f>
        <v/>
      </c>
    </row>
    <row r="338" ht="22.5" customHeight="1">
      <c r="A338" s="78">
        <v>46100.0</v>
      </c>
      <c r="B338" s="7" t="s">
        <v>19</v>
      </c>
      <c r="C338" s="80">
        <v>18550.0</v>
      </c>
      <c r="D338" s="84" t="str">
        <f>IFERROR(VLOOKUP(B338,BASE_VEICULOS!$A:$B,2,0),"")</f>
        <v>TEW9A24</v>
      </c>
      <c r="E338" s="82">
        <f>IFERROR(__xludf.DUMMYFUNCTION("IF(OR(A338="""",D338="""",C338=""""),"""",IFERROR(MAX(0,C338-MAX(FILTER($C$2:$C338,TRIM($D$2:$D338)=TRIM(D338),(($A$2:$A338&lt;A338)+(($A$2:$A338=A338)*(ROW($A$2:$A338)&lt;ROW(A338))))))),""""))"),107.0)</f>
        <v>107</v>
      </c>
    </row>
    <row r="339" ht="22.5" customHeight="1">
      <c r="A339" s="78">
        <v>46100.0</v>
      </c>
      <c r="B339" s="7" t="s">
        <v>29</v>
      </c>
      <c r="C339" s="80">
        <v>73695.0</v>
      </c>
      <c r="D339" s="84" t="str">
        <f>IFERROR(VLOOKUP(B339,BASE_VEICULOS!$A:$B,2,0),"")</f>
        <v>TEQ2I74</v>
      </c>
      <c r="E339" s="82">
        <f>IFERROR(__xludf.DUMMYFUNCTION("IF(OR(A339="""",D339="""",C339=""""),"""",IFERROR(MAX(0,C339-MAX(FILTER($C$2:$C339,TRIM($D$2:$D339)=TRIM(D339),(($A$2:$A339&lt;A339)+(($A$2:$A339=A339)*(ROW($A$2:$A339)&lt;ROW(A339))))))),""""))"),92.0)</f>
        <v>92</v>
      </c>
    </row>
    <row r="340" ht="22.5" customHeight="1">
      <c r="A340" s="78">
        <v>46100.0</v>
      </c>
      <c r="B340" s="7" t="s">
        <v>18</v>
      </c>
      <c r="C340" s="80">
        <v>17616.0</v>
      </c>
      <c r="D340" s="84" t="str">
        <f>IFERROR(VLOOKUP(B340,BASE_VEICULOS!$A:$B,2,0),"")</f>
        <v>TEW9A29</v>
      </c>
      <c r="E340" s="82">
        <f>IFERROR(__xludf.DUMMYFUNCTION("IF(OR(A340="""",D340="""",C340=""""),"""",IFERROR(MAX(0,C340-MAX(FILTER($C$2:$C340,TRIM($D$2:$D340)=TRIM(D340),(($A$2:$A340&lt;A340)+(($A$2:$A340=A340)*(ROW($A$2:$A340)&lt;ROW(A340))))))),""""))"),83.0)</f>
        <v>83</v>
      </c>
    </row>
    <row r="341" ht="22.5" customHeight="1">
      <c r="A341" s="78">
        <v>46100.0</v>
      </c>
      <c r="B341" s="7" t="s">
        <v>25</v>
      </c>
      <c r="C341" s="80">
        <v>14911.0</v>
      </c>
      <c r="D341" s="84" t="str">
        <f>IFERROR(VLOOKUP(B341,BASE_VEICULOS!$A:$B,2,0),"")</f>
        <v>TEW9A26</v>
      </c>
      <c r="E341" s="82">
        <f>IFERROR(__xludf.DUMMYFUNCTION("IF(OR(A341="""",D341="""",C341=""""),"""",IFERROR(MAX(0,C341-MAX(FILTER($C$2:$C341,TRIM($D$2:$D341)=TRIM(D341),(($A$2:$A341&lt;A341)+(($A$2:$A341=A341)*(ROW($A$2:$A341)&lt;ROW(A341))))))),""""))"),41.0)</f>
        <v>41</v>
      </c>
    </row>
    <row r="342" ht="22.5" customHeight="1">
      <c r="A342" s="78">
        <v>46100.0</v>
      </c>
      <c r="B342" s="7" t="s">
        <v>21</v>
      </c>
      <c r="C342" s="80">
        <v>17881.0</v>
      </c>
      <c r="D342" s="84" t="str">
        <f>IFERROR(VLOOKUP(B342,BASE_VEICULOS!$A:$B,2,0),"")</f>
        <v>TEW9A33</v>
      </c>
      <c r="E342" s="82">
        <f>IFERROR(__xludf.DUMMYFUNCTION("IF(OR(A342="""",D342="""",C342=""""),"""",IFERROR(MAX(0,C342-MAX(FILTER($C$2:$C342,TRIM($D$2:$D342)=TRIM(D342),(($A$2:$A342&lt;A342)+(($A$2:$A342=A342)*(ROW($A$2:$A342)&lt;ROW(A342))))))),""""))"),85.0)</f>
        <v>85</v>
      </c>
    </row>
    <row r="343" ht="22.5" customHeight="1">
      <c r="A343" s="78">
        <v>46100.0</v>
      </c>
      <c r="B343" s="7" t="s">
        <v>33</v>
      </c>
      <c r="C343" s="80">
        <v>68005.0</v>
      </c>
      <c r="D343" s="84" t="str">
        <f>IFERROR(VLOOKUP(B343,BASE_VEICULOS!$A:$B,2,0),"")</f>
        <v>TEW9A30</v>
      </c>
      <c r="E343" s="82">
        <f>IFERROR(__xludf.DUMMYFUNCTION("IF(OR(A343="""",D343="""",C343=""""),"""",IFERROR(MAX(0,C343-MAX(FILTER($C$2:$C343,TRIM($D$2:$D343)=TRIM(D343),(($A$2:$A343&lt;A343)+(($A$2:$A343=A343)*(ROW($A$2:$A343)&lt;ROW(A343))))))),""""))"),154.0)</f>
        <v>154</v>
      </c>
    </row>
    <row r="344" ht="22.5" customHeight="1">
      <c r="A344" s="78">
        <v>46100.0</v>
      </c>
      <c r="B344" s="7" t="s">
        <v>34</v>
      </c>
      <c r="C344" s="80">
        <v>52593.0</v>
      </c>
      <c r="D344" s="84" t="str">
        <f>IFERROR(VLOOKUP(B344,BASE_VEICULOS!$A:$B,2,0),"")</f>
        <v>SRU8D16</v>
      </c>
      <c r="E344" s="82">
        <f>IFERROR(__xludf.DUMMYFUNCTION("IF(OR(A344="""",D344="""",C344=""""),"""",IFERROR(MAX(0,C344-MAX(FILTER($C$2:$C344,TRIM($D$2:$D344)=TRIM(D344),(($A$2:$A344&lt;A344)+(($A$2:$A344=A344)*(ROW($A$2:$A344)&lt;ROW(A344))))))),""""))"),182.0)</f>
        <v>182</v>
      </c>
    </row>
    <row r="345" ht="22.5" customHeight="1">
      <c r="A345" s="78">
        <v>46100.0</v>
      </c>
      <c r="B345" s="7" t="s">
        <v>10</v>
      </c>
      <c r="C345" s="80">
        <v>17520.0</v>
      </c>
      <c r="D345" s="84" t="str">
        <f>IFERROR(VLOOKUP(B345,BASE_VEICULOS!$A:$B,2,0),"")</f>
        <v>TEW9A25</v>
      </c>
      <c r="E345" s="82">
        <f>IFERROR(__xludf.DUMMYFUNCTION("IF(OR(A345="""",D345="""",C345=""""),"""",IFERROR(MAX(0,C345-MAX(FILTER($C$2:$C345,TRIM($D$2:$D345)=TRIM(D345),(($A$2:$A345&lt;A345)+(($A$2:$A345=A345)*(ROW($A$2:$A345)&lt;ROW(A345))))))),""""))"),158.0)</f>
        <v>158</v>
      </c>
    </row>
    <row r="346" ht="22.5" customHeight="1">
      <c r="A346" s="78">
        <v>46100.0</v>
      </c>
      <c r="B346" s="7" t="s">
        <v>20</v>
      </c>
      <c r="C346" s="80">
        <v>16057.0</v>
      </c>
      <c r="D346" s="84" t="str">
        <f>IFERROR(VLOOKUP(B346,BASE_VEICULOS!$A:$B,2,0),"")</f>
        <v>TEW9A34</v>
      </c>
      <c r="E346" s="82">
        <f>IFERROR(__xludf.DUMMYFUNCTION("IF(OR(A346="""",D346="""",C346=""""),"""",IFERROR(MAX(0,C346-MAX(FILTER($C$2:$C346,TRIM($D$2:$D346)=TRIM(D346),(($A$2:$A346&lt;A346)+(($A$2:$A346=A346)*(ROW($A$2:$A346)&lt;ROW(A346))))))),""""))"),120.0)</f>
        <v>120</v>
      </c>
    </row>
    <row r="347" ht="22.5" customHeight="1">
      <c r="A347" s="78">
        <v>46100.0</v>
      </c>
      <c r="B347" s="7" t="s">
        <v>12</v>
      </c>
      <c r="C347" s="80">
        <v>89135.0</v>
      </c>
      <c r="D347" s="84" t="str">
        <f>IFERROR(VLOOKUP(B347,BASE_VEICULOS!$A:$B,2,0),"")</f>
        <v>FIL8C14</v>
      </c>
      <c r="E347" s="82">
        <f>IFERROR(__xludf.DUMMYFUNCTION("IF(OR(A347="""",D347="""",C347=""""),"""",IFERROR(MAX(0,C347-MAX(FILTER($C$2:$C347,TRIM($D$2:$D347)=TRIM(D347),(($A$2:$A347&lt;A347)+(($A$2:$A347=A347)*(ROW($A$2:$A347)&lt;ROW(A347))))))),""""))"),124.0)</f>
        <v>124</v>
      </c>
    </row>
    <row r="348" ht="22.5" customHeight="1">
      <c r="A348" s="78">
        <v>46100.0</v>
      </c>
      <c r="B348" s="7" t="s">
        <v>11</v>
      </c>
      <c r="C348" s="80">
        <v>96430.0</v>
      </c>
      <c r="D348" s="84" t="str">
        <f>IFERROR(VLOOKUP(B348,BASE_VEICULOS!$A:$B,2,0),"")</f>
        <v>TEW9A28</v>
      </c>
      <c r="E348" s="82">
        <f>IFERROR(__xludf.DUMMYFUNCTION("IF(OR(A348="""",D348="""",C348=""""),"""",IFERROR(MAX(0,C348-MAX(FILTER($C$2:$C348,TRIM($D$2:$D348)=TRIM(D348),(($A$2:$A348&lt;A348)+(($A$2:$A348=A348)*(ROW($A$2:$A348)&lt;ROW(A348))))))),""""))"),227.0)</f>
        <v>227</v>
      </c>
    </row>
    <row r="349" ht="22.5" customHeight="1">
      <c r="A349" s="78">
        <v>46100.0</v>
      </c>
      <c r="B349" s="7" t="s">
        <v>24</v>
      </c>
      <c r="C349" s="80">
        <v>18131.0</v>
      </c>
      <c r="D349" s="84" t="str">
        <f>IFERROR(VLOOKUP(B349,BASE_VEICULOS!$A:$B,2,0),"")</f>
        <v>TEW9A23</v>
      </c>
      <c r="E349" s="82">
        <f>IFERROR(__xludf.DUMMYFUNCTION("IF(OR(A349="""",D349="""",C349=""""),"""",IFERROR(MAX(0,C349-MAX(FILTER($C$2:$C349,TRIM($D$2:$D349)=TRIM(D349),(($A$2:$A349&lt;A349)+(($A$2:$A349=A349)*(ROW($A$2:$A349)&lt;ROW(A349))))))),""""))"),145.0)</f>
        <v>145</v>
      </c>
    </row>
    <row r="350" ht="22.5" customHeight="1">
      <c r="A350" s="78">
        <v>46100.0</v>
      </c>
      <c r="B350" s="7" t="s">
        <v>23</v>
      </c>
      <c r="C350" s="80">
        <v>17892.0</v>
      </c>
      <c r="D350" s="84" t="str">
        <f>IFERROR(VLOOKUP(B350,BASE_VEICULOS!$A:$B,2,0),"")</f>
        <v>TEH3I02</v>
      </c>
      <c r="E350" s="82">
        <f>IFERROR(__xludf.DUMMYFUNCTION("IF(OR(A350="""",D350="""",C350=""""),"""",IFERROR(MAX(0,C350-MAX(FILTER($C$2:$C350,TRIM($D$2:$D350)=TRIM(D350),(($A$2:$A350&lt;A350)+(($A$2:$A350=A350)*(ROW($A$2:$A350)&lt;ROW(A350))))))),""""))"),153.0)</f>
        <v>153</v>
      </c>
    </row>
    <row r="351" ht="22.5" customHeight="1">
      <c r="A351" s="78">
        <v>46100.0</v>
      </c>
      <c r="B351" s="7" t="s">
        <v>22</v>
      </c>
      <c r="C351" s="80">
        <v>28873.0</v>
      </c>
      <c r="D351" s="84" t="str">
        <f>IFERROR(VLOOKUP(B351,BASE_VEICULOS!$A:$B,2,0),"")</f>
        <v>TET5H37</v>
      </c>
      <c r="E351" s="82">
        <f>IFERROR(__xludf.DUMMYFUNCTION("IF(OR(A351="""",D351="""",C351=""""),"""",IFERROR(MAX(0,C351-MAX(FILTER($C$2:$C351,TRIM($D$2:$D351)=TRIM(D351),(($A$2:$A351&lt;A351)+(($A$2:$A351=A351)*(ROW($A$2:$A351)&lt;ROW(A351))))))),""""))"),204.0)</f>
        <v>204</v>
      </c>
    </row>
    <row r="352" ht="22.5" customHeight="1">
      <c r="A352" s="78">
        <v>46100.0</v>
      </c>
      <c r="B352" s="7" t="s">
        <v>14</v>
      </c>
      <c r="C352" s="80">
        <v>91371.0</v>
      </c>
      <c r="D352" s="84" t="str">
        <f>IFERROR(VLOOKUP(B352,BASE_VEICULOS!$A:$B,2,0),"")</f>
        <v>FOK8A73</v>
      </c>
      <c r="E352" s="82">
        <f>IFERROR(__xludf.DUMMYFUNCTION("IF(OR(A352="""",D352="""",C352=""""),"""",IFERROR(MAX(0,C352-MAX(FILTER($C$2:$C352,TRIM($D$2:$D352)=TRIM(D352),(($A$2:$A352&lt;A352)+(($A$2:$A352=A352)*(ROW($A$2:$A352)&lt;ROW(A352))))))),""""))"),203.0)</f>
        <v>203</v>
      </c>
    </row>
    <row r="353" ht="22.5" customHeight="1">
      <c r="A353" s="78">
        <v>46100.0</v>
      </c>
      <c r="B353" s="7" t="s">
        <v>13</v>
      </c>
      <c r="C353" s="80">
        <v>105434.0</v>
      </c>
      <c r="D353" s="84" t="str">
        <f>IFERROR(VLOOKUP(B353,BASE_VEICULOS!$A:$B,2,0),"")</f>
        <v>FGO3C61</v>
      </c>
      <c r="E353" s="82">
        <f>IFERROR(__xludf.DUMMYFUNCTION("IF(OR(A353="""",D353="""",C353=""""),"""",IFERROR(MAX(0,C353-MAX(FILTER($C$2:$C353,TRIM($D$2:$D353)=TRIM(D353),(($A$2:$A353&lt;A353)+(($A$2:$A353=A353)*(ROW($A$2:$A353)&lt;ROW(A353))))))),""""))"),220.0)</f>
        <v>220</v>
      </c>
    </row>
    <row r="354" ht="22.5" customHeight="1">
      <c r="A354" s="78">
        <v>46100.0</v>
      </c>
      <c r="B354" s="7" t="s">
        <v>17</v>
      </c>
      <c r="C354" s="80">
        <v>13947.0</v>
      </c>
      <c r="D354" s="84" t="str">
        <f>IFERROR(VLOOKUP(B354,BASE_VEICULOS!$A:$B,2,0),"")</f>
        <v/>
      </c>
      <c r="E354" s="82" t="str">
        <f>IFERROR(__xludf.DUMMYFUNCTION("IF(OR(A354="""",D354="""",C354=""""),"""",IFERROR(MAX(0,C354-MAX(FILTER($C$2:$C354,TRIM($D$2:$D354)=TRIM(D354),(($A$2:$A354&lt;A354)+(($A$2:$A354=A354)*(ROW($A$2:$A354)&lt;ROW(A354))))))),""""))"),"")</f>
        <v/>
      </c>
    </row>
    <row r="355" ht="22.5" customHeight="1">
      <c r="A355" s="78">
        <v>46101.0</v>
      </c>
      <c r="B355" s="7" t="s">
        <v>15</v>
      </c>
      <c r="C355" s="80">
        <v>107875.0</v>
      </c>
      <c r="D355" s="84" t="str">
        <f>IFERROR(VLOOKUP(B355,BASE_VEICULOS!$A:$B,2,0),"")</f>
        <v>EWH1B84</v>
      </c>
      <c r="E355" s="82">
        <f>IFERROR(__xludf.DUMMYFUNCTION("IF(OR(A355="""",D355="""",C355=""""),"""",IFERROR(MAX(0,C355-MAX(FILTER($C$2:$C355,TRIM($D$2:$D355)=TRIM(D355),(($A$2:$A355&lt;A355)+(($A$2:$A355=A355)*(ROW($A$2:$A355)&lt;ROW(A355))))))),""""))"),102.0)</f>
        <v>102</v>
      </c>
    </row>
    <row r="356" ht="22.5" customHeight="1">
      <c r="A356" s="78">
        <v>46101.0</v>
      </c>
      <c r="B356" s="7" t="s">
        <v>29</v>
      </c>
      <c r="C356" s="80">
        <v>73811.0</v>
      </c>
      <c r="D356" s="84" t="str">
        <f>IFERROR(VLOOKUP(B356,BASE_VEICULOS!$A:$B,2,0),"")</f>
        <v>TEQ2I74</v>
      </c>
      <c r="E356" s="82">
        <f>IFERROR(__xludf.DUMMYFUNCTION("IF(OR(A356="""",D356="""",C356=""""),"""",IFERROR(MAX(0,C356-MAX(FILTER($C$2:$C356,TRIM($D$2:$D356)=TRIM(D356),(($A$2:$A356&lt;A356)+(($A$2:$A356=A356)*(ROW($A$2:$A356)&lt;ROW(A356))))))),""""))"),116.0)</f>
        <v>116</v>
      </c>
    </row>
    <row r="357" ht="22.5" customHeight="1">
      <c r="A357" s="78">
        <v>46101.0</v>
      </c>
      <c r="B357" s="7" t="s">
        <v>11</v>
      </c>
      <c r="C357" s="80">
        <v>96534.0</v>
      </c>
      <c r="D357" s="84" t="str">
        <f>IFERROR(VLOOKUP(B357,BASE_VEICULOS!$A:$B,2,0),"")</f>
        <v>TEW9A28</v>
      </c>
      <c r="E357" s="82">
        <f>IFERROR(__xludf.DUMMYFUNCTION("IF(OR(A357="""",D357="""",C357=""""),"""",IFERROR(MAX(0,C357-MAX(FILTER($C$2:$C357,TRIM($D$2:$D357)=TRIM(D357),(($A$2:$A357&lt;A357)+(($A$2:$A357=A357)*(ROW($A$2:$A357)&lt;ROW(A357))))))),""""))"),104.0)</f>
        <v>104</v>
      </c>
    </row>
    <row r="358" ht="22.5" customHeight="1">
      <c r="A358" s="78">
        <v>46101.0</v>
      </c>
      <c r="B358" s="7" t="s">
        <v>23</v>
      </c>
      <c r="C358" s="80">
        <v>18043.0</v>
      </c>
      <c r="D358" s="84" t="str">
        <f>IFERROR(VLOOKUP(B358,BASE_VEICULOS!$A:$B,2,0),"")</f>
        <v>TEH3I02</v>
      </c>
      <c r="E358" s="82">
        <f>IFERROR(__xludf.DUMMYFUNCTION("IF(OR(A358="""",D358="""",C358=""""),"""",IFERROR(MAX(0,C358-MAX(FILTER($C$2:$C358,TRIM($D$2:$D358)=TRIM(D358),(($A$2:$A358&lt;A358)+(($A$2:$A358=A358)*(ROW($A$2:$A358)&lt;ROW(A358))))))),""""))"),151.0)</f>
        <v>151</v>
      </c>
    </row>
    <row r="359" ht="22.5" customHeight="1">
      <c r="A359" s="78">
        <v>46101.0</v>
      </c>
      <c r="B359" s="7" t="s">
        <v>10</v>
      </c>
      <c r="C359" s="80">
        <v>17703.0</v>
      </c>
      <c r="D359" s="84" t="str">
        <f>IFERROR(VLOOKUP(B359,BASE_VEICULOS!$A:$B,2,0),"")</f>
        <v>TEW9A25</v>
      </c>
      <c r="E359" s="82">
        <f>IFERROR(__xludf.DUMMYFUNCTION("IF(OR(A359="""",D359="""",C359=""""),"""",IFERROR(MAX(0,C359-MAX(FILTER($C$2:$C359,TRIM($D$2:$D359)=TRIM(D359),(($A$2:$A359&lt;A359)+(($A$2:$A359=A359)*(ROW($A$2:$A359)&lt;ROW(A359))))))),""""))"),183.0)</f>
        <v>183</v>
      </c>
    </row>
    <row r="360" ht="22.5" customHeight="1">
      <c r="A360" s="78">
        <v>46101.0</v>
      </c>
      <c r="B360" s="7" t="s">
        <v>20</v>
      </c>
      <c r="C360" s="80">
        <v>16189.0</v>
      </c>
      <c r="D360" s="84" t="str">
        <f>IFERROR(VLOOKUP(B360,BASE_VEICULOS!$A:$B,2,0),"")</f>
        <v>TEW9A34</v>
      </c>
      <c r="E360" s="82">
        <f>IFERROR(__xludf.DUMMYFUNCTION("IF(OR(A360="""",D360="""",C360=""""),"""",IFERROR(MAX(0,C360-MAX(FILTER($C$2:$C360,TRIM($D$2:$D360)=TRIM(D360),(($A$2:$A360&lt;A360)+(($A$2:$A360=A360)*(ROW($A$2:$A360)&lt;ROW(A360))))))),""""))"),132.0)</f>
        <v>132</v>
      </c>
    </row>
    <row r="361" ht="22.5" customHeight="1">
      <c r="A361" s="78">
        <v>46101.0</v>
      </c>
      <c r="B361" s="7" t="s">
        <v>33</v>
      </c>
      <c r="C361" s="80">
        <v>68162.0</v>
      </c>
      <c r="D361" s="84" t="str">
        <f>IFERROR(VLOOKUP(B361,BASE_VEICULOS!$A:$B,2,0),"")</f>
        <v>TEW9A30</v>
      </c>
      <c r="E361" s="82">
        <f>IFERROR(__xludf.DUMMYFUNCTION("IF(OR(A361="""",D361="""",C361=""""),"""",IFERROR(MAX(0,C361-MAX(FILTER($C$2:$C361,TRIM($D$2:$D361)=TRIM(D361),(($A$2:$A361&lt;A361)+(($A$2:$A361=A361)*(ROW($A$2:$A361)&lt;ROW(A361))))))),""""))"),157.0)</f>
        <v>157</v>
      </c>
    </row>
    <row r="362" ht="22.5" customHeight="1">
      <c r="A362" s="78">
        <v>46101.0</v>
      </c>
      <c r="B362" s="7" t="s">
        <v>25</v>
      </c>
      <c r="C362" s="80">
        <v>15045.0</v>
      </c>
      <c r="D362" s="84" t="str">
        <f>IFERROR(VLOOKUP(B362,BASE_VEICULOS!$A:$B,2,0),"")</f>
        <v>TEW9A26</v>
      </c>
      <c r="E362" s="82">
        <f>IFERROR(__xludf.DUMMYFUNCTION("IF(OR(A362="""",D362="""",C362=""""),"""",IFERROR(MAX(0,C362-MAX(FILTER($C$2:$C362,TRIM($D$2:$D362)=TRIM(D362),(($A$2:$A362&lt;A362)+(($A$2:$A362=A362)*(ROW($A$2:$A362)&lt;ROW(A362))))))),""""))"),134.0)</f>
        <v>134</v>
      </c>
    </row>
    <row r="363" ht="22.5" customHeight="1">
      <c r="A363" s="78">
        <v>46101.0</v>
      </c>
      <c r="B363" s="7" t="s">
        <v>12</v>
      </c>
      <c r="C363" s="80">
        <v>89231.0</v>
      </c>
      <c r="D363" s="84" t="str">
        <f>IFERROR(VLOOKUP(B363,BASE_VEICULOS!$A:$B,2,0),"")</f>
        <v>FIL8C14</v>
      </c>
      <c r="E363" s="82">
        <f>IFERROR(__xludf.DUMMYFUNCTION("IF(OR(A363="""",D363="""",C363=""""),"""",IFERROR(MAX(0,C363-MAX(FILTER($C$2:$C363,TRIM($D$2:$D363)=TRIM(D363),(($A$2:$A363&lt;A363)+(($A$2:$A363=A363)*(ROW($A$2:$A363)&lt;ROW(A363))))))),""""))"),96.0)</f>
        <v>96</v>
      </c>
    </row>
    <row r="364" ht="22.5" customHeight="1">
      <c r="A364" s="78">
        <v>46101.0</v>
      </c>
      <c r="B364" s="7" t="s">
        <v>18</v>
      </c>
      <c r="C364" s="80">
        <v>17837.0</v>
      </c>
      <c r="D364" s="84" t="str">
        <f>IFERROR(VLOOKUP(B364,BASE_VEICULOS!$A:$B,2,0),"")</f>
        <v>TEW9A29</v>
      </c>
      <c r="E364" s="82">
        <f>IFERROR(__xludf.DUMMYFUNCTION("IF(OR(A364="""",D364="""",C364=""""),"""",IFERROR(MAX(0,C364-MAX(FILTER($C$2:$C364,TRIM($D$2:$D364)=TRIM(D364),(($A$2:$A364&lt;A364)+(($A$2:$A364=A364)*(ROW($A$2:$A364)&lt;ROW(A364))))))),""""))"),221.0)</f>
        <v>221</v>
      </c>
    </row>
    <row r="365" ht="22.5" customHeight="1">
      <c r="A365" s="78">
        <v>46101.0</v>
      </c>
      <c r="B365" s="7" t="s">
        <v>14</v>
      </c>
      <c r="C365" s="80">
        <v>91491.0</v>
      </c>
      <c r="D365" s="84" t="str">
        <f>IFERROR(VLOOKUP(B365,BASE_VEICULOS!$A:$B,2,0),"")</f>
        <v>FOK8A73</v>
      </c>
      <c r="E365" s="82">
        <f>IFERROR(__xludf.DUMMYFUNCTION("IF(OR(A365="""",D365="""",C365=""""),"""",IFERROR(MAX(0,C365-MAX(FILTER($C$2:$C365,TRIM($D$2:$D365)=TRIM(D365),(($A$2:$A365&lt;A365)+(($A$2:$A365=A365)*(ROW($A$2:$A365)&lt;ROW(A365))))))),""""))"),120.0)</f>
        <v>120</v>
      </c>
    </row>
    <row r="366" ht="22.5" customHeight="1">
      <c r="A366" s="78">
        <v>46101.0</v>
      </c>
      <c r="B366" s="7" t="s">
        <v>21</v>
      </c>
      <c r="C366" s="80">
        <v>18120.0</v>
      </c>
      <c r="D366" s="84" t="str">
        <f>IFERROR(VLOOKUP(B366,BASE_VEICULOS!$A:$B,2,0),"")</f>
        <v>TEW9A33</v>
      </c>
      <c r="E366" s="82">
        <f>IFERROR(__xludf.DUMMYFUNCTION("IF(OR(A366="""",D366="""",C366=""""),"""",IFERROR(MAX(0,C366-MAX(FILTER($C$2:$C366,TRIM($D$2:$D366)=TRIM(D366),(($A$2:$A366&lt;A366)+(($A$2:$A366=A366)*(ROW($A$2:$A366)&lt;ROW(A366))))))),""""))"),239.0)</f>
        <v>239</v>
      </c>
    </row>
    <row r="367" ht="22.5" customHeight="1">
      <c r="A367" s="78">
        <v>46101.0</v>
      </c>
      <c r="B367" s="7" t="s">
        <v>13</v>
      </c>
      <c r="C367" s="80">
        <v>105723.0</v>
      </c>
      <c r="D367" s="84" t="str">
        <f>IFERROR(VLOOKUP(B367,BASE_VEICULOS!$A:$B,2,0),"")</f>
        <v>FGO3C61</v>
      </c>
      <c r="E367" s="82">
        <f>IFERROR(__xludf.DUMMYFUNCTION("IF(OR(A367="""",D367="""",C367=""""),"""",IFERROR(MAX(0,C367-MAX(FILTER($C$2:$C367,TRIM($D$2:$D367)=TRIM(D367),(($A$2:$A367&lt;A367)+(($A$2:$A367=A367)*(ROW($A$2:$A367)&lt;ROW(A367))))))),""""))"),289.0)</f>
        <v>289</v>
      </c>
    </row>
    <row r="368" ht="22.5" customHeight="1">
      <c r="A368" s="78">
        <v>46101.0</v>
      </c>
      <c r="B368" s="7" t="s">
        <v>29</v>
      </c>
      <c r="C368" s="80">
        <v>73852.0</v>
      </c>
      <c r="D368" s="84" t="str">
        <f>IFERROR(VLOOKUP(B368,BASE_VEICULOS!$A:$B,2,0),"")</f>
        <v>TEQ2I74</v>
      </c>
      <c r="E368" s="82">
        <f>IFERROR(__xludf.DUMMYFUNCTION("IF(OR(A368="""",D368="""",C368=""""),"""",IFERROR(MAX(0,C368-MAX(FILTER($C$2:$C368,TRIM($D$2:$D368)=TRIM(D368),(($A$2:$A368&lt;A368)+(($A$2:$A368=A368)*(ROW($A$2:$A368)&lt;ROW(A368))))))),""""))"),41.0)</f>
        <v>41</v>
      </c>
    </row>
    <row r="369" ht="22.5" customHeight="1">
      <c r="A369" s="78">
        <v>46101.0</v>
      </c>
      <c r="B369" s="7" t="s">
        <v>17</v>
      </c>
      <c r="C369" s="80">
        <v>14194.0</v>
      </c>
      <c r="D369" s="84" t="str">
        <f>IFERROR(VLOOKUP(B369,BASE_VEICULOS!$A:$B,2,0),"")</f>
        <v/>
      </c>
      <c r="E369" s="82" t="str">
        <f>IFERROR(__xludf.DUMMYFUNCTION("IF(OR(A369="""",D369="""",C369=""""),"""",IFERROR(MAX(0,C369-MAX(FILTER($C$2:$C369,TRIM($D$2:$D369)=TRIM(D369),(($A$2:$A369&lt;A369)+(($A$2:$A369=A369)*(ROW($A$2:$A369)&lt;ROW(A369))))))),""""))"),"")</f>
        <v/>
      </c>
    </row>
    <row r="370" ht="22.5" customHeight="1">
      <c r="A370" s="78">
        <v>46102.0</v>
      </c>
      <c r="B370" s="7" t="s">
        <v>15</v>
      </c>
      <c r="C370" s="80">
        <v>107886.0</v>
      </c>
      <c r="D370" s="84" t="str">
        <f>IFERROR(VLOOKUP(B370,BASE_VEICULOS!$A:$B,2,0),"")</f>
        <v>EWH1B84</v>
      </c>
      <c r="E370" s="82">
        <f>IFERROR(__xludf.DUMMYFUNCTION("IF(OR(A370="""",D370="""",C370=""""),"""",IFERROR(MAX(0,C370-MAX(FILTER($C$2:$C370,TRIM($D$2:$D370)=TRIM(D370),(($A$2:$A370&lt;A370)+(($A$2:$A370=A370)*(ROW($A$2:$A370)&lt;ROW(A370))))))),""""))"),11.0)</f>
        <v>11</v>
      </c>
    </row>
    <row r="371" ht="22.5" customHeight="1">
      <c r="A371" s="78">
        <v>46102.0</v>
      </c>
      <c r="B371" s="7" t="s">
        <v>12</v>
      </c>
      <c r="C371" s="80">
        <v>89544.0</v>
      </c>
      <c r="D371" s="84" t="str">
        <f>IFERROR(VLOOKUP(B371,BASE_VEICULOS!$A:$B,2,0),"")</f>
        <v>FIL8C14</v>
      </c>
      <c r="E371" s="82">
        <f>IFERROR(__xludf.DUMMYFUNCTION("IF(OR(A371="""",D371="""",C371=""""),"""",IFERROR(MAX(0,C371-MAX(FILTER($C$2:$C371,TRIM($D$2:$D371)=TRIM(D371),(($A$2:$A371&lt;A371)+(($A$2:$A371=A371)*(ROW($A$2:$A371)&lt;ROW(A371))))))),""""))"),313.0)</f>
        <v>313</v>
      </c>
    </row>
    <row r="372" ht="22.5" customHeight="1">
      <c r="A372" s="78">
        <v>46102.0</v>
      </c>
      <c r="B372" s="7" t="s">
        <v>29</v>
      </c>
      <c r="C372" s="80">
        <v>74139.0</v>
      </c>
      <c r="D372" s="84" t="str">
        <f>IFERROR(VLOOKUP(B372,BASE_VEICULOS!$A:$B,2,0),"")</f>
        <v>TEQ2I74</v>
      </c>
      <c r="E372" s="82">
        <f>IFERROR(__xludf.DUMMYFUNCTION("IF(OR(A372="""",D372="""",C372=""""),"""",IFERROR(MAX(0,C372-MAX(FILTER($C$2:$C372,TRIM($D$2:$D372)=TRIM(D372),(($A$2:$A372&lt;A372)+(($A$2:$A372=A372)*(ROW($A$2:$A372)&lt;ROW(A372))))))),""""))"),287.0)</f>
        <v>287</v>
      </c>
    </row>
    <row r="373" ht="22.5" customHeight="1">
      <c r="A373" s="78">
        <v>46103.0</v>
      </c>
      <c r="B373" s="7" t="s">
        <v>29</v>
      </c>
      <c r="C373" s="80">
        <v>74468.0</v>
      </c>
      <c r="D373" s="84" t="str">
        <f>IFERROR(VLOOKUP(B373,BASE_VEICULOS!$A:$B,2,0),"")</f>
        <v>TEQ2I74</v>
      </c>
      <c r="E373" s="82">
        <f>IFERROR(__xludf.DUMMYFUNCTION("IF(OR(A373="""",D373="""",C373=""""),"""",IFERROR(MAX(0,C373-MAX(FILTER($C$2:$C373,TRIM($D$2:$D373)=TRIM(D373),(($A$2:$A373&lt;A373)+(($A$2:$A373=A373)*(ROW($A$2:$A373)&lt;ROW(A373))))))),""""))"),329.0)</f>
        <v>329</v>
      </c>
    </row>
    <row r="374" ht="22.5" customHeight="1">
      <c r="A374" s="78">
        <v>46103.0</v>
      </c>
      <c r="B374" s="7" t="s">
        <v>12</v>
      </c>
      <c r="C374" s="80">
        <v>89805.0</v>
      </c>
      <c r="D374" s="84" t="str">
        <f>IFERROR(VLOOKUP(B374,BASE_VEICULOS!$A:$B,2,0),"")</f>
        <v>FIL8C14</v>
      </c>
      <c r="E374" s="82">
        <f>IFERROR(__xludf.DUMMYFUNCTION("IF(OR(A374="""",D374="""",C374=""""),"""",IFERROR(MAX(0,C374-MAX(FILTER($C$2:$C374,TRIM($D$2:$D374)=TRIM(D374),(($A$2:$A374&lt;A374)+(($A$2:$A374=A374)*(ROW($A$2:$A374)&lt;ROW(A374))))))),""""))"),261.0)</f>
        <v>261</v>
      </c>
    </row>
    <row r="375" ht="22.5" customHeight="1">
      <c r="A375" s="78">
        <v>46104.0</v>
      </c>
      <c r="B375" s="7" t="s">
        <v>21</v>
      </c>
      <c r="C375" s="80">
        <v>18379.0</v>
      </c>
      <c r="D375" s="84" t="str">
        <f>IFERROR(VLOOKUP(B375,BASE_VEICULOS!$A:$B,2,0),"")</f>
        <v>TEW9A33</v>
      </c>
      <c r="E375" s="82">
        <f>IFERROR(__xludf.DUMMYFUNCTION("IF(OR(A375="""",D375="""",C375=""""),"""",IFERROR(MAX(0,C375-MAX(FILTER($C$2:$C375,TRIM($D$2:$D375)=TRIM(D375),(($A$2:$A375&lt;A375)+(($A$2:$A375=A375)*(ROW($A$2:$A375)&lt;ROW(A375))))))),""""))"),259.0)</f>
        <v>259</v>
      </c>
    </row>
    <row r="376" ht="22.5" customHeight="1">
      <c r="A376" s="78">
        <v>46104.0</v>
      </c>
      <c r="B376" s="7" t="s">
        <v>10</v>
      </c>
      <c r="C376" s="80">
        <v>17875.0</v>
      </c>
      <c r="D376" s="84" t="str">
        <f>IFERROR(VLOOKUP(B376,BASE_VEICULOS!$A:$B,2,0),"")</f>
        <v>TEW9A25</v>
      </c>
      <c r="E376" s="82">
        <f>IFERROR(__xludf.DUMMYFUNCTION("IF(OR(A376="""",D376="""",C376=""""),"""",IFERROR(MAX(0,C376-MAX(FILTER($C$2:$C376,TRIM($D$2:$D376)=TRIM(D376),(($A$2:$A376&lt;A376)+(($A$2:$A376=A376)*(ROW($A$2:$A376)&lt;ROW(A376))))))),""""))"),172.0)</f>
        <v>172</v>
      </c>
    </row>
    <row r="377" ht="22.5" customHeight="1">
      <c r="A377" s="78">
        <v>46104.0</v>
      </c>
      <c r="B377" s="7" t="s">
        <v>18</v>
      </c>
      <c r="C377" s="80">
        <v>17990.0</v>
      </c>
      <c r="D377" s="84" t="str">
        <f>IFERROR(VLOOKUP(B377,BASE_VEICULOS!$A:$B,2,0),"")</f>
        <v>TEW9A29</v>
      </c>
      <c r="E377" s="82">
        <f>IFERROR(__xludf.DUMMYFUNCTION("IF(OR(A377="""",D377="""",C377=""""),"""",IFERROR(MAX(0,C377-MAX(FILTER($C$2:$C377,TRIM($D$2:$D377)=TRIM(D377),(($A$2:$A377&lt;A377)+(($A$2:$A377=A377)*(ROW($A$2:$A377)&lt;ROW(A377))))))),""""))"),153.0)</f>
        <v>153</v>
      </c>
    </row>
    <row r="378" ht="22.5" customHeight="1">
      <c r="A378" s="78">
        <v>46104.0</v>
      </c>
      <c r="B378" s="7" t="s">
        <v>19</v>
      </c>
      <c r="C378" s="80">
        <v>18750.0</v>
      </c>
      <c r="D378" s="84" t="str">
        <f>IFERROR(VLOOKUP(B378,BASE_VEICULOS!$A:$B,2,0),"")</f>
        <v>TEW9A24</v>
      </c>
      <c r="E378" s="82">
        <f>IFERROR(__xludf.DUMMYFUNCTION("IF(OR(A378="""",D378="""",C378=""""),"""",IFERROR(MAX(0,C378-MAX(FILTER($C$2:$C378,TRIM($D$2:$D378)=TRIM(D378),(($A$2:$A378&lt;A378)+(($A$2:$A378=A378)*(ROW($A$2:$A378)&lt;ROW(A378))))))),""""))"),200.0)</f>
        <v>200</v>
      </c>
    </row>
    <row r="379" ht="22.5" customHeight="1">
      <c r="A379" s="78">
        <v>46104.0</v>
      </c>
      <c r="B379" s="7" t="s">
        <v>14</v>
      </c>
      <c r="C379" s="80">
        <v>91785.0</v>
      </c>
      <c r="D379" s="84" t="str">
        <f>IFERROR(VLOOKUP(B379,BASE_VEICULOS!$A:$B,2,0),"")</f>
        <v>FOK8A73</v>
      </c>
      <c r="E379" s="82">
        <f>IFERROR(__xludf.DUMMYFUNCTION("IF(OR(A379="""",D379="""",C379=""""),"""",IFERROR(MAX(0,C379-MAX(FILTER($C$2:$C379,TRIM($D$2:$D379)=TRIM(D379),(($A$2:$A379&lt;A379)+(($A$2:$A379=A379)*(ROW($A$2:$A379)&lt;ROW(A379))))))),""""))"),294.0)</f>
        <v>294</v>
      </c>
    </row>
    <row r="380" ht="22.5" customHeight="1">
      <c r="A380" s="78">
        <v>46104.0</v>
      </c>
      <c r="B380" s="7" t="s">
        <v>24</v>
      </c>
      <c r="C380" s="80">
        <v>18301.0</v>
      </c>
      <c r="D380" s="84" t="str">
        <f>IFERROR(VLOOKUP(B380,BASE_VEICULOS!$A:$B,2,0),"")</f>
        <v>TEW9A23</v>
      </c>
      <c r="E380" s="82">
        <f>IFERROR(__xludf.DUMMYFUNCTION("IF(OR(A380="""",D380="""",C380=""""),"""",IFERROR(MAX(0,C380-MAX(FILTER($C$2:$C380,TRIM($D$2:$D380)=TRIM(D380),(($A$2:$A380&lt;A380)+(($A$2:$A380=A380)*(ROW($A$2:$A380)&lt;ROW(A380))))))),""""))"),170.0)</f>
        <v>170</v>
      </c>
    </row>
    <row r="381" ht="22.5" customHeight="1">
      <c r="A381" s="78">
        <v>46104.0</v>
      </c>
      <c r="B381" s="7" t="s">
        <v>17</v>
      </c>
      <c r="C381" s="80">
        <v>14504.0</v>
      </c>
      <c r="D381" s="84" t="str">
        <f>IFERROR(VLOOKUP(B381,BASE_VEICULOS!$A:$B,2,0),"")</f>
        <v/>
      </c>
      <c r="E381" s="82" t="str">
        <f>IFERROR(__xludf.DUMMYFUNCTION("IF(OR(A381="""",D381="""",C381=""""),"""",IFERROR(MAX(0,C381-MAX(FILTER($C$2:$C381,TRIM($D$2:$D381)=TRIM(D381),(($A$2:$A381&lt;A381)+(($A$2:$A381=A381)*(ROW($A$2:$A381)&lt;ROW(A381))))))),""""))"),"")</f>
        <v/>
      </c>
    </row>
    <row r="382" ht="22.5" customHeight="1">
      <c r="A382" s="78">
        <v>46104.0</v>
      </c>
      <c r="B382" s="7" t="s">
        <v>33</v>
      </c>
      <c r="C382" s="80">
        <v>68465.0</v>
      </c>
      <c r="D382" s="84" t="str">
        <f>IFERROR(VLOOKUP(B382,BASE_VEICULOS!$A:$B,2,0),"")</f>
        <v>TEW9A30</v>
      </c>
      <c r="E382" s="82">
        <f>IFERROR(__xludf.DUMMYFUNCTION("IF(OR(A382="""",D382="""",C382=""""),"""",IFERROR(MAX(0,C382-MAX(FILTER($C$2:$C382,TRIM($D$2:$D382)=TRIM(D382),(($A$2:$A382&lt;A382)+(($A$2:$A382=A382)*(ROW($A$2:$A382)&lt;ROW(A382))))))),""""))"),303.0)</f>
        <v>303</v>
      </c>
    </row>
    <row r="383" ht="22.5" customHeight="1">
      <c r="A383" s="78">
        <v>46104.0</v>
      </c>
      <c r="B383" s="7" t="s">
        <v>23</v>
      </c>
      <c r="C383" s="80">
        <v>18375.0</v>
      </c>
      <c r="D383" s="84" t="str">
        <f>IFERROR(VLOOKUP(B383,BASE_VEICULOS!$A:$B,2,0),"")</f>
        <v>TEH3I02</v>
      </c>
      <c r="E383" s="82">
        <f>IFERROR(__xludf.DUMMYFUNCTION("IF(OR(A383="""",D383="""",C383=""""),"""",IFERROR(MAX(0,C383-MAX(FILTER($C$2:$C383,TRIM($D$2:$D383)=TRIM(D383),(($A$2:$A383&lt;A383)+(($A$2:$A383=A383)*(ROW($A$2:$A383)&lt;ROW(A383))))))),""""))"),332.0)</f>
        <v>332</v>
      </c>
    </row>
    <row r="384" ht="22.5" customHeight="1">
      <c r="A384" s="78">
        <v>46104.0</v>
      </c>
      <c r="B384" s="7" t="s">
        <v>29</v>
      </c>
      <c r="C384" s="80">
        <v>74625.0</v>
      </c>
      <c r="D384" s="84" t="str">
        <f>IFERROR(VLOOKUP(B384,BASE_VEICULOS!$A:$B,2,0),"")</f>
        <v>TEQ2I74</v>
      </c>
      <c r="E384" s="82">
        <f>IFERROR(__xludf.DUMMYFUNCTION("IF(OR(A384="""",D384="""",C384=""""),"""",IFERROR(MAX(0,C384-MAX(FILTER($C$2:$C384,TRIM($D$2:$D384)=TRIM(D384),(($A$2:$A384&lt;A384)+(($A$2:$A384=A384)*(ROW($A$2:$A384)&lt;ROW(A384))))))),""""))"),157.0)</f>
        <v>157</v>
      </c>
    </row>
    <row r="385" ht="22.5" customHeight="1">
      <c r="A385" s="78">
        <v>46104.0</v>
      </c>
      <c r="B385" s="7" t="s">
        <v>25</v>
      </c>
      <c r="C385" s="80">
        <v>15442.0</v>
      </c>
      <c r="D385" s="84" t="str">
        <f>IFERROR(VLOOKUP(B385,BASE_VEICULOS!$A:$B,2,0),"")</f>
        <v>TEW9A26</v>
      </c>
      <c r="E385" s="82">
        <f>IFERROR(__xludf.DUMMYFUNCTION("IF(OR(A385="""",D385="""",C385=""""),"""",IFERROR(MAX(0,C385-MAX(FILTER($C$2:$C385,TRIM($D$2:$D385)=TRIM(D385),(($A$2:$A385&lt;A385)+(($A$2:$A385=A385)*(ROW($A$2:$A385)&lt;ROW(A385))))))),""""))"),397.0)</f>
        <v>397</v>
      </c>
    </row>
    <row r="386" ht="22.5" customHeight="1">
      <c r="A386" s="78">
        <v>46104.0</v>
      </c>
      <c r="B386" s="7" t="s">
        <v>12</v>
      </c>
      <c r="C386" s="80">
        <v>89943.0</v>
      </c>
      <c r="D386" s="84" t="str">
        <f>IFERROR(VLOOKUP(B386,BASE_VEICULOS!$A:$B,2,0),"")</f>
        <v>FIL8C14</v>
      </c>
      <c r="E386" s="82">
        <f>IFERROR(__xludf.DUMMYFUNCTION("IF(OR(A386="""",D386="""",C386=""""),"""",IFERROR(MAX(0,C386-MAX(FILTER($C$2:$C386,TRIM($D$2:$D386)=TRIM(D386),(($A$2:$A386&lt;A386)+(($A$2:$A386=A386)*(ROW($A$2:$A386)&lt;ROW(A386))))))),""""))"),138.0)</f>
        <v>138</v>
      </c>
    </row>
    <row r="387" ht="22.5" customHeight="1">
      <c r="A387" s="78">
        <v>46104.0</v>
      </c>
      <c r="B387" s="7" t="s">
        <v>22</v>
      </c>
      <c r="C387" s="80">
        <v>29284.0</v>
      </c>
      <c r="D387" s="84" t="str">
        <f>IFERROR(VLOOKUP(B387,BASE_VEICULOS!$A:$B,2,0),"")</f>
        <v>TET5H37</v>
      </c>
      <c r="E387" s="82">
        <f>IFERROR(__xludf.DUMMYFUNCTION("IF(OR(A387="""",D387="""",C387=""""),"""",IFERROR(MAX(0,C387-MAX(FILTER($C$2:$C387,TRIM($D$2:$D387)=TRIM(D387),(($A$2:$A387&lt;A387)+(($A$2:$A387=A387)*(ROW($A$2:$A387)&lt;ROW(A387))))))),""""))"),411.0)</f>
        <v>411</v>
      </c>
    </row>
    <row r="388" ht="22.5" customHeight="1">
      <c r="A388" s="78">
        <v>46104.0</v>
      </c>
      <c r="B388" s="7" t="s">
        <v>20</v>
      </c>
      <c r="C388" s="80">
        <v>16330.0</v>
      </c>
      <c r="D388" s="84" t="str">
        <f>IFERROR(VLOOKUP(B388,BASE_VEICULOS!$A:$B,2,0),"")</f>
        <v>TEW9A34</v>
      </c>
      <c r="E388" s="82">
        <f>IFERROR(__xludf.DUMMYFUNCTION("IF(OR(A388="""",D388="""",C388=""""),"""",IFERROR(MAX(0,C388-MAX(FILTER($C$2:$C388,TRIM($D$2:$D388)=TRIM(D388),(($A$2:$A388&lt;A388)+(($A$2:$A388=A388)*(ROW($A$2:$A388)&lt;ROW(A388))))))),""""))"),141.0)</f>
        <v>141</v>
      </c>
    </row>
    <row r="389" ht="22.5" customHeight="1">
      <c r="A389" s="78">
        <v>46104.0</v>
      </c>
      <c r="B389" s="7" t="s">
        <v>11</v>
      </c>
      <c r="C389" s="80">
        <v>96775.0</v>
      </c>
      <c r="D389" s="84" t="str">
        <f>IFERROR(VLOOKUP(B389,BASE_VEICULOS!$A:$B,2,0),"")</f>
        <v>TEW9A28</v>
      </c>
      <c r="E389" s="82">
        <f>IFERROR(__xludf.DUMMYFUNCTION("IF(OR(A389="""",D389="""",C389=""""),"""",IFERROR(MAX(0,C389-MAX(FILTER($C$2:$C389,TRIM($D$2:$D389)=TRIM(D389),(($A$2:$A389&lt;A389)+(($A$2:$A389=A389)*(ROW($A$2:$A389)&lt;ROW(A389))))))),""""))"),241.0)</f>
        <v>241</v>
      </c>
    </row>
    <row r="390" ht="22.5" customHeight="1">
      <c r="A390" s="78">
        <v>46104.0</v>
      </c>
      <c r="B390" s="7" t="s">
        <v>30</v>
      </c>
      <c r="C390" s="80">
        <v>19267.0</v>
      </c>
      <c r="D390" s="84" t="str">
        <f>IFERROR(VLOOKUP(B390,BASE_VEICULOS!$A:$B,2,0),"")</f>
        <v/>
      </c>
      <c r="E390" s="82" t="str">
        <f>IFERROR(__xludf.DUMMYFUNCTION("IF(OR(A390="""",D390="""",C390=""""),"""",IFERROR(MAX(0,C390-MAX(FILTER($C$2:$C390,TRIM($D$2:$D390)=TRIM(D390),(($A$2:$A390&lt;A390)+(($A$2:$A390=A390)*(ROW($A$2:$A390)&lt;ROW(A390))))))),""""))"),"")</f>
        <v/>
      </c>
    </row>
    <row r="391" ht="22.5" customHeight="1">
      <c r="A391" s="78">
        <v>46105.0</v>
      </c>
      <c r="B391" s="7" t="s">
        <v>12</v>
      </c>
      <c r="C391" s="80">
        <v>90062.0</v>
      </c>
      <c r="D391" s="84" t="str">
        <f>IFERROR(VLOOKUP(B391,BASE_VEICULOS!$A:$B,2,0),"")</f>
        <v>FIL8C14</v>
      </c>
      <c r="E391" s="82">
        <f>IFERROR(__xludf.DUMMYFUNCTION("IF(OR(A391="""",D391="""",C391=""""),"""",IFERROR(MAX(0,C391-MAX(FILTER($C$2:$C391,TRIM($D$2:$D391)=TRIM(D391),(($A$2:$A391&lt;A391)+(($A$2:$A391=A391)*(ROW($A$2:$A391)&lt;ROW(A391))))))),""""))"),119.0)</f>
        <v>119</v>
      </c>
    </row>
    <row r="392" ht="22.5" customHeight="1">
      <c r="A392" s="78">
        <v>46105.0</v>
      </c>
      <c r="B392" s="7" t="s">
        <v>33</v>
      </c>
      <c r="C392" s="80">
        <v>68515.0</v>
      </c>
      <c r="D392" s="84" t="str">
        <f>IFERROR(VLOOKUP(B392,BASE_VEICULOS!$A:$B,2,0),"")</f>
        <v>TEW9A30</v>
      </c>
      <c r="E392" s="82">
        <f>IFERROR(__xludf.DUMMYFUNCTION("IF(OR(A392="""",D392="""",C392=""""),"""",IFERROR(MAX(0,C392-MAX(FILTER($C$2:$C392,TRIM($D$2:$D392)=TRIM(D392),(($A$2:$A392&lt;A392)+(($A$2:$A392=A392)*(ROW($A$2:$A392)&lt;ROW(A392))))))),""""))"),50.0)</f>
        <v>50</v>
      </c>
    </row>
    <row r="393" ht="22.5" customHeight="1">
      <c r="A393" s="78">
        <v>46105.0</v>
      </c>
      <c r="B393" s="7" t="s">
        <v>10</v>
      </c>
      <c r="C393" s="80">
        <v>18066.0</v>
      </c>
      <c r="D393" s="84" t="str">
        <f>IFERROR(VLOOKUP(B393,BASE_VEICULOS!$A:$B,2,0),"")</f>
        <v>TEW9A25</v>
      </c>
      <c r="E393" s="82">
        <f>IFERROR(__xludf.DUMMYFUNCTION("IF(OR(A393="""",D393="""",C393=""""),"""",IFERROR(MAX(0,C393-MAX(FILTER($C$2:$C393,TRIM($D$2:$D393)=TRIM(D393),(($A$2:$A393&lt;A393)+(($A$2:$A393=A393)*(ROW($A$2:$A393)&lt;ROW(A393))))))),""""))"),191.0)</f>
        <v>191</v>
      </c>
    </row>
    <row r="394" ht="22.5" customHeight="1">
      <c r="A394" s="78">
        <v>46105.0</v>
      </c>
      <c r="B394" s="7" t="s">
        <v>11</v>
      </c>
      <c r="C394" s="80">
        <v>96885.0</v>
      </c>
      <c r="D394" s="84" t="str">
        <f>IFERROR(VLOOKUP(B394,BASE_VEICULOS!$A:$B,2,0),"")</f>
        <v>TEW9A28</v>
      </c>
      <c r="E394" s="82">
        <f>IFERROR(__xludf.DUMMYFUNCTION("IF(OR(A394="""",D394="""",C394=""""),"""",IFERROR(MAX(0,C394-MAX(FILTER($C$2:$C394,TRIM($D$2:$D394)=TRIM(D394),(($A$2:$A394&lt;A394)+(($A$2:$A394=A394)*(ROW($A$2:$A394)&lt;ROW(A394))))))),""""))"),110.0)</f>
        <v>110</v>
      </c>
    </row>
    <row r="395" ht="22.5" customHeight="1">
      <c r="A395" s="78">
        <v>46105.0</v>
      </c>
      <c r="B395" s="7" t="s">
        <v>29</v>
      </c>
      <c r="C395" s="80">
        <v>74996.0</v>
      </c>
      <c r="D395" s="84" t="str">
        <f>IFERROR(VLOOKUP(B395,BASE_VEICULOS!$A:$B,2,0),"")</f>
        <v>TEQ2I74</v>
      </c>
      <c r="E395" s="82">
        <f>IFERROR(__xludf.DUMMYFUNCTION("IF(OR(A395="""",D395="""",C395=""""),"""",IFERROR(MAX(0,C395-MAX(FILTER($C$2:$C395,TRIM($D$2:$D395)=TRIM(D395),(($A$2:$A395&lt;A395)+(($A$2:$A395=A395)*(ROW($A$2:$A395)&lt;ROW(A395))))))),""""))"),371.0)</f>
        <v>371</v>
      </c>
    </row>
    <row r="396" ht="22.5" customHeight="1">
      <c r="A396" s="78">
        <v>46105.0</v>
      </c>
      <c r="B396" s="7" t="s">
        <v>19</v>
      </c>
      <c r="C396" s="80">
        <v>18817.0</v>
      </c>
      <c r="D396" s="84" t="str">
        <f>IFERROR(VLOOKUP(B396,BASE_VEICULOS!$A:$B,2,0),"")</f>
        <v>TEW9A24</v>
      </c>
      <c r="E396" s="82">
        <f>IFERROR(__xludf.DUMMYFUNCTION("IF(OR(A396="""",D396="""",C396=""""),"""",IFERROR(MAX(0,C396-MAX(FILTER($C$2:$C396,TRIM($D$2:$D396)=TRIM(D396),(($A$2:$A396&lt;A396)+(($A$2:$A396=A396)*(ROW($A$2:$A396)&lt;ROW(A396))))))),""""))"),67.0)</f>
        <v>67</v>
      </c>
    </row>
    <row r="397" ht="22.5" customHeight="1">
      <c r="A397" s="78">
        <v>46105.0</v>
      </c>
      <c r="B397" s="7" t="s">
        <v>22</v>
      </c>
      <c r="C397" s="80">
        <v>29416.0</v>
      </c>
      <c r="D397" s="84" t="str">
        <f>IFERROR(VLOOKUP(B397,BASE_VEICULOS!$A:$B,2,0),"")</f>
        <v>TET5H37</v>
      </c>
      <c r="E397" s="82">
        <f>IFERROR(__xludf.DUMMYFUNCTION("IF(OR(A397="""",D397="""",C397=""""),"""",IFERROR(MAX(0,C397-MAX(FILTER($C$2:$C397,TRIM($D$2:$D397)=TRIM(D397),(($A$2:$A397&lt;A397)+(($A$2:$A397=A397)*(ROW($A$2:$A397)&lt;ROW(A397))))))),""""))"),132.0)</f>
        <v>132</v>
      </c>
    </row>
    <row r="398" ht="22.5" customHeight="1">
      <c r="A398" s="78">
        <v>46105.0</v>
      </c>
      <c r="B398" s="7" t="s">
        <v>14</v>
      </c>
      <c r="C398" s="80">
        <v>91968.0</v>
      </c>
      <c r="D398" s="84" t="str">
        <f>IFERROR(VLOOKUP(B398,BASE_VEICULOS!$A:$B,2,0),"")</f>
        <v>FOK8A73</v>
      </c>
      <c r="E398" s="82">
        <f>IFERROR(__xludf.DUMMYFUNCTION("IF(OR(A398="""",D398="""",C398=""""),"""",IFERROR(MAX(0,C398-MAX(FILTER($C$2:$C398,TRIM($D$2:$D398)=TRIM(D398),(($A$2:$A398&lt;A398)+(($A$2:$A398=A398)*(ROW($A$2:$A398)&lt;ROW(A398))))))),""""))"),183.0)</f>
        <v>183</v>
      </c>
    </row>
    <row r="399" ht="22.5" customHeight="1">
      <c r="A399" s="78">
        <v>46105.0</v>
      </c>
      <c r="B399" s="7" t="s">
        <v>18</v>
      </c>
      <c r="C399" s="80">
        <v>18073.0</v>
      </c>
      <c r="D399" s="84" t="str">
        <f>IFERROR(VLOOKUP(B399,BASE_VEICULOS!$A:$B,2,0),"")</f>
        <v>TEW9A29</v>
      </c>
      <c r="E399" s="82">
        <f>IFERROR(__xludf.DUMMYFUNCTION("IF(OR(A399="""",D399="""",C399=""""),"""",IFERROR(MAX(0,C399-MAX(FILTER($C$2:$C399,TRIM($D$2:$D399)=TRIM(D399),(($A$2:$A399&lt;A399)+(($A$2:$A399=A399)*(ROW($A$2:$A399)&lt;ROW(A399))))))),""""))"),83.0)</f>
        <v>83</v>
      </c>
    </row>
    <row r="400" ht="22.5" customHeight="1">
      <c r="A400" s="78">
        <v>46105.0</v>
      </c>
      <c r="B400" s="7" t="s">
        <v>20</v>
      </c>
      <c r="C400" s="80">
        <v>16484.0</v>
      </c>
      <c r="D400" s="84" t="str">
        <f>IFERROR(VLOOKUP(B400,BASE_VEICULOS!$A:$B,2,0),"")</f>
        <v>TEW9A34</v>
      </c>
      <c r="E400" s="82">
        <f>IFERROR(__xludf.DUMMYFUNCTION("IF(OR(A400="""",D400="""",C400=""""),"""",IFERROR(MAX(0,C400-MAX(FILTER($C$2:$C400,TRIM($D$2:$D400)=TRIM(D400),(($A$2:$A400&lt;A400)+(($A$2:$A400=A400)*(ROW($A$2:$A400)&lt;ROW(A400))))))),""""))"),154.0)</f>
        <v>154</v>
      </c>
    </row>
    <row r="401" ht="22.5" customHeight="1">
      <c r="A401" s="78">
        <v>46105.0</v>
      </c>
      <c r="B401" s="7" t="s">
        <v>23</v>
      </c>
      <c r="C401" s="80">
        <v>18501.0</v>
      </c>
      <c r="D401" s="84" t="str">
        <f>IFERROR(VLOOKUP(B401,BASE_VEICULOS!$A:$B,2,0),"")</f>
        <v>TEH3I02</v>
      </c>
      <c r="E401" s="82">
        <f>IFERROR(__xludf.DUMMYFUNCTION("IF(OR(A401="""",D401="""",C401=""""),"""",IFERROR(MAX(0,C401-MAX(FILTER($C$2:$C401,TRIM($D$2:$D401)=TRIM(D401),(($A$2:$A401&lt;A401)+(($A$2:$A401=A401)*(ROW($A$2:$A401)&lt;ROW(A401))))))),""""))"),126.0)</f>
        <v>126</v>
      </c>
    </row>
    <row r="402" ht="22.5" customHeight="1">
      <c r="A402" s="78">
        <v>46105.0</v>
      </c>
      <c r="B402" s="7" t="s">
        <v>17</v>
      </c>
      <c r="C402" s="80">
        <v>14738.0</v>
      </c>
      <c r="D402" s="84" t="str">
        <f>IFERROR(VLOOKUP(B402,BASE_VEICULOS!$A:$B,2,0),"")</f>
        <v/>
      </c>
      <c r="E402" s="82" t="str">
        <f>IFERROR(__xludf.DUMMYFUNCTION("IF(OR(A402="""",D402="""",C402=""""),"""",IFERROR(MAX(0,C402-MAX(FILTER($C$2:$C402,TRIM($D$2:$D402)=TRIM(D402),(($A$2:$A402&lt;A402)+(($A$2:$A402=A402)*(ROW($A$2:$A402)&lt;ROW(A402))))))),""""))"),"")</f>
        <v/>
      </c>
    </row>
    <row r="403" ht="22.5" customHeight="1">
      <c r="A403" s="78">
        <v>46105.0</v>
      </c>
      <c r="B403" s="7" t="s">
        <v>25</v>
      </c>
      <c r="C403" s="80">
        <v>15602.0</v>
      </c>
      <c r="D403" s="84" t="str">
        <f>IFERROR(VLOOKUP(B403,BASE_VEICULOS!$A:$B,2,0),"")</f>
        <v>TEW9A26</v>
      </c>
      <c r="E403" s="82">
        <f>IFERROR(__xludf.DUMMYFUNCTION("IF(OR(A403="""",D403="""",C403=""""),"""",IFERROR(MAX(0,C403-MAX(FILTER($C$2:$C403,TRIM($D$2:$D403)=TRIM(D403),(($A$2:$A403&lt;A403)+(($A$2:$A403=A403)*(ROW($A$2:$A403)&lt;ROW(A403))))))),""""))"),160.0)</f>
        <v>160</v>
      </c>
    </row>
    <row r="404" ht="22.5" customHeight="1">
      <c r="A404" s="78">
        <v>46105.0</v>
      </c>
      <c r="B404" s="7" t="s">
        <v>13</v>
      </c>
      <c r="C404" s="80">
        <v>105918.0</v>
      </c>
      <c r="D404" s="84" t="str">
        <f>IFERROR(VLOOKUP(B404,BASE_VEICULOS!$A:$B,2,0),"")</f>
        <v>FGO3C61</v>
      </c>
      <c r="E404" s="82">
        <f>IFERROR(__xludf.DUMMYFUNCTION("IF(OR(A404="""",D404="""",C404=""""),"""",IFERROR(MAX(0,C404-MAX(FILTER($C$2:$C404,TRIM($D$2:$D404)=TRIM(D404),(($A$2:$A404&lt;A404)+(($A$2:$A404=A404)*(ROW($A$2:$A404)&lt;ROW(A404))))))),""""))"),195.0)</f>
        <v>195</v>
      </c>
    </row>
    <row r="405" ht="22.5" customHeight="1">
      <c r="A405" s="78">
        <v>46105.0</v>
      </c>
      <c r="B405" s="7" t="s">
        <v>21</v>
      </c>
      <c r="C405" s="80">
        <v>18514.0</v>
      </c>
      <c r="D405" s="84" t="str">
        <f>IFERROR(VLOOKUP(B405,BASE_VEICULOS!$A:$B,2,0),"")</f>
        <v>TEW9A33</v>
      </c>
      <c r="E405" s="82">
        <f>IFERROR(__xludf.DUMMYFUNCTION("IF(OR(A405="""",D405="""",C405=""""),"""",IFERROR(MAX(0,C405-MAX(FILTER($C$2:$C405,TRIM($D$2:$D405)=TRIM(D405),(($A$2:$A405&lt;A405)+(($A$2:$A405=A405)*(ROW($A$2:$A405)&lt;ROW(A405))))))),""""))"),135.0)</f>
        <v>135</v>
      </c>
    </row>
    <row r="406" ht="22.5" customHeight="1">
      <c r="A406" s="78">
        <v>46106.0</v>
      </c>
      <c r="B406" s="7" t="s">
        <v>15</v>
      </c>
      <c r="C406" s="80">
        <v>108409.0</v>
      </c>
      <c r="D406" s="84" t="str">
        <f>IFERROR(VLOOKUP(B406,BASE_VEICULOS!$A:$B,2,0),"")</f>
        <v>EWH1B84</v>
      </c>
      <c r="E406" s="82">
        <f>IFERROR(__xludf.DUMMYFUNCTION("IF(OR(A406="""",D406="""",C406=""""),"""",IFERROR(MAX(0,C406-MAX(FILTER($C$2:$C406,TRIM($D$2:$D406)=TRIM(D406),(($A$2:$A406&lt;A406)+(($A$2:$A406=A406)*(ROW($A$2:$A406)&lt;ROW(A406))))))),""""))"),523.0)</f>
        <v>523</v>
      </c>
    </row>
    <row r="407" ht="22.5" customHeight="1">
      <c r="A407" s="78">
        <v>46106.0</v>
      </c>
      <c r="B407" s="7" t="s">
        <v>10</v>
      </c>
      <c r="C407" s="80">
        <v>18201.0</v>
      </c>
      <c r="D407" s="84" t="str">
        <f>IFERROR(VLOOKUP(B407,BASE_VEICULOS!$A:$B,2,0),"")</f>
        <v>TEW9A25</v>
      </c>
      <c r="E407" s="82">
        <f>IFERROR(__xludf.DUMMYFUNCTION("IF(OR(A407="""",D407="""",C407=""""),"""",IFERROR(MAX(0,C407-MAX(FILTER($C$2:$C407,TRIM($D$2:$D407)=TRIM(D407),(($A$2:$A407&lt;A407)+(($A$2:$A407=A407)*(ROW($A$2:$A407)&lt;ROW(A407))))))),""""))"),135.0)</f>
        <v>135</v>
      </c>
    </row>
    <row r="408" ht="22.5" customHeight="1">
      <c r="A408" s="78">
        <v>46106.0</v>
      </c>
      <c r="B408" s="7" t="s">
        <v>21</v>
      </c>
      <c r="C408" s="80">
        <v>18600.0</v>
      </c>
      <c r="D408" s="84" t="str">
        <f>IFERROR(VLOOKUP(B408,BASE_VEICULOS!$A:$B,2,0),"")</f>
        <v>TEW9A33</v>
      </c>
      <c r="E408" s="82">
        <f>IFERROR(__xludf.DUMMYFUNCTION("IF(OR(A408="""",D408="""",C408=""""),"""",IFERROR(MAX(0,C408-MAX(FILTER($C$2:$C408,TRIM($D$2:$D408)=TRIM(D408),(($A$2:$A408&lt;A408)+(($A$2:$A408=A408)*(ROW($A$2:$A408)&lt;ROW(A408))))))),""""))"),86.0)</f>
        <v>86</v>
      </c>
    </row>
    <row r="409" ht="22.5" customHeight="1">
      <c r="A409" s="78">
        <v>46106.0</v>
      </c>
      <c r="B409" s="7" t="s">
        <v>19</v>
      </c>
      <c r="C409" s="80">
        <v>19130.0</v>
      </c>
      <c r="D409" s="84" t="str">
        <f>IFERROR(VLOOKUP(B409,BASE_VEICULOS!$A:$B,2,0),"")</f>
        <v>TEW9A24</v>
      </c>
      <c r="E409" s="82">
        <f>IFERROR(__xludf.DUMMYFUNCTION("IF(OR(A409="""",D409="""",C409=""""),"""",IFERROR(MAX(0,C409-MAX(FILTER($C$2:$C409,TRIM($D$2:$D409)=TRIM(D409),(($A$2:$A409&lt;A409)+(($A$2:$A409=A409)*(ROW($A$2:$A409)&lt;ROW(A409))))))),""""))"),313.0)</f>
        <v>313</v>
      </c>
    </row>
    <row r="410" ht="22.5" customHeight="1">
      <c r="A410" s="78">
        <v>46106.0</v>
      </c>
      <c r="B410" s="7" t="s">
        <v>33</v>
      </c>
      <c r="C410" s="80">
        <v>68693.0</v>
      </c>
      <c r="D410" s="84" t="str">
        <f>IFERROR(VLOOKUP(B410,BASE_VEICULOS!$A:$B,2,0),"")</f>
        <v>TEW9A30</v>
      </c>
      <c r="E410" s="82">
        <f>IFERROR(__xludf.DUMMYFUNCTION("IF(OR(A410="""",D410="""",C410=""""),"""",IFERROR(MAX(0,C410-MAX(FILTER($C$2:$C410,TRIM($D$2:$D410)=TRIM(D410),(($A$2:$A410&lt;A410)+(($A$2:$A410=A410)*(ROW($A$2:$A410)&lt;ROW(A410))))))),""""))"),178.0)</f>
        <v>178</v>
      </c>
    </row>
    <row r="411" ht="22.5" customHeight="1">
      <c r="A411" s="78">
        <v>46106.0</v>
      </c>
      <c r="B411" s="7" t="s">
        <v>17</v>
      </c>
      <c r="C411" s="80">
        <v>14923.0</v>
      </c>
      <c r="D411" s="84" t="str">
        <f>IFERROR(VLOOKUP(B411,BASE_VEICULOS!$A:$B,2,0),"")</f>
        <v/>
      </c>
      <c r="E411" s="82" t="str">
        <f>IFERROR(__xludf.DUMMYFUNCTION("IF(OR(A411="""",D411="""",C411=""""),"""",IFERROR(MAX(0,C411-MAX(FILTER($C$2:$C411,TRIM($D$2:$D411)=TRIM(D411),(($A$2:$A411&lt;A411)+(($A$2:$A411=A411)*(ROW($A$2:$A411)&lt;ROW(A411))))))),""""))"),"")</f>
        <v/>
      </c>
    </row>
    <row r="412" ht="22.5" customHeight="1">
      <c r="A412" s="78">
        <v>46106.0</v>
      </c>
      <c r="B412" s="7" t="s">
        <v>20</v>
      </c>
      <c r="C412" s="80">
        <v>16609.0</v>
      </c>
      <c r="D412" s="84" t="str">
        <f>IFERROR(VLOOKUP(B412,BASE_VEICULOS!$A:$B,2,0),"")</f>
        <v>TEW9A34</v>
      </c>
      <c r="E412" s="82">
        <f>IFERROR(__xludf.DUMMYFUNCTION("IF(OR(A412="""",D412="""",C412=""""),"""",IFERROR(MAX(0,C412-MAX(FILTER($C$2:$C412,TRIM($D$2:$D412)=TRIM(D412),(($A$2:$A412&lt;A412)+(($A$2:$A412=A412)*(ROW($A$2:$A412)&lt;ROW(A412))))))),""""))"),125.0)</f>
        <v>125</v>
      </c>
    </row>
    <row r="413" ht="22.5" customHeight="1">
      <c r="A413" s="78">
        <v>46106.0</v>
      </c>
      <c r="B413" s="7" t="s">
        <v>23</v>
      </c>
      <c r="C413" s="80">
        <v>18606.0</v>
      </c>
      <c r="D413" s="84" t="str">
        <f>IFERROR(VLOOKUP(B413,BASE_VEICULOS!$A:$B,2,0),"")</f>
        <v>TEH3I02</v>
      </c>
      <c r="E413" s="82">
        <f>IFERROR(__xludf.DUMMYFUNCTION("IF(OR(A413="""",D413="""",C413=""""),"""",IFERROR(MAX(0,C413-MAX(FILTER($C$2:$C413,TRIM($D$2:$D413)=TRIM(D413),(($A$2:$A413&lt;A413)+(($A$2:$A413=A413)*(ROW($A$2:$A413)&lt;ROW(A413))))))),""""))"),105.0)</f>
        <v>105</v>
      </c>
    </row>
    <row r="414" ht="22.5" customHeight="1">
      <c r="A414" s="78">
        <v>46106.0</v>
      </c>
      <c r="B414" s="7" t="s">
        <v>18</v>
      </c>
      <c r="C414" s="80">
        <v>18153.0</v>
      </c>
      <c r="D414" s="84" t="str">
        <f>IFERROR(VLOOKUP(B414,BASE_VEICULOS!$A:$B,2,0),"")</f>
        <v>TEW9A29</v>
      </c>
      <c r="E414" s="82">
        <f>IFERROR(__xludf.DUMMYFUNCTION("IF(OR(A414="""",D414="""",C414=""""),"""",IFERROR(MAX(0,C414-MAX(FILTER($C$2:$C414,TRIM($D$2:$D414)=TRIM(D414),(($A$2:$A414&lt;A414)+(($A$2:$A414=A414)*(ROW($A$2:$A414)&lt;ROW(A414))))))),""""))"),80.0)</f>
        <v>80</v>
      </c>
    </row>
    <row r="415" ht="22.5" customHeight="1">
      <c r="A415" s="78">
        <v>46106.0</v>
      </c>
      <c r="B415" s="7" t="s">
        <v>25</v>
      </c>
      <c r="C415" s="80">
        <v>15715.0</v>
      </c>
      <c r="D415" s="84" t="str">
        <f>IFERROR(VLOOKUP(B415,BASE_VEICULOS!$A:$B,2,0),"")</f>
        <v>TEW9A26</v>
      </c>
      <c r="E415" s="82">
        <f>IFERROR(__xludf.DUMMYFUNCTION("IF(OR(A415="""",D415="""",C415=""""),"""",IFERROR(MAX(0,C415-MAX(FILTER($C$2:$C415,TRIM($D$2:$D415)=TRIM(D415),(($A$2:$A415&lt;A415)+(($A$2:$A415=A415)*(ROW($A$2:$A415)&lt;ROW(A415))))))),""""))"),113.0)</f>
        <v>113</v>
      </c>
    </row>
    <row r="416" ht="22.5" customHeight="1">
      <c r="A416" s="78">
        <v>46106.0</v>
      </c>
      <c r="B416" s="7" t="s">
        <v>11</v>
      </c>
      <c r="C416" s="80">
        <v>97006.0</v>
      </c>
      <c r="D416" s="84" t="str">
        <f>IFERROR(VLOOKUP(B416,BASE_VEICULOS!$A:$B,2,0),"")</f>
        <v>TEW9A28</v>
      </c>
      <c r="E416" s="82">
        <f>IFERROR(__xludf.DUMMYFUNCTION("IF(OR(A416="""",D416="""",C416=""""),"""",IFERROR(MAX(0,C416-MAX(FILTER($C$2:$C416,TRIM($D$2:$D416)=TRIM(D416),(($A$2:$A416&lt;A416)+(($A$2:$A416=A416)*(ROW($A$2:$A416)&lt;ROW(A416))))))),""""))"),121.0)</f>
        <v>121</v>
      </c>
    </row>
    <row r="417" ht="22.5" customHeight="1">
      <c r="A417" s="78">
        <v>46106.0</v>
      </c>
      <c r="B417" s="7" t="s">
        <v>29</v>
      </c>
      <c r="C417" s="80">
        <v>75218.0</v>
      </c>
      <c r="D417" s="84" t="str">
        <f>IFERROR(VLOOKUP(B417,BASE_VEICULOS!$A:$B,2,0),"")</f>
        <v>TEQ2I74</v>
      </c>
      <c r="E417" s="82">
        <f>IFERROR(__xludf.DUMMYFUNCTION("IF(OR(A417="""",D417="""",C417=""""),"""",IFERROR(MAX(0,C417-MAX(FILTER($C$2:$C417,TRIM($D$2:$D417)=TRIM(D417),(($A$2:$A417&lt;A417)+(($A$2:$A417=A417)*(ROW($A$2:$A417)&lt;ROW(A417))))))),""""))"),222.0)</f>
        <v>222</v>
      </c>
    </row>
    <row r="418" ht="22.5" customHeight="1">
      <c r="A418" s="78">
        <v>46106.0</v>
      </c>
      <c r="B418" s="7" t="s">
        <v>14</v>
      </c>
      <c r="C418" s="80">
        <v>92100.0</v>
      </c>
      <c r="D418" s="84" t="str">
        <f>IFERROR(VLOOKUP(B418,BASE_VEICULOS!$A:$B,2,0),"")</f>
        <v>FOK8A73</v>
      </c>
      <c r="E418" s="82">
        <f>IFERROR(__xludf.DUMMYFUNCTION("IF(OR(A418="""",D418="""",C418=""""),"""",IFERROR(MAX(0,C418-MAX(FILTER($C$2:$C418,TRIM($D$2:$D418)=TRIM(D418),(($A$2:$A418&lt;A418)+(($A$2:$A418=A418)*(ROW($A$2:$A418)&lt;ROW(A418))))))),""""))"),132.0)</f>
        <v>132</v>
      </c>
    </row>
    <row r="419" ht="22.5" customHeight="1">
      <c r="A419" s="78">
        <v>46106.0</v>
      </c>
      <c r="B419" s="7" t="s">
        <v>22</v>
      </c>
      <c r="C419" s="80">
        <v>29769.0</v>
      </c>
      <c r="D419" s="84" t="str">
        <f>IFERROR(VLOOKUP(B419,BASE_VEICULOS!$A:$B,2,0),"")</f>
        <v>TET5H37</v>
      </c>
      <c r="E419" s="82">
        <f>IFERROR(__xludf.DUMMYFUNCTION("IF(OR(A419="""",D419="""",C419=""""),"""",IFERROR(MAX(0,C419-MAX(FILTER($C$2:$C419,TRIM($D$2:$D419)=TRIM(D419),(($A$2:$A419&lt;A419)+(($A$2:$A419=A419)*(ROW($A$2:$A419)&lt;ROW(A419))))))),""""))"),353.0)</f>
        <v>353</v>
      </c>
    </row>
    <row r="420" ht="22.5" customHeight="1">
      <c r="A420" s="78">
        <v>46106.0</v>
      </c>
      <c r="B420" s="7" t="s">
        <v>12</v>
      </c>
      <c r="C420" s="80">
        <v>90159.0</v>
      </c>
      <c r="D420" s="84" t="str">
        <f>IFERROR(VLOOKUP(B420,BASE_VEICULOS!$A:$B,2,0),"")</f>
        <v>FIL8C14</v>
      </c>
      <c r="E420" s="82">
        <f>IFERROR(__xludf.DUMMYFUNCTION("IF(OR(A420="""",D420="""",C420=""""),"""",IFERROR(MAX(0,C420-MAX(FILTER($C$2:$C420,TRIM($D$2:$D420)=TRIM(D420),(($A$2:$A420&lt;A420)+(($A$2:$A420=A420)*(ROW($A$2:$A420)&lt;ROW(A420))))))),""""))"),97.0)</f>
        <v>97</v>
      </c>
    </row>
    <row r="421" ht="22.5" customHeight="1">
      <c r="A421" s="78">
        <v>46106.0</v>
      </c>
      <c r="B421" s="7" t="s">
        <v>34</v>
      </c>
      <c r="C421" s="80">
        <v>53218.0</v>
      </c>
      <c r="D421" s="84" t="str">
        <f>IFERROR(VLOOKUP(B421,BASE_VEICULOS!$A:$B,2,0),"")</f>
        <v>SRU8D16</v>
      </c>
      <c r="E421" s="82">
        <f>IFERROR(__xludf.DUMMYFUNCTION("IF(OR(A421="""",D421="""",C421=""""),"""",IFERROR(MAX(0,C421-MAX(FILTER($C$2:$C421,TRIM($D$2:$D421)=TRIM(D421),(($A$2:$A421&lt;A421)+(($A$2:$A421=A421)*(ROW($A$2:$A421)&lt;ROW(A421))))))),""""))"),625.0)</f>
        <v>625</v>
      </c>
    </row>
    <row r="422" ht="22.5" customHeight="1">
      <c r="A422" s="78">
        <v>46106.0</v>
      </c>
      <c r="B422" s="7" t="s">
        <v>36</v>
      </c>
      <c r="C422" s="80">
        <v>17379.0</v>
      </c>
      <c r="D422" s="84" t="str">
        <f>IFERROR(VLOOKUP(B422,BASE_VEICULOS!$A:$B,2,0),"")</f>
        <v/>
      </c>
      <c r="E422" s="82" t="str">
        <f>IFERROR(__xludf.DUMMYFUNCTION("IF(OR(A422="""",D422="""",C422=""""),"""",IFERROR(MAX(0,C422-MAX(FILTER($C$2:$C422,TRIM($D$2:$D422)=TRIM(D422),(($A$2:$A422&lt;A422)+(($A$2:$A422=A422)*(ROW($A$2:$A422)&lt;ROW(A422))))))),""""))"),"")</f>
        <v/>
      </c>
    </row>
    <row r="423" ht="22.5" customHeight="1">
      <c r="A423" s="78">
        <v>46107.0</v>
      </c>
      <c r="B423" s="7" t="s">
        <v>33</v>
      </c>
      <c r="C423" s="80">
        <v>68824.0</v>
      </c>
      <c r="D423" s="84" t="str">
        <f>IFERROR(VLOOKUP(B423,BASE_VEICULOS!$A:$B,2,0),"")</f>
        <v>TEW9A30</v>
      </c>
      <c r="E423" s="82">
        <f>IFERROR(__xludf.DUMMYFUNCTION("IF(OR(A423="""",D423="""",C423=""""),"""",IFERROR(MAX(0,C423-MAX(FILTER($C$2:$C423,TRIM($D$2:$D423)=TRIM(D423),(($A$2:$A423&lt;A423)+(($A$2:$A423=A423)*(ROW($A$2:$A423)&lt;ROW(A423))))))),""""))"),131.0)</f>
        <v>131</v>
      </c>
    </row>
    <row r="424" ht="22.5" customHeight="1">
      <c r="A424" s="78">
        <v>46107.0</v>
      </c>
      <c r="B424" s="7" t="s">
        <v>21</v>
      </c>
      <c r="C424" s="80">
        <v>18662.0</v>
      </c>
      <c r="D424" s="84" t="str">
        <f>IFERROR(VLOOKUP(B424,BASE_VEICULOS!$A:$B,2,0),"")</f>
        <v>TEW9A33</v>
      </c>
      <c r="E424" s="82">
        <f>IFERROR(__xludf.DUMMYFUNCTION("IF(OR(A424="""",D424="""",C424=""""),"""",IFERROR(MAX(0,C424-MAX(FILTER($C$2:$C424,TRIM($D$2:$D424)=TRIM(D424),(($A$2:$A424&lt;A424)+(($A$2:$A424=A424)*(ROW($A$2:$A424)&lt;ROW(A424))))))),""""))"),62.0)</f>
        <v>62</v>
      </c>
    </row>
    <row r="425" ht="22.5" customHeight="1">
      <c r="A425" s="78">
        <v>46107.0</v>
      </c>
      <c r="B425" s="7" t="s">
        <v>10</v>
      </c>
      <c r="C425" s="80">
        <v>18440.0</v>
      </c>
      <c r="D425" s="84" t="str">
        <f>IFERROR(VLOOKUP(B425,BASE_VEICULOS!$A:$B,2,0),"")</f>
        <v>TEW9A25</v>
      </c>
      <c r="E425" s="82">
        <f>IFERROR(__xludf.DUMMYFUNCTION("IF(OR(A425="""",D425="""",C425=""""),"""",IFERROR(MAX(0,C425-MAX(FILTER($C$2:$C425,TRIM($D$2:$D425)=TRIM(D425),(($A$2:$A425&lt;A425)+(($A$2:$A425=A425)*(ROW($A$2:$A425)&lt;ROW(A425))))))),""""))"),239.0)</f>
        <v>239</v>
      </c>
    </row>
    <row r="426" ht="22.5" customHeight="1">
      <c r="A426" s="78">
        <v>46107.0</v>
      </c>
      <c r="B426" s="7" t="s">
        <v>17</v>
      </c>
      <c r="C426" s="80">
        <v>15226.0</v>
      </c>
      <c r="D426" s="84" t="str">
        <f>IFERROR(VLOOKUP(B426,BASE_VEICULOS!$A:$B,2,0),"")</f>
        <v/>
      </c>
      <c r="E426" s="82" t="str">
        <f>IFERROR(__xludf.DUMMYFUNCTION("IF(OR(A426="""",D426="""",C426=""""),"""",IFERROR(MAX(0,C426-MAX(FILTER($C$2:$C426,TRIM($D$2:$D426)=TRIM(D426),(($A$2:$A426&lt;A426)+(($A$2:$A426=A426)*(ROW($A$2:$A426)&lt;ROW(A426))))))),""""))"),"")</f>
        <v/>
      </c>
    </row>
    <row r="427" ht="22.5" customHeight="1">
      <c r="A427" s="78">
        <v>46107.0</v>
      </c>
      <c r="B427" s="7" t="s">
        <v>34</v>
      </c>
      <c r="C427" s="80">
        <v>53396.0</v>
      </c>
      <c r="D427" s="84" t="str">
        <f>IFERROR(VLOOKUP(B427,BASE_VEICULOS!$A:$B,2,0),"")</f>
        <v>SRU8D16</v>
      </c>
      <c r="E427" s="82">
        <f>IFERROR(__xludf.DUMMYFUNCTION("IF(OR(A427="""",D427="""",C427=""""),"""",IFERROR(MAX(0,C427-MAX(FILTER($C$2:$C427,TRIM($D$2:$D427)=TRIM(D427),(($A$2:$A427&lt;A427)+(($A$2:$A427=A427)*(ROW($A$2:$A427)&lt;ROW(A427))))))),""""))"),178.0)</f>
        <v>178</v>
      </c>
    </row>
    <row r="428" ht="22.5" customHeight="1">
      <c r="A428" s="78">
        <v>46107.0</v>
      </c>
      <c r="B428" s="7" t="s">
        <v>18</v>
      </c>
      <c r="C428" s="80">
        <v>18350.0</v>
      </c>
      <c r="D428" s="84" t="str">
        <f>IFERROR(VLOOKUP(B428,BASE_VEICULOS!$A:$B,2,0),"")</f>
        <v>TEW9A29</v>
      </c>
      <c r="E428" s="82">
        <f>IFERROR(__xludf.DUMMYFUNCTION("IF(OR(A428="""",D428="""",C428=""""),"""",IFERROR(MAX(0,C428-MAX(FILTER($C$2:$C428,TRIM($D$2:$D428)=TRIM(D428),(($A$2:$A428&lt;A428)+(($A$2:$A428=A428)*(ROW($A$2:$A428)&lt;ROW(A428))))))),""""))"),197.0)</f>
        <v>197</v>
      </c>
    </row>
    <row r="429" ht="22.5" customHeight="1">
      <c r="A429" s="78">
        <v>46107.0</v>
      </c>
      <c r="B429" s="7" t="s">
        <v>19</v>
      </c>
      <c r="C429" s="80">
        <v>19223.0</v>
      </c>
      <c r="D429" s="84" t="str">
        <f>IFERROR(VLOOKUP(B429,BASE_VEICULOS!$A:$B,2,0),"")</f>
        <v>TEW9A24</v>
      </c>
      <c r="E429" s="82">
        <f>IFERROR(__xludf.DUMMYFUNCTION("IF(OR(A429="""",D429="""",C429=""""),"""",IFERROR(MAX(0,C429-MAX(FILTER($C$2:$C429,TRIM($D$2:$D429)=TRIM(D429),(($A$2:$A429&lt;A429)+(($A$2:$A429=A429)*(ROW($A$2:$A429)&lt;ROW(A429))))))),""""))"),93.0)</f>
        <v>93</v>
      </c>
    </row>
    <row r="430" ht="22.5" customHeight="1">
      <c r="A430" s="78">
        <v>46107.0</v>
      </c>
      <c r="B430" s="7" t="s">
        <v>12</v>
      </c>
      <c r="C430" s="80">
        <v>90420.0</v>
      </c>
      <c r="D430" s="84" t="str">
        <f>IFERROR(VLOOKUP(B430,BASE_VEICULOS!$A:$B,2,0),"")</f>
        <v>FIL8C14</v>
      </c>
      <c r="E430" s="82">
        <f>IFERROR(__xludf.DUMMYFUNCTION("IF(OR(A430="""",D430="""",C430=""""),"""",IFERROR(MAX(0,C430-MAX(FILTER($C$2:$C430,TRIM($D$2:$D430)=TRIM(D430),(($A$2:$A430&lt;A430)+(($A$2:$A430=A430)*(ROW($A$2:$A430)&lt;ROW(A430))))))),""""))"),261.0)</f>
        <v>261</v>
      </c>
    </row>
    <row r="431" ht="22.5" customHeight="1">
      <c r="A431" s="78">
        <v>46107.0</v>
      </c>
      <c r="B431" s="7" t="s">
        <v>29</v>
      </c>
      <c r="C431" s="80">
        <v>75336.0</v>
      </c>
      <c r="D431" s="84" t="str">
        <f>IFERROR(VLOOKUP(B431,BASE_VEICULOS!$A:$B,2,0),"")</f>
        <v>TEQ2I74</v>
      </c>
      <c r="E431" s="82">
        <f>IFERROR(__xludf.DUMMYFUNCTION("IF(OR(A431="""",D431="""",C431=""""),"""",IFERROR(MAX(0,C431-MAX(FILTER($C$2:$C431,TRIM($D$2:$D431)=TRIM(D431),(($A$2:$A431&lt;A431)+(($A$2:$A431=A431)*(ROW($A$2:$A431)&lt;ROW(A431))))))),""""))"),118.0)</f>
        <v>118</v>
      </c>
    </row>
    <row r="432" ht="22.5" customHeight="1">
      <c r="A432" s="78">
        <v>46107.0</v>
      </c>
      <c r="B432" s="7" t="s">
        <v>14</v>
      </c>
      <c r="C432" s="80">
        <v>92230.0</v>
      </c>
      <c r="D432" s="84" t="str">
        <f>IFERROR(VLOOKUP(B432,BASE_VEICULOS!$A:$B,2,0),"")</f>
        <v>FOK8A73</v>
      </c>
      <c r="E432" s="82">
        <f>IFERROR(__xludf.DUMMYFUNCTION("IF(OR(A432="""",D432="""",C432=""""),"""",IFERROR(MAX(0,C432-MAX(FILTER($C$2:$C432,TRIM($D$2:$D432)=TRIM(D432),(($A$2:$A432&lt;A432)+(($A$2:$A432=A432)*(ROW($A$2:$A432)&lt;ROW(A432))))))),""""))"),130.0)</f>
        <v>130</v>
      </c>
    </row>
    <row r="433" ht="22.5" customHeight="1">
      <c r="A433" s="78">
        <v>46107.0</v>
      </c>
      <c r="B433" s="7" t="s">
        <v>20</v>
      </c>
      <c r="C433" s="80">
        <v>16742.0</v>
      </c>
      <c r="D433" s="84" t="str">
        <f>IFERROR(VLOOKUP(B433,BASE_VEICULOS!$A:$B,2,0),"")</f>
        <v>TEW9A34</v>
      </c>
      <c r="E433" s="82">
        <f>IFERROR(__xludf.DUMMYFUNCTION("IF(OR(A433="""",D433="""",C433=""""),"""",IFERROR(MAX(0,C433-MAX(FILTER($C$2:$C433,TRIM($D$2:$D433)=TRIM(D433),(($A$2:$A433&lt;A433)+(($A$2:$A433=A433)*(ROW($A$2:$A433)&lt;ROW(A433))))))),""""))"),133.0)</f>
        <v>133</v>
      </c>
    </row>
    <row r="434" ht="22.5" customHeight="1">
      <c r="A434" s="78">
        <v>46107.0</v>
      </c>
      <c r="B434" s="7" t="s">
        <v>11</v>
      </c>
      <c r="C434" s="80">
        <v>97157.0</v>
      </c>
      <c r="D434" s="84" t="str">
        <f>IFERROR(VLOOKUP(B434,BASE_VEICULOS!$A:$B,2,0),"")</f>
        <v>TEW9A28</v>
      </c>
      <c r="E434" s="82">
        <f>IFERROR(__xludf.DUMMYFUNCTION("IF(OR(A434="""",D434="""",C434=""""),"""",IFERROR(MAX(0,C434-MAX(FILTER($C$2:$C434,TRIM($D$2:$D434)=TRIM(D434),(($A$2:$A434&lt;A434)+(($A$2:$A434=A434)*(ROW($A$2:$A434)&lt;ROW(A434))))))),""""))"),151.0)</f>
        <v>151</v>
      </c>
    </row>
    <row r="435" ht="22.5" customHeight="1">
      <c r="A435" s="78">
        <v>46107.0</v>
      </c>
      <c r="B435" s="7" t="s">
        <v>22</v>
      </c>
      <c r="C435" s="80">
        <v>30033.0</v>
      </c>
      <c r="D435" s="84" t="str">
        <f>IFERROR(VLOOKUP(B435,BASE_VEICULOS!$A:$B,2,0),"")</f>
        <v>TET5H37</v>
      </c>
      <c r="E435" s="82">
        <f>IFERROR(__xludf.DUMMYFUNCTION("IF(OR(A435="""",D435="""",C435=""""),"""",IFERROR(MAX(0,C435-MAX(FILTER($C$2:$C435,TRIM($D$2:$D435)=TRIM(D435),(($A$2:$A435&lt;A435)+(($A$2:$A435=A435)*(ROW($A$2:$A435)&lt;ROW(A435))))))),""""))"),264.0)</f>
        <v>264</v>
      </c>
    </row>
    <row r="436" ht="22.5" customHeight="1">
      <c r="A436" s="78">
        <v>46107.0</v>
      </c>
      <c r="B436" s="7" t="s">
        <v>23</v>
      </c>
      <c r="C436" s="80">
        <v>18749.0</v>
      </c>
      <c r="D436" s="84" t="str">
        <f>IFERROR(VLOOKUP(B436,BASE_VEICULOS!$A:$B,2,0),"")</f>
        <v>TEH3I02</v>
      </c>
      <c r="E436" s="82">
        <f>IFERROR(__xludf.DUMMYFUNCTION("IF(OR(A436="""",D436="""",C436=""""),"""",IFERROR(MAX(0,C436-MAX(FILTER($C$2:$C436,TRIM($D$2:$D436)=TRIM(D436),(($A$2:$A436&lt;A436)+(($A$2:$A436=A436)*(ROW($A$2:$A436)&lt;ROW(A436))))))),""""))"),143.0)</f>
        <v>143</v>
      </c>
    </row>
    <row r="437" ht="22.5" customHeight="1">
      <c r="A437" s="78">
        <v>46107.0</v>
      </c>
      <c r="B437" s="7" t="s">
        <v>13</v>
      </c>
      <c r="C437" s="80">
        <v>106268.0</v>
      </c>
      <c r="D437" s="84" t="str">
        <f>IFERROR(VLOOKUP(B437,BASE_VEICULOS!$A:$B,2,0),"")</f>
        <v>FGO3C61</v>
      </c>
      <c r="E437" s="82">
        <f>IFERROR(__xludf.DUMMYFUNCTION("IF(OR(A437="""",D437="""",C437=""""),"""",IFERROR(MAX(0,C437-MAX(FILTER($C$2:$C437,TRIM($D$2:$D437)=TRIM(D437),(($A$2:$A437&lt;A437)+(($A$2:$A437=A437)*(ROW($A$2:$A437)&lt;ROW(A437))))))),""""))"),350.0)</f>
        <v>350</v>
      </c>
    </row>
    <row r="438" ht="22.5" customHeight="1">
      <c r="A438" s="78">
        <v>46107.0</v>
      </c>
      <c r="B438" s="7" t="s">
        <v>25</v>
      </c>
      <c r="C438" s="80">
        <v>15794.0</v>
      </c>
      <c r="D438" s="84" t="str">
        <f>IFERROR(VLOOKUP(B438,BASE_VEICULOS!$A:$B,2,0),"")</f>
        <v>TEW9A26</v>
      </c>
      <c r="E438" s="82">
        <f>IFERROR(__xludf.DUMMYFUNCTION("IF(OR(A438="""",D438="""",C438=""""),"""",IFERROR(MAX(0,C438-MAX(FILTER($C$2:$C438,TRIM($D$2:$D438)=TRIM(D438),(($A$2:$A438&lt;A438)+(($A$2:$A438=A438)*(ROW($A$2:$A438)&lt;ROW(A438))))))),""""))"),79.0)</f>
        <v>79</v>
      </c>
    </row>
    <row r="439" ht="22.5" customHeight="1">
      <c r="A439" s="78">
        <v>46107.0</v>
      </c>
      <c r="B439" s="7" t="s">
        <v>30</v>
      </c>
      <c r="C439" s="80">
        <v>19886.0</v>
      </c>
      <c r="D439" s="84" t="str">
        <f>IFERROR(VLOOKUP(B439,BASE_VEICULOS!$A:$B,2,0),"")</f>
        <v/>
      </c>
      <c r="E439" s="82" t="str">
        <f>IFERROR(__xludf.DUMMYFUNCTION("IF(OR(A439="""",D439="""",C439=""""),"""",IFERROR(MAX(0,C439-MAX(FILTER($C$2:$C439,TRIM($D$2:$D439)=TRIM(D439),(($A$2:$A439&lt;A439)+(($A$2:$A439=A439)*(ROW($A$2:$A439)&lt;ROW(A439))))))),""""))"),"")</f>
        <v/>
      </c>
    </row>
    <row r="440" ht="22.5" customHeight="1">
      <c r="A440" s="78">
        <v>46107.0</v>
      </c>
      <c r="B440" s="7" t="s">
        <v>28</v>
      </c>
      <c r="C440" s="80">
        <v>105936.0</v>
      </c>
      <c r="D440" s="84" t="str">
        <f>IFERROR(VLOOKUP(B440,BASE_VEICULOS!$A:$B,2,0),"")</f>
        <v/>
      </c>
      <c r="E440" s="82" t="str">
        <f>IFERROR(__xludf.DUMMYFUNCTION("IF(OR(A440="""",D440="""",C440=""""),"""",IFERROR(MAX(0,C440-MAX(FILTER($C$2:$C440,TRIM($D$2:$D440)=TRIM(D440),(($A$2:$A440&lt;A440)+(($A$2:$A440=A440)*(ROW($A$2:$A440)&lt;ROW(A440))))))),""""))"),"")</f>
        <v/>
      </c>
    </row>
    <row r="441" ht="22.5" customHeight="1">
      <c r="A441" s="78">
        <v>46108.0</v>
      </c>
      <c r="B441" s="7" t="s">
        <v>29</v>
      </c>
      <c r="C441" s="80">
        <v>75484.0</v>
      </c>
      <c r="D441" s="84" t="str">
        <f>IFERROR(VLOOKUP(B441,BASE_VEICULOS!$A:$B,2,0),"")</f>
        <v>TEQ2I74</v>
      </c>
      <c r="E441" s="82">
        <f>IFERROR(__xludf.DUMMYFUNCTION("IF(OR(A441="""",D441="""",C441=""""),"""",IFERROR(MAX(0,C441-MAX(FILTER($C$2:$C441,TRIM($D$2:$D441)=TRIM(D441),(($A$2:$A441&lt;A441)+(($A$2:$A441=A441)*(ROW($A$2:$A441)&lt;ROW(A441))))))),""""))"),148.0)</f>
        <v>148</v>
      </c>
    </row>
    <row r="442" ht="22.5" customHeight="1">
      <c r="A442" s="78">
        <v>46108.0</v>
      </c>
      <c r="B442" s="7" t="s">
        <v>33</v>
      </c>
      <c r="C442" s="80">
        <v>69028.0</v>
      </c>
      <c r="D442" s="84" t="str">
        <f>IFERROR(VLOOKUP(B442,BASE_VEICULOS!$A:$B,2,0),"")</f>
        <v>TEW9A30</v>
      </c>
      <c r="E442" s="82">
        <f>IFERROR(__xludf.DUMMYFUNCTION("IF(OR(A442="""",D442="""",C442=""""),"""",IFERROR(MAX(0,C442-MAX(FILTER($C$2:$C442,TRIM($D$2:$D442)=TRIM(D442),(($A$2:$A442&lt;A442)+(($A$2:$A442=A442)*(ROW($A$2:$A442)&lt;ROW(A442))))))),""""))"),204.0)</f>
        <v>204</v>
      </c>
    </row>
    <row r="443" ht="22.5" customHeight="1">
      <c r="A443" s="78">
        <v>46108.0</v>
      </c>
      <c r="B443" s="7" t="s">
        <v>23</v>
      </c>
      <c r="C443" s="80">
        <v>18819.0</v>
      </c>
      <c r="D443" s="84" t="str">
        <f>IFERROR(VLOOKUP(B443,BASE_VEICULOS!$A:$B,2,0),"")</f>
        <v>TEH3I02</v>
      </c>
      <c r="E443" s="82">
        <f>IFERROR(__xludf.DUMMYFUNCTION("IF(OR(A443="""",D443="""",C443=""""),"""",IFERROR(MAX(0,C443-MAX(FILTER($C$2:$C443,TRIM($D$2:$D443)=TRIM(D443),(($A$2:$A443&lt;A443)+(($A$2:$A443=A443)*(ROW($A$2:$A443)&lt;ROW(A443))))))),""""))"),70.0)</f>
        <v>70</v>
      </c>
    </row>
    <row r="444" ht="22.5" customHeight="1">
      <c r="A444" s="78">
        <v>46108.0</v>
      </c>
      <c r="B444" s="7" t="s">
        <v>21</v>
      </c>
      <c r="C444" s="80">
        <v>18746.0</v>
      </c>
      <c r="D444" s="84" t="str">
        <f>IFERROR(VLOOKUP(B444,BASE_VEICULOS!$A:$B,2,0),"")</f>
        <v>TEW9A33</v>
      </c>
      <c r="E444" s="82">
        <f>IFERROR(__xludf.DUMMYFUNCTION("IF(OR(A444="""",D444="""",C444=""""),"""",IFERROR(MAX(0,C444-MAX(FILTER($C$2:$C444,TRIM($D$2:$D444)=TRIM(D444),(($A$2:$A444&lt;A444)+(($A$2:$A444=A444)*(ROW($A$2:$A444)&lt;ROW(A444))))))),""""))"),84.0)</f>
        <v>84</v>
      </c>
    </row>
    <row r="445" ht="22.5" customHeight="1">
      <c r="A445" s="78">
        <v>46108.0</v>
      </c>
      <c r="B445" s="7" t="s">
        <v>18</v>
      </c>
      <c r="C445" s="80">
        <v>18541.0</v>
      </c>
      <c r="D445" s="84" t="str">
        <f>IFERROR(VLOOKUP(B445,BASE_VEICULOS!$A:$B,2,0),"")</f>
        <v>TEW9A29</v>
      </c>
      <c r="E445" s="82">
        <f>IFERROR(__xludf.DUMMYFUNCTION("IF(OR(A445="""",D445="""",C445=""""),"""",IFERROR(MAX(0,C445-MAX(FILTER($C$2:$C445,TRIM($D$2:$D445)=TRIM(D445),(($A$2:$A445&lt;A445)+(($A$2:$A445=A445)*(ROW($A$2:$A445)&lt;ROW(A445))))))),""""))"),191.0)</f>
        <v>191</v>
      </c>
    </row>
    <row r="446" ht="22.5" customHeight="1">
      <c r="A446" s="78">
        <v>46108.0</v>
      </c>
      <c r="B446" s="7" t="s">
        <v>25</v>
      </c>
      <c r="C446" s="80">
        <v>15899.0</v>
      </c>
      <c r="D446" s="84" t="str">
        <f>IFERROR(VLOOKUP(B446,BASE_VEICULOS!$A:$B,2,0),"")</f>
        <v>TEW9A26</v>
      </c>
      <c r="E446" s="82">
        <f>IFERROR(__xludf.DUMMYFUNCTION("IF(OR(A446="""",D446="""",C446=""""),"""",IFERROR(MAX(0,C446-MAX(FILTER($C$2:$C446,TRIM($D$2:$D446)=TRIM(D446),(($A$2:$A446&lt;A446)+(($A$2:$A446=A446)*(ROW($A$2:$A446)&lt;ROW(A446))))))),""""))"),105.0)</f>
        <v>105</v>
      </c>
    </row>
    <row r="447" ht="22.5" customHeight="1">
      <c r="A447" s="78">
        <v>46108.0</v>
      </c>
      <c r="B447" s="7" t="s">
        <v>15</v>
      </c>
      <c r="C447" s="80">
        <v>108770.0</v>
      </c>
      <c r="D447" s="84" t="str">
        <f>IFERROR(VLOOKUP(B447,BASE_VEICULOS!$A:$B,2,0),"")</f>
        <v>EWH1B84</v>
      </c>
      <c r="E447" s="82">
        <f>IFERROR(__xludf.DUMMYFUNCTION("IF(OR(A447="""",D447="""",C447=""""),"""",IFERROR(MAX(0,C447-MAX(FILTER($C$2:$C447,TRIM($D$2:$D447)=TRIM(D447),(($A$2:$A447&lt;A447)+(($A$2:$A447=A447)*(ROW($A$2:$A447)&lt;ROW(A447))))))),""""))"),361.0)</f>
        <v>361</v>
      </c>
    </row>
    <row r="448" ht="22.5" customHeight="1">
      <c r="A448" s="78">
        <v>46108.0</v>
      </c>
      <c r="B448" s="7" t="s">
        <v>19</v>
      </c>
      <c r="C448" s="80">
        <v>19323.0</v>
      </c>
      <c r="D448" s="84" t="str">
        <f>IFERROR(VLOOKUP(B448,BASE_VEICULOS!$A:$B,2,0),"")</f>
        <v>TEW9A24</v>
      </c>
      <c r="E448" s="82">
        <f>IFERROR(__xludf.DUMMYFUNCTION("IF(OR(A448="""",D448="""",C448=""""),"""",IFERROR(MAX(0,C448-MAX(FILTER($C$2:$C448,TRIM($D$2:$D448)=TRIM(D448),(($A$2:$A448&lt;A448)+(($A$2:$A448=A448)*(ROW($A$2:$A448)&lt;ROW(A448))))))),""""))"),100.0)</f>
        <v>100</v>
      </c>
    </row>
    <row r="449" ht="22.5" customHeight="1">
      <c r="A449" s="78">
        <v>46108.0</v>
      </c>
      <c r="B449" s="7" t="s">
        <v>12</v>
      </c>
      <c r="C449" s="80">
        <v>90524.0</v>
      </c>
      <c r="D449" s="84" t="str">
        <f>IFERROR(VLOOKUP(B449,BASE_VEICULOS!$A:$B,2,0),"")</f>
        <v>FIL8C14</v>
      </c>
      <c r="E449" s="82">
        <f>IFERROR(__xludf.DUMMYFUNCTION("IF(OR(A449="""",D449="""",C449=""""),"""",IFERROR(MAX(0,C449-MAX(FILTER($C$2:$C449,TRIM($D$2:$D449)=TRIM(D449),(($A$2:$A449&lt;A449)+(($A$2:$A449=A449)*(ROW($A$2:$A449)&lt;ROW(A449))))))),""""))"),104.0)</f>
        <v>104</v>
      </c>
    </row>
    <row r="450" ht="22.5" customHeight="1">
      <c r="A450" s="78">
        <v>46108.0</v>
      </c>
      <c r="B450" s="7" t="s">
        <v>10</v>
      </c>
      <c r="C450" s="80">
        <v>18586.0</v>
      </c>
      <c r="D450" s="84" t="str">
        <f>IFERROR(VLOOKUP(B450,BASE_VEICULOS!$A:$B,2,0),"")</f>
        <v>TEW9A25</v>
      </c>
      <c r="E450" s="82">
        <f>IFERROR(__xludf.DUMMYFUNCTION("IF(OR(A450="""",D450="""",C450=""""),"""",IFERROR(MAX(0,C450-MAX(FILTER($C$2:$C450,TRIM($D$2:$D450)=TRIM(D450),(($A$2:$A450&lt;A450)+(($A$2:$A450=A450)*(ROW($A$2:$A450)&lt;ROW(A450))))))),""""))"),146.0)</f>
        <v>146</v>
      </c>
    </row>
    <row r="451" ht="22.5" customHeight="1">
      <c r="A451" s="78">
        <v>46108.0</v>
      </c>
      <c r="B451" s="7" t="s">
        <v>11</v>
      </c>
      <c r="C451" s="80">
        <v>97302.0</v>
      </c>
      <c r="D451" s="84" t="str">
        <f>IFERROR(VLOOKUP(B451,BASE_VEICULOS!$A:$B,2,0),"")</f>
        <v>TEW9A28</v>
      </c>
      <c r="E451" s="82">
        <f>IFERROR(__xludf.DUMMYFUNCTION("IF(OR(A451="""",D451="""",C451=""""),"""",IFERROR(MAX(0,C451-MAX(FILTER($C$2:$C451,TRIM($D$2:$D451)=TRIM(D451),(($A$2:$A451&lt;A451)+(($A$2:$A451=A451)*(ROW($A$2:$A451)&lt;ROW(A451))))))),""""))"),145.0)</f>
        <v>145</v>
      </c>
    </row>
    <row r="452" ht="22.5" customHeight="1">
      <c r="A452" s="78">
        <v>46108.0</v>
      </c>
      <c r="B452" s="7" t="s">
        <v>30</v>
      </c>
      <c r="C452" s="80">
        <v>19978.0</v>
      </c>
      <c r="D452" s="84" t="str">
        <f>IFERROR(VLOOKUP(B452,BASE_VEICULOS!$A:$B,2,0),"")</f>
        <v/>
      </c>
      <c r="E452" s="82" t="str">
        <f>IFERROR(__xludf.DUMMYFUNCTION("IF(OR(A452="""",D452="""",C452=""""),"""",IFERROR(MAX(0,C452-MAX(FILTER($C$2:$C452,TRIM($D$2:$D452)=TRIM(D452),(($A$2:$A452&lt;A452)+(($A$2:$A452=A452)*(ROW($A$2:$A452)&lt;ROW(A452))))))),""""))"),"")</f>
        <v/>
      </c>
    </row>
    <row r="453" ht="22.5" customHeight="1">
      <c r="A453" s="78">
        <v>46108.0</v>
      </c>
      <c r="B453" s="7" t="s">
        <v>20</v>
      </c>
      <c r="C453" s="80">
        <v>16862.0</v>
      </c>
      <c r="D453" s="84" t="str">
        <f>IFERROR(VLOOKUP(B453,BASE_VEICULOS!$A:$B,2,0),"")</f>
        <v>TEW9A34</v>
      </c>
      <c r="E453" s="82">
        <f>IFERROR(__xludf.DUMMYFUNCTION("IF(OR(A453="""",D453="""",C453=""""),"""",IFERROR(MAX(0,C453-MAX(FILTER($C$2:$C453,TRIM($D$2:$D453)=TRIM(D453),(($A$2:$A453&lt;A453)+(($A$2:$A453=A453)*(ROW($A$2:$A453)&lt;ROW(A453))))))),""""))"),120.0)</f>
        <v>120</v>
      </c>
    </row>
    <row r="454" ht="22.5" customHeight="1">
      <c r="A454" s="78">
        <v>46108.0</v>
      </c>
      <c r="B454" s="7" t="s">
        <v>14</v>
      </c>
      <c r="C454" s="80">
        <v>92585.0</v>
      </c>
      <c r="D454" s="84" t="str">
        <f>IFERROR(VLOOKUP(B454,BASE_VEICULOS!$A:$B,2,0),"")</f>
        <v>FOK8A73</v>
      </c>
      <c r="E454" s="82">
        <f>IFERROR(__xludf.DUMMYFUNCTION("IF(OR(A454="""",D454="""",C454=""""),"""",IFERROR(MAX(0,C454-MAX(FILTER($C$2:$C454,TRIM($D$2:$D454)=TRIM(D454),(($A$2:$A454&lt;A454)+(($A$2:$A454=A454)*(ROW($A$2:$A454)&lt;ROW(A454))))))),""""))"),355.0)</f>
        <v>355</v>
      </c>
    </row>
    <row r="455" ht="22.5" customHeight="1">
      <c r="A455" s="78">
        <v>46108.0</v>
      </c>
      <c r="B455" s="7" t="s">
        <v>13</v>
      </c>
      <c r="C455" s="80">
        <v>106368.0</v>
      </c>
      <c r="D455" s="84" t="str">
        <f>IFERROR(VLOOKUP(B455,BASE_VEICULOS!$A:$B,2,0),"")</f>
        <v>FGO3C61</v>
      </c>
      <c r="E455" s="82">
        <f>IFERROR(__xludf.DUMMYFUNCTION("IF(OR(A455="""",D455="""",C455=""""),"""",IFERROR(MAX(0,C455-MAX(FILTER($C$2:$C455,TRIM($D$2:$D455)=TRIM(D455),(($A$2:$A455&lt;A455)+(($A$2:$A455=A455)*(ROW($A$2:$A455)&lt;ROW(A455))))))),""""))"),100.0)</f>
        <v>100</v>
      </c>
    </row>
    <row r="456" ht="22.5" customHeight="1">
      <c r="A456" s="78">
        <v>46108.0</v>
      </c>
      <c r="B456" s="7" t="s">
        <v>17</v>
      </c>
      <c r="C456" s="80">
        <v>15437.0</v>
      </c>
      <c r="D456" s="84" t="str">
        <f>IFERROR(VLOOKUP(B456,BASE_VEICULOS!$A:$B,2,0),"")</f>
        <v/>
      </c>
      <c r="E456" s="82" t="str">
        <f>IFERROR(__xludf.DUMMYFUNCTION("IF(OR(A456="""",D456="""",C456=""""),"""",IFERROR(MAX(0,C456-MAX(FILTER($C$2:$C456,TRIM($D$2:$D456)=TRIM(D456),(($A$2:$A456&lt;A456)+(($A$2:$A456=A456)*(ROW($A$2:$A456)&lt;ROW(A456))))))),""""))"),"")</f>
        <v/>
      </c>
    </row>
    <row r="457" ht="22.5" customHeight="1">
      <c r="A457" s="78">
        <v>46109.0</v>
      </c>
      <c r="B457" s="7" t="s">
        <v>29</v>
      </c>
      <c r="C457" s="80">
        <v>75587.0</v>
      </c>
      <c r="D457" s="84" t="str">
        <f>IFERROR(VLOOKUP(B457,BASE_VEICULOS!$A:$B,2,0),"")</f>
        <v>TEQ2I74</v>
      </c>
      <c r="E457" s="82">
        <f>IFERROR(__xludf.DUMMYFUNCTION("IF(OR(A457="""",D457="""",C457=""""),"""",IFERROR(MAX(0,C457-MAX(FILTER($C$2:$C457,TRIM($D$2:$D457)=TRIM(D457),(($A$2:$A457&lt;A457)+(($A$2:$A457=A457)*(ROW($A$2:$A457)&lt;ROW(A457))))))),""""))"),103.0)</f>
        <v>103</v>
      </c>
    </row>
    <row r="458" ht="22.5" customHeight="1">
      <c r="A458" s="78">
        <v>46109.0</v>
      </c>
      <c r="B458" s="7" t="s">
        <v>25</v>
      </c>
      <c r="C458" s="80">
        <v>16037.0</v>
      </c>
      <c r="D458" s="84" t="str">
        <f>IFERROR(VLOOKUP(B458,BASE_VEICULOS!$A:$B,2,0),"")</f>
        <v>TEW9A26</v>
      </c>
      <c r="E458" s="82">
        <f>IFERROR(__xludf.DUMMYFUNCTION("IF(OR(A458="""",D458="""",C458=""""),"""",IFERROR(MAX(0,C458-MAX(FILTER($C$2:$C458,TRIM($D$2:$D458)=TRIM(D458),(($A$2:$A458&lt;A458)+(($A$2:$A458=A458)*(ROW($A$2:$A458)&lt;ROW(A458))))))),""""))"),138.0)</f>
        <v>138</v>
      </c>
    </row>
    <row r="459" ht="22.5" customHeight="1">
      <c r="A459" s="78">
        <v>46109.0</v>
      </c>
      <c r="B459" s="7" t="s">
        <v>33</v>
      </c>
      <c r="C459" s="80">
        <v>69242.0</v>
      </c>
      <c r="D459" s="84" t="str">
        <f>IFERROR(VLOOKUP(B459,BASE_VEICULOS!$A:$B,2,0),"")</f>
        <v>TEW9A30</v>
      </c>
      <c r="E459" s="82">
        <f>IFERROR(__xludf.DUMMYFUNCTION("IF(OR(A459="""",D459="""",C459=""""),"""",IFERROR(MAX(0,C459-MAX(FILTER($C$2:$C459,TRIM($D$2:$D459)=TRIM(D459),(($A$2:$A459&lt;A459)+(($A$2:$A459=A459)*(ROW($A$2:$A459)&lt;ROW(A459))))))),""""))"),214.0)</f>
        <v>214</v>
      </c>
    </row>
    <row r="460" ht="22.5" customHeight="1">
      <c r="A460" s="78">
        <v>46109.0</v>
      </c>
      <c r="B460" s="7" t="s">
        <v>21</v>
      </c>
      <c r="C460" s="80">
        <v>18884.0</v>
      </c>
      <c r="D460" s="84" t="str">
        <f>IFERROR(VLOOKUP(B460,BASE_VEICULOS!$A:$B,2,0),"")</f>
        <v>TEW9A33</v>
      </c>
      <c r="E460" s="82">
        <f>IFERROR(__xludf.DUMMYFUNCTION("IF(OR(A460="""",D460="""",C460=""""),"""",IFERROR(MAX(0,C460-MAX(FILTER($C$2:$C460,TRIM($D$2:$D460)=TRIM(D460),(($A$2:$A460&lt;A460)+(($A$2:$A460=A460)*(ROW($A$2:$A460)&lt;ROW(A460))))))),""""))"),138.0)</f>
        <v>138</v>
      </c>
    </row>
    <row r="461" ht="22.5" customHeight="1">
      <c r="A461" s="78">
        <v>46109.0</v>
      </c>
      <c r="B461" s="7" t="s">
        <v>23</v>
      </c>
      <c r="C461" s="80">
        <v>18915.0</v>
      </c>
      <c r="D461" s="84" t="str">
        <f>IFERROR(VLOOKUP(B461,BASE_VEICULOS!$A:$B,2,0),"")</f>
        <v>TEH3I02</v>
      </c>
      <c r="E461" s="82">
        <f>IFERROR(__xludf.DUMMYFUNCTION("IF(OR(A461="""",D461="""",C461=""""),"""",IFERROR(MAX(0,C461-MAX(FILTER($C$2:$C461,TRIM($D$2:$D461)=TRIM(D461),(($A$2:$A461&lt;A461)+(($A$2:$A461=A461)*(ROW($A$2:$A461)&lt;ROW(A461))))))),""""))"),96.0)</f>
        <v>96</v>
      </c>
    </row>
    <row r="462" ht="22.5" customHeight="1">
      <c r="A462" s="78">
        <v>46109.0</v>
      </c>
      <c r="B462" s="7" t="s">
        <v>19</v>
      </c>
      <c r="C462" s="80">
        <v>19602.0</v>
      </c>
      <c r="D462" s="84" t="str">
        <f>IFERROR(VLOOKUP(B462,BASE_VEICULOS!$A:$B,2,0),"")</f>
        <v>TEW9A24</v>
      </c>
      <c r="E462" s="82">
        <f>IFERROR(__xludf.DUMMYFUNCTION("IF(OR(A462="""",D462="""",C462=""""),"""",IFERROR(MAX(0,C462-MAX(FILTER($C$2:$C462,TRIM($D$2:$D462)=TRIM(D462),(($A$2:$A462&lt;A462)+(($A$2:$A462=A462)*(ROW($A$2:$A462)&lt;ROW(A462))))))),""""))"),279.0)</f>
        <v>279</v>
      </c>
    </row>
    <row r="463" ht="22.5" customHeight="1">
      <c r="A463" s="78">
        <v>46109.0</v>
      </c>
      <c r="B463" s="7" t="s">
        <v>14</v>
      </c>
      <c r="C463" s="80">
        <v>92830.0</v>
      </c>
      <c r="D463" s="84" t="str">
        <f>IFERROR(VLOOKUP(B463,BASE_VEICULOS!$A:$B,2,0),"")</f>
        <v>FOK8A73</v>
      </c>
      <c r="E463" s="82">
        <f>IFERROR(__xludf.DUMMYFUNCTION("IF(OR(A463="""",D463="""",C463=""""),"""",IFERROR(MAX(0,C463-MAX(FILTER($C$2:$C463,TRIM($D$2:$D463)=TRIM(D463),(($A$2:$A463&lt;A463)+(($A$2:$A463=A463)*(ROW($A$2:$A463)&lt;ROW(A463))))))),""""))"),245.0)</f>
        <v>245</v>
      </c>
    </row>
    <row r="464" ht="22.5" customHeight="1">
      <c r="A464" s="78">
        <v>46109.0</v>
      </c>
      <c r="B464" s="7" t="s">
        <v>25</v>
      </c>
      <c r="C464" s="80">
        <v>16369.0</v>
      </c>
      <c r="D464" s="84" t="str">
        <f>IFERROR(VLOOKUP(B464,BASE_VEICULOS!$A:$B,2,0),"")</f>
        <v>TEW9A26</v>
      </c>
      <c r="E464" s="82">
        <f>IFERROR(__xludf.DUMMYFUNCTION("IF(OR(A464="""",D464="""",C464=""""),"""",IFERROR(MAX(0,C464-MAX(FILTER($C$2:$C464,TRIM($D$2:$D464)=TRIM(D464),(($A$2:$A464&lt;A464)+(($A$2:$A464=A464)*(ROW($A$2:$A464)&lt;ROW(A464))))))),""""))"),332.0)</f>
        <v>332</v>
      </c>
    </row>
    <row r="465" ht="22.5" customHeight="1">
      <c r="A465" s="78">
        <v>46109.0</v>
      </c>
      <c r="B465" s="7" t="s">
        <v>19</v>
      </c>
      <c r="C465" s="80">
        <v>19679.0</v>
      </c>
      <c r="D465" s="84" t="str">
        <f>IFERROR(VLOOKUP(B465,BASE_VEICULOS!$A:$B,2,0),"")</f>
        <v>TEW9A24</v>
      </c>
      <c r="E465" s="82">
        <f>IFERROR(__xludf.DUMMYFUNCTION("IF(OR(A465="""",D465="""",C465=""""),"""",IFERROR(MAX(0,C465-MAX(FILTER($C$2:$C465,TRIM($D$2:$D465)=TRIM(D465),(($A$2:$A465&lt;A465)+(($A$2:$A465=A465)*(ROW($A$2:$A465)&lt;ROW(A465))))))),""""))"),77.0)</f>
        <v>77</v>
      </c>
    </row>
    <row r="466" ht="22.5" customHeight="1">
      <c r="A466" s="78">
        <v>46111.0</v>
      </c>
      <c r="B466" s="7" t="s">
        <v>29</v>
      </c>
      <c r="C466" s="80">
        <v>75769.0</v>
      </c>
      <c r="D466" s="84" t="str">
        <f>IFERROR(VLOOKUP(B466,BASE_VEICULOS!$A:$B,2,0),"")</f>
        <v>TEQ2I74</v>
      </c>
      <c r="E466" s="82">
        <f>IFERROR(__xludf.DUMMYFUNCTION("IF(OR(A466="""",D466="""",C466=""""),"""",IFERROR(MAX(0,C466-MAX(FILTER($C$2:$C466,TRIM($D$2:$D466)=TRIM(D466),(($A$2:$A466&lt;A466)+(($A$2:$A466=A466)*(ROW($A$2:$A466)&lt;ROW(A466))))))),""""))"),182.0)</f>
        <v>182</v>
      </c>
    </row>
    <row r="467" ht="22.5" customHeight="1">
      <c r="A467" s="78">
        <v>46111.0</v>
      </c>
      <c r="B467" s="7" t="s">
        <v>11</v>
      </c>
      <c r="C467" s="80">
        <v>97359.0</v>
      </c>
      <c r="D467" s="84" t="str">
        <f>IFERROR(VLOOKUP(B467,BASE_VEICULOS!$A:$B,2,0),"")</f>
        <v>TEW9A28</v>
      </c>
      <c r="E467" s="82">
        <f>IFERROR(__xludf.DUMMYFUNCTION("IF(OR(A467="""",D467="""",C467=""""),"""",IFERROR(MAX(0,C467-MAX(FILTER($C$2:$C467,TRIM($D$2:$D467)=TRIM(D467),(($A$2:$A467&lt;A467)+(($A$2:$A467=A467)*(ROW($A$2:$A467)&lt;ROW(A467))))))),""""))"),57.0)</f>
        <v>57</v>
      </c>
    </row>
    <row r="468" ht="22.5" customHeight="1">
      <c r="A468" s="78">
        <v>46111.0</v>
      </c>
      <c r="B468" s="7" t="s">
        <v>19</v>
      </c>
      <c r="C468" s="80">
        <v>19735.0</v>
      </c>
      <c r="D468" s="84" t="str">
        <f>IFERROR(VLOOKUP(B468,BASE_VEICULOS!$A:$B,2,0),"")</f>
        <v>TEW9A24</v>
      </c>
      <c r="E468" s="82">
        <f>IFERROR(__xludf.DUMMYFUNCTION("IF(OR(A468="""",D468="""",C468=""""),"""",IFERROR(MAX(0,C468-MAX(FILTER($C$2:$C468,TRIM($D$2:$D468)=TRIM(D468),(($A$2:$A468&lt;A468)+(($A$2:$A468=A468)*(ROW($A$2:$A468)&lt;ROW(A468))))))),""""))"),56.0)</f>
        <v>56</v>
      </c>
    </row>
    <row r="469" ht="22.5" customHeight="1">
      <c r="A469" s="78">
        <v>46111.0</v>
      </c>
      <c r="B469" s="7" t="s">
        <v>18</v>
      </c>
      <c r="C469" s="80">
        <v>18762.0</v>
      </c>
      <c r="D469" s="84" t="str">
        <f>IFERROR(VLOOKUP(B469,BASE_VEICULOS!$A:$B,2,0),"")</f>
        <v>TEW9A29</v>
      </c>
      <c r="E469" s="82">
        <f>IFERROR(__xludf.DUMMYFUNCTION("IF(OR(A469="""",D469="""",C469=""""),"""",IFERROR(MAX(0,C469-MAX(FILTER($C$2:$C469,TRIM($D$2:$D469)=TRIM(D469),(($A$2:$A469&lt;A469)+(($A$2:$A469=A469)*(ROW($A$2:$A469)&lt;ROW(A469))))))),""""))"),221.0)</f>
        <v>221</v>
      </c>
    </row>
    <row r="470" ht="22.5" customHeight="1">
      <c r="A470" s="78">
        <v>46111.0</v>
      </c>
      <c r="B470" s="7" t="s">
        <v>10</v>
      </c>
      <c r="C470" s="80">
        <v>18818.0</v>
      </c>
      <c r="D470" s="84" t="str">
        <f>IFERROR(VLOOKUP(B470,BASE_VEICULOS!$A:$B,2,0),"")</f>
        <v>TEW9A25</v>
      </c>
      <c r="E470" s="82">
        <f>IFERROR(__xludf.DUMMYFUNCTION("IF(OR(A470="""",D470="""",C470=""""),"""",IFERROR(MAX(0,C470-MAX(FILTER($C$2:$C470,TRIM($D$2:$D470)=TRIM(D470),(($A$2:$A470&lt;A470)+(($A$2:$A470=A470)*(ROW($A$2:$A470)&lt;ROW(A470))))))),""""))"),232.0)</f>
        <v>232</v>
      </c>
    </row>
    <row r="471" ht="22.5" customHeight="1">
      <c r="A471" s="78">
        <v>46111.0</v>
      </c>
      <c r="B471" s="7" t="s">
        <v>33</v>
      </c>
      <c r="C471" s="80">
        <v>69464.0</v>
      </c>
      <c r="D471" s="84" t="str">
        <f>IFERROR(VLOOKUP(B471,BASE_VEICULOS!$A:$B,2,0),"")</f>
        <v>TEW9A30</v>
      </c>
      <c r="E471" s="82">
        <f>IFERROR(__xludf.DUMMYFUNCTION("IF(OR(A471="""",D471="""",C471=""""),"""",IFERROR(MAX(0,C471-MAX(FILTER($C$2:$C471,TRIM($D$2:$D471)=TRIM(D471),(($A$2:$A471&lt;A471)+(($A$2:$A471=A471)*(ROW($A$2:$A471)&lt;ROW(A471))))))),""""))"),222.0)</f>
        <v>222</v>
      </c>
    </row>
    <row r="472" ht="22.5" customHeight="1">
      <c r="A472" s="78">
        <v>46111.0</v>
      </c>
      <c r="B472" s="7" t="s">
        <v>20</v>
      </c>
      <c r="C472" s="80">
        <v>16984.0</v>
      </c>
      <c r="D472" s="84" t="str">
        <f>IFERROR(VLOOKUP(B472,BASE_VEICULOS!$A:$B,2,0),"")</f>
        <v>TEW9A34</v>
      </c>
      <c r="E472" s="82">
        <f>IFERROR(__xludf.DUMMYFUNCTION("IF(OR(A472="""",D472="""",C472=""""),"""",IFERROR(MAX(0,C472-MAX(FILTER($C$2:$C472,TRIM($D$2:$D472)=TRIM(D472),(($A$2:$A472&lt;A472)+(($A$2:$A472=A472)*(ROW($A$2:$A472)&lt;ROW(A472))))))),""""))"),122.0)</f>
        <v>122</v>
      </c>
    </row>
    <row r="473" ht="22.5" customHeight="1">
      <c r="A473" s="78">
        <v>46111.0</v>
      </c>
      <c r="B473" s="7" t="s">
        <v>21</v>
      </c>
      <c r="C473" s="80">
        <v>19227.0</v>
      </c>
      <c r="D473" s="84" t="str">
        <f>IFERROR(VLOOKUP(B473,BASE_VEICULOS!$A:$B,2,0),"")</f>
        <v>TEW9A33</v>
      </c>
      <c r="E473" s="82">
        <f>IFERROR(__xludf.DUMMYFUNCTION("IF(OR(A473="""",D473="""",C473=""""),"""",IFERROR(MAX(0,C473-MAX(FILTER($C$2:$C473,TRIM($D$2:$D473)=TRIM(D473),(($A$2:$A473&lt;A473)+(($A$2:$A473=A473)*(ROW($A$2:$A473)&lt;ROW(A473))))))),""""))"),343.0)</f>
        <v>343</v>
      </c>
    </row>
    <row r="474" ht="22.5" customHeight="1">
      <c r="A474" s="78">
        <v>46111.0</v>
      </c>
      <c r="B474" s="7" t="s">
        <v>14</v>
      </c>
      <c r="C474" s="80">
        <v>93150.0</v>
      </c>
      <c r="D474" s="84" t="str">
        <f>IFERROR(VLOOKUP(B474,BASE_VEICULOS!$A:$B,2,0),"")</f>
        <v>FOK8A73</v>
      </c>
      <c r="E474" s="82">
        <f>IFERROR(__xludf.DUMMYFUNCTION("IF(OR(A474="""",D474="""",C474=""""),"""",IFERROR(MAX(0,C474-MAX(FILTER($C$2:$C474,TRIM($D$2:$D474)=TRIM(D474),(($A$2:$A474&lt;A474)+(($A$2:$A474=A474)*(ROW($A$2:$A474)&lt;ROW(A474))))))),""""))"),320.0)</f>
        <v>320</v>
      </c>
    </row>
    <row r="475" ht="22.5" customHeight="1">
      <c r="A475" s="78">
        <v>46111.0</v>
      </c>
      <c r="B475" s="7" t="s">
        <v>12</v>
      </c>
      <c r="C475" s="80">
        <v>90635.0</v>
      </c>
      <c r="D475" s="84" t="str">
        <f>IFERROR(VLOOKUP(B475,BASE_VEICULOS!$A:$B,2,0),"")</f>
        <v>FIL8C14</v>
      </c>
      <c r="E475" s="82">
        <f>IFERROR(__xludf.DUMMYFUNCTION("IF(OR(A475="""",D475="""",C475=""""),"""",IFERROR(MAX(0,C475-MAX(FILTER($C$2:$C475,TRIM($D$2:$D475)=TRIM(D475),(($A$2:$A475&lt;A475)+(($A$2:$A475=A475)*(ROW($A$2:$A475)&lt;ROW(A475))))))),""""))"),111.0)</f>
        <v>111</v>
      </c>
    </row>
    <row r="476" ht="22.5" customHeight="1">
      <c r="A476" s="78">
        <v>46111.0</v>
      </c>
      <c r="B476" s="7" t="s">
        <v>15</v>
      </c>
      <c r="C476" s="80">
        <v>108917.0</v>
      </c>
      <c r="D476" s="84" t="str">
        <f>IFERROR(VLOOKUP(B476,BASE_VEICULOS!$A:$B,2,0),"")</f>
        <v>EWH1B84</v>
      </c>
      <c r="E476" s="82">
        <f>IFERROR(__xludf.DUMMYFUNCTION("IF(OR(A476="""",D476="""",C476=""""),"""",IFERROR(MAX(0,C476-MAX(FILTER($C$2:$C476,TRIM($D$2:$D476)=TRIM(D476),(($A$2:$A476&lt;A476)+(($A$2:$A476=A476)*(ROW($A$2:$A476)&lt;ROW(A476))))))),""""))"),147.0)</f>
        <v>147</v>
      </c>
    </row>
    <row r="477" ht="22.5" customHeight="1">
      <c r="A477" s="78">
        <v>46111.0</v>
      </c>
      <c r="B477" s="7" t="s">
        <v>25</v>
      </c>
      <c r="C477" s="80">
        <v>16569.0</v>
      </c>
      <c r="D477" s="84" t="str">
        <f>IFERROR(VLOOKUP(B477,BASE_VEICULOS!$A:$B,2,0),"")</f>
        <v>TEW9A26</v>
      </c>
      <c r="E477" s="82">
        <f>IFERROR(__xludf.DUMMYFUNCTION("IF(OR(A477="""",D477="""",C477=""""),"""",IFERROR(MAX(0,C477-MAX(FILTER($C$2:$C477,TRIM($D$2:$D477)=TRIM(D477),(($A$2:$A477&lt;A477)+(($A$2:$A477=A477)*(ROW($A$2:$A477)&lt;ROW(A477))))))),""""))"),200.0)</f>
        <v>200</v>
      </c>
    </row>
    <row r="478" ht="22.5" customHeight="1">
      <c r="A478" s="78">
        <v>46111.0</v>
      </c>
      <c r="B478" s="7" t="s">
        <v>13</v>
      </c>
      <c r="C478" s="80">
        <v>106585.0</v>
      </c>
      <c r="D478" s="84" t="str">
        <f>IFERROR(VLOOKUP(B478,BASE_VEICULOS!$A:$B,2,0),"")</f>
        <v>FGO3C61</v>
      </c>
      <c r="E478" s="82">
        <f>IFERROR(__xludf.DUMMYFUNCTION("IF(OR(A478="""",D478="""",C478=""""),"""",IFERROR(MAX(0,C478-MAX(FILTER($C$2:$C478,TRIM($D$2:$D478)=TRIM(D478),(($A$2:$A478&lt;A478)+(($A$2:$A478=A478)*(ROW($A$2:$A478)&lt;ROW(A478))))))),""""))"),217.0)</f>
        <v>217</v>
      </c>
    </row>
    <row r="479" ht="22.5" customHeight="1">
      <c r="A479" s="78">
        <v>46112.0</v>
      </c>
      <c r="B479" s="7" t="s">
        <v>10</v>
      </c>
      <c r="C479" s="80">
        <v>18935.0</v>
      </c>
      <c r="D479" s="84" t="str">
        <f>IFERROR(VLOOKUP(B479,BASE_VEICULOS!$A:$B,2,0),"")</f>
        <v>TEW9A25</v>
      </c>
      <c r="E479" s="82">
        <f>IFERROR(__xludf.DUMMYFUNCTION("IF(OR(A479="""",D479="""",C479=""""),"""",IFERROR(MAX(0,C479-MAX(FILTER($C$2:$C479,TRIM($D$2:$D479)=TRIM(D479),(($A$2:$A479&lt;A479)+(($A$2:$A479=A479)*(ROW($A$2:$A479)&lt;ROW(A479))))))),""""))"),117.0)</f>
        <v>117</v>
      </c>
    </row>
    <row r="480" ht="22.5" customHeight="1">
      <c r="A480" s="78">
        <v>46112.0</v>
      </c>
      <c r="B480" s="7" t="s">
        <v>21</v>
      </c>
      <c r="C480" s="80">
        <v>19367.0</v>
      </c>
      <c r="D480" s="84" t="str">
        <f>IFERROR(VLOOKUP(B480,BASE_VEICULOS!$A:$B,2,0),"")</f>
        <v>TEW9A33</v>
      </c>
      <c r="E480" s="82">
        <f>IFERROR(__xludf.DUMMYFUNCTION("IF(OR(A480="""",D480="""",C480=""""),"""",IFERROR(MAX(0,C480-MAX(FILTER($C$2:$C480,TRIM($D$2:$D480)=TRIM(D480),(($A$2:$A480&lt;A480)+(($A$2:$A480=A480)*(ROW($A$2:$A480)&lt;ROW(A480))))))),""""))"),140.0)</f>
        <v>140</v>
      </c>
    </row>
    <row r="481" ht="22.5" customHeight="1">
      <c r="A481" s="78">
        <v>46112.0</v>
      </c>
      <c r="B481" s="7" t="s">
        <v>23</v>
      </c>
      <c r="C481" s="80">
        <v>19252.0</v>
      </c>
      <c r="D481" s="84" t="str">
        <f>IFERROR(VLOOKUP(B481,BASE_VEICULOS!$A:$B,2,0),"")</f>
        <v>TEH3I02</v>
      </c>
      <c r="E481" s="82">
        <f>IFERROR(__xludf.DUMMYFUNCTION("IF(OR(A481="""",D481="""",C481=""""),"""",IFERROR(MAX(0,C481-MAX(FILTER($C$2:$C481,TRIM($D$2:$D481)=TRIM(D481),(($A$2:$A481&lt;A481)+(($A$2:$A481=A481)*(ROW($A$2:$A481)&lt;ROW(A481))))))),""""))"),337.0)</f>
        <v>337</v>
      </c>
    </row>
    <row r="482" ht="22.5" customHeight="1">
      <c r="A482" s="78">
        <v>46112.0</v>
      </c>
      <c r="B482" s="7" t="s">
        <v>15</v>
      </c>
      <c r="C482" s="80">
        <v>109018.0</v>
      </c>
      <c r="D482" s="84" t="str">
        <f>IFERROR(VLOOKUP(B482,BASE_VEICULOS!$A:$B,2,0),"")</f>
        <v>EWH1B84</v>
      </c>
      <c r="E482" s="82">
        <f>IFERROR(__xludf.DUMMYFUNCTION("IF(OR(A482="""",D482="""",C482=""""),"""",IFERROR(MAX(0,C482-MAX(FILTER($C$2:$C482,TRIM($D$2:$D482)=TRIM(D482),(($A$2:$A482&lt;A482)+(($A$2:$A482=A482)*(ROW($A$2:$A482)&lt;ROW(A482))))))),""""))"),101.0)</f>
        <v>101</v>
      </c>
    </row>
    <row r="483" ht="22.5" customHeight="1">
      <c r="A483" s="78">
        <v>46112.0</v>
      </c>
      <c r="B483" s="7" t="s">
        <v>11</v>
      </c>
      <c r="C483" s="80">
        <v>97414.0</v>
      </c>
      <c r="D483" s="84" t="str">
        <f>IFERROR(VLOOKUP(B483,BASE_VEICULOS!$A:$B,2,0),"")</f>
        <v>TEW9A28</v>
      </c>
      <c r="E483" s="82">
        <f>IFERROR(__xludf.DUMMYFUNCTION("IF(OR(A483="""",D483="""",C483=""""),"""",IFERROR(MAX(0,C483-MAX(FILTER($C$2:$C483,TRIM($D$2:$D483)=TRIM(D483),(($A$2:$A483&lt;A483)+(($A$2:$A483=A483)*(ROW($A$2:$A483)&lt;ROW(A483))))))),""""))"),55.0)</f>
        <v>55</v>
      </c>
    </row>
    <row r="484" ht="22.5" customHeight="1">
      <c r="A484" s="78">
        <v>46112.0</v>
      </c>
      <c r="B484" s="7" t="s">
        <v>19</v>
      </c>
      <c r="C484" s="80">
        <v>20006.0</v>
      </c>
      <c r="D484" s="84" t="str">
        <f>IFERROR(VLOOKUP(B484,BASE_VEICULOS!$A:$B,2,0),"")</f>
        <v>TEW9A24</v>
      </c>
      <c r="E484" s="82">
        <f>IFERROR(__xludf.DUMMYFUNCTION("IF(OR(A484="""",D484="""",C484=""""),"""",IFERROR(MAX(0,C484-MAX(FILTER($C$2:$C484,TRIM($D$2:$D484)=TRIM(D484),(($A$2:$A484&lt;A484)+(($A$2:$A484=A484)*(ROW($A$2:$A484)&lt;ROW(A484))))))),""""))"),271.0)</f>
        <v>271</v>
      </c>
    </row>
    <row r="485" ht="22.5" customHeight="1">
      <c r="A485" s="78">
        <v>46112.0</v>
      </c>
      <c r="B485" s="7" t="s">
        <v>29</v>
      </c>
      <c r="C485" s="80">
        <v>76039.0</v>
      </c>
      <c r="D485" s="84" t="str">
        <f>IFERROR(VLOOKUP(B485,BASE_VEICULOS!$A:$B,2,0),"")</f>
        <v>TEQ2I74</v>
      </c>
      <c r="E485" s="82">
        <f>IFERROR(__xludf.DUMMYFUNCTION("IF(OR(A485="""",D485="""",C485=""""),"""",IFERROR(MAX(0,C485-MAX(FILTER($C$2:$C485,TRIM($D$2:$D485)=TRIM(D485),(($A$2:$A485&lt;A485)+(($A$2:$A485=A485)*(ROW($A$2:$A485)&lt;ROW(A485))))))),""""))"),270.0)</f>
        <v>270</v>
      </c>
    </row>
    <row r="486" ht="22.5" customHeight="1">
      <c r="A486" s="78">
        <v>46112.0</v>
      </c>
      <c r="B486" s="7" t="s">
        <v>12</v>
      </c>
      <c r="C486" s="80">
        <v>90790.0</v>
      </c>
      <c r="D486" s="84" t="str">
        <f>IFERROR(VLOOKUP(B486,BASE_VEICULOS!$A:$B,2,0),"")</f>
        <v>FIL8C14</v>
      </c>
      <c r="E486" s="82">
        <f>IFERROR(__xludf.DUMMYFUNCTION("IF(OR(A486="""",D486="""",C486=""""),"""",IFERROR(MAX(0,C486-MAX(FILTER($C$2:$C486,TRIM($D$2:$D486)=TRIM(D486),(($A$2:$A486&lt;A486)+(($A$2:$A486=A486)*(ROW($A$2:$A486)&lt;ROW(A486))))))),""""))"),155.0)</f>
        <v>155</v>
      </c>
    </row>
    <row r="487" ht="22.5" customHeight="1">
      <c r="A487" s="78">
        <v>46112.0</v>
      </c>
      <c r="B487" s="7" t="s">
        <v>20</v>
      </c>
      <c r="C487" s="80">
        <v>17112.0</v>
      </c>
      <c r="D487" s="84" t="str">
        <f>IFERROR(VLOOKUP(B487,BASE_VEICULOS!$A:$B,2,0),"")</f>
        <v>TEW9A34</v>
      </c>
      <c r="E487" s="82">
        <f>IFERROR(__xludf.DUMMYFUNCTION("IF(OR(A487="""",D487="""",C487=""""),"""",IFERROR(MAX(0,C487-MAX(FILTER($C$2:$C487,TRIM($D$2:$D487)=TRIM(D487),(($A$2:$A487&lt;A487)+(($A$2:$A487=A487)*(ROW($A$2:$A487)&lt;ROW(A487))))))),""""))"),128.0)</f>
        <v>128</v>
      </c>
    </row>
    <row r="488" ht="22.5" customHeight="1">
      <c r="A488" s="78">
        <v>46112.0</v>
      </c>
      <c r="B488" s="7" t="s">
        <v>33</v>
      </c>
      <c r="C488" s="80">
        <v>69626.0</v>
      </c>
      <c r="D488" s="84" t="str">
        <f>IFERROR(VLOOKUP(B488,BASE_VEICULOS!$A:$B,2,0),"")</f>
        <v>TEW9A30</v>
      </c>
      <c r="E488" s="82">
        <f>IFERROR(__xludf.DUMMYFUNCTION("IF(OR(A488="""",D488="""",C488=""""),"""",IFERROR(MAX(0,C488-MAX(FILTER($C$2:$C488,TRIM($D$2:$D488)=TRIM(D488),(($A$2:$A488&lt;A488)+(($A$2:$A488=A488)*(ROW($A$2:$A488)&lt;ROW(A488))))))),""""))"),162.0)</f>
        <v>162</v>
      </c>
    </row>
    <row r="489" ht="22.5" customHeight="1">
      <c r="A489" s="78">
        <v>46112.0</v>
      </c>
      <c r="B489" s="7" t="s">
        <v>18</v>
      </c>
      <c r="C489" s="80">
        <v>18964.0</v>
      </c>
      <c r="D489" s="84" t="str">
        <f>IFERROR(VLOOKUP(B489,BASE_VEICULOS!$A:$B,2,0),"")</f>
        <v>TEW9A29</v>
      </c>
      <c r="E489" s="82">
        <f>IFERROR(__xludf.DUMMYFUNCTION("IF(OR(A489="""",D489="""",C489=""""),"""",IFERROR(MAX(0,C489-MAX(FILTER($C$2:$C489,TRIM($D$2:$D489)=TRIM(D489),(($A$2:$A489&lt;A489)+(($A$2:$A489=A489)*(ROW($A$2:$A489)&lt;ROW(A489))))))),""""))"),202.0)</f>
        <v>202</v>
      </c>
    </row>
    <row r="490" ht="22.5" customHeight="1">
      <c r="A490" s="78">
        <v>46112.0</v>
      </c>
      <c r="B490" s="7" t="s">
        <v>13</v>
      </c>
      <c r="C490" s="80">
        <v>106748.0</v>
      </c>
      <c r="D490" s="84" t="str">
        <f>IFERROR(VLOOKUP(B490,BASE_VEICULOS!$A:$B,2,0),"")</f>
        <v>FGO3C61</v>
      </c>
      <c r="E490" s="82">
        <f>IFERROR(__xludf.DUMMYFUNCTION("IF(OR(A490="""",D490="""",C490=""""),"""",IFERROR(MAX(0,C490-MAX(FILTER($C$2:$C490,TRIM($D$2:$D490)=TRIM(D490),(($A$2:$A490&lt;A490)+(($A$2:$A490=A490)*(ROW($A$2:$A490)&lt;ROW(A490))))))),""""))"),163.0)</f>
        <v>163</v>
      </c>
    </row>
    <row r="491" ht="22.5" customHeight="1">
      <c r="A491" s="78">
        <v>46112.0</v>
      </c>
      <c r="B491" s="7" t="s">
        <v>14</v>
      </c>
      <c r="C491" s="80">
        <v>93330.0</v>
      </c>
      <c r="D491" s="84" t="str">
        <f>IFERROR(VLOOKUP(B491,BASE_VEICULOS!$A:$B,2,0),"")</f>
        <v>FOK8A73</v>
      </c>
      <c r="E491" s="82">
        <f>IFERROR(__xludf.DUMMYFUNCTION("IF(OR(A491="""",D491="""",C491=""""),"""",IFERROR(MAX(0,C491-MAX(FILTER($C$2:$C491,TRIM($D$2:$D491)=TRIM(D491),(($A$2:$A491&lt;A491)+(($A$2:$A491=A491)*(ROW($A$2:$A491)&lt;ROW(A491))))))),""""))"),180.0)</f>
        <v>180</v>
      </c>
    </row>
    <row r="492" ht="22.5" customHeight="1">
      <c r="A492" s="78">
        <v>46112.0</v>
      </c>
      <c r="B492" s="7" t="s">
        <v>34</v>
      </c>
      <c r="C492" s="80">
        <v>53975.0</v>
      </c>
      <c r="D492" s="84" t="str">
        <f>IFERROR(VLOOKUP(B492,BASE_VEICULOS!$A:$B,2,0),"")</f>
        <v>SRU8D16</v>
      </c>
      <c r="E492" s="82">
        <f>IFERROR(__xludf.DUMMYFUNCTION("IF(OR(A492="""",D492="""",C492=""""),"""",IFERROR(MAX(0,C492-MAX(FILTER($C$2:$C492,TRIM($D$2:$D492)=TRIM(D492),(($A$2:$A492&lt;A492)+(($A$2:$A492=A492)*(ROW($A$2:$A492)&lt;ROW(A492))))))),""""))"),579.0)</f>
        <v>579</v>
      </c>
    </row>
    <row r="493" ht="22.5" customHeight="1">
      <c r="A493" s="78">
        <v>46113.0</v>
      </c>
      <c r="B493" s="7" t="s">
        <v>11</v>
      </c>
      <c r="C493" s="80">
        <v>97448.0</v>
      </c>
      <c r="D493" s="84" t="str">
        <f>IFERROR(VLOOKUP(B493,BASE_VEICULOS!$A:$B,2,0),"")</f>
        <v>TEW9A28</v>
      </c>
      <c r="E493" s="82">
        <f>IFERROR(__xludf.DUMMYFUNCTION("IF(OR(A493="""",D493="""",C493=""""),"""",IFERROR(MAX(0,C493-MAX(FILTER($C$2:$C493,TRIM($D$2:$D493)=TRIM(D493),(($A$2:$A493&lt;A493)+(($A$2:$A493=A493)*(ROW($A$2:$A493)&lt;ROW(A493))))))),""""))"),34.0)</f>
        <v>34</v>
      </c>
    </row>
    <row r="494" ht="22.5" customHeight="1">
      <c r="A494" s="78">
        <v>46113.0</v>
      </c>
      <c r="B494" s="7" t="s">
        <v>18</v>
      </c>
      <c r="C494" s="80">
        <v>19045.0</v>
      </c>
      <c r="D494" s="84" t="str">
        <f>IFERROR(VLOOKUP(B494,BASE_VEICULOS!$A:$B,2,0),"")</f>
        <v>TEW9A29</v>
      </c>
      <c r="E494" s="82">
        <f>IFERROR(__xludf.DUMMYFUNCTION("IF(OR(A494="""",D494="""",C494=""""),"""",IFERROR(MAX(0,C494-MAX(FILTER($C$2:$C494,TRIM($D$2:$D494)=TRIM(D494),(($A$2:$A494&lt;A494)+(($A$2:$A494=A494)*(ROW($A$2:$A494)&lt;ROW(A494))))))),""""))"),81.0)</f>
        <v>81</v>
      </c>
    </row>
    <row r="495" ht="22.5" customHeight="1">
      <c r="A495" s="78">
        <v>46113.0</v>
      </c>
      <c r="B495" s="7" t="s">
        <v>17</v>
      </c>
      <c r="C495" s="80">
        <v>15808.0</v>
      </c>
      <c r="D495" s="84" t="str">
        <f>IFERROR(VLOOKUP(B495,BASE_VEICULOS!$A:$B,2,0),"")</f>
        <v/>
      </c>
      <c r="E495" s="82" t="str">
        <f>IFERROR(__xludf.DUMMYFUNCTION("IF(OR(A495="""",D495="""",C495=""""),"""",IFERROR(MAX(0,C495-MAX(FILTER($C$2:$C495,TRIM($D$2:$D495)=TRIM(D495),(($A$2:$A495&lt;A495)+(($A$2:$A495=A495)*(ROW($A$2:$A495)&lt;ROW(A495))))))),""""))"),"")</f>
        <v/>
      </c>
    </row>
    <row r="496" ht="22.5" customHeight="1">
      <c r="A496" s="78">
        <v>46113.0</v>
      </c>
      <c r="B496" s="7" t="s">
        <v>29</v>
      </c>
      <c r="C496" s="80">
        <v>76183.0</v>
      </c>
      <c r="D496" s="84" t="str">
        <f>IFERROR(VLOOKUP(B496,BASE_VEICULOS!$A:$B,2,0),"")</f>
        <v>TEQ2I74</v>
      </c>
      <c r="E496" s="82">
        <f>IFERROR(__xludf.DUMMYFUNCTION("IF(OR(A496="""",D496="""",C496=""""),"""",IFERROR(MAX(0,C496-MAX(FILTER($C$2:$C496,TRIM($D$2:$D496)=TRIM(D496),(($A$2:$A496&lt;A496)+(($A$2:$A496=A496)*(ROW($A$2:$A496)&lt;ROW(A496))))))),""""))"),144.0)</f>
        <v>144</v>
      </c>
    </row>
    <row r="497" ht="22.5" customHeight="1">
      <c r="A497" s="78">
        <v>46113.0</v>
      </c>
      <c r="B497" s="7" t="s">
        <v>21</v>
      </c>
      <c r="C497" s="80">
        <v>19481.0</v>
      </c>
      <c r="D497" s="84" t="str">
        <f>IFERROR(VLOOKUP(B497,BASE_VEICULOS!$A:$B,2,0),"")</f>
        <v>TEW9A33</v>
      </c>
      <c r="E497" s="82">
        <f>IFERROR(__xludf.DUMMYFUNCTION("IF(OR(A497="""",D497="""",C497=""""),"""",IFERROR(MAX(0,C497-MAX(FILTER($C$2:$C497,TRIM($D$2:$D497)=TRIM(D497),(($A$2:$A497&lt;A497)+(($A$2:$A497=A497)*(ROW($A$2:$A497)&lt;ROW(A497))))))),""""))"),114.0)</f>
        <v>114</v>
      </c>
    </row>
    <row r="498" ht="22.5" customHeight="1">
      <c r="A498" s="78">
        <v>46113.0</v>
      </c>
      <c r="B498" s="7" t="s">
        <v>19</v>
      </c>
      <c r="C498" s="80">
        <v>20085.0</v>
      </c>
      <c r="D498" s="84" t="str">
        <f>IFERROR(VLOOKUP(B498,BASE_VEICULOS!$A:$B,2,0),"")</f>
        <v>TEW9A24</v>
      </c>
      <c r="E498" s="82">
        <f>IFERROR(__xludf.DUMMYFUNCTION("IF(OR(A498="""",D498="""",C498=""""),"""",IFERROR(MAX(0,C498-MAX(FILTER($C$2:$C498,TRIM($D$2:$D498)=TRIM(D498),(($A$2:$A498&lt;A498)+(($A$2:$A498=A498)*(ROW($A$2:$A498)&lt;ROW(A498))))))),""""))"),79.0)</f>
        <v>79</v>
      </c>
    </row>
    <row r="499" ht="22.5" customHeight="1">
      <c r="A499" s="78">
        <v>46113.0</v>
      </c>
      <c r="B499" s="7" t="s">
        <v>10</v>
      </c>
      <c r="C499" s="80">
        <v>19125.0</v>
      </c>
      <c r="D499" s="84" t="str">
        <f>IFERROR(VLOOKUP(B499,BASE_VEICULOS!$A:$B,2,0),"")</f>
        <v>TEW9A25</v>
      </c>
      <c r="E499" s="82">
        <f>IFERROR(__xludf.DUMMYFUNCTION("IF(OR(A499="""",D499="""",C499=""""),"""",IFERROR(MAX(0,C499-MAX(FILTER($C$2:$C499,TRIM($D$2:$D499)=TRIM(D499),(($A$2:$A499&lt;A499)+(($A$2:$A499=A499)*(ROW($A$2:$A499)&lt;ROW(A499))))))),""""))"),190.0)</f>
        <v>190</v>
      </c>
    </row>
    <row r="500" ht="22.5" customHeight="1">
      <c r="A500" s="78">
        <v>46113.0</v>
      </c>
      <c r="B500" s="7" t="s">
        <v>20</v>
      </c>
      <c r="C500" s="80">
        <v>17252.0</v>
      </c>
      <c r="D500" s="84" t="str">
        <f>IFERROR(VLOOKUP(B500,BASE_VEICULOS!$A:$B,2,0),"")</f>
        <v>TEW9A34</v>
      </c>
      <c r="E500" s="82">
        <f>IFERROR(__xludf.DUMMYFUNCTION("IF(OR(A500="""",D500="""",C500=""""),"""",IFERROR(MAX(0,C500-MAX(FILTER($C$2:$C500,TRIM($D$2:$D500)=TRIM(D500),(($A$2:$A500&lt;A500)+(($A$2:$A500=A500)*(ROW($A$2:$A500)&lt;ROW(A500))))))),""""))"),140.0)</f>
        <v>140</v>
      </c>
    </row>
    <row r="501" ht="22.5" customHeight="1">
      <c r="A501" s="78">
        <v>46113.0</v>
      </c>
      <c r="B501" s="7" t="s">
        <v>33</v>
      </c>
      <c r="C501" s="80">
        <v>69834.0</v>
      </c>
      <c r="D501" s="84" t="str">
        <f>IFERROR(VLOOKUP(B501,BASE_VEICULOS!$A:$B,2,0),"")</f>
        <v>TEW9A30</v>
      </c>
      <c r="E501" s="82">
        <f>IFERROR(__xludf.DUMMYFUNCTION("IF(OR(A501="""",D501="""",C501=""""),"""",IFERROR(MAX(0,C501-MAX(FILTER($C$2:$C501,TRIM($D$2:$D501)=TRIM(D501),(($A$2:$A501&lt;A501)+(($A$2:$A501=A501)*(ROW($A$2:$A501)&lt;ROW(A501))))))),""""))"),208.0)</f>
        <v>208</v>
      </c>
    </row>
    <row r="502" ht="22.5" customHeight="1">
      <c r="A502" s="78">
        <v>46113.0</v>
      </c>
      <c r="B502" s="7" t="s">
        <v>34</v>
      </c>
      <c r="C502" s="80">
        <v>54145.0</v>
      </c>
      <c r="D502" s="84" t="str">
        <f>IFERROR(VLOOKUP(B502,BASE_VEICULOS!$A:$B,2,0),"")</f>
        <v>SRU8D16</v>
      </c>
      <c r="E502" s="82">
        <f>IFERROR(__xludf.DUMMYFUNCTION("IF(OR(A502="""",D502="""",C502=""""),"""",IFERROR(MAX(0,C502-MAX(FILTER($C$2:$C502,TRIM($D$2:$D502)=TRIM(D502),(($A$2:$A502&lt;A502)+(($A$2:$A502=A502)*(ROW($A$2:$A502)&lt;ROW(A502))))))),""""))"),170.0)</f>
        <v>170</v>
      </c>
    </row>
    <row r="503" ht="22.5" customHeight="1">
      <c r="A503" s="78">
        <v>46113.0</v>
      </c>
      <c r="B503" s="7" t="s">
        <v>13</v>
      </c>
      <c r="C503" s="80">
        <v>106963.0</v>
      </c>
      <c r="D503" s="84" t="str">
        <f>IFERROR(VLOOKUP(B503,BASE_VEICULOS!$A:$B,2,0),"")</f>
        <v>FGO3C61</v>
      </c>
      <c r="E503" s="82">
        <f>IFERROR(__xludf.DUMMYFUNCTION("IF(OR(A503="""",D503="""",C503=""""),"""",IFERROR(MAX(0,C503-MAX(FILTER($C$2:$C503,TRIM($D$2:$D503)=TRIM(D503),(($A$2:$A503&lt;A503)+(($A$2:$A503=A503)*(ROW($A$2:$A503)&lt;ROW(A503))))))),""""))"),215.0)</f>
        <v>215</v>
      </c>
    </row>
    <row r="504" ht="22.5" customHeight="1">
      <c r="A504" s="78">
        <v>46113.0</v>
      </c>
      <c r="B504" s="7" t="s">
        <v>15</v>
      </c>
      <c r="C504" s="80">
        <v>109109.0</v>
      </c>
      <c r="D504" s="84" t="str">
        <f>IFERROR(VLOOKUP(B504,BASE_VEICULOS!$A:$B,2,0),"")</f>
        <v>EWH1B84</v>
      </c>
      <c r="E504" s="82">
        <f>IFERROR(__xludf.DUMMYFUNCTION("IF(OR(A504="""",D504="""",C504=""""),"""",IFERROR(MAX(0,C504-MAX(FILTER($C$2:$C504,TRIM($D$2:$D504)=TRIM(D504),(($A$2:$A504&lt;A504)+(($A$2:$A504=A504)*(ROW($A$2:$A504)&lt;ROW(A504))))))),""""))"),91.0)</f>
        <v>91</v>
      </c>
    </row>
    <row r="505" ht="22.5" customHeight="1">
      <c r="A505" s="78">
        <v>46114.0</v>
      </c>
      <c r="B505" s="7" t="s">
        <v>21</v>
      </c>
      <c r="C505" s="80">
        <v>19651.0</v>
      </c>
      <c r="D505" s="84" t="str">
        <f>IFERROR(VLOOKUP(B505,BASE_VEICULOS!$A:$B,2,0),"")</f>
        <v>TEW9A33</v>
      </c>
      <c r="E505" s="82">
        <f>IFERROR(__xludf.DUMMYFUNCTION("IF(OR(A505="""",D505="""",C505=""""),"""",IFERROR(MAX(0,C505-MAX(FILTER($C$2:$C505,TRIM($D$2:$D505)=TRIM(D505),(($A$2:$A505&lt;A505)+(($A$2:$A505=A505)*(ROW($A$2:$A505)&lt;ROW(A505))))))),""""))"),170.0)</f>
        <v>170</v>
      </c>
    </row>
    <row r="506" ht="22.5" customHeight="1">
      <c r="A506" s="78">
        <v>46114.0</v>
      </c>
      <c r="B506" s="7" t="s">
        <v>20</v>
      </c>
      <c r="C506" s="80">
        <v>17370.0</v>
      </c>
      <c r="D506" s="84" t="str">
        <f>IFERROR(VLOOKUP(B506,BASE_VEICULOS!$A:$B,2,0),"")</f>
        <v>TEW9A34</v>
      </c>
      <c r="E506" s="82">
        <f>IFERROR(__xludf.DUMMYFUNCTION("IF(OR(A506="""",D506="""",C506=""""),"""",IFERROR(MAX(0,C506-MAX(FILTER($C$2:$C506,TRIM($D$2:$D506)=TRIM(D506),(($A$2:$A506&lt;A506)+(($A$2:$A506=A506)*(ROW($A$2:$A506)&lt;ROW(A506))))))),""""))"),118.0)</f>
        <v>118</v>
      </c>
    </row>
    <row r="507" ht="22.5" customHeight="1">
      <c r="A507" s="78">
        <v>46114.0</v>
      </c>
      <c r="B507" s="7" t="s">
        <v>19</v>
      </c>
      <c r="C507" s="80">
        <v>20377.0</v>
      </c>
      <c r="D507" s="84" t="str">
        <f>IFERROR(VLOOKUP(B507,BASE_VEICULOS!$A:$B,2,0),"")</f>
        <v>TEW9A24</v>
      </c>
      <c r="E507" s="82">
        <f>IFERROR(__xludf.DUMMYFUNCTION("IF(OR(A507="""",D507="""",C507=""""),"""",IFERROR(MAX(0,C507-MAX(FILTER($C$2:$C507,TRIM($D$2:$D507)=TRIM(D507),(($A$2:$A507&lt;A507)+(($A$2:$A507=A507)*(ROW($A$2:$A507)&lt;ROW(A507))))))),""""))"),292.0)</f>
        <v>292</v>
      </c>
    </row>
    <row r="508" ht="22.5" customHeight="1">
      <c r="A508" s="78">
        <v>46114.0</v>
      </c>
      <c r="B508" s="7" t="s">
        <v>11</v>
      </c>
      <c r="C508" s="80">
        <v>97506.0</v>
      </c>
      <c r="D508" s="84" t="str">
        <f>IFERROR(VLOOKUP(B508,BASE_VEICULOS!$A:$B,2,0),"")</f>
        <v>TEW9A28</v>
      </c>
      <c r="E508" s="82">
        <f>IFERROR(__xludf.DUMMYFUNCTION("IF(OR(A508="""",D508="""",C508=""""),"""",IFERROR(MAX(0,C508-MAX(FILTER($C$2:$C508,TRIM($D$2:$D508)=TRIM(D508),(($A$2:$A508&lt;A508)+(($A$2:$A508=A508)*(ROW($A$2:$A508)&lt;ROW(A508))))))),""""))"),58.0)</f>
        <v>58</v>
      </c>
    </row>
    <row r="509" ht="22.5" customHeight="1">
      <c r="A509" s="78">
        <v>46114.0</v>
      </c>
      <c r="B509" s="7" t="s">
        <v>18</v>
      </c>
      <c r="C509" s="80">
        <v>19304.0</v>
      </c>
      <c r="D509" s="84" t="str">
        <f>IFERROR(VLOOKUP(B509,BASE_VEICULOS!$A:$B,2,0),"")</f>
        <v>TEW9A29</v>
      </c>
      <c r="E509" s="82">
        <f>IFERROR(__xludf.DUMMYFUNCTION("IF(OR(A509="""",D509="""",C509=""""),"""",IFERROR(MAX(0,C509-MAX(FILTER($C$2:$C509,TRIM($D$2:$D509)=TRIM(D509),(($A$2:$A509&lt;A509)+(($A$2:$A509=A509)*(ROW($A$2:$A509)&lt;ROW(A509))))))),""""))"),259.0)</f>
        <v>259</v>
      </c>
    </row>
    <row r="510" ht="22.5" customHeight="1">
      <c r="A510" s="78">
        <v>46114.0</v>
      </c>
      <c r="B510" s="7" t="s">
        <v>33</v>
      </c>
      <c r="C510" s="80">
        <v>70006.0</v>
      </c>
      <c r="D510" s="84" t="str">
        <f>IFERROR(VLOOKUP(B510,BASE_VEICULOS!$A:$B,2,0),"")</f>
        <v>TEW9A30</v>
      </c>
      <c r="E510" s="82">
        <f>IFERROR(__xludf.DUMMYFUNCTION("IF(OR(A510="""",D510="""",C510=""""),"""",IFERROR(MAX(0,C510-MAX(FILTER($C$2:$C510,TRIM($D$2:$D510)=TRIM(D510),(($A$2:$A510&lt;A510)+(($A$2:$A510=A510)*(ROW($A$2:$A510)&lt;ROW(A510))))))),""""))"),172.0)</f>
        <v>172</v>
      </c>
    </row>
    <row r="511" ht="22.5" customHeight="1">
      <c r="A511" s="78">
        <v>46114.0</v>
      </c>
      <c r="B511" s="7" t="s">
        <v>34</v>
      </c>
      <c r="C511" s="80">
        <v>54262.0</v>
      </c>
      <c r="D511" s="84" t="str">
        <f>IFERROR(VLOOKUP(B511,BASE_VEICULOS!$A:$B,2,0),"")</f>
        <v>SRU8D16</v>
      </c>
      <c r="E511" s="82">
        <f>IFERROR(__xludf.DUMMYFUNCTION("IF(OR(A511="""",D511="""",C511=""""),"""",IFERROR(MAX(0,C511-MAX(FILTER($C$2:$C511,TRIM($D$2:$D511)=TRIM(D511),(($A$2:$A511&lt;A511)+(($A$2:$A511=A511)*(ROW($A$2:$A511)&lt;ROW(A511))))))),""""))"),117.0)</f>
        <v>117</v>
      </c>
    </row>
    <row r="512" ht="22.5" customHeight="1">
      <c r="A512" s="78">
        <v>46114.0</v>
      </c>
      <c r="B512" s="7" t="s">
        <v>29</v>
      </c>
      <c r="C512" s="80">
        <v>76418.0</v>
      </c>
      <c r="D512" s="84" t="str">
        <f>IFERROR(VLOOKUP(B512,BASE_VEICULOS!$A:$B,2,0),"")</f>
        <v>TEQ2I74</v>
      </c>
      <c r="E512" s="82">
        <f>IFERROR(__xludf.DUMMYFUNCTION("IF(OR(A512="""",D512="""",C512=""""),"""",IFERROR(MAX(0,C512-MAX(FILTER($C$2:$C512,TRIM($D$2:$D512)=TRIM(D512),(($A$2:$A512&lt;A512)+(($A$2:$A512=A512)*(ROW($A$2:$A512)&lt;ROW(A512))))))),""""))"),235.0)</f>
        <v>235</v>
      </c>
    </row>
    <row r="513" ht="22.5" customHeight="1">
      <c r="A513" s="78">
        <v>46114.0</v>
      </c>
      <c r="B513" s="7" t="s">
        <v>12</v>
      </c>
      <c r="C513" s="80">
        <v>90992.0</v>
      </c>
      <c r="D513" s="84" t="str">
        <f>IFERROR(VLOOKUP(B513,BASE_VEICULOS!$A:$B,2,0),"")</f>
        <v>FIL8C14</v>
      </c>
      <c r="E513" s="82">
        <f>IFERROR(__xludf.DUMMYFUNCTION("IF(OR(A513="""",D513="""",C513=""""),"""",IFERROR(MAX(0,C513-MAX(FILTER($C$2:$C513,TRIM($D$2:$D513)=TRIM(D513),(($A$2:$A513&lt;A513)+(($A$2:$A513=A513)*(ROW($A$2:$A513)&lt;ROW(A513))))))),""""))"),202.0)</f>
        <v>202</v>
      </c>
    </row>
    <row r="514" ht="22.5" customHeight="1">
      <c r="A514" s="78">
        <v>46114.0</v>
      </c>
      <c r="B514" s="7" t="s">
        <v>10</v>
      </c>
      <c r="C514" s="80">
        <v>19309.0</v>
      </c>
      <c r="D514" s="84" t="str">
        <f>IFERROR(VLOOKUP(B514,BASE_VEICULOS!$A:$B,2,0),"")</f>
        <v>TEW9A25</v>
      </c>
      <c r="E514" s="82">
        <f>IFERROR(__xludf.DUMMYFUNCTION("IF(OR(A514="""",D514="""",C514=""""),"""",IFERROR(MAX(0,C514-MAX(FILTER($C$2:$C514,TRIM($D$2:$D514)=TRIM(D514),(($A$2:$A514&lt;A514)+(($A$2:$A514=A514)*(ROW($A$2:$A514)&lt;ROW(A514))))))),""""))"),184.0)</f>
        <v>184</v>
      </c>
    </row>
    <row r="515" ht="22.5" customHeight="1">
      <c r="A515" s="78">
        <v>46114.0</v>
      </c>
      <c r="B515" s="7" t="s">
        <v>23</v>
      </c>
      <c r="C515" s="80">
        <v>19611.0</v>
      </c>
      <c r="D515" s="84" t="str">
        <f>IFERROR(VLOOKUP(B515,BASE_VEICULOS!$A:$B,2,0),"")</f>
        <v>TEH3I02</v>
      </c>
      <c r="E515" s="82">
        <f>IFERROR(__xludf.DUMMYFUNCTION("IF(OR(A515="""",D515="""",C515=""""),"""",IFERROR(MAX(0,C515-MAX(FILTER($C$2:$C515,TRIM($D$2:$D515)=TRIM(D515),(($A$2:$A515&lt;A515)+(($A$2:$A515=A515)*(ROW($A$2:$A515)&lt;ROW(A515))))))),""""))"),359.0)</f>
        <v>359</v>
      </c>
    </row>
    <row r="516" ht="22.5" customHeight="1">
      <c r="A516" s="78">
        <v>46114.0</v>
      </c>
      <c r="B516" s="7" t="s">
        <v>13</v>
      </c>
      <c r="C516" s="80">
        <v>107185.0</v>
      </c>
      <c r="D516" s="84" t="str">
        <f>IFERROR(VLOOKUP(B516,BASE_VEICULOS!$A:$B,2,0),"")</f>
        <v>FGO3C61</v>
      </c>
      <c r="E516" s="82">
        <f>IFERROR(__xludf.DUMMYFUNCTION("IF(OR(A516="""",D516="""",C516=""""),"""",IFERROR(MAX(0,C516-MAX(FILTER($C$2:$C516,TRIM($D$2:$D516)=TRIM(D516),(($A$2:$A516&lt;A516)+(($A$2:$A516=A516)*(ROW($A$2:$A516)&lt;ROW(A516))))))),""""))"),222.0)</f>
        <v>222</v>
      </c>
    </row>
    <row r="517" ht="22.5" customHeight="1">
      <c r="A517" s="78">
        <v>46114.0</v>
      </c>
      <c r="B517" s="7" t="s">
        <v>25</v>
      </c>
      <c r="C517" s="80">
        <v>17061.0</v>
      </c>
      <c r="D517" s="84" t="str">
        <f>IFERROR(VLOOKUP(B517,BASE_VEICULOS!$A:$B,2,0),"")</f>
        <v>TEW9A26</v>
      </c>
      <c r="E517" s="82">
        <f>IFERROR(__xludf.DUMMYFUNCTION("IF(OR(A517="""",D517="""",C517=""""),"""",IFERROR(MAX(0,C517-MAX(FILTER($C$2:$C517,TRIM($D$2:$D517)=TRIM(D517),(($A$2:$A517&lt;A517)+(($A$2:$A517=A517)*(ROW($A$2:$A517)&lt;ROW(A517))))))),""""))"),492.0)</f>
        <v>492</v>
      </c>
    </row>
    <row r="518" ht="22.5" customHeight="1">
      <c r="A518" s="78">
        <v>46115.0</v>
      </c>
      <c r="B518" s="7" t="s">
        <v>21</v>
      </c>
      <c r="C518" s="80">
        <v>19706.0</v>
      </c>
      <c r="D518" s="84" t="str">
        <f>IFERROR(VLOOKUP(B518,BASE_VEICULOS!$A:$B,2,0),"")</f>
        <v>TEW9A33</v>
      </c>
      <c r="E518" s="82">
        <f>IFERROR(__xludf.DUMMYFUNCTION("IF(OR(A518="""",D518="""",C518=""""),"""",IFERROR(MAX(0,C518-MAX(FILTER($C$2:$C518,TRIM($D$2:$D518)=TRIM(D518),(($A$2:$A518&lt;A518)+(($A$2:$A518=A518)*(ROW($A$2:$A518)&lt;ROW(A518))))))),""""))"),55.0)</f>
        <v>55</v>
      </c>
    </row>
    <row r="519" ht="22.5" customHeight="1">
      <c r="A519" s="78">
        <v>46116.0</v>
      </c>
      <c r="B519" s="7" t="s">
        <v>21</v>
      </c>
      <c r="C519" s="80">
        <v>19995.0</v>
      </c>
      <c r="D519" s="84" t="str">
        <f>IFERROR(VLOOKUP(B519,BASE_VEICULOS!$A:$B,2,0),"")</f>
        <v>TEW9A33</v>
      </c>
      <c r="E519" s="82">
        <f>IFERROR(__xludf.DUMMYFUNCTION("IF(OR(A519="""",D519="""",C519=""""),"""",IFERROR(MAX(0,C519-MAX(FILTER($C$2:$C519,TRIM($D$2:$D519)=TRIM(D519),(($A$2:$A519&lt;A519)+(($A$2:$A519=A519)*(ROW($A$2:$A519)&lt;ROW(A519))))))),""""))"),289.0)</f>
        <v>289</v>
      </c>
    </row>
    <row r="520" ht="22.5" customHeight="1">
      <c r="A520" s="78">
        <v>46116.0</v>
      </c>
      <c r="B520" s="7" t="s">
        <v>22</v>
      </c>
      <c r="C520" s="80">
        <v>31369.0</v>
      </c>
      <c r="D520" s="84" t="str">
        <f>IFERROR(VLOOKUP(B520,BASE_VEICULOS!$A:$B,2,0),"")</f>
        <v>TET5H37</v>
      </c>
      <c r="E520" s="82">
        <f>IFERROR(__xludf.DUMMYFUNCTION("IF(OR(A520="""",D520="""",C520=""""),"""",IFERROR(MAX(0,C520-MAX(FILTER($C$2:$C520,TRIM($D$2:$D520)=TRIM(D520),(($A$2:$A520&lt;A520)+(($A$2:$A520=A520)*(ROW($A$2:$A520)&lt;ROW(A520))))))),""""))"),1336.0)</f>
        <v>1336</v>
      </c>
    </row>
    <row r="521" ht="22.5" customHeight="1">
      <c r="A521" s="78">
        <v>46116.0</v>
      </c>
      <c r="B521" s="7" t="s">
        <v>16</v>
      </c>
      <c r="C521" s="80">
        <v>12248.0</v>
      </c>
      <c r="D521" s="84" t="str">
        <f>IFERROR(VLOOKUP(B521,BASE_VEICULOS!$A:$B,2,0),"")</f>
        <v>TEW9A27</v>
      </c>
      <c r="E521" s="82">
        <f>IFERROR(__xludf.DUMMYFUNCTION("IF(OR(A521="""",D521="""",C521=""""),"""",IFERROR(MAX(0,C521-MAX(FILTER($C$2:$C521,TRIM($D$2:$D521)=TRIM(D521),(($A$2:$A521&lt;A521)+(($A$2:$A521=A521)*(ROW($A$2:$A521)&lt;ROW(A521))))))),""""))"),815.0)</f>
        <v>815</v>
      </c>
    </row>
    <row r="522" ht="22.5" customHeight="1">
      <c r="A522" s="78">
        <v>46118.0</v>
      </c>
      <c r="B522" s="7" t="s">
        <v>11</v>
      </c>
      <c r="C522" s="80">
        <v>97563.0</v>
      </c>
      <c r="D522" s="84" t="str">
        <f>IFERROR(VLOOKUP(B522,BASE_VEICULOS!$A:$B,2,0),"")</f>
        <v>TEW9A28</v>
      </c>
      <c r="E522" s="82">
        <f>IFERROR(__xludf.DUMMYFUNCTION("IF(OR(A522="""",D522="""",C522=""""),"""",IFERROR(MAX(0,C522-MAX(FILTER($C$2:$C522,TRIM($D$2:$D522)=TRIM(D522),(($A$2:$A522&lt;A522)+(($A$2:$A522=A522)*(ROW($A$2:$A522)&lt;ROW(A522))))))),""""))"),57.0)</f>
        <v>57</v>
      </c>
    </row>
    <row r="523" ht="22.5" customHeight="1">
      <c r="A523" s="78">
        <v>46118.0</v>
      </c>
      <c r="B523" s="7" t="s">
        <v>15</v>
      </c>
      <c r="C523" s="80">
        <v>109309.0</v>
      </c>
      <c r="D523" s="84" t="str">
        <f>IFERROR(VLOOKUP(B523,BASE_VEICULOS!$A:$B,2,0),"")</f>
        <v>EWH1B84</v>
      </c>
      <c r="E523" s="82">
        <f>IFERROR(__xludf.DUMMYFUNCTION("IF(OR(A523="""",D523="""",C523=""""),"""",IFERROR(MAX(0,C523-MAX(FILTER($C$2:$C523,TRIM($D$2:$D523)=TRIM(D523),(($A$2:$A523&lt;A523)+(($A$2:$A523=A523)*(ROW($A$2:$A523)&lt;ROW(A523))))))),""""))"),200.0)</f>
        <v>200</v>
      </c>
    </row>
    <row r="524" ht="22.5" customHeight="1">
      <c r="A524" s="78">
        <v>46118.0</v>
      </c>
      <c r="B524" s="7" t="s">
        <v>20</v>
      </c>
      <c r="C524" s="80">
        <v>17450.0</v>
      </c>
      <c r="D524" s="84" t="str">
        <f>IFERROR(VLOOKUP(B524,BASE_VEICULOS!$A:$B,2,0),"")</f>
        <v>TEW9A34</v>
      </c>
      <c r="E524" s="82">
        <f>IFERROR(__xludf.DUMMYFUNCTION("IF(OR(A524="""",D524="""",C524=""""),"""",IFERROR(MAX(0,C524-MAX(FILTER($C$2:$C524,TRIM($D$2:$D524)=TRIM(D524),(($A$2:$A524&lt;A524)+(($A$2:$A524=A524)*(ROW($A$2:$A524)&lt;ROW(A524))))))),""""))"),80.0)</f>
        <v>80</v>
      </c>
    </row>
    <row r="525" ht="22.5" customHeight="1">
      <c r="A525" s="78">
        <v>46118.0</v>
      </c>
      <c r="B525" s="7" t="s">
        <v>29</v>
      </c>
      <c r="C525" s="80">
        <v>76684.0</v>
      </c>
      <c r="D525" s="84" t="str">
        <f>IFERROR(VLOOKUP(B525,BASE_VEICULOS!$A:$B,2,0),"")</f>
        <v>TEQ2I74</v>
      </c>
      <c r="E525" s="82">
        <f>IFERROR(__xludf.DUMMYFUNCTION("IF(OR(A525="""",D525="""",C525=""""),"""",IFERROR(MAX(0,C525-MAX(FILTER($C$2:$C525,TRIM($D$2:$D525)=TRIM(D525),(($A$2:$A525&lt;A525)+(($A$2:$A525=A525)*(ROW($A$2:$A525)&lt;ROW(A525))))))),""""))"),266.0)</f>
        <v>266</v>
      </c>
    </row>
    <row r="526" ht="22.5" customHeight="1">
      <c r="A526" s="78">
        <v>46118.0</v>
      </c>
      <c r="B526" s="7" t="s">
        <v>16</v>
      </c>
      <c r="C526" s="80">
        <v>12303.0</v>
      </c>
      <c r="D526" s="84" t="str">
        <f>IFERROR(VLOOKUP(B526,BASE_VEICULOS!$A:$B,2,0),"")</f>
        <v>TEW9A27</v>
      </c>
      <c r="E526" s="82">
        <f>IFERROR(__xludf.DUMMYFUNCTION("IF(OR(A526="""",D526="""",C526=""""),"""",IFERROR(MAX(0,C526-MAX(FILTER($C$2:$C526,TRIM($D$2:$D526)=TRIM(D526),(($A$2:$A526&lt;A526)+(($A$2:$A526=A526)*(ROW($A$2:$A526)&lt;ROW(A526))))))),""""))"),55.0)</f>
        <v>55</v>
      </c>
    </row>
    <row r="527" ht="22.5" customHeight="1">
      <c r="A527" s="78">
        <v>46118.0</v>
      </c>
      <c r="B527" s="7" t="s">
        <v>12</v>
      </c>
      <c r="C527" s="80">
        <v>91043.0</v>
      </c>
      <c r="D527" s="84" t="str">
        <f>IFERROR(VLOOKUP(B527,BASE_VEICULOS!$A:$B,2,0),"")</f>
        <v>FIL8C14</v>
      </c>
      <c r="E527" s="82">
        <f>IFERROR(__xludf.DUMMYFUNCTION("IF(OR(A527="""",D527="""",C527=""""),"""",IFERROR(MAX(0,C527-MAX(FILTER($C$2:$C527,TRIM($D$2:$D527)=TRIM(D527),(($A$2:$A527&lt;A527)+(($A$2:$A527=A527)*(ROW($A$2:$A527)&lt;ROW(A527))))))),""""))"),51.0)</f>
        <v>51</v>
      </c>
    </row>
    <row r="528" ht="22.5" customHeight="1">
      <c r="A528" s="78">
        <v>46118.0</v>
      </c>
      <c r="B528" s="7" t="s">
        <v>25</v>
      </c>
      <c r="C528" s="80">
        <v>17300.0</v>
      </c>
      <c r="D528" s="84" t="str">
        <f>IFERROR(VLOOKUP(B528,BASE_VEICULOS!$A:$B,2,0),"")</f>
        <v>TEW9A26</v>
      </c>
      <c r="E528" s="82">
        <f>IFERROR(__xludf.DUMMYFUNCTION("IF(OR(A528="""",D528="""",C528=""""),"""",IFERROR(MAX(0,C528-MAX(FILTER($C$2:$C528,TRIM($D$2:$D528)=TRIM(D528),(($A$2:$A528&lt;A528)+(($A$2:$A528=A528)*(ROW($A$2:$A528)&lt;ROW(A528))))))),""""))"),239.0)</f>
        <v>239</v>
      </c>
    </row>
    <row r="529" ht="22.5" customHeight="1">
      <c r="A529" s="78">
        <v>46118.0</v>
      </c>
      <c r="B529" s="7" t="s">
        <v>33</v>
      </c>
      <c r="C529" s="80">
        <v>70180.0</v>
      </c>
      <c r="D529" s="84" t="str">
        <f>IFERROR(VLOOKUP(B529,BASE_VEICULOS!$A:$B,2,0),"")</f>
        <v>TEW9A30</v>
      </c>
      <c r="E529" s="82">
        <f>IFERROR(__xludf.DUMMYFUNCTION("IF(OR(A529="""",D529="""",C529=""""),"""",IFERROR(MAX(0,C529-MAX(FILTER($C$2:$C529,TRIM($D$2:$D529)=TRIM(D529),(($A$2:$A529&lt;A529)+(($A$2:$A529=A529)*(ROW($A$2:$A529)&lt;ROW(A529))))))),""""))"),174.0)</f>
        <v>174</v>
      </c>
    </row>
    <row r="530" ht="22.5" customHeight="1">
      <c r="A530" s="78">
        <v>46118.0</v>
      </c>
      <c r="B530" s="7" t="s">
        <v>10</v>
      </c>
      <c r="C530" s="80">
        <v>19504.0</v>
      </c>
      <c r="D530" s="84" t="str">
        <f>IFERROR(VLOOKUP(B530,BASE_VEICULOS!$A:$B,2,0),"")</f>
        <v>TEW9A25</v>
      </c>
      <c r="E530" s="82">
        <f>IFERROR(__xludf.DUMMYFUNCTION("IF(OR(A530="""",D530="""",C530=""""),"""",IFERROR(MAX(0,C530-MAX(FILTER($C$2:$C530,TRIM($D$2:$D530)=TRIM(D530),(($A$2:$A530&lt;A530)+(($A$2:$A530=A530)*(ROW($A$2:$A530)&lt;ROW(A530))))))),""""))"),195.0)</f>
        <v>195</v>
      </c>
    </row>
    <row r="531" ht="22.5" customHeight="1">
      <c r="A531" s="78">
        <v>46118.0</v>
      </c>
      <c r="B531" s="7" t="s">
        <v>12</v>
      </c>
      <c r="C531" s="80">
        <v>91085.0</v>
      </c>
      <c r="D531" s="84" t="str">
        <f>IFERROR(VLOOKUP(B531,BASE_VEICULOS!$A:$B,2,0),"")</f>
        <v>FIL8C14</v>
      </c>
      <c r="E531" s="82">
        <f>IFERROR(__xludf.DUMMYFUNCTION("IF(OR(A531="""",D531="""",C531=""""),"""",IFERROR(MAX(0,C531-MAX(FILTER($C$2:$C531,TRIM($D$2:$D531)=TRIM(D531),(($A$2:$A531&lt;A531)+(($A$2:$A531=A531)*(ROW($A$2:$A531)&lt;ROW(A531))))))),""""))"),42.0)</f>
        <v>42</v>
      </c>
    </row>
    <row r="532" ht="22.5" customHeight="1">
      <c r="A532" s="78">
        <v>46118.0</v>
      </c>
      <c r="B532" s="7" t="s">
        <v>19</v>
      </c>
      <c r="C532" s="80">
        <v>20890.0</v>
      </c>
      <c r="D532" s="84" t="str">
        <f>IFERROR(VLOOKUP(B532,BASE_VEICULOS!$A:$B,2,0),"")</f>
        <v>TEW9A24</v>
      </c>
      <c r="E532" s="82">
        <f>IFERROR(__xludf.DUMMYFUNCTION("IF(OR(A532="""",D532="""",C532=""""),"""",IFERROR(MAX(0,C532-MAX(FILTER($C$2:$C532,TRIM($D$2:$D532)=TRIM(D532),(($A$2:$A532&lt;A532)+(($A$2:$A532=A532)*(ROW($A$2:$A532)&lt;ROW(A532))))))),""""))"),513.0)</f>
        <v>513</v>
      </c>
    </row>
    <row r="533" ht="22.5" customHeight="1">
      <c r="A533" s="78">
        <v>46118.0</v>
      </c>
      <c r="B533" s="7" t="s">
        <v>21</v>
      </c>
      <c r="C533" s="80">
        <v>20175.0</v>
      </c>
      <c r="D533" s="84" t="str">
        <f>IFERROR(VLOOKUP(B533,BASE_VEICULOS!$A:$B,2,0),"")</f>
        <v>TEW9A33</v>
      </c>
      <c r="E533" s="82">
        <f>IFERROR(__xludf.DUMMYFUNCTION("IF(OR(A533="""",D533="""",C533=""""),"""",IFERROR(MAX(0,C533-MAX(FILTER($C$2:$C533,TRIM($D$2:$D533)=TRIM(D533),(($A$2:$A533&lt;A533)+(($A$2:$A533=A533)*(ROW($A$2:$A533)&lt;ROW(A533))))))),""""))"),180.0)</f>
        <v>180</v>
      </c>
    </row>
    <row r="534" ht="22.5" customHeight="1">
      <c r="A534" s="78">
        <v>46118.0</v>
      </c>
      <c r="B534" s="7" t="s">
        <v>34</v>
      </c>
      <c r="C534" s="80">
        <v>54561.0</v>
      </c>
      <c r="D534" s="84" t="str">
        <f>IFERROR(VLOOKUP(B534,BASE_VEICULOS!$A:$B,2,0),"")</f>
        <v>SRU8D16</v>
      </c>
      <c r="E534" s="82">
        <f>IFERROR(__xludf.DUMMYFUNCTION("IF(OR(A534="""",D534="""",C534=""""),"""",IFERROR(MAX(0,C534-MAX(FILTER($C$2:$C534,TRIM($D$2:$D534)=TRIM(D534),(($A$2:$A534&lt;A534)+(($A$2:$A534=A534)*(ROW($A$2:$A534)&lt;ROW(A534))))))),""""))"),299.0)</f>
        <v>299</v>
      </c>
    </row>
    <row r="535" ht="22.5" customHeight="1">
      <c r="A535" s="78">
        <v>46118.0</v>
      </c>
      <c r="B535" s="7" t="s">
        <v>23</v>
      </c>
      <c r="C535" s="80">
        <v>19988.0</v>
      </c>
      <c r="D535" s="84" t="str">
        <f>IFERROR(VLOOKUP(B535,BASE_VEICULOS!$A:$B,2,0),"")</f>
        <v>TEH3I02</v>
      </c>
      <c r="E535" s="82">
        <f>IFERROR(__xludf.DUMMYFUNCTION("IF(OR(A535="""",D535="""",C535=""""),"""",IFERROR(MAX(0,C535-MAX(FILTER($C$2:$C535,TRIM($D$2:$D535)=TRIM(D535),(($A$2:$A535&lt;A535)+(($A$2:$A535=A535)*(ROW($A$2:$A535)&lt;ROW(A535))))))),""""))"),377.0)</f>
        <v>377</v>
      </c>
    </row>
    <row r="536" ht="22.5" customHeight="1">
      <c r="A536" s="78">
        <v>46118.0</v>
      </c>
      <c r="B536" s="7" t="s">
        <v>18</v>
      </c>
      <c r="C536" s="80">
        <v>19487.0</v>
      </c>
      <c r="D536" s="84" t="str">
        <f>IFERROR(VLOOKUP(B536,BASE_VEICULOS!$A:$B,2,0),"")</f>
        <v>TEW9A29</v>
      </c>
      <c r="E536" s="82">
        <f>IFERROR(__xludf.DUMMYFUNCTION("IF(OR(A536="""",D536="""",C536=""""),"""",IFERROR(MAX(0,C536-MAX(FILTER($C$2:$C536,TRIM($D$2:$D536)=TRIM(D536),(($A$2:$A536&lt;A536)+(($A$2:$A536=A536)*(ROW($A$2:$A536)&lt;ROW(A536))))))),""""))"),183.0)</f>
        <v>183</v>
      </c>
    </row>
    <row r="537" ht="22.5" customHeight="1">
      <c r="A537" s="78">
        <v>46118.0</v>
      </c>
      <c r="B537" s="7" t="s">
        <v>21</v>
      </c>
      <c r="C537" s="80">
        <v>20191.0</v>
      </c>
      <c r="D537" s="84" t="str">
        <f>IFERROR(VLOOKUP(B537,BASE_VEICULOS!$A:$B,2,0),"")</f>
        <v>TEW9A33</v>
      </c>
      <c r="E537" s="82">
        <f>IFERROR(__xludf.DUMMYFUNCTION("IF(OR(A537="""",D537="""",C537=""""),"""",IFERROR(MAX(0,C537-MAX(FILTER($C$2:$C537,TRIM($D$2:$D537)=TRIM(D537),(($A$2:$A537&lt;A537)+(($A$2:$A537=A537)*(ROW($A$2:$A537)&lt;ROW(A537))))))),""""))"),16.0)</f>
        <v>16</v>
      </c>
    </row>
    <row r="538" ht="22.5" customHeight="1">
      <c r="A538" s="78">
        <v>46119.0</v>
      </c>
      <c r="B538" s="7" t="s">
        <v>20</v>
      </c>
      <c r="C538" s="80">
        <v>17602.0</v>
      </c>
      <c r="D538" s="84" t="str">
        <f>IFERROR(VLOOKUP(B538,BASE_VEICULOS!$A:$B,2,0),"")</f>
        <v>TEW9A34</v>
      </c>
      <c r="E538" s="82">
        <f>IFERROR(__xludf.DUMMYFUNCTION("IF(OR(A538="""",D538="""",C538=""""),"""",IFERROR(MAX(0,C538-MAX(FILTER($C$2:$C538,TRIM($D$2:$D538)=TRIM(D538),(($A$2:$A538&lt;A538)+(($A$2:$A538=A538)*(ROW($A$2:$A538)&lt;ROW(A538))))))),""""))"),152.0)</f>
        <v>152</v>
      </c>
    </row>
    <row r="539" ht="22.5" customHeight="1">
      <c r="A539" s="78">
        <v>46119.0</v>
      </c>
      <c r="B539" s="7" t="s">
        <v>16</v>
      </c>
      <c r="C539" s="80">
        <v>12330.0</v>
      </c>
      <c r="D539" s="84" t="str">
        <f>IFERROR(VLOOKUP(B539,BASE_VEICULOS!$A:$B,2,0),"")</f>
        <v>TEW9A27</v>
      </c>
      <c r="E539" s="82">
        <f>IFERROR(__xludf.DUMMYFUNCTION("IF(OR(A539="""",D539="""",C539=""""),"""",IFERROR(MAX(0,C539-MAX(FILTER($C$2:$C539,TRIM($D$2:$D539)=TRIM(D539),(($A$2:$A539&lt;A539)+(($A$2:$A539=A539)*(ROW($A$2:$A539)&lt;ROW(A539))))))),""""))"),27.0)</f>
        <v>27</v>
      </c>
    </row>
    <row r="540" ht="22.5" customHeight="1">
      <c r="A540" s="78">
        <v>46119.0</v>
      </c>
      <c r="B540" s="7" t="s">
        <v>10</v>
      </c>
      <c r="C540" s="80">
        <v>19687.0</v>
      </c>
      <c r="D540" s="84" t="str">
        <f>IFERROR(VLOOKUP(B540,BASE_VEICULOS!$A:$B,2,0),"")</f>
        <v>TEW9A25</v>
      </c>
      <c r="E540" s="82">
        <f>IFERROR(__xludf.DUMMYFUNCTION("IF(OR(A540="""",D540="""",C540=""""),"""",IFERROR(MAX(0,C540-MAX(FILTER($C$2:$C540,TRIM($D$2:$D540)=TRIM(D540),(($A$2:$A540&lt;A540)+(($A$2:$A540=A540)*(ROW($A$2:$A540)&lt;ROW(A540))))))),""""))"),183.0)</f>
        <v>183</v>
      </c>
    </row>
    <row r="541" ht="22.5" customHeight="1">
      <c r="A541" s="78">
        <v>46119.0</v>
      </c>
      <c r="B541" s="7" t="s">
        <v>11</v>
      </c>
      <c r="C541" s="80">
        <v>97636.0</v>
      </c>
      <c r="D541" s="84" t="str">
        <f>IFERROR(VLOOKUP(B541,BASE_VEICULOS!$A:$B,2,0),"")</f>
        <v>TEW9A28</v>
      </c>
      <c r="E541" s="82">
        <f>IFERROR(__xludf.DUMMYFUNCTION("IF(OR(A541="""",D541="""",C541=""""),"""",IFERROR(MAX(0,C541-MAX(FILTER($C$2:$C541,TRIM($D$2:$D541)=TRIM(D541),(($A$2:$A541&lt;A541)+(($A$2:$A541=A541)*(ROW($A$2:$A541)&lt;ROW(A541))))))),""""))"),73.0)</f>
        <v>73</v>
      </c>
    </row>
    <row r="542" ht="22.5" customHeight="1">
      <c r="A542" s="78">
        <v>46119.0</v>
      </c>
      <c r="B542" s="7" t="s">
        <v>18</v>
      </c>
      <c r="C542" s="80">
        <v>19502.0</v>
      </c>
      <c r="D542" s="84" t="str">
        <f>IFERROR(VLOOKUP(B542,BASE_VEICULOS!$A:$B,2,0),"")</f>
        <v>TEW9A29</v>
      </c>
      <c r="E542" s="82">
        <f>IFERROR(__xludf.DUMMYFUNCTION("IF(OR(A542="""",D542="""",C542=""""),"""",IFERROR(MAX(0,C542-MAX(FILTER($C$2:$C542,TRIM($D$2:$D542)=TRIM(D542),(($A$2:$A542&lt;A542)+(($A$2:$A542=A542)*(ROW($A$2:$A542)&lt;ROW(A542))))))),""""))"),15.0)</f>
        <v>15</v>
      </c>
    </row>
    <row r="543" ht="22.5" customHeight="1">
      <c r="A543" s="78">
        <v>46119.0</v>
      </c>
      <c r="B543" s="7" t="s">
        <v>29</v>
      </c>
      <c r="C543" s="80">
        <v>76957.0</v>
      </c>
      <c r="D543" s="84" t="str">
        <f>IFERROR(VLOOKUP(B543,BASE_VEICULOS!$A:$B,2,0),"")</f>
        <v>TEQ2I74</v>
      </c>
      <c r="E543" s="82">
        <f>IFERROR(__xludf.DUMMYFUNCTION("IF(OR(A543="""",D543="""",C543=""""),"""",IFERROR(MAX(0,C543-MAX(FILTER($C$2:$C543,TRIM($D$2:$D543)=TRIM(D543),(($A$2:$A543&lt;A543)+(($A$2:$A543=A543)*(ROW($A$2:$A543)&lt;ROW(A543))))))),""""))"),273.0)</f>
        <v>273</v>
      </c>
    </row>
    <row r="544" ht="22.5" customHeight="1">
      <c r="A544" s="78">
        <v>46119.0</v>
      </c>
      <c r="B544" s="7" t="s">
        <v>17</v>
      </c>
      <c r="C544" s="80">
        <v>16450.0</v>
      </c>
      <c r="D544" s="84" t="str">
        <f>IFERROR(VLOOKUP(B544,BASE_VEICULOS!$A:$B,2,0),"")</f>
        <v/>
      </c>
      <c r="E544" s="82" t="str">
        <f>IFERROR(__xludf.DUMMYFUNCTION("IF(OR(A544="""",D544="""",C544=""""),"""",IFERROR(MAX(0,C544-MAX(FILTER($C$2:$C544,TRIM($D$2:$D544)=TRIM(D544),(($A$2:$A544&lt;A544)+(($A$2:$A544=A544)*(ROW($A$2:$A544)&lt;ROW(A544))))))),""""))"),"")</f>
        <v/>
      </c>
    </row>
    <row r="545" ht="22.5" customHeight="1">
      <c r="A545" s="78">
        <v>46119.0</v>
      </c>
      <c r="B545" s="7" t="s">
        <v>21</v>
      </c>
      <c r="C545" s="80">
        <v>20303.0</v>
      </c>
      <c r="D545" s="84" t="str">
        <f>IFERROR(VLOOKUP(B545,BASE_VEICULOS!$A:$B,2,0),"")</f>
        <v>TEW9A33</v>
      </c>
      <c r="E545" s="82">
        <f>IFERROR(__xludf.DUMMYFUNCTION("IF(OR(A545="""",D545="""",C545=""""),"""",IFERROR(MAX(0,C545-MAX(FILTER($C$2:$C545,TRIM($D$2:$D545)=TRIM(D545),(($A$2:$A545&lt;A545)+(($A$2:$A545=A545)*(ROW($A$2:$A545)&lt;ROW(A545))))))),""""))"),112.0)</f>
        <v>112</v>
      </c>
    </row>
    <row r="546" ht="22.5" customHeight="1">
      <c r="A546" s="78">
        <v>46119.0</v>
      </c>
      <c r="B546" s="7" t="s">
        <v>12</v>
      </c>
      <c r="C546" s="80">
        <v>91180.0</v>
      </c>
      <c r="D546" s="84" t="str">
        <f>IFERROR(VLOOKUP(B546,BASE_VEICULOS!$A:$B,2,0),"")</f>
        <v>FIL8C14</v>
      </c>
      <c r="E546" s="82">
        <f>IFERROR(__xludf.DUMMYFUNCTION("IF(OR(A546="""",D546="""",C546=""""),"""",IFERROR(MAX(0,C546-MAX(FILTER($C$2:$C546,TRIM($D$2:$D546)=TRIM(D546),(($A$2:$A546&lt;A546)+(($A$2:$A546=A546)*(ROW($A$2:$A546)&lt;ROW(A546))))))),""""))"),95.0)</f>
        <v>95</v>
      </c>
    </row>
    <row r="547" ht="22.5" customHeight="1">
      <c r="A547" s="78">
        <v>46119.0</v>
      </c>
      <c r="B547" s="7" t="s">
        <v>19</v>
      </c>
      <c r="C547" s="80">
        <v>21017.0</v>
      </c>
      <c r="D547" s="84" t="str">
        <f>IFERROR(VLOOKUP(B547,BASE_VEICULOS!$A:$B,2,0),"")</f>
        <v>TEW9A24</v>
      </c>
      <c r="E547" s="82">
        <f>IFERROR(__xludf.DUMMYFUNCTION("IF(OR(A547="""",D547="""",C547=""""),"""",IFERROR(MAX(0,C547-MAX(FILTER($C$2:$C547,TRIM($D$2:$D547)=TRIM(D547),(($A$2:$A547&lt;A547)+(($A$2:$A547=A547)*(ROW($A$2:$A547)&lt;ROW(A547))))))),""""))"),127.0)</f>
        <v>127</v>
      </c>
    </row>
    <row r="548" ht="22.5" customHeight="1">
      <c r="A548" s="78">
        <v>46119.0</v>
      </c>
      <c r="B548" s="7" t="s">
        <v>34</v>
      </c>
      <c r="C548" s="80">
        <v>55130.0</v>
      </c>
      <c r="D548" s="84" t="str">
        <f>IFERROR(VLOOKUP(B548,BASE_VEICULOS!$A:$B,2,0),"")</f>
        <v>SRU8D16</v>
      </c>
      <c r="E548" s="82">
        <f>IFERROR(__xludf.DUMMYFUNCTION("IF(OR(A548="""",D548="""",C548=""""),"""",IFERROR(MAX(0,C548-MAX(FILTER($C$2:$C548,TRIM($D$2:$D548)=TRIM(D548),(($A$2:$A548&lt;A548)+(($A$2:$A548=A548)*(ROW($A$2:$A548)&lt;ROW(A548))))))),""""))"),569.0)</f>
        <v>569</v>
      </c>
    </row>
    <row r="549" ht="22.5" customHeight="1">
      <c r="A549" s="78">
        <v>46119.0</v>
      </c>
      <c r="B549" s="7" t="s">
        <v>33</v>
      </c>
      <c r="C549" s="80">
        <v>70306.0</v>
      </c>
      <c r="D549" s="84" t="str">
        <f>IFERROR(VLOOKUP(B549,BASE_VEICULOS!$A:$B,2,0),"")</f>
        <v>TEW9A30</v>
      </c>
      <c r="E549" s="82">
        <f>IFERROR(__xludf.DUMMYFUNCTION("IF(OR(A549="""",D549="""",C549=""""),"""",IFERROR(MAX(0,C549-MAX(FILTER($C$2:$C549,TRIM($D$2:$D549)=TRIM(D549),(($A$2:$A549&lt;A549)+(($A$2:$A549=A549)*(ROW($A$2:$A549)&lt;ROW(A549))))))),""""))"),126.0)</f>
        <v>126</v>
      </c>
    </row>
    <row r="550" ht="22.5" customHeight="1">
      <c r="A550" s="78">
        <v>46120.0</v>
      </c>
      <c r="B550" s="7" t="s">
        <v>10</v>
      </c>
      <c r="C550" s="80">
        <v>19809.0</v>
      </c>
      <c r="D550" s="84" t="str">
        <f>IFERROR(VLOOKUP(B550,BASE_VEICULOS!$A:$B,2,0),"")</f>
        <v>TEW9A25</v>
      </c>
      <c r="E550" s="82">
        <f>IFERROR(__xludf.DUMMYFUNCTION("IF(OR(A550="""",D550="""",C550=""""),"""",IFERROR(MAX(0,C550-MAX(FILTER($C$2:$C550,TRIM($D$2:$D550)=TRIM(D550),(($A$2:$A550&lt;A550)+(($A$2:$A550=A550)*(ROW($A$2:$A550)&lt;ROW(A550))))))),""""))"),122.0)</f>
        <v>122</v>
      </c>
    </row>
    <row r="551" ht="22.5" customHeight="1">
      <c r="A551" s="78">
        <v>46120.0</v>
      </c>
      <c r="B551" s="7" t="s">
        <v>20</v>
      </c>
      <c r="C551" s="80">
        <v>17700.0</v>
      </c>
      <c r="D551" s="84" t="str">
        <f>IFERROR(VLOOKUP(B551,BASE_VEICULOS!$A:$B,2,0),"")</f>
        <v>TEW9A34</v>
      </c>
      <c r="E551" s="82">
        <f>IFERROR(__xludf.DUMMYFUNCTION("IF(OR(A551="""",D551="""",C551=""""),"""",IFERROR(MAX(0,C551-MAX(FILTER($C$2:$C551,TRIM($D$2:$D551)=TRIM(D551),(($A$2:$A551&lt;A551)+(($A$2:$A551=A551)*(ROW($A$2:$A551)&lt;ROW(A551))))))),""""))"),98.0)</f>
        <v>98</v>
      </c>
    </row>
    <row r="552" ht="22.5" customHeight="1">
      <c r="A552" s="78">
        <v>46120.0</v>
      </c>
      <c r="B552" s="7" t="s">
        <v>29</v>
      </c>
      <c r="C552" s="80">
        <v>77209.0</v>
      </c>
      <c r="D552" s="84" t="str">
        <f>IFERROR(VLOOKUP(B552,BASE_VEICULOS!$A:$B,2,0),"")</f>
        <v>TEQ2I74</v>
      </c>
      <c r="E552" s="82">
        <f>IFERROR(__xludf.DUMMYFUNCTION("IF(OR(A552="""",D552="""",C552=""""),"""",IFERROR(MAX(0,C552-MAX(FILTER($C$2:$C552,TRIM($D$2:$D552)=TRIM(D552),(($A$2:$A552&lt;A552)+(($A$2:$A552=A552)*(ROW($A$2:$A552)&lt;ROW(A552))))))),""""))"),252.0)</f>
        <v>252</v>
      </c>
    </row>
    <row r="553" ht="22.5" customHeight="1">
      <c r="A553" s="78">
        <v>46120.0</v>
      </c>
      <c r="B553" s="7" t="s">
        <v>23</v>
      </c>
      <c r="C553" s="80">
        <v>20531.0</v>
      </c>
      <c r="D553" s="84" t="str">
        <f>IFERROR(VLOOKUP(B553,BASE_VEICULOS!$A:$B,2,0),"")</f>
        <v>TEH3I02</v>
      </c>
      <c r="E553" s="82">
        <f>IFERROR(__xludf.DUMMYFUNCTION("IF(OR(A553="""",D553="""",C553=""""),"""",IFERROR(MAX(0,C553-MAX(FILTER($C$2:$C553,TRIM($D$2:$D553)=TRIM(D553),(($A$2:$A553&lt;A553)+(($A$2:$A553=A553)*(ROW($A$2:$A553)&lt;ROW(A553))))))),""""))"),543.0)</f>
        <v>543</v>
      </c>
    </row>
    <row r="554" ht="22.5" customHeight="1">
      <c r="A554" s="78">
        <v>46120.0</v>
      </c>
      <c r="B554" s="7" t="s">
        <v>21</v>
      </c>
      <c r="C554" s="80">
        <v>20518.0</v>
      </c>
      <c r="D554" s="84" t="str">
        <f>IFERROR(VLOOKUP(B554,BASE_VEICULOS!$A:$B,2,0),"")</f>
        <v>TEW9A33</v>
      </c>
      <c r="E554" s="82">
        <f>IFERROR(__xludf.DUMMYFUNCTION("IF(OR(A554="""",D554="""",C554=""""),"""",IFERROR(MAX(0,C554-MAX(FILTER($C$2:$C554,TRIM($D$2:$D554)=TRIM(D554),(($A$2:$A554&lt;A554)+(($A$2:$A554=A554)*(ROW($A$2:$A554)&lt;ROW(A554))))))),""""))"),215.0)</f>
        <v>215</v>
      </c>
    </row>
    <row r="555" ht="22.5" customHeight="1">
      <c r="A555" s="78">
        <v>46120.0</v>
      </c>
      <c r="B555" s="7" t="s">
        <v>19</v>
      </c>
      <c r="C555" s="80">
        <v>21140.0</v>
      </c>
      <c r="D555" s="84" t="str">
        <f>IFERROR(VLOOKUP(B555,BASE_VEICULOS!$A:$B,2,0),"")</f>
        <v>TEW9A24</v>
      </c>
      <c r="E555" s="82">
        <f>IFERROR(__xludf.DUMMYFUNCTION("IF(OR(A555="""",D555="""",C555=""""),"""",IFERROR(MAX(0,C555-MAX(FILTER($C$2:$C555,TRIM($D$2:$D555)=TRIM(D555),(($A$2:$A555&lt;A555)+(($A$2:$A555=A555)*(ROW($A$2:$A555)&lt;ROW(A555))))))),""""))"),123.0)</f>
        <v>123</v>
      </c>
    </row>
    <row r="556" ht="22.5" customHeight="1">
      <c r="A556" s="78">
        <v>46120.0</v>
      </c>
      <c r="B556" s="7" t="s">
        <v>15</v>
      </c>
      <c r="C556" s="80">
        <v>109524.0</v>
      </c>
      <c r="D556" s="84" t="str">
        <f>IFERROR(VLOOKUP(B556,BASE_VEICULOS!$A:$B,2,0),"")</f>
        <v>EWH1B84</v>
      </c>
      <c r="E556" s="82">
        <f>IFERROR(__xludf.DUMMYFUNCTION("IF(OR(A556="""",D556="""",C556=""""),"""",IFERROR(MAX(0,C556-MAX(FILTER($C$2:$C556,TRIM($D$2:$D556)=TRIM(D556),(($A$2:$A556&lt;A556)+(($A$2:$A556=A556)*(ROW($A$2:$A556)&lt;ROW(A556))))))),""""))"),215.0)</f>
        <v>215</v>
      </c>
    </row>
    <row r="557" ht="22.5" customHeight="1">
      <c r="A557" s="78">
        <v>46120.0</v>
      </c>
      <c r="B557" s="7" t="s">
        <v>18</v>
      </c>
      <c r="C557" s="80">
        <v>19597.0</v>
      </c>
      <c r="D557" s="84" t="str">
        <f>IFERROR(VLOOKUP(B557,BASE_VEICULOS!$A:$B,2,0),"")</f>
        <v>TEW9A29</v>
      </c>
      <c r="E557" s="82">
        <f>IFERROR(__xludf.DUMMYFUNCTION("IF(OR(A557="""",D557="""",C557=""""),"""",IFERROR(MAX(0,C557-MAX(FILTER($C$2:$C557,TRIM($D$2:$D557)=TRIM(D557),(($A$2:$A557&lt;A557)+(($A$2:$A557=A557)*(ROW($A$2:$A557)&lt;ROW(A557))))))),""""))"),95.0)</f>
        <v>95</v>
      </c>
    </row>
    <row r="558" ht="22.5" customHeight="1">
      <c r="A558" s="78">
        <v>46120.0</v>
      </c>
      <c r="B558" s="7" t="s">
        <v>33</v>
      </c>
      <c r="C558" s="80">
        <v>70501.0</v>
      </c>
      <c r="D558" s="84" t="str">
        <f>IFERROR(VLOOKUP(B558,BASE_VEICULOS!$A:$B,2,0),"")</f>
        <v>TEW9A30</v>
      </c>
      <c r="E558" s="82">
        <f>IFERROR(__xludf.DUMMYFUNCTION("IF(OR(A558="""",D558="""",C558=""""),"""",IFERROR(MAX(0,C558-MAX(FILTER($C$2:$C558,TRIM($D$2:$D558)=TRIM(D558),(($A$2:$A558&lt;A558)+(($A$2:$A558=A558)*(ROW($A$2:$A558)&lt;ROW(A558))))))),""""))"),195.0)</f>
        <v>195</v>
      </c>
    </row>
    <row r="559" ht="22.5" customHeight="1">
      <c r="A559" s="78">
        <v>46120.0</v>
      </c>
      <c r="B559" s="7" t="s">
        <v>13</v>
      </c>
      <c r="C559" s="80">
        <v>107339.0</v>
      </c>
      <c r="D559" s="84" t="str">
        <f>IFERROR(VLOOKUP(B559,BASE_VEICULOS!$A:$B,2,0),"")</f>
        <v>FGO3C61</v>
      </c>
      <c r="E559" s="82">
        <f>IFERROR(__xludf.DUMMYFUNCTION("IF(OR(A559="""",D559="""",C559=""""),"""",IFERROR(MAX(0,C559-MAX(FILTER($C$2:$C559,TRIM($D$2:$D559)=TRIM(D559),(($A$2:$A559&lt;A559)+(($A$2:$A559=A559)*(ROW($A$2:$A559)&lt;ROW(A559))))))),""""))"),154.0)</f>
        <v>154</v>
      </c>
    </row>
    <row r="560" ht="22.5" customHeight="1">
      <c r="A560" s="78">
        <v>46120.0</v>
      </c>
      <c r="B560" s="7" t="s">
        <v>12</v>
      </c>
      <c r="C560" s="80">
        <v>91291.0</v>
      </c>
      <c r="D560" s="84" t="str">
        <f>IFERROR(VLOOKUP(B560,BASE_VEICULOS!$A:$B,2,0),"")</f>
        <v>FIL8C14</v>
      </c>
      <c r="E560" s="82">
        <f>IFERROR(__xludf.DUMMYFUNCTION("IF(OR(A560="""",D560="""",C560=""""),"""",IFERROR(MAX(0,C560-MAX(FILTER($C$2:$C560,TRIM($D$2:$D560)=TRIM(D560),(($A$2:$A560&lt;A560)+(($A$2:$A560=A560)*(ROW($A$2:$A560)&lt;ROW(A560))))))),""""))"),111.0)</f>
        <v>111</v>
      </c>
    </row>
    <row r="561" ht="22.5" customHeight="1">
      <c r="A561" s="78">
        <v>46120.0</v>
      </c>
      <c r="B561" s="7" t="s">
        <v>15</v>
      </c>
      <c r="C561" s="80">
        <v>109664.0</v>
      </c>
      <c r="D561" s="84" t="str">
        <f>IFERROR(VLOOKUP(B561,BASE_VEICULOS!$A:$B,2,0),"")</f>
        <v>EWH1B84</v>
      </c>
      <c r="E561" s="82">
        <f>IFERROR(__xludf.DUMMYFUNCTION("IF(OR(A561="""",D561="""",C561=""""),"""",IFERROR(MAX(0,C561-MAX(FILTER($C$2:$C561,TRIM($D$2:$D561)=TRIM(D561),(($A$2:$A561&lt;A561)+(($A$2:$A561=A561)*(ROW($A$2:$A561)&lt;ROW(A561))))))),""""))"),140.0)</f>
        <v>140</v>
      </c>
    </row>
    <row r="562" ht="22.5" customHeight="1">
      <c r="A562" s="78">
        <v>46121.0</v>
      </c>
      <c r="B562" s="7" t="s">
        <v>20</v>
      </c>
      <c r="C562" s="80">
        <v>17795.0</v>
      </c>
      <c r="D562" s="84" t="str">
        <f>IFERROR(VLOOKUP(B562,BASE_VEICULOS!$A:$B,2,0),"")</f>
        <v>TEW9A34</v>
      </c>
      <c r="E562" s="82">
        <f>IFERROR(__xludf.DUMMYFUNCTION("IF(OR(A562="""",D562="""",C562=""""),"""",IFERROR(MAX(0,C562-MAX(FILTER($C$2:$C562,TRIM($D$2:$D562)=TRIM(D562),(($A$2:$A562&lt;A562)+(($A$2:$A562=A562)*(ROW($A$2:$A562)&lt;ROW(A562))))))),""""))"),95.0)</f>
        <v>95</v>
      </c>
    </row>
    <row r="563" ht="22.5" customHeight="1">
      <c r="A563" s="78">
        <v>46121.0</v>
      </c>
      <c r="B563" s="7" t="s">
        <v>12</v>
      </c>
      <c r="C563" s="80">
        <v>91375.0</v>
      </c>
      <c r="D563" s="84" t="str">
        <f>IFERROR(VLOOKUP(B563,BASE_VEICULOS!$A:$B,2,0),"")</f>
        <v>FIL8C14</v>
      </c>
      <c r="E563" s="82">
        <f>IFERROR(__xludf.DUMMYFUNCTION("IF(OR(A563="""",D563="""",C563=""""),"""",IFERROR(MAX(0,C563-MAX(FILTER($C$2:$C563,TRIM($D$2:$D563)=TRIM(D563),(($A$2:$A563&lt;A563)+(($A$2:$A563=A563)*(ROW($A$2:$A563)&lt;ROW(A563))))))),""""))"),84.0)</f>
        <v>84</v>
      </c>
    </row>
    <row r="564" ht="22.5" customHeight="1">
      <c r="A564" s="78">
        <v>46121.0</v>
      </c>
      <c r="B564" s="7" t="s">
        <v>17</v>
      </c>
      <c r="C564" s="80">
        <v>16600.0</v>
      </c>
      <c r="D564" s="84" t="str">
        <f>IFERROR(VLOOKUP(B564,BASE_VEICULOS!$A:$B,2,0),"")</f>
        <v/>
      </c>
      <c r="E564" s="82" t="str">
        <f>IFERROR(__xludf.DUMMYFUNCTION("IF(OR(A564="""",D564="""",C564=""""),"""",IFERROR(MAX(0,C564-MAX(FILTER($C$2:$C564,TRIM($D$2:$D564)=TRIM(D564),(($A$2:$A564&lt;A564)+(($A$2:$A564=A564)*(ROW($A$2:$A564)&lt;ROW(A564))))))),""""))"),"")</f>
        <v/>
      </c>
    </row>
    <row r="565" ht="22.5" customHeight="1">
      <c r="A565" s="78">
        <v>46121.0</v>
      </c>
      <c r="B565" s="7" t="s">
        <v>13</v>
      </c>
      <c r="C565" s="80">
        <v>107484.0</v>
      </c>
      <c r="D565" s="84" t="str">
        <f>IFERROR(VLOOKUP(B565,BASE_VEICULOS!$A:$B,2,0),"")</f>
        <v>FGO3C61</v>
      </c>
      <c r="E565" s="82">
        <f>IFERROR(__xludf.DUMMYFUNCTION("IF(OR(A565="""",D565="""",C565=""""),"""",IFERROR(MAX(0,C565-MAX(FILTER($C$2:$C565,TRIM($D$2:$D565)=TRIM(D565),(($A$2:$A565&lt;A565)+(($A$2:$A565=A565)*(ROW($A$2:$A565)&lt;ROW(A565))))))),""""))"),145.0)</f>
        <v>145</v>
      </c>
    </row>
    <row r="566" ht="22.5" customHeight="1">
      <c r="A566" s="78">
        <v>46121.0</v>
      </c>
      <c r="B566" s="7" t="s">
        <v>14</v>
      </c>
      <c r="C566" s="80">
        <v>93456.0</v>
      </c>
      <c r="D566" s="84" t="str">
        <f>IFERROR(VLOOKUP(B566,BASE_VEICULOS!$A:$B,2,0),"")</f>
        <v>FOK8A73</v>
      </c>
      <c r="E566" s="82">
        <f>IFERROR(__xludf.DUMMYFUNCTION("IF(OR(A566="""",D566="""",C566=""""),"""",IFERROR(MAX(0,C566-MAX(FILTER($C$2:$C566,TRIM($D$2:$D566)=TRIM(D566),(($A$2:$A566&lt;A566)+(($A$2:$A566=A566)*(ROW($A$2:$A566)&lt;ROW(A566))))))),""""))"),126.0)</f>
        <v>126</v>
      </c>
    </row>
    <row r="567" ht="22.5" customHeight="1">
      <c r="A567" s="78">
        <v>46121.0</v>
      </c>
      <c r="B567" s="7" t="s">
        <v>18</v>
      </c>
      <c r="C567" s="80">
        <v>19633.0</v>
      </c>
      <c r="D567" s="84" t="str">
        <f>IFERROR(VLOOKUP(B567,BASE_VEICULOS!$A:$B,2,0),"")</f>
        <v>TEW9A29</v>
      </c>
      <c r="E567" s="82">
        <f>IFERROR(__xludf.DUMMYFUNCTION("IF(OR(A567="""",D567="""",C567=""""),"""",IFERROR(MAX(0,C567-MAX(FILTER($C$2:$C567,TRIM($D$2:$D567)=TRIM(D567),(($A$2:$A567&lt;A567)+(($A$2:$A567=A567)*(ROW($A$2:$A567)&lt;ROW(A567))))))),""""))"),36.0)</f>
        <v>36</v>
      </c>
    </row>
    <row r="568" ht="22.5" customHeight="1">
      <c r="A568" s="78">
        <v>46121.0</v>
      </c>
      <c r="B568" s="7" t="s">
        <v>21</v>
      </c>
      <c r="C568" s="80">
        <v>20673.0</v>
      </c>
      <c r="D568" s="84" t="str">
        <f>IFERROR(VLOOKUP(B568,BASE_VEICULOS!$A:$B,2,0),"")</f>
        <v>TEW9A33</v>
      </c>
      <c r="E568" s="82">
        <f>IFERROR(__xludf.DUMMYFUNCTION("IF(OR(A568="""",D568="""",C568=""""),"""",IFERROR(MAX(0,C568-MAX(FILTER($C$2:$C568,TRIM($D$2:$D568)=TRIM(D568),(($A$2:$A568&lt;A568)+(($A$2:$A568=A568)*(ROW($A$2:$A568)&lt;ROW(A568))))))),""""))"),155.0)</f>
        <v>155</v>
      </c>
    </row>
    <row r="569" ht="22.5" customHeight="1">
      <c r="A569" s="78">
        <v>46122.0</v>
      </c>
      <c r="B569" s="7" t="s">
        <v>21</v>
      </c>
      <c r="C569" s="80">
        <v>20798.0</v>
      </c>
      <c r="D569" s="84" t="str">
        <f>IFERROR(VLOOKUP(B569,BASE_VEICULOS!$A:$B,2,0),"")</f>
        <v>TEW9A33</v>
      </c>
      <c r="E569" s="82">
        <f>IFERROR(__xludf.DUMMYFUNCTION("IF(OR(A569="""",D569="""",C569=""""),"""",IFERROR(MAX(0,C569-MAX(FILTER($C$2:$C569,TRIM($D$2:$D569)=TRIM(D569),(($A$2:$A569&lt;A569)+(($A$2:$A569=A569)*(ROW($A$2:$A569)&lt;ROW(A569))))))),""""))"),125.0)</f>
        <v>125</v>
      </c>
    </row>
    <row r="570" ht="22.5" customHeight="1">
      <c r="A570" s="78">
        <v>46122.0</v>
      </c>
      <c r="B570" s="7" t="s">
        <v>20</v>
      </c>
      <c r="C570" s="80">
        <v>17920.0</v>
      </c>
      <c r="D570" s="84" t="str">
        <f>IFERROR(VLOOKUP(B570,BASE_VEICULOS!$A:$B,2,0),"")</f>
        <v>TEW9A34</v>
      </c>
      <c r="E570" s="82">
        <f>IFERROR(__xludf.DUMMYFUNCTION("IF(OR(A570="""",D570="""",C570=""""),"""",IFERROR(MAX(0,C570-MAX(FILTER($C$2:$C570,TRIM($D$2:$D570)=TRIM(D570),(($A$2:$A570&lt;A570)+(($A$2:$A570=A570)*(ROW($A$2:$A570)&lt;ROW(A570))))))),""""))"),125.0)</f>
        <v>125</v>
      </c>
    </row>
    <row r="571" ht="22.5" customHeight="1">
      <c r="A571" s="78">
        <v>46122.0</v>
      </c>
      <c r="B571" s="7" t="s">
        <v>25</v>
      </c>
      <c r="C571" s="80">
        <v>17935.0</v>
      </c>
      <c r="D571" s="84" t="str">
        <f>IFERROR(VLOOKUP(B571,BASE_VEICULOS!$A:$B,2,0),"")</f>
        <v>TEW9A26</v>
      </c>
      <c r="E571" s="82">
        <f>IFERROR(__xludf.DUMMYFUNCTION("IF(OR(A571="""",D571="""",C571=""""),"""",IFERROR(MAX(0,C571-MAX(FILTER($C$2:$C571,TRIM($D$2:$D571)=TRIM(D571),(($A$2:$A571&lt;A571)+(($A$2:$A571=A571)*(ROW($A$2:$A571)&lt;ROW(A571))))))),""""))"),635.0)</f>
        <v>635</v>
      </c>
    </row>
    <row r="572" ht="22.5" customHeight="1">
      <c r="A572" s="78">
        <v>46122.0</v>
      </c>
      <c r="B572" s="7" t="s">
        <v>16</v>
      </c>
      <c r="C572" s="80">
        <v>12498.0</v>
      </c>
      <c r="D572" s="84" t="str">
        <f>IFERROR(VLOOKUP(B572,BASE_VEICULOS!$A:$B,2,0),"")</f>
        <v>TEW9A27</v>
      </c>
      <c r="E572" s="82">
        <f>IFERROR(__xludf.DUMMYFUNCTION("IF(OR(A572="""",D572="""",C572=""""),"""",IFERROR(MAX(0,C572-MAX(FILTER($C$2:$C572,TRIM($D$2:$D572)=TRIM(D572),(($A$2:$A572&lt;A572)+(($A$2:$A572=A572)*(ROW($A$2:$A572)&lt;ROW(A572))))))),""""))"),168.0)</f>
        <v>168</v>
      </c>
    </row>
    <row r="573" ht="22.5" customHeight="1">
      <c r="A573" s="78">
        <v>46122.0</v>
      </c>
      <c r="B573" s="7" t="s">
        <v>10</v>
      </c>
      <c r="C573" s="80">
        <v>20169.0</v>
      </c>
      <c r="D573" s="84" t="str">
        <f>IFERROR(VLOOKUP(B573,BASE_VEICULOS!$A:$B,2,0),"")</f>
        <v>TEW9A25</v>
      </c>
      <c r="E573" s="82">
        <f>IFERROR(__xludf.DUMMYFUNCTION("IF(OR(A573="""",D573="""",C573=""""),"""",IFERROR(MAX(0,C573-MAX(FILTER($C$2:$C573,TRIM($D$2:$D573)=TRIM(D573),(($A$2:$A573&lt;A573)+(($A$2:$A573=A573)*(ROW($A$2:$A573)&lt;ROW(A573))))))),""""))"),360.0)</f>
        <v>360</v>
      </c>
    </row>
    <row r="574" ht="22.5" customHeight="1">
      <c r="A574" s="78">
        <v>46122.0</v>
      </c>
      <c r="B574" s="7" t="s">
        <v>23</v>
      </c>
      <c r="C574" s="80">
        <v>21003.0</v>
      </c>
      <c r="D574" s="84" t="str">
        <f>IFERROR(VLOOKUP(B574,BASE_VEICULOS!$A:$B,2,0),"")</f>
        <v>TEH3I02</v>
      </c>
      <c r="E574" s="82">
        <f>IFERROR(__xludf.DUMMYFUNCTION("IF(OR(A574="""",D574="""",C574=""""),"""",IFERROR(MAX(0,C574-MAX(FILTER($C$2:$C574,TRIM($D$2:$D574)=TRIM(D574),(($A$2:$A574&lt;A574)+(($A$2:$A574=A574)*(ROW($A$2:$A574)&lt;ROW(A574))))))),""""))"),472.0)</f>
        <v>472</v>
      </c>
    </row>
    <row r="575" ht="22.5" customHeight="1">
      <c r="A575" s="78">
        <v>46122.0</v>
      </c>
      <c r="B575" s="7" t="s">
        <v>34</v>
      </c>
      <c r="C575" s="80">
        <v>55535.0</v>
      </c>
      <c r="D575" s="84" t="str">
        <f>IFERROR(VLOOKUP(B575,BASE_VEICULOS!$A:$B,2,0),"")</f>
        <v>SRU8D16</v>
      </c>
      <c r="E575" s="82">
        <f>IFERROR(__xludf.DUMMYFUNCTION("IF(OR(A575="""",D575="""",C575=""""),"""",IFERROR(MAX(0,C575-MAX(FILTER($C$2:$C575,TRIM($D$2:$D575)=TRIM(D575),(($A$2:$A575&lt;A575)+(($A$2:$A575=A575)*(ROW($A$2:$A575)&lt;ROW(A575))))))),""""))"),405.0)</f>
        <v>405</v>
      </c>
    </row>
    <row r="576" ht="22.5" customHeight="1">
      <c r="A576" s="78">
        <v>46122.0</v>
      </c>
      <c r="B576" s="7" t="s">
        <v>14</v>
      </c>
      <c r="C576" s="80">
        <v>93577.0</v>
      </c>
      <c r="D576" s="84" t="str">
        <f>IFERROR(VLOOKUP(B576,BASE_VEICULOS!$A:$B,2,0),"")</f>
        <v>FOK8A73</v>
      </c>
      <c r="E576" s="82">
        <f>IFERROR(__xludf.DUMMYFUNCTION("IF(OR(A576="""",D576="""",C576=""""),"""",IFERROR(MAX(0,C576-MAX(FILTER($C$2:$C576,TRIM($D$2:$D576)=TRIM(D576),(($A$2:$A576&lt;A576)+(($A$2:$A576=A576)*(ROW($A$2:$A576)&lt;ROW(A576))))))),""""))"),121.0)</f>
        <v>121</v>
      </c>
    </row>
    <row r="577" ht="22.5" customHeight="1">
      <c r="A577" s="78">
        <v>46122.0</v>
      </c>
      <c r="B577" s="7" t="s">
        <v>13</v>
      </c>
      <c r="C577" s="80">
        <v>107699.0</v>
      </c>
      <c r="D577" s="84" t="str">
        <f>IFERROR(VLOOKUP(B577,BASE_VEICULOS!$A:$B,2,0),"")</f>
        <v>FGO3C61</v>
      </c>
      <c r="E577" s="82">
        <f>IFERROR(__xludf.DUMMYFUNCTION("IF(OR(A577="""",D577="""",C577=""""),"""",IFERROR(MAX(0,C577-MAX(FILTER($C$2:$C577,TRIM($D$2:$D577)=TRIM(D577),(($A$2:$A577&lt;A577)+(($A$2:$A577=A577)*(ROW($A$2:$A577)&lt;ROW(A577))))))),""""))"),215.0)</f>
        <v>215</v>
      </c>
    </row>
    <row r="578" ht="22.5" customHeight="1">
      <c r="A578" s="78">
        <v>46122.0</v>
      </c>
      <c r="B578" s="7" t="s">
        <v>33</v>
      </c>
      <c r="C578" s="80">
        <v>70918.0</v>
      </c>
      <c r="D578" s="84" t="str">
        <f>IFERROR(VLOOKUP(B578,BASE_VEICULOS!$A:$B,2,0),"")</f>
        <v>TEW9A30</v>
      </c>
      <c r="E578" s="82">
        <f>IFERROR(__xludf.DUMMYFUNCTION("IF(OR(A578="""",D578="""",C578=""""),"""",IFERROR(MAX(0,C578-MAX(FILTER($C$2:$C578,TRIM($D$2:$D578)=TRIM(D578),(($A$2:$A578&lt;A578)+(($A$2:$A578=A578)*(ROW($A$2:$A578)&lt;ROW(A578))))))),""""))"),417.0)</f>
        <v>417</v>
      </c>
    </row>
    <row r="579" ht="22.5" customHeight="1">
      <c r="A579" s="78">
        <v>46122.0</v>
      </c>
      <c r="B579" s="7" t="s">
        <v>18</v>
      </c>
      <c r="C579" s="80">
        <v>19879.0</v>
      </c>
      <c r="D579" s="84" t="str">
        <f>IFERROR(VLOOKUP(B579,BASE_VEICULOS!$A:$B,2,0),"")</f>
        <v>TEW9A29</v>
      </c>
      <c r="E579" s="82">
        <f>IFERROR(__xludf.DUMMYFUNCTION("IF(OR(A579="""",D579="""",C579=""""),"""",IFERROR(MAX(0,C579-MAX(FILTER($C$2:$C579,TRIM($D$2:$D579)=TRIM(D579),(($A$2:$A579&lt;A579)+(($A$2:$A579=A579)*(ROW($A$2:$A579)&lt;ROW(A579))))))),""""))"),246.0)</f>
        <v>246</v>
      </c>
    </row>
    <row r="580" ht="22.5" customHeight="1">
      <c r="A580" s="78">
        <v>46122.0</v>
      </c>
      <c r="B580" s="7" t="s">
        <v>15</v>
      </c>
      <c r="C580" s="80">
        <v>109741.0</v>
      </c>
      <c r="D580" s="84" t="str">
        <f>IFERROR(VLOOKUP(B580,BASE_VEICULOS!$A:$B,2,0),"")</f>
        <v>EWH1B84</v>
      </c>
      <c r="E580" s="82">
        <f>IFERROR(__xludf.DUMMYFUNCTION("IF(OR(A580="""",D580="""",C580=""""),"""",IFERROR(MAX(0,C580-MAX(FILTER($C$2:$C580,TRIM($D$2:$D580)=TRIM(D580),(($A$2:$A580&lt;A580)+(($A$2:$A580=A580)*(ROW($A$2:$A580)&lt;ROW(A580))))))),""""))"),77.0)</f>
        <v>77</v>
      </c>
    </row>
    <row r="581" ht="22.5" customHeight="1">
      <c r="A581" s="78">
        <v>46122.0</v>
      </c>
      <c r="B581" s="7" t="s">
        <v>29</v>
      </c>
      <c r="C581" s="80">
        <v>77603.0</v>
      </c>
      <c r="D581" s="84" t="str">
        <f>IFERROR(VLOOKUP(B581,BASE_VEICULOS!$A:$B,2,0),"")</f>
        <v>TEQ2I74</v>
      </c>
      <c r="E581" s="82">
        <f>IFERROR(__xludf.DUMMYFUNCTION("IF(OR(A581="""",D581="""",C581=""""),"""",IFERROR(MAX(0,C581-MAX(FILTER($C$2:$C581,TRIM($D$2:$D581)=TRIM(D581),(($A$2:$A581&lt;A581)+(($A$2:$A581=A581)*(ROW($A$2:$A581)&lt;ROW(A581))))))),""""))"),394.0)</f>
        <v>394</v>
      </c>
    </row>
    <row r="582" ht="22.5" customHeight="1">
      <c r="A582" s="78">
        <v>46122.0</v>
      </c>
      <c r="B582" s="7" t="s">
        <v>17</v>
      </c>
      <c r="C582" s="80">
        <v>16713.0</v>
      </c>
      <c r="D582" s="84" t="str">
        <f>IFERROR(VLOOKUP(B582,BASE_VEICULOS!$A:$B,2,0),"")</f>
        <v/>
      </c>
      <c r="E582" s="82" t="str">
        <f>IFERROR(__xludf.DUMMYFUNCTION("IF(OR(A582="""",D582="""",C582=""""),"""",IFERROR(MAX(0,C582-MAX(FILTER($C$2:$C582,TRIM($D$2:$D582)=TRIM(D582),(($A$2:$A582&lt;A582)+(($A$2:$A582=A582)*(ROW($A$2:$A582)&lt;ROW(A582))))))),""""))"),"")</f>
        <v/>
      </c>
    </row>
    <row r="583" ht="22.5" customHeight="1">
      <c r="A583" s="78">
        <v>46123.0</v>
      </c>
      <c r="B583" s="7" t="s">
        <v>23</v>
      </c>
      <c r="C583" s="80">
        <v>21031.0</v>
      </c>
      <c r="D583" s="84" t="str">
        <f>IFERROR(VLOOKUP(B583,BASE_VEICULOS!$A:$B,2,0),"")</f>
        <v>TEH3I02</v>
      </c>
      <c r="E583" s="82">
        <f>IFERROR(__xludf.DUMMYFUNCTION("IF(OR(A583="""",D583="""",C583=""""),"""",IFERROR(MAX(0,C583-MAX(FILTER($C$2:$C583,TRIM($D$2:$D583)=TRIM(D583),(($A$2:$A583&lt;A583)+(($A$2:$A583=A583)*(ROW($A$2:$A583)&lt;ROW(A583))))))),""""))"),28.0)</f>
        <v>28</v>
      </c>
    </row>
    <row r="584" ht="22.5" customHeight="1">
      <c r="A584" s="78">
        <v>46123.0</v>
      </c>
      <c r="B584" s="7" t="s">
        <v>29</v>
      </c>
      <c r="C584" s="80">
        <v>77754.0</v>
      </c>
      <c r="D584" s="84" t="str">
        <f>IFERROR(VLOOKUP(B584,BASE_VEICULOS!$A:$B,2,0),"")</f>
        <v>TEQ2I74</v>
      </c>
      <c r="E584" s="82">
        <f>IFERROR(__xludf.DUMMYFUNCTION("IF(OR(A584="""",D584="""",C584=""""),"""",IFERROR(MAX(0,C584-MAX(FILTER($C$2:$C584,TRIM($D$2:$D584)=TRIM(D584),(($A$2:$A584&lt;A584)+(($A$2:$A584=A584)*(ROW($A$2:$A584)&lt;ROW(A584))))))),""""))"),151.0)</f>
        <v>151</v>
      </c>
    </row>
    <row r="585" ht="22.5" customHeight="1">
      <c r="A585" s="78">
        <v>46123.0</v>
      </c>
      <c r="B585" s="7" t="s">
        <v>12</v>
      </c>
      <c r="C585" s="80">
        <v>91694.0</v>
      </c>
      <c r="D585" s="84" t="str">
        <f>IFERROR(VLOOKUP(B585,BASE_VEICULOS!$A:$B,2,0),"")</f>
        <v>FIL8C14</v>
      </c>
      <c r="E585" s="82">
        <f>IFERROR(__xludf.DUMMYFUNCTION("IF(OR(A585="""",D585="""",C585=""""),"""",IFERROR(MAX(0,C585-MAX(FILTER($C$2:$C585,TRIM($D$2:$D585)=TRIM(D585),(($A$2:$A585&lt;A585)+(($A$2:$A585=A585)*(ROW($A$2:$A585)&lt;ROW(A585))))))),""""))"),319.0)</f>
        <v>319</v>
      </c>
    </row>
    <row r="586" ht="22.5" customHeight="1">
      <c r="A586" s="78">
        <v>46124.0</v>
      </c>
      <c r="B586" s="7" t="s">
        <v>29</v>
      </c>
      <c r="C586" s="80">
        <v>77935.0</v>
      </c>
      <c r="D586" s="84" t="str">
        <f>IFERROR(VLOOKUP(B586,BASE_VEICULOS!$A:$B,2,0),"")</f>
        <v>TEQ2I74</v>
      </c>
      <c r="E586" s="82">
        <f>IFERROR(__xludf.DUMMYFUNCTION("IF(OR(A586="""",D586="""",C586=""""),"""",IFERROR(MAX(0,C586-MAX(FILTER($C$2:$C586,TRIM($D$2:$D586)=TRIM(D586),(($A$2:$A586&lt;A586)+(($A$2:$A586=A586)*(ROW($A$2:$A586)&lt;ROW(A586))))))),""""))"),181.0)</f>
        <v>181</v>
      </c>
    </row>
    <row r="587" ht="22.5" customHeight="1">
      <c r="A587" s="78">
        <v>46124.0</v>
      </c>
      <c r="B587" s="7" t="s">
        <v>12</v>
      </c>
      <c r="C587" s="80">
        <v>91859.0</v>
      </c>
      <c r="D587" s="84" t="str">
        <f>IFERROR(VLOOKUP(B587,BASE_VEICULOS!$A:$B,2,0),"")</f>
        <v>FIL8C14</v>
      </c>
      <c r="E587" s="82">
        <f>IFERROR(__xludf.DUMMYFUNCTION("IF(OR(A587="""",D587="""",C587=""""),"""",IFERROR(MAX(0,C587-MAX(FILTER($C$2:$C587,TRIM($D$2:$D587)=TRIM(D587),(($A$2:$A587&lt;A587)+(($A$2:$A587=A587)*(ROW($A$2:$A587)&lt;ROW(A587))))))),""""))"),165.0)</f>
        <v>165</v>
      </c>
    </row>
    <row r="588" ht="22.5" customHeight="1">
      <c r="A588" s="78">
        <v>46125.0</v>
      </c>
      <c r="B588" s="7" t="s">
        <v>25</v>
      </c>
      <c r="C588" s="80">
        <v>18172.0</v>
      </c>
      <c r="D588" s="84" t="str">
        <f>IFERROR(VLOOKUP(B588,BASE_VEICULOS!$A:$B,2,0),"")</f>
        <v>TEW9A26</v>
      </c>
      <c r="E588" s="82">
        <f>IFERROR(__xludf.DUMMYFUNCTION("IF(OR(A588="""",D588="""",C588=""""),"""",IFERROR(MAX(0,C588-MAX(FILTER($C$2:$C588,TRIM($D$2:$D588)=TRIM(D588),(($A$2:$A588&lt;A588)+(($A$2:$A588=A588)*(ROW($A$2:$A588)&lt;ROW(A588))))))),""""))"),237.0)</f>
        <v>237</v>
      </c>
    </row>
    <row r="589" ht="22.5" customHeight="1">
      <c r="A589" s="78">
        <v>46125.0</v>
      </c>
      <c r="B589" s="7" t="s">
        <v>20</v>
      </c>
      <c r="C589" s="80">
        <v>18052.0</v>
      </c>
      <c r="D589" s="84" t="str">
        <f>IFERROR(VLOOKUP(B589,BASE_VEICULOS!$A:$B,2,0),"")</f>
        <v>TEW9A34</v>
      </c>
      <c r="E589" s="82">
        <f>IFERROR(__xludf.DUMMYFUNCTION("IF(OR(A589="""",D589="""",C589=""""),"""",IFERROR(MAX(0,C589-MAX(FILTER($C$2:$C589,TRIM($D$2:$D589)=TRIM(D589),(($A$2:$A589&lt;A589)+(($A$2:$A589=A589)*(ROW($A$2:$A589)&lt;ROW(A589))))))),""""))"),132.0)</f>
        <v>132</v>
      </c>
    </row>
    <row r="590" ht="22.5" customHeight="1">
      <c r="A590" s="78">
        <v>46125.0</v>
      </c>
      <c r="B590" s="7" t="s">
        <v>19</v>
      </c>
      <c r="C590" s="80">
        <v>21718.0</v>
      </c>
      <c r="D590" s="84" t="str">
        <f>IFERROR(VLOOKUP(B590,BASE_VEICULOS!$A:$B,2,0),"")</f>
        <v>TEW9A24</v>
      </c>
      <c r="E590" s="82">
        <f>IFERROR(__xludf.DUMMYFUNCTION("IF(OR(A590="""",D590="""",C590=""""),"""",IFERROR(MAX(0,C590-MAX(FILTER($C$2:$C590,TRIM($D$2:$D590)=TRIM(D590),(($A$2:$A590&lt;A590)+(($A$2:$A590=A590)*(ROW($A$2:$A590)&lt;ROW(A590))))))),""""))"),578.0)</f>
        <v>578</v>
      </c>
    </row>
    <row r="591" ht="22.5" customHeight="1">
      <c r="A591" s="78">
        <v>46125.0</v>
      </c>
      <c r="B591" s="7" t="s">
        <v>16</v>
      </c>
      <c r="C591" s="80">
        <v>12828.0</v>
      </c>
      <c r="D591" s="84" t="str">
        <f>IFERROR(VLOOKUP(B591,BASE_VEICULOS!$A:$B,2,0),"")</f>
        <v>TEW9A27</v>
      </c>
      <c r="E591" s="82">
        <f>IFERROR(__xludf.DUMMYFUNCTION("IF(OR(A591="""",D591="""",C591=""""),"""",IFERROR(MAX(0,C591-MAX(FILTER($C$2:$C591,TRIM($D$2:$D591)=TRIM(D591),(($A$2:$A591&lt;A591)+(($A$2:$A591=A591)*(ROW($A$2:$A591)&lt;ROW(A591))))))),""""))"),330.0)</f>
        <v>330</v>
      </c>
    </row>
    <row r="592" ht="22.5" customHeight="1">
      <c r="A592" s="78">
        <v>46125.0</v>
      </c>
      <c r="B592" s="7" t="s">
        <v>10</v>
      </c>
      <c r="C592" s="80">
        <v>20457.0</v>
      </c>
      <c r="D592" s="84" t="str">
        <f>IFERROR(VLOOKUP(B592,BASE_VEICULOS!$A:$B,2,0),"")</f>
        <v>TEW9A25</v>
      </c>
      <c r="E592" s="82">
        <f>IFERROR(__xludf.DUMMYFUNCTION("IF(OR(A592="""",D592="""",C592=""""),"""",IFERROR(MAX(0,C592-MAX(FILTER($C$2:$C592,TRIM($D$2:$D592)=TRIM(D592),(($A$2:$A592&lt;A592)+(($A$2:$A592=A592)*(ROW($A$2:$A592)&lt;ROW(A592))))))),""""))"),288.0)</f>
        <v>288</v>
      </c>
    </row>
    <row r="593" ht="22.5" customHeight="1">
      <c r="A593" s="78">
        <v>46125.0</v>
      </c>
      <c r="B593" s="7" t="s">
        <v>33</v>
      </c>
      <c r="C593" s="80">
        <v>71093.0</v>
      </c>
      <c r="D593" s="84" t="str">
        <f>IFERROR(VLOOKUP(B593,BASE_VEICULOS!$A:$B,2,0),"")</f>
        <v>TEW9A30</v>
      </c>
      <c r="E593" s="82">
        <f>IFERROR(__xludf.DUMMYFUNCTION("IF(OR(A593="""",D593="""",C593=""""),"""",IFERROR(MAX(0,C593-MAX(FILTER($C$2:$C593,TRIM($D$2:$D593)=TRIM(D593),(($A$2:$A593&lt;A593)+(($A$2:$A593=A593)*(ROW($A$2:$A593)&lt;ROW(A593))))))),""""))"),175.0)</f>
        <v>175</v>
      </c>
    </row>
    <row r="594" ht="22.5" customHeight="1">
      <c r="A594" s="78">
        <v>46125.0</v>
      </c>
      <c r="B594" s="7" t="s">
        <v>34</v>
      </c>
      <c r="C594" s="80">
        <v>55765.0</v>
      </c>
      <c r="D594" s="84" t="str">
        <f>IFERROR(VLOOKUP(B594,BASE_VEICULOS!$A:$B,2,0),"")</f>
        <v>SRU8D16</v>
      </c>
      <c r="E594" s="82">
        <f>IFERROR(__xludf.DUMMYFUNCTION("IF(OR(A594="""",D594="""",C594=""""),"""",IFERROR(MAX(0,C594-MAX(FILTER($C$2:$C594,TRIM($D$2:$D594)=TRIM(D594),(($A$2:$A594&lt;A594)+(($A$2:$A594=A594)*(ROW($A$2:$A594)&lt;ROW(A594))))))),""""))"),230.0)</f>
        <v>230</v>
      </c>
    </row>
    <row r="595" ht="22.5" customHeight="1">
      <c r="A595" s="78">
        <v>46125.0</v>
      </c>
      <c r="B595" s="7" t="s">
        <v>30</v>
      </c>
      <c r="C595" s="80">
        <v>21613.0</v>
      </c>
      <c r="D595" s="84" t="str">
        <f>IFERROR(VLOOKUP(B595,BASE_VEICULOS!$A:$B,2,0),"")</f>
        <v/>
      </c>
      <c r="E595" s="82" t="str">
        <f>IFERROR(__xludf.DUMMYFUNCTION("IF(OR(A595="""",D595="""",C595=""""),"""",IFERROR(MAX(0,C595-MAX(FILTER($C$2:$C595,TRIM($D$2:$D595)=TRIM(D595),(($A$2:$A595&lt;A595)+(($A$2:$A595=A595)*(ROW($A$2:$A595)&lt;ROW(A595))))))),""""))"),"")</f>
        <v/>
      </c>
    </row>
    <row r="596" ht="22.5" customHeight="1">
      <c r="A596" s="78">
        <v>46125.0</v>
      </c>
      <c r="B596" s="7" t="s">
        <v>21</v>
      </c>
      <c r="C596" s="80">
        <v>20906.0</v>
      </c>
      <c r="D596" s="84" t="str">
        <f>IFERROR(VLOOKUP(B596,BASE_VEICULOS!$A:$B,2,0),"")</f>
        <v>TEW9A33</v>
      </c>
      <c r="E596" s="82">
        <f>IFERROR(__xludf.DUMMYFUNCTION("IF(OR(A596="""",D596="""",C596=""""),"""",IFERROR(MAX(0,C596-MAX(FILTER($C$2:$C596,TRIM($D$2:$D596)=TRIM(D596),(($A$2:$A596&lt;A596)+(($A$2:$A596=A596)*(ROW($A$2:$A596)&lt;ROW(A596))))))),""""))"),108.0)</f>
        <v>108</v>
      </c>
    </row>
    <row r="597" ht="22.5" customHeight="1">
      <c r="A597" s="78">
        <v>46125.0</v>
      </c>
      <c r="B597" s="7" t="s">
        <v>18</v>
      </c>
      <c r="C597" s="80">
        <v>20047.0</v>
      </c>
      <c r="D597" s="84" t="str">
        <f>IFERROR(VLOOKUP(B597,BASE_VEICULOS!$A:$B,2,0),"")</f>
        <v>TEW9A29</v>
      </c>
      <c r="E597" s="82">
        <f>IFERROR(__xludf.DUMMYFUNCTION("IF(OR(A597="""",D597="""",C597=""""),"""",IFERROR(MAX(0,C597-MAX(FILTER($C$2:$C597,TRIM($D$2:$D597)=TRIM(D597),(($A$2:$A597&lt;A597)+(($A$2:$A597=A597)*(ROW($A$2:$A597)&lt;ROW(A597))))))),""""))"),168.0)</f>
        <v>168</v>
      </c>
    </row>
    <row r="598" ht="22.5" customHeight="1">
      <c r="A598" s="78">
        <v>46125.0</v>
      </c>
      <c r="B598" s="7" t="s">
        <v>17</v>
      </c>
      <c r="C598" s="80">
        <v>16907.0</v>
      </c>
      <c r="D598" s="84" t="str">
        <f>IFERROR(VLOOKUP(B598,BASE_VEICULOS!$A:$B,2,0),"")</f>
        <v/>
      </c>
      <c r="E598" s="82" t="str">
        <f>IFERROR(__xludf.DUMMYFUNCTION("IF(OR(A598="""",D598="""",C598=""""),"""",IFERROR(MAX(0,C598-MAX(FILTER($C$2:$C598,TRIM($D$2:$D598)=TRIM(D598),(($A$2:$A598&lt;A598)+(($A$2:$A598=A598)*(ROW($A$2:$A598)&lt;ROW(A598))))))),""""))"),"")</f>
        <v/>
      </c>
    </row>
    <row r="599" ht="22.5" customHeight="1">
      <c r="A599" s="78">
        <v>46125.0</v>
      </c>
      <c r="B599" s="7" t="s">
        <v>29</v>
      </c>
      <c r="C599" s="80">
        <v>78101.0</v>
      </c>
      <c r="D599" s="84" t="str">
        <f>IFERROR(VLOOKUP(B599,BASE_VEICULOS!$A:$B,2,0),"")</f>
        <v>TEQ2I74</v>
      </c>
      <c r="E599" s="82">
        <f>IFERROR(__xludf.DUMMYFUNCTION("IF(OR(A599="""",D599="""",C599=""""),"""",IFERROR(MAX(0,C599-MAX(FILTER($C$2:$C599,TRIM($D$2:$D599)=TRIM(D599),(($A$2:$A599&lt;A599)+(($A$2:$A599=A599)*(ROW($A$2:$A599)&lt;ROW(A599))))))),""""))"),166.0)</f>
        <v>166</v>
      </c>
    </row>
    <row r="600" ht="22.5" customHeight="1">
      <c r="A600" s="78">
        <v>46125.0</v>
      </c>
      <c r="B600" s="7" t="s">
        <v>14</v>
      </c>
      <c r="C600" s="80">
        <v>93763.0</v>
      </c>
      <c r="D600" s="84" t="str">
        <f>IFERROR(VLOOKUP(B600,BASE_VEICULOS!$A:$B,2,0),"")</f>
        <v>FOK8A73</v>
      </c>
      <c r="E600" s="82">
        <f>IFERROR(__xludf.DUMMYFUNCTION("IF(OR(A600="""",D600="""",C600=""""),"""",IFERROR(MAX(0,C600-MAX(FILTER($C$2:$C600,TRIM($D$2:$D600)=TRIM(D600),(($A$2:$A600&lt;A600)+(($A$2:$A600=A600)*(ROW($A$2:$A600)&lt;ROW(A600))))))),""""))"),186.0)</f>
        <v>186</v>
      </c>
    </row>
    <row r="601" ht="22.5" customHeight="1">
      <c r="A601" s="78">
        <v>46125.0</v>
      </c>
      <c r="B601" s="7" t="s">
        <v>15</v>
      </c>
      <c r="C601" s="80">
        <v>109852.0</v>
      </c>
      <c r="D601" s="84" t="str">
        <f>IFERROR(VLOOKUP(B601,BASE_VEICULOS!$A:$B,2,0),"")</f>
        <v>EWH1B84</v>
      </c>
      <c r="E601" s="82">
        <f>IFERROR(__xludf.DUMMYFUNCTION("IF(OR(A601="""",D601="""",C601=""""),"""",IFERROR(MAX(0,C601-MAX(FILTER($C$2:$C601,TRIM($D$2:$D601)=TRIM(D601),(($A$2:$A601&lt;A601)+(($A$2:$A601=A601)*(ROW($A$2:$A601)&lt;ROW(A601))))))),""""))"),111.0)</f>
        <v>111</v>
      </c>
    </row>
    <row r="602" ht="22.5" customHeight="1">
      <c r="A602" s="78">
        <v>46125.0</v>
      </c>
      <c r="B602" s="7" t="s">
        <v>29</v>
      </c>
      <c r="C602" s="80">
        <v>78109.0</v>
      </c>
      <c r="D602" s="84" t="str">
        <f>IFERROR(VLOOKUP(B602,BASE_VEICULOS!$A:$B,2,0),"")</f>
        <v>TEQ2I74</v>
      </c>
      <c r="E602" s="82">
        <f>IFERROR(__xludf.DUMMYFUNCTION("IF(OR(A602="""",D602="""",C602=""""),"""",IFERROR(MAX(0,C602-MAX(FILTER($C$2:$C602,TRIM($D$2:$D602)=TRIM(D602),(($A$2:$A602&lt;A602)+(($A$2:$A602=A602)*(ROW($A$2:$A602)&lt;ROW(A602))))))),""""))"),8.0)</f>
        <v>8</v>
      </c>
    </row>
    <row r="603" ht="22.5" customHeight="1">
      <c r="A603" s="78">
        <v>46125.0</v>
      </c>
      <c r="B603" s="7" t="s">
        <v>12</v>
      </c>
      <c r="C603" s="80">
        <v>91974.0</v>
      </c>
      <c r="D603" s="84" t="str">
        <f>IFERROR(VLOOKUP(B603,BASE_VEICULOS!$A:$B,2,0),"")</f>
        <v>FIL8C14</v>
      </c>
      <c r="E603" s="82">
        <f>IFERROR(__xludf.DUMMYFUNCTION("IF(OR(A603="""",D603="""",C603=""""),"""",IFERROR(MAX(0,C603-MAX(FILTER($C$2:$C603,TRIM($D$2:$D603)=TRIM(D603),(($A$2:$A603&lt;A603)+(($A$2:$A603=A603)*(ROW($A$2:$A603)&lt;ROW(A603))))))),""""))"),115.0)</f>
        <v>115</v>
      </c>
    </row>
    <row r="604" ht="22.5" customHeight="1">
      <c r="A604" s="78">
        <v>46125.0</v>
      </c>
      <c r="B604" s="7" t="s">
        <v>13</v>
      </c>
      <c r="C604" s="80">
        <v>107808.0</v>
      </c>
      <c r="D604" s="84" t="str">
        <f>IFERROR(VLOOKUP(B604,BASE_VEICULOS!$A:$B,2,0),"")</f>
        <v>FGO3C61</v>
      </c>
      <c r="E604" s="82">
        <f>IFERROR(__xludf.DUMMYFUNCTION("IF(OR(A604="""",D604="""",C604=""""),"""",IFERROR(MAX(0,C604-MAX(FILTER($C$2:$C604,TRIM($D$2:$D604)=TRIM(D604),(($A$2:$A604&lt;A604)+(($A$2:$A604=A604)*(ROW($A$2:$A604)&lt;ROW(A604))))))),""""))"),109.0)</f>
        <v>109</v>
      </c>
    </row>
    <row r="605" ht="22.5" customHeight="1">
      <c r="A605" s="78">
        <v>46126.0</v>
      </c>
      <c r="B605" s="7" t="s">
        <v>21</v>
      </c>
      <c r="C605" s="80">
        <v>20952.0</v>
      </c>
      <c r="D605" s="84" t="str">
        <f>IFERROR(VLOOKUP(B605,BASE_VEICULOS!$A:$B,2,0),"")</f>
        <v>TEW9A33</v>
      </c>
      <c r="E605" s="82">
        <f>IFERROR(__xludf.DUMMYFUNCTION("IF(OR(A605="""",D605="""",C605=""""),"""",IFERROR(MAX(0,C605-MAX(FILTER($C$2:$C605,TRIM($D$2:$D605)=TRIM(D605),(($A$2:$A605&lt;A605)+(($A$2:$A605=A605)*(ROW($A$2:$A605)&lt;ROW(A605))))))),""""))"),46.0)</f>
        <v>46</v>
      </c>
    </row>
    <row r="606" ht="22.5" customHeight="1">
      <c r="A606" s="78">
        <v>46126.0</v>
      </c>
      <c r="B606" s="7" t="s">
        <v>10</v>
      </c>
      <c r="C606" s="80">
        <v>20601.0</v>
      </c>
      <c r="D606" s="84" t="str">
        <f>IFERROR(VLOOKUP(B606,BASE_VEICULOS!$A:$B,2,0),"")</f>
        <v>TEW9A25</v>
      </c>
      <c r="E606" s="82">
        <f>IFERROR(__xludf.DUMMYFUNCTION("IF(OR(A606="""",D606="""",C606=""""),"""",IFERROR(MAX(0,C606-MAX(FILTER($C$2:$C606,TRIM($D$2:$D606)=TRIM(D606),(($A$2:$A606&lt;A606)+(($A$2:$A606=A606)*(ROW($A$2:$A606)&lt;ROW(A606))))))),""""))"),144.0)</f>
        <v>144</v>
      </c>
    </row>
    <row r="607" ht="22.5" customHeight="1">
      <c r="A607" s="78">
        <v>46126.0</v>
      </c>
      <c r="B607" s="7" t="s">
        <v>14</v>
      </c>
      <c r="C607" s="80">
        <v>93928.0</v>
      </c>
      <c r="D607" s="84" t="str">
        <f>IFERROR(VLOOKUP(B607,BASE_VEICULOS!$A:$B,2,0),"")</f>
        <v>FOK8A73</v>
      </c>
      <c r="E607" s="82">
        <f>IFERROR(__xludf.DUMMYFUNCTION("IF(OR(A607="""",D607="""",C607=""""),"""",IFERROR(MAX(0,C607-MAX(FILTER($C$2:$C607,TRIM($D$2:$D607)=TRIM(D607),(($A$2:$A607&lt;A607)+(($A$2:$A607=A607)*(ROW($A$2:$A607)&lt;ROW(A607))))))),""""))"),165.0)</f>
        <v>165</v>
      </c>
    </row>
    <row r="608" ht="22.5" customHeight="1">
      <c r="A608" s="78">
        <v>46126.0</v>
      </c>
      <c r="B608" s="7" t="s">
        <v>34</v>
      </c>
      <c r="C608" s="80">
        <v>55955.0</v>
      </c>
      <c r="D608" s="84" t="str">
        <f>IFERROR(VLOOKUP(B608,BASE_VEICULOS!$A:$B,2,0),"")</f>
        <v>SRU8D16</v>
      </c>
      <c r="E608" s="82">
        <f>IFERROR(__xludf.DUMMYFUNCTION("IF(OR(A608="""",D608="""",C608=""""),"""",IFERROR(MAX(0,C608-MAX(FILTER($C$2:$C608,TRIM($D$2:$D608)=TRIM(D608),(($A$2:$A608&lt;A608)+(($A$2:$A608=A608)*(ROW($A$2:$A608)&lt;ROW(A608))))))),""""))"),190.0)</f>
        <v>190</v>
      </c>
    </row>
    <row r="609" ht="22.5" customHeight="1">
      <c r="A609" s="78">
        <v>46126.0</v>
      </c>
      <c r="B609" s="7" t="s">
        <v>29</v>
      </c>
      <c r="C609" s="80">
        <v>78250.0</v>
      </c>
      <c r="D609" s="84" t="str">
        <f>IFERROR(VLOOKUP(B609,BASE_VEICULOS!$A:$B,2,0),"")</f>
        <v>TEQ2I74</v>
      </c>
      <c r="E609" s="82">
        <f>IFERROR(__xludf.DUMMYFUNCTION("IF(OR(A609="""",D609="""",C609=""""),"""",IFERROR(MAX(0,C609-MAX(FILTER($C$2:$C609,TRIM($D$2:$D609)=TRIM(D609),(($A$2:$A609&lt;A609)+(($A$2:$A609=A609)*(ROW($A$2:$A609)&lt;ROW(A609))))))),""""))"),141.0)</f>
        <v>141</v>
      </c>
    </row>
    <row r="610" ht="22.5" customHeight="1">
      <c r="A610" s="78">
        <v>46126.0</v>
      </c>
      <c r="B610" s="7" t="s">
        <v>15</v>
      </c>
      <c r="C610" s="80">
        <v>109990.0</v>
      </c>
      <c r="D610" s="84" t="str">
        <f>IFERROR(VLOOKUP(B610,BASE_VEICULOS!$A:$B,2,0),"")</f>
        <v>EWH1B84</v>
      </c>
      <c r="E610" s="82">
        <f>IFERROR(__xludf.DUMMYFUNCTION("IF(OR(A610="""",D610="""",C610=""""),"""",IFERROR(MAX(0,C610-MAX(FILTER($C$2:$C610,TRIM($D$2:$D610)=TRIM(D610),(($A$2:$A610&lt;A610)+(($A$2:$A610=A610)*(ROW($A$2:$A610)&lt;ROW(A610))))))),""""))"),138.0)</f>
        <v>138</v>
      </c>
    </row>
    <row r="611" ht="22.5" customHeight="1">
      <c r="A611" s="78">
        <v>46126.0</v>
      </c>
      <c r="B611" s="7" t="s">
        <v>12</v>
      </c>
      <c r="C611" s="80">
        <v>92071.0</v>
      </c>
      <c r="D611" s="84" t="str">
        <f>IFERROR(VLOOKUP(B611,BASE_VEICULOS!$A:$B,2,0),"")</f>
        <v>FIL8C14</v>
      </c>
      <c r="E611" s="82">
        <f>IFERROR(__xludf.DUMMYFUNCTION("IF(OR(A611="""",D611="""",C611=""""),"""",IFERROR(MAX(0,C611-MAX(FILTER($C$2:$C611,TRIM($D$2:$D611)=TRIM(D611),(($A$2:$A611&lt;A611)+(($A$2:$A611=A611)*(ROW($A$2:$A611)&lt;ROW(A611))))))),""""))"),97.0)</f>
        <v>97</v>
      </c>
    </row>
    <row r="612" ht="22.5" customHeight="1">
      <c r="A612" s="78">
        <v>46126.0</v>
      </c>
      <c r="B612" s="7" t="s">
        <v>18</v>
      </c>
      <c r="C612" s="80">
        <v>20244.0</v>
      </c>
      <c r="D612" s="84" t="str">
        <f>IFERROR(VLOOKUP(B612,BASE_VEICULOS!$A:$B,2,0),"")</f>
        <v>TEW9A29</v>
      </c>
      <c r="E612" s="82">
        <f>IFERROR(__xludf.DUMMYFUNCTION("IF(OR(A612="""",D612="""",C612=""""),"""",IFERROR(MAX(0,C612-MAX(FILTER($C$2:$C612,TRIM($D$2:$D612)=TRIM(D612),(($A$2:$A612&lt;A612)+(($A$2:$A612=A612)*(ROW($A$2:$A612)&lt;ROW(A612))))))),""""))"),197.0)</f>
        <v>197</v>
      </c>
    </row>
    <row r="613" ht="22.5" customHeight="1">
      <c r="A613" s="78">
        <v>46126.0</v>
      </c>
      <c r="B613" s="7" t="s">
        <v>33</v>
      </c>
      <c r="C613" s="80">
        <v>71308.0</v>
      </c>
      <c r="D613" s="84" t="str">
        <f>IFERROR(VLOOKUP(B613,BASE_VEICULOS!$A:$B,2,0),"")</f>
        <v>TEW9A30</v>
      </c>
      <c r="E613" s="82">
        <f>IFERROR(__xludf.DUMMYFUNCTION("IF(OR(A613="""",D613="""",C613=""""),"""",IFERROR(MAX(0,C613-MAX(FILTER($C$2:$C613,TRIM($D$2:$D613)=TRIM(D613),(($A$2:$A613&lt;A613)+(($A$2:$A613=A613)*(ROW($A$2:$A613)&lt;ROW(A613))))))),""""))"),215.0)</f>
        <v>215</v>
      </c>
    </row>
    <row r="614" ht="22.5" customHeight="1">
      <c r="A614" s="78">
        <v>46126.0</v>
      </c>
      <c r="B614" s="7" t="s">
        <v>22</v>
      </c>
      <c r="C614" s="80">
        <v>32500.0</v>
      </c>
      <c r="D614" s="84" t="str">
        <f>IFERROR(VLOOKUP(B614,BASE_VEICULOS!$A:$B,2,0),"")</f>
        <v>TET5H37</v>
      </c>
      <c r="E614" s="82">
        <f>IFERROR(__xludf.DUMMYFUNCTION("IF(OR(A614="""",D614="""",C614=""""),"""",IFERROR(MAX(0,C614-MAX(FILTER($C$2:$C614,TRIM($D$2:$D614)=TRIM(D614),(($A$2:$A614&lt;A614)+(($A$2:$A614=A614)*(ROW($A$2:$A614)&lt;ROW(A614))))))),""""))"),1131.0)</f>
        <v>1131</v>
      </c>
    </row>
    <row r="615" ht="22.5" customHeight="1">
      <c r="A615" s="78">
        <v>46126.0</v>
      </c>
      <c r="B615" s="7" t="s">
        <v>20</v>
      </c>
      <c r="C615" s="80">
        <v>18185.0</v>
      </c>
      <c r="D615" s="84" t="str">
        <f>IFERROR(VLOOKUP(B615,BASE_VEICULOS!$A:$B,2,0),"")</f>
        <v>TEW9A34</v>
      </c>
      <c r="E615" s="82">
        <f>IFERROR(__xludf.DUMMYFUNCTION("IF(OR(A615="""",D615="""",C615=""""),"""",IFERROR(MAX(0,C615-MAX(FILTER($C$2:$C615,TRIM($D$2:$D615)=TRIM(D615),(($A$2:$A615&lt;A615)+(($A$2:$A615=A615)*(ROW($A$2:$A615)&lt;ROW(A615))))))),""""))"),133.0)</f>
        <v>133</v>
      </c>
    </row>
    <row r="616" ht="22.5" customHeight="1">
      <c r="A616" s="78">
        <v>46126.0</v>
      </c>
      <c r="B616" s="7" t="s">
        <v>25</v>
      </c>
      <c r="C616" s="80">
        <v>18273.0</v>
      </c>
      <c r="D616" s="84" t="str">
        <f>IFERROR(VLOOKUP(B616,BASE_VEICULOS!$A:$B,2,0),"")</f>
        <v>TEW9A26</v>
      </c>
      <c r="E616" s="82">
        <f>IFERROR(__xludf.DUMMYFUNCTION("IF(OR(A616="""",D616="""",C616=""""),"""",IFERROR(MAX(0,C616-MAX(FILTER($C$2:$C616,TRIM($D$2:$D616)=TRIM(D616),(($A$2:$A616&lt;A616)+(($A$2:$A616=A616)*(ROW($A$2:$A616)&lt;ROW(A616))))))),""""))"),101.0)</f>
        <v>101</v>
      </c>
    </row>
    <row r="617" ht="22.5" customHeight="1">
      <c r="A617" s="78">
        <v>46126.0</v>
      </c>
      <c r="B617" s="7" t="s">
        <v>19</v>
      </c>
      <c r="C617" s="80">
        <v>21821.0</v>
      </c>
      <c r="D617" s="84" t="str">
        <f>IFERROR(VLOOKUP(B617,BASE_VEICULOS!$A:$B,2,0),"")</f>
        <v>TEW9A24</v>
      </c>
      <c r="E617" s="82">
        <f>IFERROR(__xludf.DUMMYFUNCTION("IF(OR(A617="""",D617="""",C617=""""),"""",IFERROR(MAX(0,C617-MAX(FILTER($C$2:$C617,TRIM($D$2:$D617)=TRIM(D617),(($A$2:$A617&lt;A617)+(($A$2:$A617=A617)*(ROW($A$2:$A617)&lt;ROW(A617))))))),""""))"),103.0)</f>
        <v>103</v>
      </c>
    </row>
    <row r="618" ht="22.5" customHeight="1">
      <c r="A618" s="78">
        <v>46127.0</v>
      </c>
      <c r="B618" s="7" t="s">
        <v>13</v>
      </c>
      <c r="C618" s="80">
        <v>108444.0</v>
      </c>
      <c r="D618" s="84" t="str">
        <f>IFERROR(VLOOKUP(B618,BASE_VEICULOS!$A:$B,2,0),"")</f>
        <v>FGO3C61</v>
      </c>
      <c r="E618" s="82">
        <f>IFERROR(__xludf.DUMMYFUNCTION("IF(OR(A618="""",D618="""",C618=""""),"""",IFERROR(MAX(0,C618-MAX(FILTER($C$2:$C618,TRIM($D$2:$D618)=TRIM(D618),(($A$2:$A618&lt;A618)+(($A$2:$A618=A618)*(ROW($A$2:$A618)&lt;ROW(A618))))))),""""))"),636.0)</f>
        <v>636</v>
      </c>
    </row>
    <row r="619" ht="22.5" customHeight="1">
      <c r="A619" s="78">
        <v>46127.0</v>
      </c>
      <c r="B619" s="7" t="s">
        <v>12</v>
      </c>
      <c r="C619" s="80">
        <v>92215.0</v>
      </c>
      <c r="D619" s="84" t="str">
        <f>IFERROR(VLOOKUP(B619,BASE_VEICULOS!$A:$B,2,0),"")</f>
        <v>FIL8C14</v>
      </c>
      <c r="E619" s="82">
        <f>IFERROR(__xludf.DUMMYFUNCTION("IF(OR(A619="""",D619="""",C619=""""),"""",IFERROR(MAX(0,C619-MAX(FILTER($C$2:$C619,TRIM($D$2:$D619)=TRIM(D619),(($A$2:$A619&lt;A619)+(($A$2:$A619=A619)*(ROW($A$2:$A619)&lt;ROW(A619))))))),""""))"),144.0)</f>
        <v>144</v>
      </c>
    </row>
    <row r="620" ht="22.5" customHeight="1">
      <c r="A620" s="78">
        <v>46127.0</v>
      </c>
      <c r="B620" s="7" t="s">
        <v>33</v>
      </c>
      <c r="C620" s="80">
        <v>71439.0</v>
      </c>
      <c r="D620" s="84" t="str">
        <f>IFERROR(VLOOKUP(B620,BASE_VEICULOS!$A:$B,2,0),"")</f>
        <v>TEW9A30</v>
      </c>
      <c r="E620" s="82">
        <f>IFERROR(__xludf.DUMMYFUNCTION("IF(OR(A620="""",D620="""",C620=""""),"""",IFERROR(MAX(0,C620-MAX(FILTER($C$2:$C620,TRIM($D$2:$D620)=TRIM(D620),(($A$2:$A620&lt;A620)+(($A$2:$A620=A620)*(ROW($A$2:$A620)&lt;ROW(A620))))))),""""))"),131.0)</f>
        <v>131</v>
      </c>
    </row>
    <row r="621" ht="22.5" customHeight="1">
      <c r="A621" s="78">
        <v>46127.0</v>
      </c>
      <c r="B621" s="7" t="s">
        <v>34</v>
      </c>
      <c r="C621" s="80">
        <v>56128.0</v>
      </c>
      <c r="D621" s="84" t="str">
        <f>IFERROR(VLOOKUP(B621,BASE_VEICULOS!$A:$B,2,0),"")</f>
        <v>SRU8D16</v>
      </c>
      <c r="E621" s="82">
        <f>IFERROR(__xludf.DUMMYFUNCTION("IF(OR(A621="""",D621="""",C621=""""),"""",IFERROR(MAX(0,C621-MAX(FILTER($C$2:$C621,TRIM($D$2:$D621)=TRIM(D621),(($A$2:$A621&lt;A621)+(($A$2:$A621=A621)*(ROW($A$2:$A621)&lt;ROW(A621))))))),""""))"),173.0)</f>
        <v>173</v>
      </c>
    </row>
    <row r="622" ht="22.5" customHeight="1">
      <c r="A622" s="78">
        <v>46127.0</v>
      </c>
      <c r="B622" s="7" t="s">
        <v>18</v>
      </c>
      <c r="C622" s="80">
        <v>20372.0</v>
      </c>
      <c r="D622" s="84" t="str">
        <f>IFERROR(VLOOKUP(B622,BASE_VEICULOS!$A:$B,2,0),"")</f>
        <v>TEW9A29</v>
      </c>
      <c r="E622" s="82">
        <f>IFERROR(__xludf.DUMMYFUNCTION("IF(OR(A622="""",D622="""",C622=""""),"""",IFERROR(MAX(0,C622-MAX(FILTER($C$2:$C622,TRIM($D$2:$D622)=TRIM(D622),(($A$2:$A622&lt;A622)+(($A$2:$A622=A622)*(ROW($A$2:$A622)&lt;ROW(A622))))))),""""))"),128.0)</f>
        <v>128</v>
      </c>
    </row>
    <row r="623" ht="22.5" customHeight="1">
      <c r="A623" s="78">
        <v>46127.0</v>
      </c>
      <c r="B623" s="7" t="s">
        <v>25</v>
      </c>
      <c r="C623" s="80">
        <v>18388.0</v>
      </c>
      <c r="D623" s="84" t="str">
        <f>IFERROR(VLOOKUP(B623,BASE_VEICULOS!$A:$B,2,0),"")</f>
        <v>TEW9A26</v>
      </c>
      <c r="E623" s="82">
        <f>IFERROR(__xludf.DUMMYFUNCTION("IF(OR(A623="""",D623="""",C623=""""),"""",IFERROR(MAX(0,C623-MAX(FILTER($C$2:$C623,TRIM($D$2:$D623)=TRIM(D623),(($A$2:$A623&lt;A623)+(($A$2:$A623=A623)*(ROW($A$2:$A623)&lt;ROW(A623))))))),""""))"),115.0)</f>
        <v>115</v>
      </c>
    </row>
    <row r="624" ht="22.5" customHeight="1">
      <c r="A624" s="78">
        <v>46127.0</v>
      </c>
      <c r="B624" s="7" t="s">
        <v>15</v>
      </c>
      <c r="C624" s="80">
        <v>110147.0</v>
      </c>
      <c r="D624" s="84" t="str">
        <f>IFERROR(VLOOKUP(B624,BASE_VEICULOS!$A:$B,2,0),"")</f>
        <v>EWH1B84</v>
      </c>
      <c r="E624" s="82">
        <f>IFERROR(__xludf.DUMMYFUNCTION("IF(OR(A624="""",D624="""",C624=""""),"""",IFERROR(MAX(0,C624-MAX(FILTER($C$2:$C624,TRIM($D$2:$D624)=TRIM(D624),(($A$2:$A624&lt;A624)+(($A$2:$A624=A624)*(ROW($A$2:$A624)&lt;ROW(A624))))))),""""))"),157.0)</f>
        <v>157</v>
      </c>
    </row>
    <row r="625" ht="22.5" customHeight="1">
      <c r="A625" s="78">
        <v>46127.0</v>
      </c>
      <c r="B625" s="7" t="s">
        <v>20</v>
      </c>
      <c r="C625" s="80">
        <v>18357.0</v>
      </c>
      <c r="D625" s="84" t="str">
        <f>IFERROR(VLOOKUP(B625,BASE_VEICULOS!$A:$B,2,0),"")</f>
        <v>TEW9A34</v>
      </c>
      <c r="E625" s="82">
        <f>IFERROR(__xludf.DUMMYFUNCTION("IF(OR(A625="""",D625="""",C625=""""),"""",IFERROR(MAX(0,C625-MAX(FILTER($C$2:$C625,TRIM($D$2:$D625)=TRIM(D625),(($A$2:$A625&lt;A625)+(($A$2:$A625=A625)*(ROW($A$2:$A625)&lt;ROW(A625))))))),""""))"),172.0)</f>
        <v>172</v>
      </c>
    </row>
    <row r="626" ht="22.5" customHeight="1">
      <c r="A626" s="78">
        <v>46127.0</v>
      </c>
      <c r="B626" s="7" t="s">
        <v>17</v>
      </c>
      <c r="C626" s="80">
        <v>17420.0</v>
      </c>
      <c r="D626" s="84" t="str">
        <f>IFERROR(VLOOKUP(B626,BASE_VEICULOS!$A:$B,2,0),"")</f>
        <v/>
      </c>
      <c r="E626" s="82" t="str">
        <f>IFERROR(__xludf.DUMMYFUNCTION("IF(OR(A626="""",D626="""",C626=""""),"""",IFERROR(MAX(0,C626-MAX(FILTER($C$2:$C626,TRIM($D$2:$D626)=TRIM(D626),(($A$2:$A626&lt;A626)+(($A$2:$A626=A626)*(ROW($A$2:$A626)&lt;ROW(A626))))))),""""))"),"")</f>
        <v/>
      </c>
    </row>
    <row r="627" ht="22.5" customHeight="1">
      <c r="A627" s="78">
        <v>46127.0</v>
      </c>
      <c r="B627" s="7" t="s">
        <v>10</v>
      </c>
      <c r="C627" s="80">
        <v>20761.0</v>
      </c>
      <c r="D627" s="84" t="str">
        <f>IFERROR(VLOOKUP(B627,BASE_VEICULOS!$A:$B,2,0),"")</f>
        <v>TEW9A25</v>
      </c>
      <c r="E627" s="82">
        <f>IFERROR(__xludf.DUMMYFUNCTION("IF(OR(A627="""",D627="""",C627=""""),"""",IFERROR(MAX(0,C627-MAX(FILTER($C$2:$C627,TRIM($D$2:$D627)=TRIM(D627),(($A$2:$A627&lt;A627)+(($A$2:$A627=A627)*(ROW($A$2:$A627)&lt;ROW(A627))))))),""""))"),160.0)</f>
        <v>160</v>
      </c>
    </row>
    <row r="628" ht="22.5" customHeight="1">
      <c r="A628" s="78">
        <v>46127.0</v>
      </c>
      <c r="B628" s="7" t="s">
        <v>19</v>
      </c>
      <c r="C628" s="80">
        <v>21933.0</v>
      </c>
      <c r="D628" s="84" t="str">
        <f>IFERROR(VLOOKUP(B628,BASE_VEICULOS!$A:$B,2,0),"")</f>
        <v>TEW9A24</v>
      </c>
      <c r="E628" s="82">
        <f>IFERROR(__xludf.DUMMYFUNCTION("IF(OR(A628="""",D628="""",C628=""""),"""",IFERROR(MAX(0,C628-MAX(FILTER($C$2:$C628,TRIM($D$2:$D628)=TRIM(D628),(($A$2:$A628&lt;A628)+(($A$2:$A628=A628)*(ROW($A$2:$A628)&lt;ROW(A628))))))),""""))"),112.0)</f>
        <v>112</v>
      </c>
    </row>
    <row r="629" ht="22.5" customHeight="1">
      <c r="A629" s="78">
        <v>46127.0</v>
      </c>
      <c r="B629" s="7" t="s">
        <v>21</v>
      </c>
      <c r="C629" s="80">
        <v>21055.0</v>
      </c>
      <c r="D629" s="84" t="str">
        <f>IFERROR(VLOOKUP(B629,BASE_VEICULOS!$A:$B,2,0),"")</f>
        <v>TEW9A33</v>
      </c>
      <c r="E629" s="82">
        <f>IFERROR(__xludf.DUMMYFUNCTION("IF(OR(A629="""",D629="""",C629=""""),"""",IFERROR(MAX(0,C629-MAX(FILTER($C$2:$C629,TRIM($D$2:$D629)=TRIM(D629),(($A$2:$A629&lt;A629)+(($A$2:$A629=A629)*(ROW($A$2:$A629)&lt;ROW(A629))))))),""""))"),103.0)</f>
        <v>103</v>
      </c>
    </row>
    <row r="630" ht="22.5" customHeight="1">
      <c r="A630" s="78">
        <v>46127.0</v>
      </c>
      <c r="B630" s="7" t="s">
        <v>22</v>
      </c>
      <c r="C630" s="80">
        <v>32603.0</v>
      </c>
      <c r="D630" s="84" t="str">
        <f>IFERROR(VLOOKUP(B630,BASE_VEICULOS!$A:$B,2,0),"")</f>
        <v>TET5H37</v>
      </c>
      <c r="E630" s="82">
        <f>IFERROR(__xludf.DUMMYFUNCTION("IF(OR(A630="""",D630="""",C630=""""),"""",IFERROR(MAX(0,C630-MAX(FILTER($C$2:$C630,TRIM($D$2:$D630)=TRIM(D630),(($A$2:$A630&lt;A630)+(($A$2:$A630=A630)*(ROW($A$2:$A630)&lt;ROW(A630))))))),""""))"),103.0)</f>
        <v>103</v>
      </c>
    </row>
    <row r="631" ht="22.5" customHeight="1">
      <c r="A631" s="78">
        <v>46127.0</v>
      </c>
      <c r="B631" s="7" t="s">
        <v>14</v>
      </c>
      <c r="C631" s="80">
        <v>94070.0</v>
      </c>
      <c r="D631" s="84" t="str">
        <f>IFERROR(VLOOKUP(B631,BASE_VEICULOS!$A:$B,2,0),"")</f>
        <v>FOK8A73</v>
      </c>
      <c r="E631" s="82">
        <f>IFERROR(__xludf.DUMMYFUNCTION("IF(OR(A631="""",D631="""",C631=""""),"""",IFERROR(MAX(0,C631-MAX(FILTER($C$2:$C631,TRIM($D$2:$D631)=TRIM(D631),(($A$2:$A631&lt;A631)+(($A$2:$A631=A631)*(ROW($A$2:$A631)&lt;ROW(A631))))))),""""))"),142.0)</f>
        <v>142</v>
      </c>
    </row>
    <row r="632" ht="22.5" customHeight="1">
      <c r="A632" s="78">
        <v>46127.0</v>
      </c>
      <c r="B632" s="7" t="s">
        <v>30</v>
      </c>
      <c r="C632" s="80">
        <v>22127.0</v>
      </c>
      <c r="D632" s="84" t="str">
        <f>IFERROR(VLOOKUP(B632,BASE_VEICULOS!$A:$B,2,0),"")</f>
        <v/>
      </c>
      <c r="E632" s="82" t="str">
        <f>IFERROR(__xludf.DUMMYFUNCTION("IF(OR(A632="""",D632="""",C632=""""),"""",IFERROR(MAX(0,C632-MAX(FILTER($C$2:$C632,TRIM($D$2:$D632)=TRIM(D632),(($A$2:$A632&lt;A632)+(($A$2:$A632=A632)*(ROW($A$2:$A632)&lt;ROW(A632))))))),""""))"),"")</f>
        <v/>
      </c>
    </row>
    <row r="633" ht="22.5" customHeight="1">
      <c r="A633" s="78">
        <v>46127.0</v>
      </c>
      <c r="B633" s="7" t="s">
        <v>11</v>
      </c>
      <c r="C633" s="80">
        <v>98171.0</v>
      </c>
      <c r="D633" s="84" t="str">
        <f>IFERROR(VLOOKUP(B633,BASE_VEICULOS!$A:$B,2,0),"")</f>
        <v>TEW9A28</v>
      </c>
      <c r="E633" s="82">
        <f>IFERROR(__xludf.DUMMYFUNCTION("IF(OR(A633="""",D633="""",C633=""""),"""",IFERROR(MAX(0,C633-MAX(FILTER($C$2:$C633,TRIM($D$2:$D633)=TRIM(D633),(($A$2:$A633&lt;A633)+(($A$2:$A633=A633)*(ROW($A$2:$A633)&lt;ROW(A633))))))),""""))"),535.0)</f>
        <v>535</v>
      </c>
    </row>
    <row r="634" ht="22.5" customHeight="1">
      <c r="A634" s="78">
        <v>46127.0</v>
      </c>
      <c r="B634" s="7" t="s">
        <v>16</v>
      </c>
      <c r="C634" s="80">
        <v>12977.0</v>
      </c>
      <c r="D634" s="84" t="str">
        <f>IFERROR(VLOOKUP(B634,BASE_VEICULOS!$A:$B,2,0),"")</f>
        <v>TEW9A27</v>
      </c>
      <c r="E634" s="82">
        <f>IFERROR(__xludf.DUMMYFUNCTION("IF(OR(A634="""",D634="""",C634=""""),"""",IFERROR(MAX(0,C634-MAX(FILTER($C$2:$C634,TRIM($D$2:$D634)=TRIM(D634),(($A$2:$A634&lt;A634)+(($A$2:$A634=A634)*(ROW($A$2:$A634)&lt;ROW(A634))))))),""""))"),149.0)</f>
        <v>149</v>
      </c>
    </row>
    <row r="635" ht="22.5" customHeight="1">
      <c r="A635" s="78">
        <v>46128.0</v>
      </c>
      <c r="B635" s="7" t="s">
        <v>21</v>
      </c>
      <c r="C635" s="80">
        <v>21139.0</v>
      </c>
      <c r="D635" s="84" t="str">
        <f>IFERROR(VLOOKUP(B635,BASE_VEICULOS!$A:$B,2,0),"")</f>
        <v>TEW9A33</v>
      </c>
      <c r="E635" s="82">
        <f>IFERROR(__xludf.DUMMYFUNCTION("IF(OR(A635="""",D635="""",C635=""""),"""",IFERROR(MAX(0,C635-MAX(FILTER($C$2:$C635,TRIM($D$2:$D635)=TRIM(D635),(($A$2:$A635&lt;A635)+(($A$2:$A635=A635)*(ROW($A$2:$A635)&lt;ROW(A635))))))),""""))"),84.0)</f>
        <v>84</v>
      </c>
    </row>
    <row r="636" ht="22.5" customHeight="1">
      <c r="A636" s="78">
        <v>46128.0</v>
      </c>
      <c r="B636" s="7" t="s">
        <v>29</v>
      </c>
      <c r="C636" s="80">
        <v>78361.0</v>
      </c>
      <c r="D636" s="84" t="str">
        <f>IFERROR(VLOOKUP(B636,BASE_VEICULOS!$A:$B,2,0),"")</f>
        <v>TEQ2I74</v>
      </c>
      <c r="E636" s="82">
        <f>IFERROR(__xludf.DUMMYFUNCTION("IF(OR(A636="""",D636="""",C636=""""),"""",IFERROR(MAX(0,C636-MAX(FILTER($C$2:$C636,TRIM($D$2:$D636)=TRIM(D636),(($A$2:$A636&lt;A636)+(($A$2:$A636=A636)*(ROW($A$2:$A636)&lt;ROW(A636))))))),""""))"),111.0)</f>
        <v>111</v>
      </c>
    </row>
    <row r="637" ht="22.5" customHeight="1">
      <c r="A637" s="78">
        <v>46128.0</v>
      </c>
      <c r="B637" s="7" t="s">
        <v>11</v>
      </c>
      <c r="C637" s="80">
        <v>98240.0</v>
      </c>
      <c r="D637" s="84" t="str">
        <f>IFERROR(VLOOKUP(B637,BASE_VEICULOS!$A:$B,2,0),"")</f>
        <v>TEW9A28</v>
      </c>
      <c r="E637" s="82">
        <f>IFERROR(__xludf.DUMMYFUNCTION("IF(OR(A637="""",D637="""",C637=""""),"""",IFERROR(MAX(0,C637-MAX(FILTER($C$2:$C637,TRIM($D$2:$D637)=TRIM(D637),(($A$2:$A637&lt;A637)+(($A$2:$A637=A637)*(ROW($A$2:$A637)&lt;ROW(A637))))))),""""))"),69.0)</f>
        <v>69</v>
      </c>
    </row>
    <row r="638" ht="22.5" customHeight="1">
      <c r="A638" s="78">
        <v>46128.0</v>
      </c>
      <c r="B638" s="7" t="s">
        <v>15</v>
      </c>
      <c r="C638" s="80">
        <v>110245.0</v>
      </c>
      <c r="D638" s="84" t="str">
        <f>IFERROR(VLOOKUP(B638,BASE_VEICULOS!$A:$B,2,0),"")</f>
        <v>EWH1B84</v>
      </c>
      <c r="E638" s="82">
        <f>IFERROR(__xludf.DUMMYFUNCTION("IF(OR(A638="""",D638="""",C638=""""),"""",IFERROR(MAX(0,C638-MAX(FILTER($C$2:$C638,TRIM($D$2:$D638)=TRIM(D638),(($A$2:$A638&lt;A638)+(($A$2:$A638=A638)*(ROW($A$2:$A638)&lt;ROW(A638))))))),""""))"),98.0)</f>
        <v>98</v>
      </c>
    </row>
    <row r="639" ht="22.5" customHeight="1">
      <c r="A639" s="78">
        <v>46128.0</v>
      </c>
      <c r="B639" s="7" t="s">
        <v>34</v>
      </c>
      <c r="C639" s="80">
        <v>56278.0</v>
      </c>
      <c r="D639" s="84" t="str">
        <f>IFERROR(VLOOKUP(B639,BASE_VEICULOS!$A:$B,2,0),"")</f>
        <v>SRU8D16</v>
      </c>
      <c r="E639" s="82">
        <f>IFERROR(__xludf.DUMMYFUNCTION("IF(OR(A639="""",D639="""",C639=""""),"""",IFERROR(MAX(0,C639-MAX(FILTER($C$2:$C639,TRIM($D$2:$D639)=TRIM(D639),(($A$2:$A639&lt;A639)+(($A$2:$A639=A639)*(ROW($A$2:$A639)&lt;ROW(A639))))))),""""))"),150.0)</f>
        <v>150</v>
      </c>
    </row>
    <row r="640" ht="22.5" customHeight="1">
      <c r="A640" s="78">
        <v>46128.0</v>
      </c>
      <c r="B640" s="7" t="s">
        <v>10</v>
      </c>
      <c r="C640" s="80">
        <v>20853.0</v>
      </c>
      <c r="D640" s="84" t="str">
        <f>IFERROR(VLOOKUP(B640,BASE_VEICULOS!$A:$B,2,0),"")</f>
        <v>TEW9A25</v>
      </c>
      <c r="E640" s="82">
        <f>IFERROR(__xludf.DUMMYFUNCTION("IF(OR(A640="""",D640="""",C640=""""),"""",IFERROR(MAX(0,C640-MAX(FILTER($C$2:$C640,TRIM($D$2:$D640)=TRIM(D640),(($A$2:$A640&lt;A640)+(($A$2:$A640=A640)*(ROW($A$2:$A640)&lt;ROW(A640))))))),""""))"),92.0)</f>
        <v>92</v>
      </c>
    </row>
    <row r="641" ht="22.5" customHeight="1">
      <c r="A641" s="78">
        <v>46128.0</v>
      </c>
      <c r="B641" s="7" t="s">
        <v>33</v>
      </c>
      <c r="C641" s="80">
        <v>71596.0</v>
      </c>
      <c r="D641" s="84" t="str">
        <f>IFERROR(VLOOKUP(B641,BASE_VEICULOS!$A:$B,2,0),"")</f>
        <v>TEW9A30</v>
      </c>
      <c r="E641" s="82">
        <f>IFERROR(__xludf.DUMMYFUNCTION("IF(OR(A641="""",D641="""",C641=""""),"""",IFERROR(MAX(0,C641-MAX(FILTER($C$2:$C641,TRIM($D$2:$D641)=TRIM(D641),(($A$2:$A641&lt;A641)+(($A$2:$A641=A641)*(ROW($A$2:$A641)&lt;ROW(A641))))))),""""))"),157.0)</f>
        <v>157</v>
      </c>
    </row>
    <row r="642" ht="22.5" customHeight="1">
      <c r="A642" s="78">
        <v>46128.0</v>
      </c>
      <c r="B642" s="7" t="s">
        <v>22</v>
      </c>
      <c r="C642" s="80">
        <v>32717.0</v>
      </c>
      <c r="D642" s="84" t="str">
        <f>IFERROR(VLOOKUP(B642,BASE_VEICULOS!$A:$B,2,0),"")</f>
        <v>TET5H37</v>
      </c>
      <c r="E642" s="82">
        <f>IFERROR(__xludf.DUMMYFUNCTION("IF(OR(A642="""",D642="""",C642=""""),"""",IFERROR(MAX(0,C642-MAX(FILTER($C$2:$C642,TRIM($D$2:$D642)=TRIM(D642),(($A$2:$A642&lt;A642)+(($A$2:$A642=A642)*(ROW($A$2:$A642)&lt;ROW(A642))))))),""""))"),114.0)</f>
        <v>114</v>
      </c>
    </row>
    <row r="643" ht="22.5" customHeight="1">
      <c r="A643" s="78">
        <v>46128.0</v>
      </c>
      <c r="B643" s="7" t="s">
        <v>24</v>
      </c>
      <c r="C643" s="80">
        <v>18640.0</v>
      </c>
      <c r="D643" s="84" t="str">
        <f>IFERROR(VLOOKUP(B643,BASE_VEICULOS!$A:$B,2,0),"")</f>
        <v>TEW9A23</v>
      </c>
      <c r="E643" s="82">
        <f>IFERROR(__xludf.DUMMYFUNCTION("IF(OR(A643="""",D643="""",C643=""""),"""",IFERROR(MAX(0,C643-MAX(FILTER($C$2:$C643,TRIM($D$2:$D643)=TRIM(D643),(($A$2:$A643&lt;A643)+(($A$2:$A643=A643)*(ROW($A$2:$A643)&lt;ROW(A643))))))),""""))"),339.0)</f>
        <v>339</v>
      </c>
    </row>
    <row r="644" ht="22.5" customHeight="1">
      <c r="A644" s="78">
        <v>46128.0</v>
      </c>
      <c r="B644" s="7" t="s">
        <v>16</v>
      </c>
      <c r="C644" s="80">
        <v>13067.0</v>
      </c>
      <c r="D644" s="84" t="str">
        <f>IFERROR(VLOOKUP(B644,BASE_VEICULOS!$A:$B,2,0),"")</f>
        <v>TEW9A27</v>
      </c>
      <c r="E644" s="82">
        <f>IFERROR(__xludf.DUMMYFUNCTION("IF(OR(A644="""",D644="""",C644=""""),"""",IFERROR(MAX(0,C644-MAX(FILTER($C$2:$C644,TRIM($D$2:$D644)=TRIM(D644),(($A$2:$A644&lt;A644)+(($A$2:$A644=A644)*(ROW($A$2:$A644)&lt;ROW(A644))))))),""""))"),90.0)</f>
        <v>90</v>
      </c>
    </row>
    <row r="645" ht="22.5" customHeight="1">
      <c r="A645" s="78">
        <v>46128.0</v>
      </c>
      <c r="B645" s="7" t="s">
        <v>14</v>
      </c>
      <c r="C645" s="80">
        <v>94205.0</v>
      </c>
      <c r="D645" s="84" t="str">
        <f>IFERROR(VLOOKUP(B645,BASE_VEICULOS!$A:$B,2,0),"")</f>
        <v>FOK8A73</v>
      </c>
      <c r="E645" s="82">
        <f>IFERROR(__xludf.DUMMYFUNCTION("IF(OR(A645="""",D645="""",C645=""""),"""",IFERROR(MAX(0,C645-MAX(FILTER($C$2:$C645,TRIM($D$2:$D645)=TRIM(D645),(($A$2:$A645&lt;A645)+(($A$2:$A645=A645)*(ROW($A$2:$A645)&lt;ROW(A645))))))),""""))"),135.0)</f>
        <v>135</v>
      </c>
    </row>
    <row r="646" ht="22.5" customHeight="1">
      <c r="A646" s="78">
        <v>46128.0</v>
      </c>
      <c r="B646" s="7" t="s">
        <v>20</v>
      </c>
      <c r="C646" s="80">
        <v>18493.0</v>
      </c>
      <c r="D646" s="84" t="str">
        <f>IFERROR(VLOOKUP(B646,BASE_VEICULOS!$A:$B,2,0),"")</f>
        <v>TEW9A34</v>
      </c>
      <c r="E646" s="82">
        <f>IFERROR(__xludf.DUMMYFUNCTION("IF(OR(A646="""",D646="""",C646=""""),"""",IFERROR(MAX(0,C646-MAX(FILTER($C$2:$C646,TRIM($D$2:$D646)=TRIM(D646),(($A$2:$A646&lt;A646)+(($A$2:$A646=A646)*(ROW($A$2:$A646)&lt;ROW(A646))))))),""""))"),136.0)</f>
        <v>136</v>
      </c>
    </row>
    <row r="647" ht="22.5" customHeight="1">
      <c r="A647" s="78">
        <v>46128.0</v>
      </c>
      <c r="B647" s="7" t="s">
        <v>12</v>
      </c>
      <c r="C647" s="80">
        <v>92333.0</v>
      </c>
      <c r="D647" s="84" t="str">
        <f>IFERROR(VLOOKUP(B647,BASE_VEICULOS!$A:$B,2,0),"")</f>
        <v>FIL8C14</v>
      </c>
      <c r="E647" s="82">
        <f>IFERROR(__xludf.DUMMYFUNCTION("IF(OR(A647="""",D647="""",C647=""""),"""",IFERROR(MAX(0,C647-MAX(FILTER($C$2:$C647,TRIM($D$2:$D647)=TRIM(D647),(($A$2:$A647&lt;A647)+(($A$2:$A647=A647)*(ROW($A$2:$A647)&lt;ROW(A647))))))),""""))"),118.0)</f>
        <v>118</v>
      </c>
    </row>
    <row r="648" ht="22.5" customHeight="1">
      <c r="A648" s="78">
        <v>46129.0</v>
      </c>
      <c r="B648" s="7" t="s">
        <v>24</v>
      </c>
      <c r="C648" s="80">
        <v>18708.0</v>
      </c>
      <c r="D648" s="84" t="str">
        <f>IFERROR(VLOOKUP(B648,BASE_VEICULOS!$A:$B,2,0),"")</f>
        <v>TEW9A23</v>
      </c>
      <c r="E648" s="82">
        <f>IFERROR(__xludf.DUMMYFUNCTION("IF(OR(A648="""",D648="""",C648=""""),"""",IFERROR(MAX(0,C648-MAX(FILTER($C$2:$C648,TRIM($D$2:$D648)=TRIM(D648),(($A$2:$A648&lt;A648)+(($A$2:$A648=A648)*(ROW($A$2:$A648)&lt;ROW(A648))))))),""""))"),68.0)</f>
        <v>68</v>
      </c>
    </row>
    <row r="649" ht="22.5" customHeight="1">
      <c r="A649" s="78">
        <v>46129.0</v>
      </c>
      <c r="B649" s="7" t="s">
        <v>34</v>
      </c>
      <c r="C649" s="80">
        <v>56407.0</v>
      </c>
      <c r="D649" s="84" t="str">
        <f>IFERROR(VLOOKUP(B649,BASE_VEICULOS!$A:$B,2,0),"")</f>
        <v>SRU8D16</v>
      </c>
      <c r="E649" s="82">
        <f>IFERROR(__xludf.DUMMYFUNCTION("IF(OR(A649="""",D649="""",C649=""""),"""",IFERROR(MAX(0,C649-MAX(FILTER($C$2:$C649,TRIM($D$2:$D649)=TRIM(D649),(($A$2:$A649&lt;A649)+(($A$2:$A649=A649)*(ROW($A$2:$A649)&lt;ROW(A649))))))),""""))"),129.0)</f>
        <v>129</v>
      </c>
    </row>
    <row r="650" ht="22.5" customHeight="1">
      <c r="A650" s="78">
        <v>46129.0</v>
      </c>
      <c r="B650" s="7" t="s">
        <v>11</v>
      </c>
      <c r="C650" s="80">
        <v>98322.0</v>
      </c>
      <c r="D650" s="84" t="str">
        <f>IFERROR(VLOOKUP(B650,BASE_VEICULOS!$A:$B,2,0),"")</f>
        <v>TEW9A28</v>
      </c>
      <c r="E650" s="82">
        <f>IFERROR(__xludf.DUMMYFUNCTION("IF(OR(A650="""",D650="""",C650=""""),"""",IFERROR(MAX(0,C650-MAX(FILTER($C$2:$C650,TRIM($D$2:$D650)=TRIM(D650),(($A$2:$A650&lt;A650)+(($A$2:$A650=A650)*(ROW($A$2:$A650)&lt;ROW(A650))))))),""""))"),82.0)</f>
        <v>82</v>
      </c>
    </row>
    <row r="651" ht="22.5" customHeight="1">
      <c r="A651" s="78">
        <v>46129.0</v>
      </c>
      <c r="B651" s="7" t="s">
        <v>16</v>
      </c>
      <c r="C651" s="80">
        <v>13150.0</v>
      </c>
      <c r="D651" s="84" t="str">
        <f>IFERROR(VLOOKUP(B651,BASE_VEICULOS!$A:$B,2,0),"")</f>
        <v>TEW9A27</v>
      </c>
      <c r="E651" s="82">
        <f>IFERROR(__xludf.DUMMYFUNCTION("IF(OR(A651="""",D651="""",C651=""""),"""",IFERROR(MAX(0,C651-MAX(FILTER($C$2:$C651,TRIM($D$2:$D651)=TRIM(D651),(($A$2:$A651&lt;A651)+(($A$2:$A651=A651)*(ROW($A$2:$A651)&lt;ROW(A651))))))),""""))"),83.0)</f>
        <v>83</v>
      </c>
    </row>
    <row r="652" ht="22.5" customHeight="1">
      <c r="A652" s="78">
        <v>46129.0</v>
      </c>
      <c r="B652" s="7" t="s">
        <v>12</v>
      </c>
      <c r="C652" s="80">
        <v>92431.0</v>
      </c>
      <c r="D652" s="84" t="str">
        <f>IFERROR(VLOOKUP(B652,BASE_VEICULOS!$A:$B,2,0),"")</f>
        <v>FIL8C14</v>
      </c>
      <c r="E652" s="82">
        <f>IFERROR(__xludf.DUMMYFUNCTION("IF(OR(A652="""",D652="""",C652=""""),"""",IFERROR(MAX(0,C652-MAX(FILTER($C$2:$C652,TRIM($D$2:$D652)=TRIM(D652),(($A$2:$A652&lt;A652)+(($A$2:$A652=A652)*(ROW($A$2:$A652)&lt;ROW(A652))))))),""""))"),98.0)</f>
        <v>98</v>
      </c>
    </row>
    <row r="653" ht="22.5" customHeight="1">
      <c r="A653" s="78">
        <v>46129.0</v>
      </c>
      <c r="B653" s="7" t="s">
        <v>21</v>
      </c>
      <c r="C653" s="80">
        <v>21289.0</v>
      </c>
      <c r="D653" s="84" t="str">
        <f>IFERROR(VLOOKUP(B653,BASE_VEICULOS!$A:$B,2,0),"")</f>
        <v>TEW9A33</v>
      </c>
      <c r="E653" s="82">
        <f>IFERROR(__xludf.DUMMYFUNCTION("IF(OR(A653="""",D653="""",C653=""""),"""",IFERROR(MAX(0,C653-MAX(FILTER($C$2:$C653,TRIM($D$2:$D653)=TRIM(D653),(($A$2:$A653&lt;A653)+(($A$2:$A653=A653)*(ROW($A$2:$A653)&lt;ROW(A653))))))),""""))"),150.0)</f>
        <v>150</v>
      </c>
    </row>
    <row r="654" ht="22.5" customHeight="1">
      <c r="A654" s="78">
        <v>46129.0</v>
      </c>
      <c r="B654" s="7" t="s">
        <v>10</v>
      </c>
      <c r="C654" s="80">
        <v>20984.0</v>
      </c>
      <c r="D654" s="84" t="str">
        <f>IFERROR(VLOOKUP(B654,BASE_VEICULOS!$A:$B,2,0),"")</f>
        <v>TEW9A25</v>
      </c>
      <c r="E654" s="82">
        <f>IFERROR(__xludf.DUMMYFUNCTION("IF(OR(A654="""",D654="""",C654=""""),"""",IFERROR(MAX(0,C654-MAX(FILTER($C$2:$C654,TRIM($D$2:$D654)=TRIM(D654),(($A$2:$A654&lt;A654)+(($A$2:$A654=A654)*(ROW($A$2:$A654)&lt;ROW(A654))))))),""""))"),131.0)</f>
        <v>131</v>
      </c>
    </row>
    <row r="655" ht="22.5" customHeight="1">
      <c r="A655" s="78">
        <v>46129.0</v>
      </c>
      <c r="B655" s="7" t="s">
        <v>14</v>
      </c>
      <c r="C655" s="80">
        <v>94438.0</v>
      </c>
      <c r="D655" s="84" t="str">
        <f>IFERROR(VLOOKUP(B655,BASE_VEICULOS!$A:$B,2,0),"")</f>
        <v>FOK8A73</v>
      </c>
      <c r="E655" s="82">
        <f>IFERROR(__xludf.DUMMYFUNCTION("IF(OR(A655="""",D655="""",C655=""""),"""",IFERROR(MAX(0,C655-MAX(FILTER($C$2:$C655,TRIM($D$2:$D655)=TRIM(D655),(($A$2:$A655&lt;A655)+(($A$2:$A655=A655)*(ROW($A$2:$A655)&lt;ROW(A655))))))),""""))"),233.0)</f>
        <v>233</v>
      </c>
    </row>
    <row r="656" ht="22.5" customHeight="1">
      <c r="A656" s="78">
        <v>46129.0</v>
      </c>
      <c r="B656" s="7" t="s">
        <v>15</v>
      </c>
      <c r="C656" s="80">
        <v>110350.0</v>
      </c>
      <c r="D656" s="84" t="str">
        <f>IFERROR(VLOOKUP(B656,BASE_VEICULOS!$A:$B,2,0),"")</f>
        <v>EWH1B84</v>
      </c>
      <c r="E656" s="82">
        <f>IFERROR(__xludf.DUMMYFUNCTION("IF(OR(A656="""",D656="""",C656=""""),"""",IFERROR(MAX(0,C656-MAX(FILTER($C$2:$C656,TRIM($D$2:$D656)=TRIM(D656),(($A$2:$A656&lt;A656)+(($A$2:$A656=A656)*(ROW($A$2:$A656)&lt;ROW(A656))))))),""""))"),105.0)</f>
        <v>105</v>
      </c>
    </row>
    <row r="657" ht="22.5" customHeight="1">
      <c r="A657" s="78">
        <v>46129.0</v>
      </c>
      <c r="B657" s="7" t="s">
        <v>20</v>
      </c>
      <c r="C657" s="80">
        <v>18608.0</v>
      </c>
      <c r="D657" s="84" t="str">
        <f>IFERROR(VLOOKUP(B657,BASE_VEICULOS!$A:$B,2,0),"")</f>
        <v>TEW9A34</v>
      </c>
      <c r="E657" s="82">
        <f>IFERROR(__xludf.DUMMYFUNCTION("IF(OR(A657="""",D657="""",C657=""""),"""",IFERROR(MAX(0,C657-MAX(FILTER($C$2:$C657,TRIM($D$2:$D657)=TRIM(D657),(($A$2:$A657&lt;A657)+(($A$2:$A657=A657)*(ROW($A$2:$A657)&lt;ROW(A657))))))),""""))"),115.0)</f>
        <v>115</v>
      </c>
    </row>
    <row r="658" ht="22.5" customHeight="1">
      <c r="A658" s="78">
        <v>46129.0</v>
      </c>
      <c r="B658" s="7" t="s">
        <v>29</v>
      </c>
      <c r="C658" s="80">
        <v>78646.0</v>
      </c>
      <c r="D658" s="84" t="str">
        <f>IFERROR(VLOOKUP(B658,BASE_VEICULOS!$A:$B,2,0),"")</f>
        <v>TEQ2I74</v>
      </c>
      <c r="E658" s="82">
        <f>IFERROR(__xludf.DUMMYFUNCTION("IF(OR(A658="""",D658="""",C658=""""),"""",IFERROR(MAX(0,C658-MAX(FILTER($C$2:$C658,TRIM($D$2:$D658)=TRIM(D658),(($A$2:$A658&lt;A658)+(($A$2:$A658=A658)*(ROW($A$2:$A658)&lt;ROW(A658))))))),""""))"),285.0)</f>
        <v>285</v>
      </c>
    </row>
    <row r="659" ht="22.5" customHeight="1">
      <c r="A659" s="78">
        <v>46129.0</v>
      </c>
      <c r="B659" s="7" t="s">
        <v>25</v>
      </c>
      <c r="C659" s="80">
        <v>18618.0</v>
      </c>
      <c r="D659" s="84" t="str">
        <f>IFERROR(VLOOKUP(B659,BASE_VEICULOS!$A:$B,2,0),"")</f>
        <v>TEW9A26</v>
      </c>
      <c r="E659" s="82">
        <f>IFERROR(__xludf.DUMMYFUNCTION("IF(OR(A659="""",D659="""",C659=""""),"""",IFERROR(MAX(0,C659-MAX(FILTER($C$2:$C659,TRIM($D$2:$D659)=TRIM(D659),(($A$2:$A659&lt;A659)+(($A$2:$A659=A659)*(ROW($A$2:$A659)&lt;ROW(A659))))))),""""))"),230.0)</f>
        <v>230</v>
      </c>
    </row>
    <row r="660" ht="22.5" customHeight="1">
      <c r="A660" s="78">
        <v>46130.0</v>
      </c>
      <c r="B660" s="7" t="s">
        <v>22</v>
      </c>
      <c r="C660" s="80">
        <v>32857.0</v>
      </c>
      <c r="D660" s="84" t="str">
        <f>IFERROR(VLOOKUP(B660,BASE_VEICULOS!$A:$B,2,0),"")</f>
        <v>TET5H37</v>
      </c>
      <c r="E660" s="82">
        <f>IFERROR(__xludf.DUMMYFUNCTION("IF(OR(A660="""",D660="""",C660=""""),"""",IFERROR(MAX(0,C660-MAX(FILTER($C$2:$C660,TRIM($D$2:$D660)=TRIM(D660),(($A$2:$A660&lt;A660)+(($A$2:$A660=A660)*(ROW($A$2:$A660)&lt;ROW(A660))))))),""""))"),140.0)</f>
        <v>140</v>
      </c>
    </row>
    <row r="661" ht="22.5" customHeight="1">
      <c r="A661" s="78">
        <v>46130.0</v>
      </c>
      <c r="B661" s="7" t="s">
        <v>10</v>
      </c>
      <c r="C661" s="80">
        <v>21035.0</v>
      </c>
      <c r="D661" s="84" t="str">
        <f>IFERROR(VLOOKUP(B661,BASE_VEICULOS!$A:$B,2,0),"")</f>
        <v>TEW9A25</v>
      </c>
      <c r="E661" s="82">
        <f>IFERROR(__xludf.DUMMYFUNCTION("IF(OR(A661="""",D661="""",C661=""""),"""",IFERROR(MAX(0,C661-MAX(FILTER($C$2:$C661,TRIM($D$2:$D661)=TRIM(D661),(($A$2:$A661&lt;A661)+(($A$2:$A661=A661)*(ROW($A$2:$A661)&lt;ROW(A661))))))),""""))"),51.0)</f>
        <v>51</v>
      </c>
    </row>
    <row r="662" ht="22.5" customHeight="1">
      <c r="A662" s="78">
        <v>46130.0</v>
      </c>
      <c r="B662" s="7" t="s">
        <v>14</v>
      </c>
      <c r="C662" s="80">
        <v>94565.0</v>
      </c>
      <c r="D662" s="84" t="str">
        <f>IFERROR(VLOOKUP(B662,BASE_VEICULOS!$A:$B,2,0),"")</f>
        <v>FOK8A73</v>
      </c>
      <c r="E662" s="82">
        <f>IFERROR(__xludf.DUMMYFUNCTION("IF(OR(A662="""",D662="""",C662=""""),"""",IFERROR(MAX(0,C662-MAX(FILTER($C$2:$C662,TRIM($D$2:$D662)=TRIM(D662),(($A$2:$A662&lt;A662)+(($A$2:$A662=A662)*(ROW($A$2:$A662)&lt;ROW(A662))))))),""""))"),127.0)</f>
        <v>127</v>
      </c>
    </row>
    <row r="663" ht="22.5" customHeight="1">
      <c r="A663" s="78">
        <v>46130.0</v>
      </c>
      <c r="B663" s="7" t="s">
        <v>11</v>
      </c>
      <c r="C663" s="80">
        <v>98387.0</v>
      </c>
      <c r="D663" s="84" t="str">
        <f>IFERROR(VLOOKUP(B663,BASE_VEICULOS!$A:$B,2,0),"")</f>
        <v>TEW9A28</v>
      </c>
      <c r="E663" s="82">
        <f>IFERROR(__xludf.DUMMYFUNCTION("IF(OR(A663="""",D663="""",C663=""""),"""",IFERROR(MAX(0,C663-MAX(FILTER($C$2:$C663,TRIM($D$2:$D663)=TRIM(D663),(($A$2:$A663&lt;A663)+(($A$2:$A663=A663)*(ROW($A$2:$A663)&lt;ROW(A663))))))),""""))"),65.0)</f>
        <v>65</v>
      </c>
    </row>
    <row r="664" ht="22.5" customHeight="1">
      <c r="A664" s="78">
        <v>46130.0</v>
      </c>
      <c r="B664" s="7" t="s">
        <v>33</v>
      </c>
      <c r="C664" s="80">
        <v>71685.0</v>
      </c>
      <c r="D664" s="84" t="str">
        <f>IFERROR(VLOOKUP(B664,BASE_VEICULOS!$A:$B,2,0),"")</f>
        <v>TEW9A30</v>
      </c>
      <c r="E664" s="82">
        <f>IFERROR(__xludf.DUMMYFUNCTION("IF(OR(A664="""",D664="""",C664=""""),"""",IFERROR(MAX(0,C664-MAX(FILTER($C$2:$C664,TRIM($D$2:$D664)=TRIM(D664),(($A$2:$A664&lt;A664)+(($A$2:$A664=A664)*(ROW($A$2:$A664)&lt;ROW(A664))))))),""""))"),89.0)</f>
        <v>89</v>
      </c>
    </row>
    <row r="665" ht="22.5" customHeight="1">
      <c r="A665" s="78">
        <v>46130.0</v>
      </c>
      <c r="B665" s="7" t="s">
        <v>16</v>
      </c>
      <c r="C665" s="80">
        <v>13476.0</v>
      </c>
      <c r="D665" s="84" t="str">
        <f>IFERROR(VLOOKUP(B665,BASE_VEICULOS!$A:$B,2,0),"")</f>
        <v>TEW9A27</v>
      </c>
      <c r="E665" s="82">
        <f>IFERROR(__xludf.DUMMYFUNCTION("IF(OR(A665="""",D665="""",C665=""""),"""",IFERROR(MAX(0,C665-MAX(FILTER($C$2:$C665,TRIM($D$2:$D665)=TRIM(D665),(($A$2:$A665&lt;A665)+(($A$2:$A665=A665)*(ROW($A$2:$A665)&lt;ROW(A665))))))),""""))"),326.0)</f>
        <v>326</v>
      </c>
    </row>
    <row r="666" ht="22.5" customHeight="1">
      <c r="A666" s="78">
        <v>46130.0</v>
      </c>
      <c r="B666" s="7" t="s">
        <v>24</v>
      </c>
      <c r="C666" s="80">
        <v>18774.0</v>
      </c>
      <c r="D666" s="84" t="str">
        <f>IFERROR(VLOOKUP(B666,BASE_VEICULOS!$A:$B,2,0),"")</f>
        <v>TEW9A23</v>
      </c>
      <c r="E666" s="82">
        <f>IFERROR(__xludf.DUMMYFUNCTION("IF(OR(A666="""",D666="""",C666=""""),"""",IFERROR(MAX(0,C666-MAX(FILTER($C$2:$C666,TRIM($D$2:$D666)=TRIM(D666),(($A$2:$A666&lt;A666)+(($A$2:$A666=A666)*(ROW($A$2:$A666)&lt;ROW(A666))))))),""""))"),66.0)</f>
        <v>66</v>
      </c>
    </row>
    <row r="667" ht="22.5" customHeight="1">
      <c r="A667" s="78">
        <v>46130.0</v>
      </c>
      <c r="B667" s="7" t="s">
        <v>20</v>
      </c>
      <c r="C667" s="80">
        <v>19347.0</v>
      </c>
      <c r="D667" s="84" t="str">
        <f>IFERROR(VLOOKUP(B667,BASE_VEICULOS!$A:$B,2,0),"")</f>
        <v>TEW9A34</v>
      </c>
      <c r="E667" s="82">
        <f>IFERROR(__xludf.DUMMYFUNCTION("IF(OR(A667="""",D667="""",C667=""""),"""",IFERROR(MAX(0,C667-MAX(FILTER($C$2:$C667,TRIM($D$2:$D667)=TRIM(D667),(($A$2:$A667&lt;A667)+(($A$2:$A667=A667)*(ROW($A$2:$A667)&lt;ROW(A667))))))),""""))"),739.0)</f>
        <v>739</v>
      </c>
    </row>
    <row r="668" ht="22.5" customHeight="1">
      <c r="A668" s="78">
        <v>46130.0</v>
      </c>
      <c r="B668" s="7" t="s">
        <v>30</v>
      </c>
      <c r="C668" s="80">
        <v>22815.0</v>
      </c>
      <c r="D668" s="84" t="str">
        <f>IFERROR(VLOOKUP(B668,BASE_VEICULOS!$A:$B,2,0),"")</f>
        <v/>
      </c>
      <c r="E668" s="82" t="str">
        <f>IFERROR(__xludf.DUMMYFUNCTION("IF(OR(A668="""",D668="""",C668=""""),"""",IFERROR(MAX(0,C668-MAX(FILTER($C$2:$C668,TRIM($D$2:$D668)=TRIM(D668),(($A$2:$A668&lt;A668)+(($A$2:$A668=A668)*(ROW($A$2:$A668)&lt;ROW(A668))))))),""""))"),"")</f>
        <v/>
      </c>
    </row>
    <row r="669" ht="22.5" customHeight="1">
      <c r="A669" s="78">
        <v>46130.0</v>
      </c>
      <c r="B669" s="7" t="s">
        <v>18</v>
      </c>
      <c r="C669" s="80">
        <v>20900.0</v>
      </c>
      <c r="D669" s="84" t="str">
        <f>IFERROR(VLOOKUP(B669,BASE_VEICULOS!$A:$B,2,0),"")</f>
        <v>TEW9A29</v>
      </c>
      <c r="E669" s="82">
        <f>IFERROR(__xludf.DUMMYFUNCTION("IF(OR(A669="""",D669="""",C669=""""),"""",IFERROR(MAX(0,C669-MAX(FILTER($C$2:$C669,TRIM($D$2:$D669)=TRIM(D669),(($A$2:$A669&lt;A669)+(($A$2:$A669=A669)*(ROW($A$2:$A669)&lt;ROW(A669))))))),""""))"),528.0)</f>
        <v>528</v>
      </c>
    </row>
    <row r="670" ht="22.5" customHeight="1">
      <c r="A670" s="78">
        <v>46130.0</v>
      </c>
      <c r="B670" s="7" t="s">
        <v>19</v>
      </c>
      <c r="C670" s="80">
        <v>22464.0</v>
      </c>
      <c r="D670" s="84" t="str">
        <f>IFERROR(VLOOKUP(B670,BASE_VEICULOS!$A:$B,2,0),"")</f>
        <v>TEW9A24</v>
      </c>
      <c r="E670" s="82">
        <f>IFERROR(__xludf.DUMMYFUNCTION("IF(OR(A670="""",D670="""",C670=""""),"""",IFERROR(MAX(0,C670-MAX(FILTER($C$2:$C670,TRIM($D$2:$D670)=TRIM(D670),(($A$2:$A670&lt;A670)+(($A$2:$A670=A670)*(ROW($A$2:$A670)&lt;ROW(A670))))))),""""))"),531.0)</f>
        <v>531</v>
      </c>
    </row>
    <row r="671" ht="22.5" customHeight="1">
      <c r="A671" s="78">
        <v>46130.0</v>
      </c>
      <c r="B671" s="7" t="s">
        <v>21</v>
      </c>
      <c r="C671" s="80">
        <v>21431.0</v>
      </c>
      <c r="D671" s="84" t="str">
        <f>IFERROR(VLOOKUP(B671,BASE_VEICULOS!$A:$B,2,0),"")</f>
        <v>TEW9A33</v>
      </c>
      <c r="E671" s="82">
        <f>IFERROR(__xludf.DUMMYFUNCTION("IF(OR(A671="""",D671="""",C671=""""),"""",IFERROR(MAX(0,C671-MAX(FILTER($C$2:$C671,TRIM($D$2:$D671)=TRIM(D671),(($A$2:$A671&lt;A671)+(($A$2:$A671=A671)*(ROW($A$2:$A671)&lt;ROW(A671))))))),""""))"),142.0)</f>
        <v>142</v>
      </c>
    </row>
    <row r="672" ht="22.5" customHeight="1">
      <c r="A672" s="78">
        <v>46130.0</v>
      </c>
      <c r="B672" s="7" t="s">
        <v>29</v>
      </c>
      <c r="C672" s="80">
        <v>78996.0</v>
      </c>
      <c r="D672" s="84" t="str">
        <f>IFERROR(VLOOKUP(B672,BASE_VEICULOS!$A:$B,2,0),"")</f>
        <v>TEQ2I74</v>
      </c>
      <c r="E672" s="82">
        <f>IFERROR(__xludf.DUMMYFUNCTION("IF(OR(A672="""",D672="""",C672=""""),"""",IFERROR(MAX(0,C672-MAX(FILTER($C$2:$C672,TRIM($D$2:$D672)=TRIM(D672),(($A$2:$A672&lt;A672)+(($A$2:$A672=A672)*(ROW($A$2:$A672)&lt;ROW(A672))))))),""""))"),350.0)</f>
        <v>350</v>
      </c>
    </row>
    <row r="673" ht="22.5" customHeight="1">
      <c r="A673" s="78">
        <v>46130.0</v>
      </c>
      <c r="B673" s="7" t="s">
        <v>15</v>
      </c>
      <c r="C673" s="80">
        <v>110475.0</v>
      </c>
      <c r="D673" s="84" t="str">
        <f>IFERROR(VLOOKUP(B673,BASE_VEICULOS!$A:$B,2,0),"")</f>
        <v>EWH1B84</v>
      </c>
      <c r="E673" s="82">
        <f>IFERROR(__xludf.DUMMYFUNCTION("IF(OR(A673="""",D673="""",C673=""""),"""",IFERROR(MAX(0,C673-MAX(FILTER($C$2:$C673,TRIM($D$2:$D673)=TRIM(D673),(($A$2:$A673&lt;A673)+(($A$2:$A673=A673)*(ROW($A$2:$A673)&lt;ROW(A673))))))),""""))"),125.0)</f>
        <v>125</v>
      </c>
    </row>
    <row r="674" ht="22.5" customHeight="1">
      <c r="A674" s="78">
        <v>46130.0</v>
      </c>
      <c r="B674" s="7" t="s">
        <v>34</v>
      </c>
      <c r="C674" s="80">
        <v>57136.0</v>
      </c>
      <c r="D674" s="84" t="str">
        <f>IFERROR(VLOOKUP(B674,BASE_VEICULOS!$A:$B,2,0),"")</f>
        <v>SRU8D16</v>
      </c>
      <c r="E674" s="82">
        <f>IFERROR(__xludf.DUMMYFUNCTION("IF(OR(A674="""",D674="""",C674=""""),"""",IFERROR(MAX(0,C674-MAX(FILTER($C$2:$C674,TRIM($D$2:$D674)=TRIM(D674),(($A$2:$A674&lt;A674)+(($A$2:$A674=A674)*(ROW($A$2:$A674)&lt;ROW(A674))))))),""""))"),729.0)</f>
        <v>729</v>
      </c>
    </row>
    <row r="675" ht="22.5" customHeight="1">
      <c r="A675" s="78">
        <v>46130.0</v>
      </c>
      <c r="B675" s="7" t="s">
        <v>25</v>
      </c>
      <c r="C675" s="80">
        <v>18918.0</v>
      </c>
      <c r="D675" s="84" t="str">
        <f>IFERROR(VLOOKUP(B675,BASE_VEICULOS!$A:$B,2,0),"")</f>
        <v>TEW9A26</v>
      </c>
      <c r="E675" s="82">
        <f>IFERROR(__xludf.DUMMYFUNCTION("IF(OR(A675="""",D675="""",C675=""""),"""",IFERROR(MAX(0,C675-MAX(FILTER($C$2:$C675,TRIM($D$2:$D675)=TRIM(D675),(($A$2:$A675&lt;A675)+(($A$2:$A675=A675)*(ROW($A$2:$A675)&lt;ROW(A675))))))),""""))"),300.0)</f>
        <v>300</v>
      </c>
    </row>
    <row r="676" ht="22.5" customHeight="1">
      <c r="A676" s="78">
        <v>46130.0</v>
      </c>
      <c r="B676" s="7" t="s">
        <v>12</v>
      </c>
      <c r="C676" s="80">
        <v>92539.0</v>
      </c>
      <c r="D676" s="84" t="str">
        <f>IFERROR(VLOOKUP(B676,BASE_VEICULOS!$A:$B,2,0),"")</f>
        <v>FIL8C14</v>
      </c>
      <c r="E676" s="82">
        <f>IFERROR(__xludf.DUMMYFUNCTION("IF(OR(A676="""",D676="""",C676=""""),"""",IFERROR(MAX(0,C676-MAX(FILTER($C$2:$C676,TRIM($D$2:$D676)=TRIM(D676),(($A$2:$A676&lt;A676)+(($A$2:$A676=A676)*(ROW($A$2:$A676)&lt;ROW(A676))))))),""""))"),108.0)</f>
        <v>108</v>
      </c>
    </row>
    <row r="677" ht="22.5" customHeight="1">
      <c r="A677" s="78">
        <v>46132.0</v>
      </c>
      <c r="B677" s="7" t="s">
        <v>15</v>
      </c>
      <c r="C677" s="80">
        <v>110640.0</v>
      </c>
      <c r="D677" s="84" t="str">
        <f>IFERROR(VLOOKUP(B677,BASE_VEICULOS!$A:$B,2,0),"")</f>
        <v>EWH1B84</v>
      </c>
      <c r="E677" s="82">
        <f>IFERROR(__xludf.DUMMYFUNCTION("IF(OR(A677="""",D677="""",C677=""""),"""",IFERROR(MAX(0,C677-MAX(FILTER($C$2:$C677,TRIM($D$2:$D677)=TRIM(D677),(($A$2:$A677&lt;A677)+(($A$2:$A677=A677)*(ROW($A$2:$A677)&lt;ROW(A677))))))),""""))"),165.0)</f>
        <v>165</v>
      </c>
    </row>
    <row r="678" ht="22.5" customHeight="1">
      <c r="A678" s="78">
        <v>46132.0</v>
      </c>
      <c r="B678" s="7" t="s">
        <v>28</v>
      </c>
      <c r="C678" s="80">
        <v>107241.0</v>
      </c>
      <c r="D678" s="84" t="str">
        <f>IFERROR(VLOOKUP(B678,BASE_VEICULOS!$A:$B,2,0),"")</f>
        <v/>
      </c>
      <c r="E678" s="82" t="str">
        <f>IFERROR(__xludf.DUMMYFUNCTION("IF(OR(A678="""",D678="""",C678=""""),"""",IFERROR(MAX(0,C678-MAX(FILTER($C$2:$C678,TRIM($D$2:$D678)=TRIM(D678),(($A$2:$A678&lt;A678)+(($A$2:$A678=A678)*(ROW($A$2:$A678)&lt;ROW(A678))))))),""""))"),"")</f>
        <v/>
      </c>
    </row>
    <row r="679" ht="22.5" customHeight="1">
      <c r="A679" s="78">
        <v>46133.0</v>
      </c>
      <c r="B679" s="7" t="s">
        <v>34</v>
      </c>
      <c r="C679" s="80">
        <v>57321.0</v>
      </c>
      <c r="D679" s="84" t="str">
        <f>IFERROR(VLOOKUP(B679,BASE_VEICULOS!$A:$B,2,0),"")</f>
        <v>SRU8D16</v>
      </c>
      <c r="E679" s="82">
        <f>IFERROR(__xludf.DUMMYFUNCTION("IF(OR(A679="""",D679="""",C679=""""),"""",IFERROR(MAX(0,C679-MAX(FILTER($C$2:$C679,TRIM($D$2:$D679)=TRIM(D679),(($A$2:$A679&lt;A679)+(($A$2:$A679=A679)*(ROW($A$2:$A679)&lt;ROW(A679))))))),""""))"),185.0)</f>
        <v>185</v>
      </c>
    </row>
    <row r="680" ht="22.5" customHeight="1">
      <c r="A680" s="78">
        <v>46133.0</v>
      </c>
      <c r="B680" s="7" t="s">
        <v>20</v>
      </c>
      <c r="C680" s="80">
        <v>19730.0</v>
      </c>
      <c r="D680" s="84" t="str">
        <f>IFERROR(VLOOKUP(B680,BASE_VEICULOS!$A:$B,2,0),"")</f>
        <v>TEW9A34</v>
      </c>
      <c r="E680" s="82">
        <f>IFERROR(__xludf.DUMMYFUNCTION("IF(OR(A680="""",D680="""",C680=""""),"""",IFERROR(MAX(0,C680-MAX(FILTER($C$2:$C680,TRIM($D$2:$D680)=TRIM(D680),(($A$2:$A680&lt;A680)+(($A$2:$A680=A680)*(ROW($A$2:$A680)&lt;ROW(A680))))))),""""))"),383.0)</f>
        <v>383</v>
      </c>
    </row>
    <row r="681" ht="22.5" customHeight="1">
      <c r="A681" s="78">
        <v>46133.0</v>
      </c>
      <c r="B681" s="7" t="s">
        <v>25</v>
      </c>
      <c r="C681" s="80">
        <v>19139.0</v>
      </c>
      <c r="D681" s="84" t="str">
        <f>IFERROR(VLOOKUP(B681,BASE_VEICULOS!$A:$B,2,0),"")</f>
        <v>TEW9A26</v>
      </c>
      <c r="E681" s="82">
        <f>IFERROR(__xludf.DUMMYFUNCTION("IF(OR(A681="""",D681="""",C681=""""),"""",IFERROR(MAX(0,C681-MAX(FILTER($C$2:$C681,TRIM($D$2:$D681)=TRIM(D681),(($A$2:$A681&lt;A681)+(($A$2:$A681=A681)*(ROW($A$2:$A681)&lt;ROW(A681))))))),""""))"),221.0)</f>
        <v>221</v>
      </c>
    </row>
    <row r="682" ht="22.5" customHeight="1">
      <c r="A682" s="78">
        <v>46133.0</v>
      </c>
      <c r="B682" s="7" t="s">
        <v>30</v>
      </c>
      <c r="C682" s="80">
        <v>22895.0</v>
      </c>
      <c r="D682" s="84" t="str">
        <f>IFERROR(VLOOKUP(B682,BASE_VEICULOS!$A:$B,2,0),"")</f>
        <v/>
      </c>
      <c r="E682" s="82" t="str">
        <f>IFERROR(__xludf.DUMMYFUNCTION("IF(OR(A682="""",D682="""",C682=""""),"""",IFERROR(MAX(0,C682-MAX(FILTER($C$2:$C682,TRIM($D$2:$D682)=TRIM(D682),(($A$2:$A682&lt;A682)+(($A$2:$A682=A682)*(ROW($A$2:$A682)&lt;ROW(A682))))))),""""))"),"")</f>
        <v/>
      </c>
    </row>
    <row r="683" ht="22.5" customHeight="1">
      <c r="A683" s="78">
        <v>46133.0</v>
      </c>
      <c r="B683" s="7" t="s">
        <v>22</v>
      </c>
      <c r="C683" s="80">
        <v>33010.0</v>
      </c>
      <c r="D683" s="84" t="str">
        <f>IFERROR(VLOOKUP(B683,BASE_VEICULOS!$A:$B,2,0),"")</f>
        <v>TET5H37</v>
      </c>
      <c r="E683" s="82">
        <f>IFERROR(__xludf.DUMMYFUNCTION("IF(OR(A683="""",D683="""",C683=""""),"""",IFERROR(MAX(0,C683-MAX(FILTER($C$2:$C683,TRIM($D$2:$D683)=TRIM(D683),(($A$2:$A683&lt;A683)+(($A$2:$A683=A683)*(ROW($A$2:$A683)&lt;ROW(A683))))))),""""))"),153.0)</f>
        <v>153</v>
      </c>
    </row>
    <row r="684" ht="22.5" customHeight="1">
      <c r="A684" s="78">
        <v>46133.0</v>
      </c>
      <c r="B684" s="7" t="s">
        <v>33</v>
      </c>
      <c r="C684" s="80">
        <v>71921.0</v>
      </c>
      <c r="D684" s="84" t="str">
        <f>IFERROR(VLOOKUP(B684,BASE_VEICULOS!$A:$B,2,0),"")</f>
        <v>TEW9A30</v>
      </c>
      <c r="E684" s="82">
        <f>IFERROR(__xludf.DUMMYFUNCTION("IF(OR(A684="""",D684="""",C684=""""),"""",IFERROR(MAX(0,C684-MAX(FILTER($C$2:$C684,TRIM($D$2:$D684)=TRIM(D684),(($A$2:$A684&lt;A684)+(($A$2:$A684=A684)*(ROW($A$2:$A684)&lt;ROW(A684))))))),""""))"),236.0)</f>
        <v>236</v>
      </c>
    </row>
    <row r="685" ht="22.5" customHeight="1">
      <c r="A685" s="78">
        <v>46133.0</v>
      </c>
      <c r="B685" s="7" t="s">
        <v>18</v>
      </c>
      <c r="C685" s="80">
        <v>20903.0</v>
      </c>
      <c r="D685" s="84" t="str">
        <f>IFERROR(VLOOKUP(B685,BASE_VEICULOS!$A:$B,2,0),"")</f>
        <v>TEW9A29</v>
      </c>
      <c r="E685" s="82">
        <f>IFERROR(__xludf.DUMMYFUNCTION("IF(OR(A685="""",D685="""",C685=""""),"""",IFERROR(MAX(0,C685-MAX(FILTER($C$2:$C685,TRIM($D$2:$D685)=TRIM(D685),(($A$2:$A685&lt;A685)+(($A$2:$A685=A685)*(ROW($A$2:$A685)&lt;ROW(A685))))))),""""))"),3.0)</f>
        <v>3</v>
      </c>
    </row>
    <row r="686" ht="22.5" customHeight="1">
      <c r="A686" s="78">
        <v>46133.0</v>
      </c>
      <c r="B686" s="7" t="s">
        <v>24</v>
      </c>
      <c r="C686" s="80">
        <v>18802.0</v>
      </c>
      <c r="D686" s="84" t="str">
        <f>IFERROR(VLOOKUP(B686,BASE_VEICULOS!$A:$B,2,0),"")</f>
        <v>TEW9A23</v>
      </c>
      <c r="E686" s="82">
        <f>IFERROR(__xludf.DUMMYFUNCTION("IF(OR(A686="""",D686="""",C686=""""),"""",IFERROR(MAX(0,C686-MAX(FILTER($C$2:$C686,TRIM($D$2:$D686)=TRIM(D686),(($A$2:$A686&lt;A686)+(($A$2:$A686=A686)*(ROW($A$2:$A686)&lt;ROW(A686))))))),""""))"),28.0)</f>
        <v>28</v>
      </c>
    </row>
    <row r="687" ht="22.5" customHeight="1">
      <c r="A687" s="78">
        <v>46133.0</v>
      </c>
      <c r="B687" s="7" t="s">
        <v>29</v>
      </c>
      <c r="C687" s="80">
        <v>79040.0</v>
      </c>
      <c r="D687" s="84" t="str">
        <f>IFERROR(VLOOKUP(B687,BASE_VEICULOS!$A:$B,2,0),"")</f>
        <v>TEQ2I74</v>
      </c>
      <c r="E687" s="82">
        <f>IFERROR(__xludf.DUMMYFUNCTION("IF(OR(A687="""",D687="""",C687=""""),"""",IFERROR(MAX(0,C687-MAX(FILTER($C$2:$C687,TRIM($D$2:$D687)=TRIM(D687),(($A$2:$A687&lt;A687)+(($A$2:$A687=A687)*(ROW($A$2:$A687)&lt;ROW(A687))))))),""""))"),44.0)</f>
        <v>44</v>
      </c>
    </row>
    <row r="688" ht="22.5" customHeight="1">
      <c r="A688" s="78">
        <v>46133.0</v>
      </c>
      <c r="B688" s="7" t="s">
        <v>14</v>
      </c>
      <c r="C688" s="80">
        <v>94821.0</v>
      </c>
      <c r="D688" s="84" t="str">
        <f>IFERROR(VLOOKUP(B688,BASE_VEICULOS!$A:$B,2,0),"")</f>
        <v>FOK8A73</v>
      </c>
      <c r="E688" s="82">
        <f>IFERROR(__xludf.DUMMYFUNCTION("IF(OR(A688="""",D688="""",C688=""""),"""",IFERROR(MAX(0,C688-MAX(FILTER($C$2:$C688,TRIM($D$2:$D688)=TRIM(D688),(($A$2:$A688&lt;A688)+(($A$2:$A688=A688)*(ROW($A$2:$A688)&lt;ROW(A688))))))),""""))"),256.0)</f>
        <v>256</v>
      </c>
    </row>
    <row r="689" ht="22.5" customHeight="1">
      <c r="A689" s="78">
        <v>46133.0</v>
      </c>
      <c r="B689" s="7" t="s">
        <v>12</v>
      </c>
      <c r="C689" s="80">
        <v>92539.0</v>
      </c>
      <c r="D689" s="84" t="str">
        <f>IFERROR(VLOOKUP(B689,BASE_VEICULOS!$A:$B,2,0),"")</f>
        <v>FIL8C14</v>
      </c>
      <c r="E689" s="82">
        <f>IFERROR(__xludf.DUMMYFUNCTION("IF(OR(A689="""",D689="""",C689=""""),"""",IFERROR(MAX(0,C689-MAX(FILTER($C$2:$C689,TRIM($D$2:$D689)=TRIM(D689),(($A$2:$A689&lt;A689)+(($A$2:$A689=A689)*(ROW($A$2:$A689)&lt;ROW(A689))))))),""""))"),0.0)</f>
        <v>0</v>
      </c>
    </row>
    <row r="690" ht="22.5" customHeight="1">
      <c r="A690" s="78">
        <v>46133.0</v>
      </c>
      <c r="B690" s="7" t="s">
        <v>21</v>
      </c>
      <c r="C690" s="80">
        <v>21431.0</v>
      </c>
      <c r="D690" s="84" t="str">
        <f>IFERROR(VLOOKUP(B690,BASE_VEICULOS!$A:$B,2,0),"")</f>
        <v>TEW9A33</v>
      </c>
      <c r="E690" s="82">
        <f>IFERROR(__xludf.DUMMYFUNCTION("IF(OR(A690="""",D690="""",C690=""""),"""",IFERROR(MAX(0,C690-MAX(FILTER($C$2:$C690,TRIM($D$2:$D690)=TRIM(D690),(($A$2:$A690&lt;A690)+(($A$2:$A690=A690)*(ROW($A$2:$A690)&lt;ROW(A690))))))),""""))"),0.0)</f>
        <v>0</v>
      </c>
    </row>
    <row r="691" ht="22.5" customHeight="1">
      <c r="A691" s="78">
        <v>46133.0</v>
      </c>
      <c r="B691" s="7" t="s">
        <v>23</v>
      </c>
      <c r="C691" s="80">
        <v>21538.0</v>
      </c>
      <c r="D691" s="84" t="str">
        <f>IFERROR(VLOOKUP(B691,BASE_VEICULOS!$A:$B,2,0),"")</f>
        <v>TEH3I02</v>
      </c>
      <c r="E691" s="82">
        <f>IFERROR(__xludf.DUMMYFUNCTION("IF(OR(A691="""",D691="""",C691=""""),"""",IFERROR(MAX(0,C691-MAX(FILTER($C$2:$C691,TRIM($D$2:$D691)=TRIM(D691),(($A$2:$A691&lt;A691)+(($A$2:$A691=A691)*(ROW($A$2:$A691)&lt;ROW(A691))))))),""""))"),507.0)</f>
        <v>507</v>
      </c>
    </row>
    <row r="692" ht="22.5" customHeight="1">
      <c r="A692" s="78">
        <v>46133.0</v>
      </c>
      <c r="B692" s="7" t="s">
        <v>11</v>
      </c>
      <c r="C692" s="80">
        <v>98414.0</v>
      </c>
      <c r="D692" s="84" t="str">
        <f>IFERROR(VLOOKUP(B692,BASE_VEICULOS!$A:$B,2,0),"")</f>
        <v>TEW9A28</v>
      </c>
      <c r="E692" s="82">
        <f>IFERROR(__xludf.DUMMYFUNCTION("IF(OR(A692="""",D692="""",C692=""""),"""",IFERROR(MAX(0,C692-MAX(FILTER($C$2:$C692,TRIM($D$2:$D692)=TRIM(D692),(($A$2:$A692&lt;A692)+(($A$2:$A692=A692)*(ROW($A$2:$A692)&lt;ROW(A692))))))),""""))"),27.0)</f>
        <v>27</v>
      </c>
    </row>
    <row r="693" ht="22.5" customHeight="1">
      <c r="A693" s="78">
        <v>46133.0</v>
      </c>
      <c r="B693" s="7" t="s">
        <v>10</v>
      </c>
      <c r="C693" s="80">
        <v>21163.0</v>
      </c>
      <c r="D693" s="84" t="str">
        <f>IFERROR(VLOOKUP(B693,BASE_VEICULOS!$A:$B,2,0),"")</f>
        <v>TEW9A25</v>
      </c>
      <c r="E693" s="82">
        <f>IFERROR(__xludf.DUMMYFUNCTION("IF(OR(A693="""",D693="""",C693=""""),"""",IFERROR(MAX(0,C693-MAX(FILTER($C$2:$C693,TRIM($D$2:$D693)=TRIM(D693),(($A$2:$A693&lt;A693)+(($A$2:$A693=A693)*(ROW($A$2:$A693)&lt;ROW(A693))))))),""""))"),128.0)</f>
        <v>128</v>
      </c>
    </row>
    <row r="694" ht="22.5" customHeight="1">
      <c r="A694" s="78">
        <v>46133.0</v>
      </c>
      <c r="B694" s="7" t="s">
        <v>19</v>
      </c>
      <c r="C694" s="80">
        <v>22610.0</v>
      </c>
      <c r="D694" s="84" t="str">
        <f>IFERROR(VLOOKUP(B694,BASE_VEICULOS!$A:$B,2,0),"")</f>
        <v>TEW9A24</v>
      </c>
      <c r="E694" s="82">
        <f>IFERROR(__xludf.DUMMYFUNCTION("IF(OR(A694="""",D694="""",C694=""""),"""",IFERROR(MAX(0,C694-MAX(FILTER($C$2:$C694,TRIM($D$2:$D694)=TRIM(D694),(($A$2:$A694&lt;A694)+(($A$2:$A694=A694)*(ROW($A$2:$A694)&lt;ROW(A694))))))),""""))"),146.0)</f>
        <v>146</v>
      </c>
    </row>
    <row r="695" ht="22.5" customHeight="1">
      <c r="A695" s="78">
        <v>46134.0</v>
      </c>
      <c r="B695" s="7" t="s">
        <v>10</v>
      </c>
      <c r="C695" s="80">
        <v>21308.0</v>
      </c>
      <c r="D695" s="84" t="str">
        <f>IFERROR(VLOOKUP(B695,BASE_VEICULOS!$A:$B,2,0),"")</f>
        <v>TEW9A25</v>
      </c>
      <c r="E695" s="82">
        <f>IFERROR(__xludf.DUMMYFUNCTION("IF(OR(A695="""",D695="""",C695=""""),"""",IFERROR(MAX(0,C695-MAX(FILTER($C$2:$C695,TRIM($D$2:$D695)=TRIM(D695),(($A$2:$A695&lt;A695)+(($A$2:$A695=A695)*(ROW($A$2:$A695)&lt;ROW(A695))))))),""""))"),145.0)</f>
        <v>145</v>
      </c>
    </row>
    <row r="696" ht="22.5" customHeight="1">
      <c r="A696" s="78">
        <v>46134.0</v>
      </c>
      <c r="B696" s="7" t="s">
        <v>18</v>
      </c>
      <c r="C696" s="80">
        <v>21067.0</v>
      </c>
      <c r="D696" s="84" t="str">
        <f>IFERROR(VLOOKUP(B696,BASE_VEICULOS!$A:$B,2,0),"")</f>
        <v>TEW9A29</v>
      </c>
      <c r="E696" s="82">
        <f>IFERROR(__xludf.DUMMYFUNCTION("IF(OR(A696="""",D696="""",C696=""""),"""",IFERROR(MAX(0,C696-MAX(FILTER($C$2:$C696,TRIM($D$2:$D696)=TRIM(D696),(($A$2:$A696&lt;A696)+(($A$2:$A696=A696)*(ROW($A$2:$A696)&lt;ROW(A696))))))),""""))"),164.0)</f>
        <v>164</v>
      </c>
    </row>
    <row r="697" ht="22.5" customHeight="1">
      <c r="A697" s="78">
        <v>46134.0</v>
      </c>
      <c r="B697" s="7" t="s">
        <v>24</v>
      </c>
      <c r="C697" s="80">
        <v>18973.0</v>
      </c>
      <c r="D697" s="84" t="str">
        <f>IFERROR(VLOOKUP(B697,BASE_VEICULOS!$A:$B,2,0),"")</f>
        <v>TEW9A23</v>
      </c>
      <c r="E697" s="82">
        <f>IFERROR(__xludf.DUMMYFUNCTION("IF(OR(A697="""",D697="""",C697=""""),"""",IFERROR(MAX(0,C697-MAX(FILTER($C$2:$C697,TRIM($D$2:$D697)=TRIM(D697),(($A$2:$A697&lt;A697)+(($A$2:$A697=A697)*(ROW($A$2:$A697)&lt;ROW(A697))))))),""""))"),171.0)</f>
        <v>171</v>
      </c>
    </row>
    <row r="698" ht="22.5" customHeight="1">
      <c r="A698" s="78">
        <v>46134.0</v>
      </c>
      <c r="B698" s="7" t="s">
        <v>15</v>
      </c>
      <c r="C698" s="80">
        <v>110667.0</v>
      </c>
      <c r="D698" s="84" t="str">
        <f>IFERROR(VLOOKUP(B698,BASE_VEICULOS!$A:$B,2,0),"")</f>
        <v>EWH1B84</v>
      </c>
      <c r="E698" s="82">
        <f>IFERROR(__xludf.DUMMYFUNCTION("IF(OR(A698="""",D698="""",C698=""""),"""",IFERROR(MAX(0,C698-MAX(FILTER($C$2:$C698,TRIM($D$2:$D698)=TRIM(D698),(($A$2:$A698&lt;A698)+(($A$2:$A698=A698)*(ROW($A$2:$A698)&lt;ROW(A698))))))),""""))"),27.0)</f>
        <v>27</v>
      </c>
    </row>
    <row r="699" ht="22.5" customHeight="1">
      <c r="A699" s="78">
        <v>46134.0</v>
      </c>
      <c r="B699" s="7" t="s">
        <v>12</v>
      </c>
      <c r="C699" s="80">
        <v>92628.0</v>
      </c>
      <c r="D699" s="84" t="str">
        <f>IFERROR(VLOOKUP(B699,BASE_VEICULOS!$A:$B,2,0),"")</f>
        <v>FIL8C14</v>
      </c>
      <c r="E699" s="82">
        <f>IFERROR(__xludf.DUMMYFUNCTION("IF(OR(A699="""",D699="""",C699=""""),"""",IFERROR(MAX(0,C699-MAX(FILTER($C$2:$C699,TRIM($D$2:$D699)=TRIM(D699),(($A$2:$A699&lt;A699)+(($A$2:$A699=A699)*(ROW($A$2:$A699)&lt;ROW(A699))))))),""""))"),89.0)</f>
        <v>89</v>
      </c>
    </row>
    <row r="700" ht="22.5" customHeight="1">
      <c r="A700" s="78">
        <v>46134.0</v>
      </c>
      <c r="B700" s="7" t="s">
        <v>14</v>
      </c>
      <c r="C700" s="80">
        <v>94951.0</v>
      </c>
      <c r="D700" s="84" t="str">
        <f>IFERROR(VLOOKUP(B700,BASE_VEICULOS!$A:$B,2,0),"")</f>
        <v>FOK8A73</v>
      </c>
      <c r="E700" s="82">
        <f>IFERROR(__xludf.DUMMYFUNCTION("IF(OR(A700="""",D700="""",C700=""""),"""",IFERROR(MAX(0,C700-MAX(FILTER($C$2:$C700,TRIM($D$2:$D700)=TRIM(D700),(($A$2:$A700&lt;A700)+(($A$2:$A700=A700)*(ROW($A$2:$A700)&lt;ROW(A700))))))),""""))"),130.0)</f>
        <v>130</v>
      </c>
    </row>
    <row r="701" ht="22.5" customHeight="1">
      <c r="A701" s="78">
        <v>46134.0</v>
      </c>
      <c r="B701" s="7" t="s">
        <v>30</v>
      </c>
      <c r="C701" s="80">
        <v>23277.0</v>
      </c>
      <c r="D701" s="84" t="str">
        <f>IFERROR(VLOOKUP(B701,BASE_VEICULOS!$A:$B,2,0),"")</f>
        <v/>
      </c>
      <c r="E701" s="82" t="str">
        <f>IFERROR(__xludf.DUMMYFUNCTION("IF(OR(A701="""",D701="""",C701=""""),"""",IFERROR(MAX(0,C701-MAX(FILTER($C$2:$C701,TRIM($D$2:$D701)=TRIM(D701),(($A$2:$A701&lt;A701)+(($A$2:$A701=A701)*(ROW($A$2:$A701)&lt;ROW(A701))))))),""""))"),"")</f>
        <v/>
      </c>
    </row>
    <row r="702" ht="22.5" customHeight="1">
      <c r="A702" s="78">
        <v>46134.0</v>
      </c>
      <c r="B702" s="7" t="s">
        <v>16</v>
      </c>
      <c r="C702" s="80">
        <v>13583.0</v>
      </c>
      <c r="D702" s="84" t="str">
        <f>IFERROR(VLOOKUP(B702,BASE_VEICULOS!$A:$B,2,0),"")</f>
        <v>TEW9A27</v>
      </c>
      <c r="E702" s="82">
        <f>IFERROR(__xludf.DUMMYFUNCTION("IF(OR(A702="""",D702="""",C702=""""),"""",IFERROR(MAX(0,C702-MAX(FILTER($C$2:$C702,TRIM($D$2:$D702)=TRIM(D702),(($A$2:$A702&lt;A702)+(($A$2:$A702=A702)*(ROW($A$2:$A702)&lt;ROW(A702))))))),""""))"),107.0)</f>
        <v>107</v>
      </c>
    </row>
    <row r="703" ht="22.5" customHeight="1">
      <c r="A703" s="78">
        <v>46134.0</v>
      </c>
      <c r="B703" s="7" t="s">
        <v>34</v>
      </c>
      <c r="C703" s="80">
        <v>57828.0</v>
      </c>
      <c r="D703" s="84" t="str">
        <f>IFERROR(VLOOKUP(B703,BASE_VEICULOS!$A:$B,2,0),"")</f>
        <v>SRU8D16</v>
      </c>
      <c r="E703" s="82">
        <f>IFERROR(__xludf.DUMMYFUNCTION("IF(OR(A703="""",D703="""",C703=""""),"""",IFERROR(MAX(0,C703-MAX(FILTER($C$2:$C703,TRIM($D$2:$D703)=TRIM(D703),(($A$2:$A703&lt;A703)+(($A$2:$A703=A703)*(ROW($A$2:$A703)&lt;ROW(A703))))))),""""))"),507.0)</f>
        <v>507</v>
      </c>
    </row>
    <row r="704" ht="22.5" customHeight="1">
      <c r="A704" s="78">
        <v>46134.0</v>
      </c>
      <c r="B704" s="7" t="s">
        <v>23</v>
      </c>
      <c r="C704" s="80">
        <v>21763.0</v>
      </c>
      <c r="D704" s="84" t="str">
        <f>IFERROR(VLOOKUP(B704,BASE_VEICULOS!$A:$B,2,0),"")</f>
        <v>TEH3I02</v>
      </c>
      <c r="E704" s="82">
        <f>IFERROR(__xludf.DUMMYFUNCTION("IF(OR(A704="""",D704="""",C704=""""),"""",IFERROR(MAX(0,C704-MAX(FILTER($C$2:$C704,TRIM($D$2:$D704)=TRIM(D704),(($A$2:$A704&lt;A704)+(($A$2:$A704=A704)*(ROW($A$2:$A704)&lt;ROW(A704))))))),""""))"),225.0)</f>
        <v>225</v>
      </c>
    </row>
    <row r="705" ht="22.5" customHeight="1">
      <c r="A705" s="78">
        <v>46134.0</v>
      </c>
      <c r="B705" s="7" t="s">
        <v>20</v>
      </c>
      <c r="C705" s="80">
        <v>19909.0</v>
      </c>
      <c r="D705" s="84" t="str">
        <f>IFERROR(VLOOKUP(B705,BASE_VEICULOS!$A:$B,2,0),"")</f>
        <v>TEW9A34</v>
      </c>
      <c r="E705" s="82">
        <f>IFERROR(__xludf.DUMMYFUNCTION("IF(OR(A705="""",D705="""",C705=""""),"""",IFERROR(MAX(0,C705-MAX(FILTER($C$2:$C705,TRIM($D$2:$D705)=TRIM(D705),(($A$2:$A705&lt;A705)+(($A$2:$A705=A705)*(ROW($A$2:$A705)&lt;ROW(A705))))))),""""))"),179.0)</f>
        <v>179</v>
      </c>
    </row>
    <row r="706" ht="22.5" customHeight="1">
      <c r="A706" s="78">
        <v>46134.0</v>
      </c>
      <c r="B706" s="7" t="s">
        <v>11</v>
      </c>
      <c r="C706" s="80">
        <v>98469.0</v>
      </c>
      <c r="D706" s="84" t="str">
        <f>IFERROR(VLOOKUP(B706,BASE_VEICULOS!$A:$B,2,0),"")</f>
        <v>TEW9A28</v>
      </c>
      <c r="E706" s="82">
        <f>IFERROR(__xludf.DUMMYFUNCTION("IF(OR(A706="""",D706="""",C706=""""),"""",IFERROR(MAX(0,C706-MAX(FILTER($C$2:$C706,TRIM($D$2:$D706)=TRIM(D706),(($A$2:$A706&lt;A706)+(($A$2:$A706=A706)*(ROW($A$2:$A706)&lt;ROW(A706))))))),""""))"),55.0)</f>
        <v>55</v>
      </c>
    </row>
    <row r="707" ht="22.5" customHeight="1">
      <c r="A707" s="78">
        <v>46136.0</v>
      </c>
      <c r="B707" s="7" t="s">
        <v>20</v>
      </c>
      <c r="C707" s="80">
        <v>20216.0</v>
      </c>
      <c r="D707" s="84" t="str">
        <f>IFERROR(VLOOKUP(B707,BASE_VEICULOS!$A:$B,2,0),"")</f>
        <v>TEW9A34</v>
      </c>
      <c r="E707" s="82">
        <f>IFERROR(__xludf.DUMMYFUNCTION("IF(OR(A707="""",D707="""",C707=""""),"""",IFERROR(MAX(0,C707-MAX(FILTER($C$2:$C707,TRIM($D$2:$D707)=TRIM(D707),(($A$2:$A707&lt;A707)+(($A$2:$A707=A707)*(ROW($A$2:$A707)&lt;ROW(A707))))))),""""))"),307.0)</f>
        <v>307</v>
      </c>
    </row>
    <row r="708" ht="22.5" customHeight="1">
      <c r="A708" s="78">
        <v>46136.0</v>
      </c>
      <c r="B708" s="7" t="s">
        <v>29</v>
      </c>
      <c r="C708" s="80">
        <v>79404.0</v>
      </c>
      <c r="D708" s="84" t="str">
        <f>IFERROR(VLOOKUP(B708,BASE_VEICULOS!$A:$B,2,0),"")</f>
        <v>TEQ2I74</v>
      </c>
      <c r="E708" s="82">
        <f>IFERROR(__xludf.DUMMYFUNCTION("IF(OR(A708="""",D708="""",C708=""""),"""",IFERROR(MAX(0,C708-MAX(FILTER($C$2:$C708,TRIM($D$2:$D708)=TRIM(D708),(($A$2:$A708&lt;A708)+(($A$2:$A708=A708)*(ROW($A$2:$A708)&lt;ROW(A708))))))),""""))"),364.0)</f>
        <v>364</v>
      </c>
    </row>
    <row r="709" ht="22.5" customHeight="1">
      <c r="A709" s="78">
        <v>46136.0</v>
      </c>
      <c r="B709" s="7" t="s">
        <v>10</v>
      </c>
      <c r="C709" s="80">
        <v>21433.0</v>
      </c>
      <c r="D709" s="84" t="str">
        <f>IFERROR(VLOOKUP(B709,BASE_VEICULOS!$A:$B,2,0),"")</f>
        <v>TEW9A25</v>
      </c>
      <c r="E709" s="82">
        <f>IFERROR(__xludf.DUMMYFUNCTION("IF(OR(A709="""",D709="""",C709=""""),"""",IFERROR(MAX(0,C709-MAX(FILTER($C$2:$C709,TRIM($D$2:$D709)=TRIM(D709),(($A$2:$A709&lt;A709)+(($A$2:$A709=A709)*(ROW($A$2:$A709)&lt;ROW(A709))))))),""""))"),125.0)</f>
        <v>125</v>
      </c>
    </row>
    <row r="710" ht="22.5" customHeight="1">
      <c r="A710" s="78">
        <v>46136.0</v>
      </c>
      <c r="B710" s="7" t="s">
        <v>19</v>
      </c>
      <c r="C710" s="80">
        <v>22989.0</v>
      </c>
      <c r="D710" s="84" t="str">
        <f>IFERROR(VLOOKUP(B710,BASE_VEICULOS!$A:$B,2,0),"")</f>
        <v>TEW9A24</v>
      </c>
      <c r="E710" s="82">
        <f>IFERROR(__xludf.DUMMYFUNCTION("IF(OR(A710="""",D710="""",C710=""""),"""",IFERROR(MAX(0,C710-MAX(FILTER($C$2:$C710,TRIM($D$2:$D710)=TRIM(D710),(($A$2:$A710&lt;A710)+(($A$2:$A710=A710)*(ROW($A$2:$A710)&lt;ROW(A710))))))),""""))"),379.0)</f>
        <v>379</v>
      </c>
    </row>
    <row r="711" ht="22.5" customHeight="1">
      <c r="A711" s="78">
        <v>46136.0</v>
      </c>
      <c r="B711" s="7" t="s">
        <v>25</v>
      </c>
      <c r="C711" s="80">
        <v>19253.0</v>
      </c>
      <c r="D711" s="84" t="str">
        <f>IFERROR(VLOOKUP(B711,BASE_VEICULOS!$A:$B,2,0),"")</f>
        <v>TEW9A26</v>
      </c>
      <c r="E711" s="82">
        <f>IFERROR(__xludf.DUMMYFUNCTION("IF(OR(A711="""",D711="""",C711=""""),"""",IFERROR(MAX(0,C711-MAX(FILTER($C$2:$C711,TRIM($D$2:$D711)=TRIM(D711),(($A$2:$A711&lt;A711)+(($A$2:$A711=A711)*(ROW($A$2:$A711)&lt;ROW(A711))))))),""""))"),114.0)</f>
        <v>114</v>
      </c>
    </row>
    <row r="712" ht="22.5" customHeight="1">
      <c r="A712" s="78">
        <v>46136.0</v>
      </c>
      <c r="B712" s="7" t="s">
        <v>21</v>
      </c>
      <c r="C712" s="80">
        <v>21652.0</v>
      </c>
      <c r="D712" s="84" t="str">
        <f>IFERROR(VLOOKUP(B712,BASE_VEICULOS!$A:$B,2,0),"")</f>
        <v>TEW9A33</v>
      </c>
      <c r="E712" s="82">
        <f>IFERROR(__xludf.DUMMYFUNCTION("IF(OR(A712="""",D712="""",C712=""""),"""",IFERROR(MAX(0,C712-MAX(FILTER($C$2:$C712,TRIM($D$2:$D712)=TRIM(D712),(($A$2:$A712&lt;A712)+(($A$2:$A712=A712)*(ROW($A$2:$A712)&lt;ROW(A712))))))),""""))"),221.0)</f>
        <v>221</v>
      </c>
    </row>
    <row r="713" ht="22.5" customHeight="1">
      <c r="A713" s="78">
        <v>46136.0</v>
      </c>
      <c r="B713" s="7" t="s">
        <v>34</v>
      </c>
      <c r="C713" s="80">
        <v>58286.0</v>
      </c>
      <c r="D713" s="84" t="str">
        <f>IFERROR(VLOOKUP(B713,BASE_VEICULOS!$A:$B,2,0),"")</f>
        <v>SRU8D16</v>
      </c>
      <c r="E713" s="82">
        <f>IFERROR(__xludf.DUMMYFUNCTION("IF(OR(A713="""",D713="""",C713=""""),"""",IFERROR(MAX(0,C713-MAX(FILTER($C$2:$C713,TRIM($D$2:$D713)=TRIM(D713),(($A$2:$A713&lt;A713)+(($A$2:$A713=A713)*(ROW($A$2:$A713)&lt;ROW(A713))))))),""""))"),458.0)</f>
        <v>458</v>
      </c>
    </row>
    <row r="714" ht="22.5" customHeight="1">
      <c r="A714" s="78">
        <v>46136.0</v>
      </c>
      <c r="B714" s="7" t="s">
        <v>14</v>
      </c>
      <c r="C714" s="80">
        <v>95211.0</v>
      </c>
      <c r="D714" s="84" t="str">
        <f>IFERROR(VLOOKUP(B714,BASE_VEICULOS!$A:$B,2,0),"")</f>
        <v>FOK8A73</v>
      </c>
      <c r="E714" s="82">
        <f>IFERROR(__xludf.DUMMYFUNCTION("IF(OR(A714="""",D714="""",C714=""""),"""",IFERROR(MAX(0,C714-MAX(FILTER($C$2:$C714,TRIM($D$2:$D714)=TRIM(D714),(($A$2:$A714&lt;A714)+(($A$2:$A714=A714)*(ROW($A$2:$A714)&lt;ROW(A714))))))),""""))"),260.0)</f>
        <v>260</v>
      </c>
    </row>
    <row r="715" ht="22.5" customHeight="1">
      <c r="A715" s="78">
        <v>46136.0</v>
      </c>
      <c r="B715" s="7" t="s">
        <v>16</v>
      </c>
      <c r="C715" s="80">
        <v>13625.0</v>
      </c>
      <c r="D715" s="84" t="str">
        <f>IFERROR(VLOOKUP(B715,BASE_VEICULOS!$A:$B,2,0),"")</f>
        <v>TEW9A27</v>
      </c>
      <c r="E715" s="82">
        <f>IFERROR(__xludf.DUMMYFUNCTION("IF(OR(A715="""",D715="""",C715=""""),"""",IFERROR(MAX(0,C715-MAX(FILTER($C$2:$C715,TRIM($D$2:$D715)=TRIM(D715),(($A$2:$A715&lt;A715)+(($A$2:$A715=A715)*(ROW($A$2:$A715)&lt;ROW(A715))))))),""""))"),42.0)</f>
        <v>42</v>
      </c>
    </row>
    <row r="716" ht="22.5" customHeight="1">
      <c r="A716" s="78">
        <v>46136.0</v>
      </c>
      <c r="B716" s="7" t="s">
        <v>28</v>
      </c>
      <c r="C716" s="80">
        <v>107552.0</v>
      </c>
      <c r="D716" s="84" t="str">
        <f>IFERROR(VLOOKUP(B716,BASE_VEICULOS!$A:$B,2,0),"")</f>
        <v/>
      </c>
      <c r="E716" s="82" t="str">
        <f>IFERROR(__xludf.DUMMYFUNCTION("IF(OR(A716="""",D716="""",C716=""""),"""",IFERROR(MAX(0,C716-MAX(FILTER($C$2:$C716,TRIM($D$2:$D716)=TRIM(D716),(($A$2:$A716&lt;A716)+(($A$2:$A716=A716)*(ROW($A$2:$A716)&lt;ROW(A716))))))),""""))"),"")</f>
        <v/>
      </c>
    </row>
    <row r="717" ht="22.5" customHeight="1">
      <c r="A717" s="78">
        <v>46136.0</v>
      </c>
      <c r="B717" s="7" t="s">
        <v>12</v>
      </c>
      <c r="C717" s="80">
        <v>92745.0</v>
      </c>
      <c r="D717" s="84" t="str">
        <f>IFERROR(VLOOKUP(B717,BASE_VEICULOS!$A:$B,2,0),"")</f>
        <v>FIL8C14</v>
      </c>
      <c r="E717" s="82">
        <f>IFERROR(__xludf.DUMMYFUNCTION("IF(OR(A717="""",D717="""",C717=""""),"""",IFERROR(MAX(0,C717-MAX(FILTER($C$2:$C717,TRIM($D$2:$D717)=TRIM(D717),(($A$2:$A717&lt;A717)+(($A$2:$A717=A717)*(ROW($A$2:$A717)&lt;ROW(A717))))))),""""))"),117.0)</f>
        <v>117</v>
      </c>
    </row>
    <row r="718" ht="22.5" customHeight="1">
      <c r="A718" s="78">
        <v>46136.0</v>
      </c>
      <c r="B718" s="7" t="s">
        <v>23</v>
      </c>
      <c r="C718" s="80">
        <v>21889.0</v>
      </c>
      <c r="D718" s="84" t="str">
        <f>IFERROR(VLOOKUP(B718,BASE_VEICULOS!$A:$B,2,0),"")</f>
        <v>TEH3I02</v>
      </c>
      <c r="E718" s="82">
        <f>IFERROR(__xludf.DUMMYFUNCTION("IF(OR(A718="""",D718="""",C718=""""),"""",IFERROR(MAX(0,C718-MAX(FILTER($C$2:$C718,TRIM($D$2:$D718)=TRIM(D718),(($A$2:$A718&lt;A718)+(($A$2:$A718=A718)*(ROW($A$2:$A718)&lt;ROW(A718))))))),""""))"),126.0)</f>
        <v>126</v>
      </c>
    </row>
    <row r="719" ht="22.5" customHeight="1">
      <c r="A719" s="78">
        <v>46136.0</v>
      </c>
      <c r="B719" s="7" t="s">
        <v>33</v>
      </c>
      <c r="C719" s="80">
        <v>72159.0</v>
      </c>
      <c r="D719" s="84" t="str">
        <f>IFERROR(VLOOKUP(B719,BASE_VEICULOS!$A:$B,2,0),"")</f>
        <v>TEW9A30</v>
      </c>
      <c r="E719" s="82">
        <f>IFERROR(__xludf.DUMMYFUNCTION("IF(OR(A719="""",D719="""",C719=""""),"""",IFERROR(MAX(0,C719-MAX(FILTER($C$2:$C719,TRIM($D$2:$D719)=TRIM(D719),(($A$2:$A719&lt;A719)+(($A$2:$A719=A719)*(ROW($A$2:$A719)&lt;ROW(A719))))))),""""))"),238.0)</f>
        <v>238</v>
      </c>
    </row>
    <row r="720" ht="22.5" customHeight="1">
      <c r="A720" s="78">
        <v>46136.0</v>
      </c>
      <c r="B720" s="7" t="s">
        <v>18</v>
      </c>
      <c r="C720" s="80">
        <v>21357.0</v>
      </c>
      <c r="D720" s="84" t="str">
        <f>IFERROR(VLOOKUP(B720,BASE_VEICULOS!$A:$B,2,0),"")</f>
        <v>TEW9A29</v>
      </c>
      <c r="E720" s="82">
        <f>IFERROR(__xludf.DUMMYFUNCTION("IF(OR(A720="""",D720="""",C720=""""),"""",IFERROR(MAX(0,C720-MAX(FILTER($C$2:$C720,TRIM($D$2:$D720)=TRIM(D720),(($A$2:$A720&lt;A720)+(($A$2:$A720=A720)*(ROW($A$2:$A720)&lt;ROW(A720))))))),""""))"),290.0)</f>
        <v>290</v>
      </c>
    </row>
    <row r="721" ht="22.5" customHeight="1">
      <c r="A721" s="78">
        <v>46136.0</v>
      </c>
      <c r="B721" s="7" t="s">
        <v>22</v>
      </c>
      <c r="C721" s="80">
        <v>33307.0</v>
      </c>
      <c r="D721" s="84" t="str">
        <f>IFERROR(VLOOKUP(B721,BASE_VEICULOS!$A:$B,2,0),"")</f>
        <v>TET5H37</v>
      </c>
      <c r="E721" s="82">
        <f>IFERROR(__xludf.DUMMYFUNCTION("IF(OR(A721="""",D721="""",C721=""""),"""",IFERROR(MAX(0,C721-MAX(FILTER($C$2:$C721,TRIM($D$2:$D721)=TRIM(D721),(($A$2:$A721&lt;A721)+(($A$2:$A721=A721)*(ROW($A$2:$A721)&lt;ROW(A721))))))),""""))"),297.0)</f>
        <v>297</v>
      </c>
    </row>
    <row r="722" ht="22.5" customHeight="1">
      <c r="A722" s="78">
        <v>46136.0</v>
      </c>
      <c r="B722" s="7" t="s">
        <v>13</v>
      </c>
      <c r="C722" s="80">
        <v>108886.0</v>
      </c>
      <c r="D722" s="84" t="str">
        <f>IFERROR(VLOOKUP(B722,BASE_VEICULOS!$A:$B,2,0),"")</f>
        <v>FGO3C61</v>
      </c>
      <c r="E722" s="82">
        <f>IFERROR(__xludf.DUMMYFUNCTION("IF(OR(A722="""",D722="""",C722=""""),"""",IFERROR(MAX(0,C722-MAX(FILTER($C$2:$C722,TRIM($D$2:$D722)=TRIM(D722),(($A$2:$A722&lt;A722)+(($A$2:$A722=A722)*(ROW($A$2:$A722)&lt;ROW(A722))))))),""""))"),442.0)</f>
        <v>442</v>
      </c>
    </row>
    <row r="723" ht="22.5" customHeight="1">
      <c r="A723" s="78">
        <v>46136.0</v>
      </c>
      <c r="B723" s="7" t="s">
        <v>30</v>
      </c>
      <c r="C723" s="80">
        <v>23586.0</v>
      </c>
      <c r="D723" s="84" t="str">
        <f>IFERROR(VLOOKUP(B723,BASE_VEICULOS!$A:$B,2,0),"")</f>
        <v/>
      </c>
      <c r="E723" s="82" t="str">
        <f>IFERROR(__xludf.DUMMYFUNCTION("IF(OR(A723="""",D723="""",C723=""""),"""",IFERROR(MAX(0,C723-MAX(FILTER($C$2:$C723,TRIM($D$2:$D723)=TRIM(D723),(($A$2:$A723&lt;A723)+(($A$2:$A723=A723)*(ROW($A$2:$A723)&lt;ROW(A723))))))),""""))"),"")</f>
        <v/>
      </c>
    </row>
    <row r="724" ht="22.5" customHeight="1">
      <c r="A724" s="78">
        <v>46137.0</v>
      </c>
      <c r="B724" s="7" t="s">
        <v>16</v>
      </c>
      <c r="C724" s="80">
        <v>13791.0</v>
      </c>
      <c r="D724" s="84" t="str">
        <f>IFERROR(VLOOKUP(B724,BASE_VEICULOS!$A:$B,2,0),"")</f>
        <v>TEW9A27</v>
      </c>
      <c r="E724" s="82">
        <f>IFERROR(__xludf.DUMMYFUNCTION("IF(OR(A724="""",D724="""",C724=""""),"""",IFERROR(MAX(0,C724-MAX(FILTER($C$2:$C724,TRIM($D$2:$D724)=TRIM(D724),(($A$2:$A724&lt;A724)+(($A$2:$A724=A724)*(ROW($A$2:$A724)&lt;ROW(A724))))))),""""))"),166.0)</f>
        <v>166</v>
      </c>
    </row>
    <row r="725" ht="22.5" customHeight="1">
      <c r="A725" s="78">
        <v>46137.0</v>
      </c>
      <c r="B725" s="7" t="s">
        <v>22</v>
      </c>
      <c r="C725" s="80">
        <v>33607.0</v>
      </c>
      <c r="D725" s="84" t="str">
        <f>IFERROR(VLOOKUP(B725,BASE_VEICULOS!$A:$B,2,0),"")</f>
        <v>TET5H37</v>
      </c>
      <c r="E725" s="82">
        <f>IFERROR(__xludf.DUMMYFUNCTION("IF(OR(A725="""",D725="""",C725=""""),"""",IFERROR(MAX(0,C725-MAX(FILTER($C$2:$C725,TRIM($D$2:$D725)=TRIM(D725),(($A$2:$A725&lt;A725)+(($A$2:$A725=A725)*(ROW($A$2:$A725)&lt;ROW(A725))))))),""""))"),300.0)</f>
        <v>300</v>
      </c>
    </row>
    <row r="726" ht="22.5" customHeight="1">
      <c r="A726" s="78">
        <v>46138.0</v>
      </c>
      <c r="B726" s="7" t="s">
        <v>22</v>
      </c>
      <c r="C726" s="80">
        <v>33920.0</v>
      </c>
      <c r="D726" s="84" t="str">
        <f>IFERROR(VLOOKUP(B726,BASE_VEICULOS!$A:$B,2,0),"")</f>
        <v>TET5H37</v>
      </c>
      <c r="E726" s="82">
        <f>IFERROR(__xludf.DUMMYFUNCTION("IF(OR(A726="""",D726="""",C726=""""),"""",IFERROR(MAX(0,C726-MAX(FILTER($C$2:$C726,TRIM($D$2:$D726)=TRIM(D726),(($A$2:$A726&lt;A726)+(($A$2:$A726=A726)*(ROW($A$2:$A726)&lt;ROW(A726))))))),""""))"),313.0)</f>
        <v>313</v>
      </c>
    </row>
    <row r="727" ht="22.5" customHeight="1">
      <c r="A727" s="78">
        <v>46139.0</v>
      </c>
      <c r="B727" s="7" t="s">
        <v>33</v>
      </c>
      <c r="C727" s="80">
        <v>72300.0</v>
      </c>
      <c r="D727" s="84" t="str">
        <f>IFERROR(VLOOKUP(B727,BASE_VEICULOS!$A:$B,2,0),"")</f>
        <v>TEW9A30</v>
      </c>
      <c r="E727" s="82">
        <f>IFERROR(__xludf.DUMMYFUNCTION("IF(OR(A727="""",D727="""",C727=""""),"""",IFERROR(MAX(0,C727-MAX(FILTER($C$2:$C727,TRIM($D$2:$D727)=TRIM(D727),(($A$2:$A727&lt;A727)+(($A$2:$A727=A727)*(ROW($A$2:$A727)&lt;ROW(A727))))))),""""))"),141.0)</f>
        <v>141</v>
      </c>
    </row>
    <row r="728" ht="22.5" customHeight="1">
      <c r="A728" s="78">
        <v>46139.0</v>
      </c>
      <c r="B728" s="7" t="s">
        <v>29</v>
      </c>
      <c r="C728" s="80">
        <v>79718.0</v>
      </c>
      <c r="D728" s="84" t="str">
        <f>IFERROR(VLOOKUP(B728,BASE_VEICULOS!$A:$B,2,0),"")</f>
        <v>TEQ2I74</v>
      </c>
      <c r="E728" s="82">
        <f>IFERROR(__xludf.DUMMYFUNCTION("IF(OR(A728="""",D728="""",C728=""""),"""",IFERROR(MAX(0,C728-MAX(FILTER($C$2:$C728,TRIM($D$2:$D728)=TRIM(D728),(($A$2:$A728&lt;A728)+(($A$2:$A728=A728)*(ROW($A$2:$A728)&lt;ROW(A728))))))),""""))"),314.0)</f>
        <v>314</v>
      </c>
    </row>
    <row r="729" ht="22.5" customHeight="1">
      <c r="A729" s="78">
        <v>46139.0</v>
      </c>
      <c r="B729" s="7" t="s">
        <v>19</v>
      </c>
      <c r="C729" s="80">
        <v>23108.0</v>
      </c>
      <c r="D729" s="84" t="str">
        <f>IFERROR(VLOOKUP(B729,BASE_VEICULOS!$A:$B,2,0),"")</f>
        <v>TEW9A24</v>
      </c>
      <c r="E729" s="82">
        <f>IFERROR(__xludf.DUMMYFUNCTION("IF(OR(A729="""",D729="""",C729=""""),"""",IFERROR(MAX(0,C729-MAX(FILTER($C$2:$C729,TRIM($D$2:$D729)=TRIM(D729),(($A$2:$A729&lt;A729)+(($A$2:$A729=A729)*(ROW($A$2:$A729)&lt;ROW(A729))))))),""""))"),119.0)</f>
        <v>119</v>
      </c>
    </row>
    <row r="730" ht="22.5" customHeight="1">
      <c r="A730" s="78">
        <v>46139.0</v>
      </c>
      <c r="B730" s="7" t="s">
        <v>34</v>
      </c>
      <c r="C730" s="80">
        <v>58491.0</v>
      </c>
      <c r="D730" s="84" t="str">
        <f>IFERROR(VLOOKUP(B730,BASE_VEICULOS!$A:$B,2,0),"")</f>
        <v>SRU8D16</v>
      </c>
      <c r="E730" s="82">
        <f>IFERROR(__xludf.DUMMYFUNCTION("IF(OR(A730="""",D730="""",C730=""""),"""",IFERROR(MAX(0,C730-MAX(FILTER($C$2:$C730,TRIM($D$2:$D730)=TRIM(D730),(($A$2:$A730&lt;A730)+(($A$2:$A730=A730)*(ROW($A$2:$A730)&lt;ROW(A730))))))),""""))"),205.0)</f>
        <v>205</v>
      </c>
    </row>
    <row r="731" ht="22.5" customHeight="1">
      <c r="A731" s="78">
        <v>46139.0</v>
      </c>
      <c r="B731" s="7" t="s">
        <v>21</v>
      </c>
      <c r="C731" s="80">
        <v>21795.0</v>
      </c>
      <c r="D731" s="84" t="str">
        <f>IFERROR(VLOOKUP(B731,BASE_VEICULOS!$A:$B,2,0),"")</f>
        <v>TEW9A33</v>
      </c>
      <c r="E731" s="82">
        <f>IFERROR(__xludf.DUMMYFUNCTION("IF(OR(A731="""",D731="""",C731=""""),"""",IFERROR(MAX(0,C731-MAX(FILTER($C$2:$C731,TRIM($D$2:$D731)=TRIM(D731),(($A$2:$A731&lt;A731)+(($A$2:$A731=A731)*(ROW($A$2:$A731)&lt;ROW(A731))))))),""""))"),143.0)</f>
        <v>143</v>
      </c>
    </row>
    <row r="732" ht="22.5" customHeight="1">
      <c r="A732" s="78">
        <v>46139.0</v>
      </c>
      <c r="B732" s="7" t="s">
        <v>24</v>
      </c>
      <c r="C732" s="80">
        <v>19462.0</v>
      </c>
      <c r="D732" s="84" t="str">
        <f>IFERROR(VLOOKUP(B732,BASE_VEICULOS!$A:$B,2,0),"")</f>
        <v>TEW9A23</v>
      </c>
      <c r="E732" s="82">
        <f>IFERROR(__xludf.DUMMYFUNCTION("IF(OR(A732="""",D732="""",C732=""""),"""",IFERROR(MAX(0,C732-MAX(FILTER($C$2:$C732,TRIM($D$2:$D732)=TRIM(D732),(($A$2:$A732&lt;A732)+(($A$2:$A732=A732)*(ROW($A$2:$A732)&lt;ROW(A732))))))),""""))"),489.0)</f>
        <v>489</v>
      </c>
    </row>
    <row r="733" ht="22.5" customHeight="1">
      <c r="A733" s="78">
        <v>46139.0</v>
      </c>
      <c r="B733" s="7" t="s">
        <v>10</v>
      </c>
      <c r="C733" s="80">
        <v>21683.0</v>
      </c>
      <c r="D733" s="84" t="str">
        <f>IFERROR(VLOOKUP(B733,BASE_VEICULOS!$A:$B,2,0),"")</f>
        <v>TEW9A25</v>
      </c>
      <c r="E733" s="82">
        <f>IFERROR(__xludf.DUMMYFUNCTION("IF(OR(A733="""",D733="""",C733=""""),"""",IFERROR(MAX(0,C733-MAX(FILTER($C$2:$C733,TRIM($D$2:$D733)=TRIM(D733),(($A$2:$A733&lt;A733)+(($A$2:$A733=A733)*(ROW($A$2:$A733)&lt;ROW(A733))))))),""""))"),250.0)</f>
        <v>250</v>
      </c>
    </row>
    <row r="734" ht="22.5" customHeight="1">
      <c r="A734" s="78">
        <v>46139.0</v>
      </c>
      <c r="B734" s="7" t="s">
        <v>25</v>
      </c>
      <c r="C734" s="80">
        <v>19436.0</v>
      </c>
      <c r="D734" s="84" t="str">
        <f>IFERROR(VLOOKUP(B734,BASE_VEICULOS!$A:$B,2,0),"")</f>
        <v>TEW9A26</v>
      </c>
      <c r="E734" s="82">
        <f>IFERROR(__xludf.DUMMYFUNCTION("IF(OR(A734="""",D734="""",C734=""""),"""",IFERROR(MAX(0,C734-MAX(FILTER($C$2:$C734,TRIM($D$2:$D734)=TRIM(D734),(($A$2:$A734&lt;A734)+(($A$2:$A734=A734)*(ROW($A$2:$A734)&lt;ROW(A734))))))),""""))"),183.0)</f>
        <v>183</v>
      </c>
    </row>
    <row r="735" ht="22.5" customHeight="1">
      <c r="A735" s="78">
        <v>46139.0</v>
      </c>
      <c r="B735" s="7" t="s">
        <v>16</v>
      </c>
      <c r="C735" s="80">
        <v>13813.0</v>
      </c>
      <c r="D735" s="84" t="str">
        <f>IFERROR(VLOOKUP(B735,BASE_VEICULOS!$A:$B,2,0),"")</f>
        <v>TEW9A27</v>
      </c>
      <c r="E735" s="82">
        <f>IFERROR(__xludf.DUMMYFUNCTION("IF(OR(A735="""",D735="""",C735=""""),"""",IFERROR(MAX(0,C735-MAX(FILTER($C$2:$C735,TRIM($D$2:$D735)=TRIM(D735),(($A$2:$A735&lt;A735)+(($A$2:$A735=A735)*(ROW($A$2:$A735)&lt;ROW(A735))))))),""""))"),22.0)</f>
        <v>22</v>
      </c>
    </row>
    <row r="736" ht="22.5" customHeight="1">
      <c r="A736" s="78">
        <v>46139.0</v>
      </c>
      <c r="B736" s="7" t="s">
        <v>15</v>
      </c>
      <c r="C736" s="80">
        <v>110789.0</v>
      </c>
      <c r="D736" s="84" t="str">
        <f>IFERROR(VLOOKUP(B736,BASE_VEICULOS!$A:$B,2,0),"")</f>
        <v>EWH1B84</v>
      </c>
      <c r="E736" s="82">
        <f>IFERROR(__xludf.DUMMYFUNCTION("IF(OR(A736="""",D736="""",C736=""""),"""",IFERROR(MAX(0,C736-MAX(FILTER($C$2:$C736,TRIM($D$2:$D736)=TRIM(D736),(($A$2:$A736&lt;A736)+(($A$2:$A736=A736)*(ROW($A$2:$A736)&lt;ROW(A736))))))),""""))"),122.0)</f>
        <v>122</v>
      </c>
    </row>
    <row r="737" ht="22.5" customHeight="1">
      <c r="A737" s="78">
        <v>46139.0</v>
      </c>
      <c r="B737" s="7" t="s">
        <v>14</v>
      </c>
      <c r="C737" s="80">
        <v>95354.0</v>
      </c>
      <c r="D737" s="84" t="str">
        <f>IFERROR(VLOOKUP(B737,BASE_VEICULOS!$A:$B,2,0),"")</f>
        <v>FOK8A73</v>
      </c>
      <c r="E737" s="82">
        <f>IFERROR(__xludf.DUMMYFUNCTION("IF(OR(A737="""",D737="""",C737=""""),"""",IFERROR(MAX(0,C737-MAX(FILTER($C$2:$C737,TRIM($D$2:$D737)=TRIM(D737),(($A$2:$A737&lt;A737)+(($A$2:$A737=A737)*(ROW($A$2:$A737)&lt;ROW(A737))))))),""""))"),143.0)</f>
        <v>143</v>
      </c>
    </row>
    <row r="738" ht="22.5" customHeight="1">
      <c r="A738" s="78">
        <v>46139.0</v>
      </c>
      <c r="B738" s="7" t="s">
        <v>12</v>
      </c>
      <c r="C738" s="80">
        <v>92857.0</v>
      </c>
      <c r="D738" s="84" t="str">
        <f>IFERROR(VLOOKUP(B738,BASE_VEICULOS!$A:$B,2,0),"")</f>
        <v>FIL8C14</v>
      </c>
      <c r="E738" s="82">
        <f>IFERROR(__xludf.DUMMYFUNCTION("IF(OR(A738="""",D738="""",C738=""""),"""",IFERROR(MAX(0,C738-MAX(FILTER($C$2:$C738,TRIM($D$2:$D738)=TRIM(D738),(($A$2:$A738&lt;A738)+(($A$2:$A738=A738)*(ROW($A$2:$A738)&lt;ROW(A738))))))),""""))"),112.0)</f>
        <v>112</v>
      </c>
    </row>
    <row r="739" ht="22.5" customHeight="1">
      <c r="A739" s="78">
        <v>46139.0</v>
      </c>
      <c r="B739" s="7" t="s">
        <v>20</v>
      </c>
      <c r="C739" s="80">
        <v>20347.0</v>
      </c>
      <c r="D739" s="84" t="str">
        <f>IFERROR(VLOOKUP(B739,BASE_VEICULOS!$A:$B,2,0),"")</f>
        <v>TEW9A34</v>
      </c>
      <c r="E739" s="82">
        <f>IFERROR(__xludf.DUMMYFUNCTION("IF(OR(A739="""",D739="""",C739=""""),"""",IFERROR(MAX(0,C739-MAX(FILTER($C$2:$C739,TRIM($D$2:$D739)=TRIM(D739),(($A$2:$A739&lt;A739)+(($A$2:$A739=A739)*(ROW($A$2:$A739)&lt;ROW(A739))))))),""""))"),131.0)</f>
        <v>131</v>
      </c>
    </row>
    <row r="740" ht="22.5" customHeight="1">
      <c r="A740" s="78">
        <v>46139.0</v>
      </c>
      <c r="B740" s="7" t="s">
        <v>18</v>
      </c>
      <c r="C740" s="80">
        <v>21603.0</v>
      </c>
      <c r="D740" s="84" t="str">
        <f>IFERROR(VLOOKUP(B740,BASE_VEICULOS!$A:$B,2,0),"")</f>
        <v>TEW9A29</v>
      </c>
      <c r="E740" s="82">
        <f>IFERROR(__xludf.DUMMYFUNCTION("IF(OR(A740="""",D740="""",C740=""""),"""",IFERROR(MAX(0,C740-MAX(FILTER($C$2:$C740,TRIM($D$2:$D740)=TRIM(D740),(($A$2:$A740&lt;A740)+(($A$2:$A740=A740)*(ROW($A$2:$A740)&lt;ROW(A740))))))),""""))"),246.0)</f>
        <v>246</v>
      </c>
    </row>
    <row r="741" ht="22.5" customHeight="1">
      <c r="A741" s="78">
        <v>46139.0</v>
      </c>
      <c r="B741" s="7" t="s">
        <v>23</v>
      </c>
      <c r="C741" s="80">
        <v>22188.0</v>
      </c>
      <c r="D741" s="84" t="str">
        <f>IFERROR(VLOOKUP(B741,BASE_VEICULOS!$A:$B,2,0),"")</f>
        <v>TEH3I02</v>
      </c>
      <c r="E741" s="82">
        <f>IFERROR(__xludf.DUMMYFUNCTION("IF(OR(A741="""",D741="""",C741=""""),"""",IFERROR(MAX(0,C741-MAX(FILTER($C$2:$C741,TRIM($D$2:$D741)=TRIM(D741),(($A$2:$A741&lt;A741)+(($A$2:$A741=A741)*(ROW($A$2:$A741)&lt;ROW(A741))))))),""""))"),299.0)</f>
        <v>299</v>
      </c>
    </row>
    <row r="742" ht="22.5" customHeight="1">
      <c r="A742" s="78">
        <v>46139.0</v>
      </c>
      <c r="B742" s="7" t="s">
        <v>22</v>
      </c>
      <c r="C742" s="80">
        <v>34197.0</v>
      </c>
      <c r="D742" s="84" t="str">
        <f>IFERROR(VLOOKUP(B742,BASE_VEICULOS!$A:$B,2,0),"")</f>
        <v>TET5H37</v>
      </c>
      <c r="E742" s="82">
        <f>IFERROR(__xludf.DUMMYFUNCTION("IF(OR(A742="""",D742="""",C742=""""),"""",IFERROR(MAX(0,C742-MAX(FILTER($C$2:$C742,TRIM($D$2:$D742)=TRIM(D742),(($A$2:$A742&lt;A742)+(($A$2:$A742=A742)*(ROW($A$2:$A742)&lt;ROW(A742))))))),""""))"),277.0)</f>
        <v>277</v>
      </c>
    </row>
    <row r="743" ht="22.5" customHeight="1">
      <c r="A743" s="78">
        <v>46139.0</v>
      </c>
      <c r="B743" s="7" t="s">
        <v>13</v>
      </c>
      <c r="C743" s="80">
        <v>109206.0</v>
      </c>
      <c r="D743" s="84" t="str">
        <f>IFERROR(VLOOKUP(B743,BASE_VEICULOS!$A:$B,2,0),"")</f>
        <v>FGO3C61</v>
      </c>
      <c r="E743" s="82">
        <f>IFERROR(__xludf.DUMMYFUNCTION("IF(OR(A743="""",D743="""",C743=""""),"""",IFERROR(MAX(0,C743-MAX(FILTER($C$2:$C743,TRIM($D$2:$D743)=TRIM(D743),(($A$2:$A743&lt;A743)+(($A$2:$A743=A743)*(ROW($A$2:$A743)&lt;ROW(A743))))))),""""))"),320.0)</f>
        <v>320</v>
      </c>
    </row>
    <row r="744" ht="22.5" customHeight="1">
      <c r="A744" s="78">
        <v>46139.0</v>
      </c>
      <c r="B744" s="7" t="s">
        <v>30</v>
      </c>
      <c r="C744" s="80">
        <v>24201.0</v>
      </c>
      <c r="D744" s="84" t="str">
        <f>IFERROR(VLOOKUP(B744,BASE_VEICULOS!$A:$B,2,0),"")</f>
        <v/>
      </c>
      <c r="E744" s="82" t="str">
        <f>IFERROR(__xludf.DUMMYFUNCTION("IF(OR(A744="""",D744="""",C744=""""),"""",IFERROR(MAX(0,C744-MAX(FILTER($C$2:$C744,TRIM($D$2:$D744)=TRIM(D744),(($A$2:$A744&lt;A744)+(($A$2:$A744=A744)*(ROW($A$2:$A744)&lt;ROW(A744))))))),""""))"),"")</f>
        <v/>
      </c>
    </row>
    <row r="745" ht="22.5" customHeight="1">
      <c r="A745" s="78">
        <v>46140.0</v>
      </c>
      <c r="B745" s="7" t="s">
        <v>29</v>
      </c>
      <c r="C745" s="80">
        <v>79834.0</v>
      </c>
      <c r="D745" s="84" t="str">
        <f>IFERROR(VLOOKUP(B745,BASE_VEICULOS!$A:$B,2,0),"")</f>
        <v>TEQ2I74</v>
      </c>
      <c r="E745" s="82">
        <f>IFERROR(__xludf.DUMMYFUNCTION("IF(OR(A745="""",D745="""",C745=""""),"""",IFERROR(MAX(0,C745-MAX(FILTER($C$2:$C745,TRIM($D$2:$D745)=TRIM(D745),(($A$2:$A745&lt;A745)+(($A$2:$A745=A745)*(ROW($A$2:$A745)&lt;ROW(A745))))))),""""))"),116.0)</f>
        <v>116</v>
      </c>
    </row>
    <row r="746" ht="22.5" customHeight="1">
      <c r="A746" s="78">
        <v>46140.0</v>
      </c>
      <c r="B746" s="7" t="s">
        <v>19</v>
      </c>
      <c r="C746" s="80">
        <v>23370.0</v>
      </c>
      <c r="D746" s="84" t="str">
        <f>IFERROR(VLOOKUP(B746,BASE_VEICULOS!$A:$B,2,0),"")</f>
        <v>TEW9A24</v>
      </c>
      <c r="E746" s="82">
        <f>IFERROR(__xludf.DUMMYFUNCTION("IF(OR(A746="""",D746="""",C746=""""),"""",IFERROR(MAX(0,C746-MAX(FILTER($C$2:$C746,TRIM($D$2:$D746)=TRIM(D746),(($A$2:$A746&lt;A746)+(($A$2:$A746=A746)*(ROW($A$2:$A746)&lt;ROW(A746))))))),""""))"),262.0)</f>
        <v>262</v>
      </c>
    </row>
    <row r="747" ht="22.5" customHeight="1">
      <c r="A747" s="78">
        <v>46140.0</v>
      </c>
      <c r="B747" s="7" t="s">
        <v>33</v>
      </c>
      <c r="C747" s="80">
        <v>72412.0</v>
      </c>
      <c r="D747" s="84" t="str">
        <f>IFERROR(VLOOKUP(B747,BASE_VEICULOS!$A:$B,2,0),"")</f>
        <v>TEW9A30</v>
      </c>
      <c r="E747" s="82">
        <f>IFERROR(__xludf.DUMMYFUNCTION("IF(OR(A747="""",D747="""",C747=""""),"""",IFERROR(MAX(0,C747-MAX(FILTER($C$2:$C747,TRIM($D$2:$D747)=TRIM(D747),(($A$2:$A747&lt;A747)+(($A$2:$A747=A747)*(ROW($A$2:$A747)&lt;ROW(A747))))))),""""))"),112.0)</f>
        <v>112</v>
      </c>
    </row>
    <row r="748" ht="22.5" customHeight="1">
      <c r="A748" s="78">
        <v>46140.0</v>
      </c>
      <c r="B748" s="7" t="s">
        <v>16</v>
      </c>
      <c r="C748" s="80">
        <v>13960.0</v>
      </c>
      <c r="D748" s="84" t="str">
        <f>IFERROR(VLOOKUP(B748,BASE_VEICULOS!$A:$B,2,0),"")</f>
        <v>TEW9A27</v>
      </c>
      <c r="E748" s="82">
        <f>IFERROR(__xludf.DUMMYFUNCTION("IF(OR(A748="""",D748="""",C748=""""),"""",IFERROR(MAX(0,C748-MAX(FILTER($C$2:$C748,TRIM($D$2:$D748)=TRIM(D748),(($A$2:$A748&lt;A748)+(($A$2:$A748=A748)*(ROW($A$2:$A748)&lt;ROW(A748))))))),""""))"),147.0)</f>
        <v>147</v>
      </c>
    </row>
    <row r="749" ht="22.5" customHeight="1">
      <c r="A749" s="78">
        <v>46140.0</v>
      </c>
      <c r="B749" s="7" t="s">
        <v>10</v>
      </c>
      <c r="C749" s="80">
        <v>21844.0</v>
      </c>
      <c r="D749" s="84" t="str">
        <f>IFERROR(VLOOKUP(B749,BASE_VEICULOS!$A:$B,2,0),"")</f>
        <v>TEW9A25</v>
      </c>
      <c r="E749" s="82">
        <f>IFERROR(__xludf.DUMMYFUNCTION("IF(OR(A749="""",D749="""",C749=""""),"""",IFERROR(MAX(0,C749-MAX(FILTER($C$2:$C749,TRIM($D$2:$D749)=TRIM(D749),(($A$2:$A749&lt;A749)+(($A$2:$A749=A749)*(ROW($A$2:$A749)&lt;ROW(A749))))))),""""))"),161.0)</f>
        <v>161</v>
      </c>
    </row>
    <row r="750" ht="22.5" customHeight="1">
      <c r="A750" s="78">
        <v>46140.0</v>
      </c>
      <c r="B750" s="7" t="s">
        <v>18</v>
      </c>
      <c r="C750" s="80">
        <v>21690.0</v>
      </c>
      <c r="D750" s="84" t="str">
        <f>IFERROR(VLOOKUP(B750,BASE_VEICULOS!$A:$B,2,0),"")</f>
        <v>TEW9A29</v>
      </c>
      <c r="E750" s="82">
        <f>IFERROR(__xludf.DUMMYFUNCTION("IF(OR(A750="""",D750="""",C750=""""),"""",IFERROR(MAX(0,C750-MAX(FILTER($C$2:$C750,TRIM($D$2:$D750)=TRIM(D750),(($A$2:$A750&lt;A750)+(($A$2:$A750=A750)*(ROW($A$2:$A750)&lt;ROW(A750))))))),""""))"),87.0)</f>
        <v>87</v>
      </c>
    </row>
    <row r="751" ht="22.5" customHeight="1">
      <c r="A751" s="78">
        <v>46140.0</v>
      </c>
      <c r="B751" s="7" t="s">
        <v>12</v>
      </c>
      <c r="C751" s="80">
        <v>92962.0</v>
      </c>
      <c r="D751" s="84" t="str">
        <f>IFERROR(VLOOKUP(B751,BASE_VEICULOS!$A:$B,2,0),"")</f>
        <v>FIL8C14</v>
      </c>
      <c r="E751" s="82">
        <f>IFERROR(__xludf.DUMMYFUNCTION("IF(OR(A751="""",D751="""",C751=""""),"""",IFERROR(MAX(0,C751-MAX(FILTER($C$2:$C751,TRIM($D$2:$D751)=TRIM(D751),(($A$2:$A751&lt;A751)+(($A$2:$A751=A751)*(ROW($A$2:$A751)&lt;ROW(A751))))))),""""))"),105.0)</f>
        <v>105</v>
      </c>
    </row>
    <row r="752" ht="22.5" customHeight="1">
      <c r="A752" s="78">
        <v>46140.0</v>
      </c>
      <c r="B752" s="7" t="s">
        <v>20</v>
      </c>
      <c r="C752" s="80">
        <v>20491.0</v>
      </c>
      <c r="D752" s="84" t="str">
        <f>IFERROR(VLOOKUP(B752,BASE_VEICULOS!$A:$B,2,0),"")</f>
        <v>TEW9A34</v>
      </c>
      <c r="E752" s="82">
        <f>IFERROR(__xludf.DUMMYFUNCTION("IF(OR(A752="""",D752="""",C752=""""),"""",IFERROR(MAX(0,C752-MAX(FILTER($C$2:$C752,TRIM($D$2:$D752)=TRIM(D752),(($A$2:$A752&lt;A752)+(($A$2:$A752=A752)*(ROW($A$2:$A752)&lt;ROW(A752))))))),""""))"),144.0)</f>
        <v>144</v>
      </c>
    </row>
    <row r="753" ht="22.5" customHeight="1">
      <c r="A753" s="78">
        <v>46140.0</v>
      </c>
      <c r="B753" s="7" t="s">
        <v>21</v>
      </c>
      <c r="C753" s="80">
        <v>21882.0</v>
      </c>
      <c r="D753" s="84" t="str">
        <f>IFERROR(VLOOKUP(B753,BASE_VEICULOS!$A:$B,2,0),"")</f>
        <v>TEW9A33</v>
      </c>
      <c r="E753" s="82">
        <f>IFERROR(__xludf.DUMMYFUNCTION("IF(OR(A753="""",D753="""",C753=""""),"""",IFERROR(MAX(0,C753-MAX(FILTER($C$2:$C753,TRIM($D$2:$D753)=TRIM(D753),(($A$2:$A753&lt;A753)+(($A$2:$A753=A753)*(ROW($A$2:$A753)&lt;ROW(A753))))))),""""))"),87.0)</f>
        <v>87</v>
      </c>
    </row>
    <row r="754" ht="22.5" customHeight="1">
      <c r="A754" s="78">
        <v>46140.0</v>
      </c>
      <c r="B754" s="7" t="s">
        <v>13</v>
      </c>
      <c r="C754" s="80">
        <v>109342.0</v>
      </c>
      <c r="D754" s="84" t="str">
        <f>IFERROR(VLOOKUP(B754,BASE_VEICULOS!$A:$B,2,0),"")</f>
        <v>FGO3C61</v>
      </c>
      <c r="E754" s="82">
        <f>IFERROR(__xludf.DUMMYFUNCTION("IF(OR(A754="""",D754="""",C754=""""),"""",IFERROR(MAX(0,C754-MAX(FILTER($C$2:$C754,TRIM($D$2:$D754)=TRIM(D754),(($A$2:$A754&lt;A754)+(($A$2:$A754=A754)*(ROW($A$2:$A754)&lt;ROW(A754))))))),""""))"),136.0)</f>
        <v>136</v>
      </c>
    </row>
    <row r="755" ht="22.5" customHeight="1">
      <c r="A755" s="78">
        <v>46140.0</v>
      </c>
      <c r="B755" s="7" t="s">
        <v>15</v>
      </c>
      <c r="C755" s="80">
        <v>110929.0</v>
      </c>
      <c r="D755" s="84" t="str">
        <f>IFERROR(VLOOKUP(B755,BASE_VEICULOS!$A:$B,2,0),"")</f>
        <v>EWH1B84</v>
      </c>
      <c r="E755" s="82">
        <f>IFERROR(__xludf.DUMMYFUNCTION("IF(OR(A755="""",D755="""",C755=""""),"""",IFERROR(MAX(0,C755-MAX(FILTER($C$2:$C755,TRIM($D$2:$D755)=TRIM(D755),(($A$2:$A755&lt;A755)+(($A$2:$A755=A755)*(ROW($A$2:$A755)&lt;ROW(A755))))))),""""))"),140.0)</f>
        <v>140</v>
      </c>
    </row>
    <row r="756" ht="22.5" customHeight="1">
      <c r="A756" s="78">
        <v>46140.0</v>
      </c>
      <c r="B756" s="7" t="s">
        <v>14</v>
      </c>
      <c r="C756" s="80">
        <v>95473.0</v>
      </c>
      <c r="D756" s="84" t="str">
        <f>IFERROR(VLOOKUP(B756,BASE_VEICULOS!$A:$B,2,0),"")</f>
        <v>FOK8A73</v>
      </c>
      <c r="E756" s="82">
        <f>IFERROR(__xludf.DUMMYFUNCTION("IF(OR(A756="""",D756="""",C756=""""),"""",IFERROR(MAX(0,C756-MAX(FILTER($C$2:$C756,TRIM($D$2:$D756)=TRIM(D756),(($A$2:$A756&lt;A756)+(($A$2:$A756=A756)*(ROW($A$2:$A756)&lt;ROW(A756))))))),""""))"),119.0)</f>
        <v>119</v>
      </c>
    </row>
    <row r="757" ht="22.5" customHeight="1">
      <c r="A757" s="78">
        <v>46140.0</v>
      </c>
      <c r="B757" s="7" t="s">
        <v>24</v>
      </c>
      <c r="C757" s="80">
        <v>19594.0</v>
      </c>
      <c r="D757" s="84" t="str">
        <f>IFERROR(VLOOKUP(B757,BASE_VEICULOS!$A:$B,2,0),"")</f>
        <v>TEW9A23</v>
      </c>
      <c r="E757" s="82">
        <f>IFERROR(__xludf.DUMMYFUNCTION("IF(OR(A757="""",D757="""",C757=""""),"""",IFERROR(MAX(0,C757-MAX(FILTER($C$2:$C757,TRIM($D$2:$D757)=TRIM(D757),(($A$2:$A757&lt;A757)+(($A$2:$A757=A757)*(ROW($A$2:$A757)&lt;ROW(A757))))))),""""))"),132.0)</f>
        <v>132</v>
      </c>
    </row>
    <row r="758" ht="22.5" customHeight="1">
      <c r="A758" s="78">
        <v>46140.0</v>
      </c>
      <c r="B758" s="7" t="s">
        <v>22</v>
      </c>
      <c r="C758" s="80">
        <v>34445.0</v>
      </c>
      <c r="D758" s="84" t="str">
        <f>IFERROR(VLOOKUP(B758,BASE_VEICULOS!$A:$B,2,0),"")</f>
        <v>TET5H37</v>
      </c>
      <c r="E758" s="82">
        <f>IFERROR(__xludf.DUMMYFUNCTION("IF(OR(A758="""",D758="""",C758=""""),"""",IFERROR(MAX(0,C758-MAX(FILTER($C$2:$C758,TRIM($D$2:$D758)=TRIM(D758),(($A$2:$A758&lt;A758)+(($A$2:$A758=A758)*(ROW($A$2:$A758)&lt;ROW(A758))))))),""""))"),248.0)</f>
        <v>248</v>
      </c>
    </row>
    <row r="759" ht="22.5" customHeight="1">
      <c r="A759" s="78">
        <v>46140.0</v>
      </c>
      <c r="B759" s="7" t="s">
        <v>25</v>
      </c>
      <c r="C759" s="80">
        <v>19571.0</v>
      </c>
      <c r="D759" s="84" t="str">
        <f>IFERROR(VLOOKUP(B759,BASE_VEICULOS!$A:$B,2,0),"")</f>
        <v>TEW9A26</v>
      </c>
      <c r="E759" s="82">
        <f>IFERROR(__xludf.DUMMYFUNCTION("IF(OR(A759="""",D759="""",C759=""""),"""",IFERROR(MAX(0,C759-MAX(FILTER($C$2:$C759,TRIM($D$2:$D759)=TRIM(D759),(($A$2:$A759&lt;A759)+(($A$2:$A759=A759)*(ROW($A$2:$A759)&lt;ROW(A759))))))),""""))"),135.0)</f>
        <v>135</v>
      </c>
    </row>
    <row r="760" ht="22.5" customHeight="1">
      <c r="A760" s="78">
        <v>46141.0</v>
      </c>
      <c r="B760" s="7" t="s">
        <v>29</v>
      </c>
      <c r="C760" s="80">
        <v>80030.0</v>
      </c>
      <c r="D760" s="84" t="str">
        <f>IFERROR(VLOOKUP(B760,BASE_VEICULOS!$A:$B,2,0),"")</f>
        <v>TEQ2I74</v>
      </c>
      <c r="E760" s="82">
        <f>IFERROR(__xludf.DUMMYFUNCTION("IF(OR(A760="""",D760="""",C760=""""),"""",IFERROR(MAX(0,C760-MAX(FILTER($C$2:$C760,TRIM($D$2:$D760)=TRIM(D760),(($A$2:$A760&lt;A760)+(($A$2:$A760=A760)*(ROW($A$2:$A760)&lt;ROW(A760))))))),""""))"),196.0)</f>
        <v>196</v>
      </c>
    </row>
    <row r="761" ht="22.5" customHeight="1">
      <c r="A761" s="78">
        <v>46141.0</v>
      </c>
      <c r="B761" s="7" t="s">
        <v>10</v>
      </c>
      <c r="C761" s="80">
        <v>21983.0</v>
      </c>
      <c r="D761" s="84" t="str">
        <f>IFERROR(VLOOKUP(B761,BASE_VEICULOS!$A:$B,2,0),"")</f>
        <v>TEW9A25</v>
      </c>
      <c r="E761" s="82">
        <f>IFERROR(__xludf.DUMMYFUNCTION("IF(OR(A761="""",D761="""",C761=""""),"""",IFERROR(MAX(0,C761-MAX(FILTER($C$2:$C761,TRIM($D$2:$D761)=TRIM(D761),(($A$2:$A761&lt;A761)+(($A$2:$A761=A761)*(ROW($A$2:$A761)&lt;ROW(A761))))))),""""))"),139.0)</f>
        <v>139</v>
      </c>
    </row>
    <row r="762" ht="22.5" customHeight="1">
      <c r="A762" s="78">
        <v>46141.0</v>
      </c>
      <c r="B762" s="7" t="s">
        <v>21</v>
      </c>
      <c r="C762" s="80">
        <v>21997.0</v>
      </c>
      <c r="D762" s="84" t="str">
        <f>IFERROR(VLOOKUP(B762,BASE_VEICULOS!$A:$B,2,0),"")</f>
        <v>TEW9A33</v>
      </c>
      <c r="E762" s="82">
        <f>IFERROR(__xludf.DUMMYFUNCTION("IF(OR(A762="""",D762="""",C762=""""),"""",IFERROR(MAX(0,C762-MAX(FILTER($C$2:$C762,TRIM($D$2:$D762)=TRIM(D762),(($A$2:$A762&lt;A762)+(($A$2:$A762=A762)*(ROW($A$2:$A762)&lt;ROW(A762))))))),""""))"),115.0)</f>
        <v>115</v>
      </c>
    </row>
    <row r="763" ht="22.5" customHeight="1">
      <c r="A763" s="78">
        <v>46141.0</v>
      </c>
      <c r="B763" s="7" t="s">
        <v>18</v>
      </c>
      <c r="C763" s="80">
        <v>21755.0</v>
      </c>
      <c r="D763" s="84" t="str">
        <f>IFERROR(VLOOKUP(B763,BASE_VEICULOS!$A:$B,2,0),"")</f>
        <v>TEW9A29</v>
      </c>
      <c r="E763" s="82">
        <f>IFERROR(__xludf.DUMMYFUNCTION("IF(OR(A763="""",D763="""",C763=""""),"""",IFERROR(MAX(0,C763-MAX(FILTER($C$2:$C763,TRIM($D$2:$D763)=TRIM(D763),(($A$2:$A763&lt;A763)+(($A$2:$A763=A763)*(ROW($A$2:$A763)&lt;ROW(A763))))))),""""))"),65.0)</f>
        <v>65</v>
      </c>
    </row>
    <row r="764" ht="22.5" customHeight="1">
      <c r="A764" s="78">
        <v>46141.0</v>
      </c>
      <c r="B764" s="7" t="s">
        <v>19</v>
      </c>
      <c r="C764" s="80">
        <v>23589.0</v>
      </c>
      <c r="D764" s="84" t="str">
        <f>IFERROR(VLOOKUP(B764,BASE_VEICULOS!$A:$B,2,0),"")</f>
        <v>TEW9A24</v>
      </c>
      <c r="E764" s="82">
        <f>IFERROR(__xludf.DUMMYFUNCTION("IF(OR(A764="""",D764="""",C764=""""),"""",IFERROR(MAX(0,C764-MAX(FILTER($C$2:$C764,TRIM($D$2:$D764)=TRIM(D764),(($A$2:$A764&lt;A764)+(($A$2:$A764=A764)*(ROW($A$2:$A764)&lt;ROW(A764))))))),""""))"),219.0)</f>
        <v>219</v>
      </c>
    </row>
    <row r="765" ht="22.5" customHeight="1">
      <c r="A765" s="78">
        <v>46141.0</v>
      </c>
      <c r="B765" s="7" t="s">
        <v>12</v>
      </c>
      <c r="C765" s="80">
        <v>93012.0</v>
      </c>
      <c r="D765" s="84" t="str">
        <f>IFERROR(VLOOKUP(B765,BASE_VEICULOS!$A:$B,2,0),"")</f>
        <v>FIL8C14</v>
      </c>
      <c r="E765" s="82">
        <f>IFERROR(__xludf.DUMMYFUNCTION("IF(OR(A765="""",D765="""",C765=""""),"""",IFERROR(MAX(0,C765-MAX(FILTER($C$2:$C765,TRIM($D$2:$D765)=TRIM(D765),(($A$2:$A765&lt;A765)+(($A$2:$A765=A765)*(ROW($A$2:$A765)&lt;ROW(A765))))))),""""))"),50.0)</f>
        <v>50</v>
      </c>
    </row>
    <row r="766" ht="22.5" customHeight="1">
      <c r="A766" s="78">
        <v>46141.0</v>
      </c>
      <c r="B766" s="7" t="s">
        <v>33</v>
      </c>
      <c r="C766" s="80">
        <v>72520.0</v>
      </c>
      <c r="D766" s="84" t="str">
        <f>IFERROR(VLOOKUP(B766,BASE_VEICULOS!$A:$B,2,0),"")</f>
        <v>TEW9A30</v>
      </c>
      <c r="E766" s="82">
        <f>IFERROR(__xludf.DUMMYFUNCTION("IF(OR(A766="""",D766="""",C766=""""),"""",IFERROR(MAX(0,C766-MAX(FILTER($C$2:$C766,TRIM($D$2:$D766)=TRIM(D766),(($A$2:$A766&lt;A766)+(($A$2:$A766=A766)*(ROW($A$2:$A766)&lt;ROW(A766))))))),""""))"),108.0)</f>
        <v>108</v>
      </c>
    </row>
    <row r="767" ht="22.5" customHeight="1">
      <c r="A767" s="78">
        <v>46141.0</v>
      </c>
      <c r="B767" s="7" t="s">
        <v>24</v>
      </c>
      <c r="C767" s="80">
        <v>19749.0</v>
      </c>
      <c r="D767" s="84" t="str">
        <f>IFERROR(VLOOKUP(B767,BASE_VEICULOS!$A:$B,2,0),"")</f>
        <v>TEW9A23</v>
      </c>
      <c r="E767" s="82">
        <f>IFERROR(__xludf.DUMMYFUNCTION("IF(OR(A767="""",D767="""",C767=""""),"""",IFERROR(MAX(0,C767-MAX(FILTER($C$2:$C767,TRIM($D$2:$D767)=TRIM(D767),(($A$2:$A767&lt;A767)+(($A$2:$A767=A767)*(ROW($A$2:$A767)&lt;ROW(A767))))))),""""))"),155.0)</f>
        <v>155</v>
      </c>
    </row>
    <row r="768" ht="22.5" customHeight="1">
      <c r="A768" s="78">
        <v>46141.0</v>
      </c>
      <c r="B768" s="7" t="s">
        <v>14</v>
      </c>
      <c r="C768" s="80">
        <v>95606.0</v>
      </c>
      <c r="D768" s="84" t="str">
        <f>IFERROR(VLOOKUP(B768,BASE_VEICULOS!$A:$B,2,0),"")</f>
        <v>FOK8A73</v>
      </c>
      <c r="E768" s="82">
        <f>IFERROR(__xludf.DUMMYFUNCTION("IF(OR(A768="""",D768="""",C768=""""),"""",IFERROR(MAX(0,C768-MAX(FILTER($C$2:$C768,TRIM($D$2:$D768)=TRIM(D768),(($A$2:$A768&lt;A768)+(($A$2:$A768=A768)*(ROW($A$2:$A768)&lt;ROW(A768))))))),""""))"),133.0)</f>
        <v>133</v>
      </c>
    </row>
    <row r="769" ht="22.5" customHeight="1">
      <c r="A769" s="78">
        <v>46141.0</v>
      </c>
      <c r="B769" s="7" t="s">
        <v>34</v>
      </c>
      <c r="C769" s="80">
        <v>58775.0</v>
      </c>
      <c r="D769" s="84" t="str">
        <f>IFERROR(VLOOKUP(B769,BASE_VEICULOS!$A:$B,2,0),"")</f>
        <v>SRU8D16</v>
      </c>
      <c r="E769" s="82">
        <f>IFERROR(__xludf.DUMMYFUNCTION("IF(OR(A769="""",D769="""",C769=""""),"""",IFERROR(MAX(0,C769-MAX(FILTER($C$2:$C769,TRIM($D$2:$D769)=TRIM(D769),(($A$2:$A769&lt;A769)+(($A$2:$A769=A769)*(ROW($A$2:$A769)&lt;ROW(A769))))))),""""))"),284.0)</f>
        <v>284</v>
      </c>
    </row>
    <row r="770" ht="22.5" customHeight="1">
      <c r="A770" s="78">
        <v>46141.0</v>
      </c>
      <c r="B770" s="7" t="s">
        <v>20</v>
      </c>
      <c r="C770" s="80">
        <v>20641.0</v>
      </c>
      <c r="D770" s="84" t="str">
        <f>IFERROR(VLOOKUP(B770,BASE_VEICULOS!$A:$B,2,0),"")</f>
        <v>TEW9A34</v>
      </c>
      <c r="E770" s="82">
        <f>IFERROR(__xludf.DUMMYFUNCTION("IF(OR(A770="""",D770="""",C770=""""),"""",IFERROR(MAX(0,C770-MAX(FILTER($C$2:$C770,TRIM($D$2:$D770)=TRIM(D770),(($A$2:$A770&lt;A770)+(($A$2:$A770=A770)*(ROW($A$2:$A770)&lt;ROW(A770))))))),""""))"),150.0)</f>
        <v>150</v>
      </c>
    </row>
    <row r="771" ht="22.5" customHeight="1">
      <c r="A771" s="78">
        <v>46141.0</v>
      </c>
      <c r="B771" s="7" t="s">
        <v>12</v>
      </c>
      <c r="C771" s="80">
        <v>93054.0</v>
      </c>
      <c r="D771" s="84" t="str">
        <f>IFERROR(VLOOKUP(B771,BASE_VEICULOS!$A:$B,2,0),"")</f>
        <v>FIL8C14</v>
      </c>
      <c r="E771" s="82">
        <f>IFERROR(__xludf.DUMMYFUNCTION("IF(OR(A771="""",D771="""",C771=""""),"""",IFERROR(MAX(0,C771-MAX(FILTER($C$2:$C771,TRIM($D$2:$D771)=TRIM(D771),(($A$2:$A771&lt;A771)+(($A$2:$A771=A771)*(ROW($A$2:$A771)&lt;ROW(A771))))))),""""))"),42.0)</f>
        <v>42</v>
      </c>
    </row>
    <row r="772" ht="22.5" customHeight="1">
      <c r="A772" s="78">
        <v>46141.0</v>
      </c>
      <c r="B772" s="7" t="s">
        <v>15</v>
      </c>
      <c r="C772" s="80">
        <v>111018.0</v>
      </c>
      <c r="D772" s="84" t="str">
        <f>IFERROR(VLOOKUP(B772,BASE_VEICULOS!$A:$B,2,0),"")</f>
        <v>EWH1B84</v>
      </c>
      <c r="E772" s="82">
        <f>IFERROR(__xludf.DUMMYFUNCTION("IF(OR(A772="""",D772="""",C772=""""),"""",IFERROR(MAX(0,C772-MAX(FILTER($C$2:$C772,TRIM($D$2:$D772)=TRIM(D772),(($A$2:$A772&lt;A772)+(($A$2:$A772=A772)*(ROW($A$2:$A772)&lt;ROW(A772))))))),""""))"),89.0)</f>
        <v>89</v>
      </c>
    </row>
    <row r="773" ht="22.5" customHeight="1">
      <c r="A773" s="78">
        <v>46141.0</v>
      </c>
      <c r="B773" s="7" t="s">
        <v>25</v>
      </c>
      <c r="C773" s="80">
        <v>19851.0</v>
      </c>
      <c r="D773" s="84" t="str">
        <f>IFERROR(VLOOKUP(B773,BASE_VEICULOS!$A:$B,2,0),"")</f>
        <v>TEW9A26</v>
      </c>
      <c r="E773" s="82">
        <f>IFERROR(__xludf.DUMMYFUNCTION("IF(OR(A773="""",D773="""",C773=""""),"""",IFERROR(MAX(0,C773-MAX(FILTER($C$2:$C773,TRIM($D$2:$D773)=TRIM(D773),(($A$2:$A773&lt;A773)+(($A$2:$A773=A773)*(ROW($A$2:$A773)&lt;ROW(A773))))))),""""))"),280.0)</f>
        <v>280</v>
      </c>
    </row>
    <row r="774" ht="22.5" customHeight="1">
      <c r="A774" s="78">
        <v>46141.0</v>
      </c>
      <c r="B774" s="7" t="s">
        <v>22</v>
      </c>
      <c r="C774" s="80">
        <v>34687.0</v>
      </c>
      <c r="D774" s="84" t="str">
        <f>IFERROR(VLOOKUP(B774,BASE_VEICULOS!$A:$B,2,0),"")</f>
        <v>TET5H37</v>
      </c>
      <c r="E774" s="82">
        <f>IFERROR(__xludf.DUMMYFUNCTION("IF(OR(A774="""",D774="""",C774=""""),"""",IFERROR(MAX(0,C774-MAX(FILTER($C$2:$C774,TRIM($D$2:$D774)=TRIM(D774),(($A$2:$A774&lt;A774)+(($A$2:$A774=A774)*(ROW($A$2:$A774)&lt;ROW(A774))))))),""""))"),242.0)</f>
        <v>242</v>
      </c>
    </row>
    <row r="775" ht="22.5" customHeight="1">
      <c r="A775" s="78">
        <v>46142.0</v>
      </c>
      <c r="B775" s="7" t="s">
        <v>28</v>
      </c>
      <c r="C775" s="80">
        <v>107700.0</v>
      </c>
      <c r="D775" s="84" t="str">
        <f>IFERROR(VLOOKUP(B775,BASE_VEICULOS!$A:$B,2,0),"")</f>
        <v/>
      </c>
      <c r="E775" s="82" t="str">
        <f>IFERROR(__xludf.DUMMYFUNCTION("IF(OR(A775="""",D775="""",C775=""""),"""",IFERROR(MAX(0,C775-MAX(FILTER($C$2:$C775,TRIM($D$2:$D775)=TRIM(D775),(($A$2:$A775&lt;A775)+(($A$2:$A775=A775)*(ROW($A$2:$A775)&lt;ROW(A775))))))),""""))"),"")</f>
        <v/>
      </c>
    </row>
    <row r="776" ht="22.5" customHeight="1">
      <c r="A776" s="78">
        <v>46142.0</v>
      </c>
      <c r="B776" s="7" t="s">
        <v>10</v>
      </c>
      <c r="C776" s="80">
        <v>22154.0</v>
      </c>
      <c r="D776" s="84" t="str">
        <f>IFERROR(VLOOKUP(B776,BASE_VEICULOS!$A:$B,2,0),"")</f>
        <v>TEW9A25</v>
      </c>
      <c r="E776" s="82">
        <f>IFERROR(__xludf.DUMMYFUNCTION("IF(OR(A776="""",D776="""",C776=""""),"""",IFERROR(MAX(0,C776-MAX(FILTER($C$2:$C776,TRIM($D$2:$D776)=TRIM(D776),(($A$2:$A776&lt;A776)+(($A$2:$A776=A776)*(ROW($A$2:$A776)&lt;ROW(A776))))))),""""))"),171.0)</f>
        <v>171</v>
      </c>
    </row>
    <row r="777" ht="22.5" customHeight="1">
      <c r="A777" s="78">
        <v>46142.0</v>
      </c>
      <c r="B777" s="7" t="s">
        <v>19</v>
      </c>
      <c r="C777" s="80">
        <v>23735.0</v>
      </c>
      <c r="D777" s="84" t="str">
        <f>IFERROR(VLOOKUP(B777,BASE_VEICULOS!$A:$B,2,0),"")</f>
        <v>TEW9A24</v>
      </c>
      <c r="E777" s="82">
        <f>IFERROR(__xludf.DUMMYFUNCTION("IF(OR(A777="""",D777="""",C777=""""),"""",IFERROR(MAX(0,C777-MAX(FILTER($C$2:$C777,TRIM($D$2:$D777)=TRIM(D777),(($A$2:$A777&lt;A777)+(($A$2:$A777=A777)*(ROW($A$2:$A777)&lt;ROW(A777))))))),""""))"),146.0)</f>
        <v>146</v>
      </c>
    </row>
    <row r="778" ht="22.5" customHeight="1">
      <c r="A778" s="78">
        <v>46142.0</v>
      </c>
      <c r="B778" s="7" t="s">
        <v>21</v>
      </c>
      <c r="C778" s="80">
        <v>22036.0</v>
      </c>
      <c r="D778" s="84" t="str">
        <f>IFERROR(VLOOKUP(B778,BASE_VEICULOS!$A:$B,2,0),"")</f>
        <v>TEW9A33</v>
      </c>
      <c r="E778" s="82">
        <f>IFERROR(__xludf.DUMMYFUNCTION("IF(OR(A778="""",D778="""",C778=""""),"""",IFERROR(MAX(0,C778-MAX(FILTER($C$2:$C778,TRIM($D$2:$D778)=TRIM(D778),(($A$2:$A778&lt;A778)+(($A$2:$A778=A778)*(ROW($A$2:$A778)&lt;ROW(A778))))))),""""))"),39.0)</f>
        <v>39</v>
      </c>
    </row>
    <row r="779" ht="22.5" customHeight="1">
      <c r="A779" s="78">
        <v>46142.0</v>
      </c>
      <c r="B779" s="7" t="s">
        <v>24</v>
      </c>
      <c r="C779" s="80">
        <v>20049.0</v>
      </c>
      <c r="D779" s="84" t="str">
        <f>IFERROR(VLOOKUP(B779,BASE_VEICULOS!$A:$B,2,0),"")</f>
        <v>TEW9A23</v>
      </c>
      <c r="E779" s="82">
        <f>IFERROR(__xludf.DUMMYFUNCTION("IF(OR(A779="""",D779="""",C779=""""),"""",IFERROR(MAX(0,C779-MAX(FILTER($C$2:$C779,TRIM($D$2:$D779)=TRIM(D779),(($A$2:$A779&lt;A779)+(($A$2:$A779=A779)*(ROW($A$2:$A779)&lt;ROW(A779))))))),""""))"),300.0)</f>
        <v>300</v>
      </c>
    </row>
    <row r="780" ht="22.5" customHeight="1">
      <c r="A780" s="78">
        <v>46142.0</v>
      </c>
      <c r="B780" s="7" t="s">
        <v>29</v>
      </c>
      <c r="C780" s="80">
        <v>80284.0</v>
      </c>
      <c r="D780" s="84" t="str">
        <f>IFERROR(VLOOKUP(B780,BASE_VEICULOS!$A:$B,2,0),"")</f>
        <v>TEQ2I74</v>
      </c>
      <c r="E780" s="82">
        <f>IFERROR(__xludf.DUMMYFUNCTION("IF(OR(A780="""",D780="""",C780=""""),"""",IFERROR(MAX(0,C780-MAX(FILTER($C$2:$C780,TRIM($D$2:$D780)=TRIM(D780),(($A$2:$A780&lt;A780)+(($A$2:$A780=A780)*(ROW($A$2:$A780)&lt;ROW(A780))))))),""""))"),254.0)</f>
        <v>254</v>
      </c>
    </row>
    <row r="781" ht="22.5" customHeight="1">
      <c r="A781" s="78">
        <v>46142.0</v>
      </c>
      <c r="B781" s="7" t="s">
        <v>12</v>
      </c>
      <c r="C781" s="80">
        <v>93165.0</v>
      </c>
      <c r="D781" s="84" t="str">
        <f>IFERROR(VLOOKUP(B781,BASE_VEICULOS!$A:$B,2,0),"")</f>
        <v>FIL8C14</v>
      </c>
      <c r="E781" s="82">
        <f>IFERROR(__xludf.DUMMYFUNCTION("IF(OR(A781="""",D781="""",C781=""""),"""",IFERROR(MAX(0,C781-MAX(FILTER($C$2:$C781,TRIM($D$2:$D781)=TRIM(D781),(($A$2:$A781&lt;A781)+(($A$2:$A781=A781)*(ROW($A$2:$A781)&lt;ROW(A781))))))),""""))"),111.0)</f>
        <v>111</v>
      </c>
    </row>
    <row r="782" ht="22.5" customHeight="1">
      <c r="A782" s="78">
        <v>46142.0</v>
      </c>
      <c r="B782" s="7" t="s">
        <v>18</v>
      </c>
      <c r="C782" s="80">
        <v>21865.0</v>
      </c>
      <c r="D782" s="84" t="str">
        <f>IFERROR(VLOOKUP(B782,BASE_VEICULOS!$A:$B,2,0),"")</f>
        <v>TEW9A29</v>
      </c>
      <c r="E782" s="82">
        <f>IFERROR(__xludf.DUMMYFUNCTION("IF(OR(A782="""",D782="""",C782=""""),"""",IFERROR(MAX(0,C782-MAX(FILTER($C$2:$C782,TRIM($D$2:$D782)=TRIM(D782),(($A$2:$A782&lt;A782)+(($A$2:$A782=A782)*(ROW($A$2:$A782)&lt;ROW(A782))))))),""""))"),110.0)</f>
        <v>110</v>
      </c>
    </row>
    <row r="783" ht="22.5" customHeight="1">
      <c r="A783" s="78">
        <v>46142.0</v>
      </c>
      <c r="B783" s="7" t="s">
        <v>30</v>
      </c>
      <c r="C783" s="80">
        <v>24669.0</v>
      </c>
      <c r="D783" s="84" t="str">
        <f>IFERROR(VLOOKUP(B783,BASE_VEICULOS!$A:$B,2,0),"")</f>
        <v/>
      </c>
      <c r="E783" s="82" t="str">
        <f>IFERROR(__xludf.DUMMYFUNCTION("IF(OR(A783="""",D783="""",C783=""""),"""",IFERROR(MAX(0,C783-MAX(FILTER($C$2:$C783,TRIM($D$2:$D783)=TRIM(D783),(($A$2:$A783&lt;A783)+(($A$2:$A783=A783)*(ROW($A$2:$A783)&lt;ROW(A783))))))),""""))"),"")</f>
        <v/>
      </c>
    </row>
    <row r="784" ht="22.5" customHeight="1">
      <c r="A784" s="78">
        <v>46142.0</v>
      </c>
      <c r="B784" s="7" t="s">
        <v>25</v>
      </c>
      <c r="C784" s="80">
        <v>19946.0</v>
      </c>
      <c r="D784" s="84" t="str">
        <f>IFERROR(VLOOKUP(B784,BASE_VEICULOS!$A:$B,2,0),"")</f>
        <v>TEW9A26</v>
      </c>
      <c r="E784" s="82">
        <f>IFERROR(__xludf.DUMMYFUNCTION("IF(OR(A784="""",D784="""",C784=""""),"""",IFERROR(MAX(0,C784-MAX(FILTER($C$2:$C784,TRIM($D$2:$D784)=TRIM(D784),(($A$2:$A784&lt;A784)+(($A$2:$A784=A784)*(ROW($A$2:$A784)&lt;ROW(A784))))))),""""))"),95.0)</f>
        <v>95</v>
      </c>
    </row>
    <row r="785" ht="22.5" customHeight="1">
      <c r="A785" s="78">
        <v>46142.0</v>
      </c>
      <c r="B785" s="7" t="s">
        <v>14</v>
      </c>
      <c r="C785" s="80">
        <v>95737.0</v>
      </c>
      <c r="D785" s="84" t="str">
        <f>IFERROR(VLOOKUP(B785,BASE_VEICULOS!$A:$B,2,0),"")</f>
        <v>FOK8A73</v>
      </c>
      <c r="E785" s="82">
        <f>IFERROR(__xludf.DUMMYFUNCTION("IF(OR(A785="""",D785="""",C785=""""),"""",IFERROR(MAX(0,C785-MAX(FILTER($C$2:$C785,TRIM($D$2:$D785)=TRIM(D785),(($A$2:$A785&lt;A785)+(($A$2:$A785=A785)*(ROW($A$2:$A785)&lt;ROW(A785))))))),""""))"),131.0)</f>
        <v>131</v>
      </c>
    </row>
    <row r="786" ht="22.5" customHeight="1">
      <c r="A786" s="78">
        <v>46142.0</v>
      </c>
      <c r="B786" s="7" t="s">
        <v>16</v>
      </c>
      <c r="C786" s="80">
        <v>14106.0</v>
      </c>
      <c r="D786" s="84" t="str">
        <f>IFERROR(VLOOKUP(B786,BASE_VEICULOS!$A:$B,2,0),"")</f>
        <v>TEW9A27</v>
      </c>
      <c r="E786" s="82">
        <f>IFERROR(__xludf.DUMMYFUNCTION("IF(OR(A786="""",D786="""",C786=""""),"""",IFERROR(MAX(0,C786-MAX(FILTER($C$2:$C786,TRIM($D$2:$D786)=TRIM(D786),(($A$2:$A786&lt;A786)+(($A$2:$A786=A786)*(ROW($A$2:$A786)&lt;ROW(A786))))))),""""))"),146.0)</f>
        <v>146</v>
      </c>
    </row>
    <row r="787" ht="22.5" customHeight="1">
      <c r="A787" s="78">
        <v>46142.0</v>
      </c>
      <c r="B787" s="7" t="s">
        <v>34</v>
      </c>
      <c r="C787" s="80">
        <v>59052.0</v>
      </c>
      <c r="D787" s="84" t="str">
        <f>IFERROR(VLOOKUP(B787,BASE_VEICULOS!$A:$B,2,0),"")</f>
        <v>SRU8D16</v>
      </c>
      <c r="E787" s="82">
        <f>IFERROR(__xludf.DUMMYFUNCTION("IF(OR(A787="""",D787="""",C787=""""),"""",IFERROR(MAX(0,C787-MAX(FILTER($C$2:$C787,TRIM($D$2:$D787)=TRIM(D787),(($A$2:$A787&lt;A787)+(($A$2:$A787=A787)*(ROW($A$2:$A787)&lt;ROW(A787))))))),""""))"),277.0)</f>
        <v>277</v>
      </c>
    </row>
    <row r="788" ht="22.5" customHeight="1">
      <c r="A788" s="78">
        <v>46142.0</v>
      </c>
      <c r="B788" s="7" t="s">
        <v>15</v>
      </c>
      <c r="C788" s="80">
        <v>111178.0</v>
      </c>
      <c r="D788" s="84" t="str">
        <f>IFERROR(VLOOKUP(B788,BASE_VEICULOS!$A:$B,2,0),"")</f>
        <v>EWH1B84</v>
      </c>
      <c r="E788" s="82">
        <f>IFERROR(__xludf.DUMMYFUNCTION("IF(OR(A788="""",D788="""",C788=""""),"""",IFERROR(MAX(0,C788-MAX(FILTER($C$2:$C788,TRIM($D$2:$D788)=TRIM(D788),(($A$2:$A788&lt;A788)+(($A$2:$A788=A788)*(ROW($A$2:$A788)&lt;ROW(A788))))))),""""))"),160.0)</f>
        <v>160</v>
      </c>
    </row>
    <row r="789" ht="22.5" customHeight="1">
      <c r="A789" s="78">
        <v>46142.0</v>
      </c>
      <c r="B789" s="7" t="s">
        <v>13</v>
      </c>
      <c r="C789" s="80">
        <v>109584.0</v>
      </c>
      <c r="D789" s="84" t="str">
        <f>IFERROR(VLOOKUP(B789,BASE_VEICULOS!$A:$B,2,0),"")</f>
        <v>FGO3C61</v>
      </c>
      <c r="E789" s="82">
        <f>IFERROR(__xludf.DUMMYFUNCTION("IF(OR(A789="""",D789="""",C789=""""),"""",IFERROR(MAX(0,C789-MAX(FILTER($C$2:$C789,TRIM($D$2:$D789)=TRIM(D789),(($A$2:$A789&lt;A789)+(($A$2:$A789=A789)*(ROW($A$2:$A789)&lt;ROW(A789))))))),""""))"),242.0)</f>
        <v>242</v>
      </c>
    </row>
    <row r="790" ht="22.5" customHeight="1">
      <c r="A790" s="78">
        <v>46142.0</v>
      </c>
      <c r="B790" s="7" t="s">
        <v>11</v>
      </c>
      <c r="C790" s="80">
        <v>98895.0</v>
      </c>
      <c r="D790" s="84" t="str">
        <f>IFERROR(VLOOKUP(B790,BASE_VEICULOS!$A:$B,2,0),"")</f>
        <v>TEW9A28</v>
      </c>
      <c r="E790" s="82">
        <f>IFERROR(__xludf.DUMMYFUNCTION("IF(OR(A790="""",D790="""",C790=""""),"""",IFERROR(MAX(0,C790-MAX(FILTER($C$2:$C790,TRIM($D$2:$D790)=TRIM(D790),(($A$2:$A790&lt;A790)+(($A$2:$A790=A790)*(ROW($A$2:$A790)&lt;ROW(A790))))))),""""))"),426.0)</f>
        <v>426</v>
      </c>
    </row>
    <row r="791" ht="22.5" customHeight="1">
      <c r="A791" s="78">
        <v>46143.0</v>
      </c>
      <c r="B791" s="7" t="s">
        <v>21</v>
      </c>
      <c r="C791" s="80">
        <v>22225.0</v>
      </c>
      <c r="D791" s="84" t="str">
        <f>IFERROR(VLOOKUP(B791,BASE_VEICULOS!$A:$B,2,0),"")</f>
        <v>TEW9A33</v>
      </c>
      <c r="E791" s="82">
        <f>IFERROR(__xludf.DUMMYFUNCTION("IF(OR(A791="""",D791="""",C791=""""),"""",IFERROR(MAX(0,C791-MAX(FILTER($C$2:$C791,TRIM($D$2:$D791)=TRIM(D791),(($A$2:$A791&lt;A791)+(($A$2:$A791=A791)*(ROW($A$2:$A791)&lt;ROW(A791))))))),""""))"),189.0)</f>
        <v>189</v>
      </c>
    </row>
    <row r="792" ht="22.5" customHeight="1">
      <c r="A792" s="78">
        <v>46143.0</v>
      </c>
      <c r="B792" s="7" t="s">
        <v>25</v>
      </c>
      <c r="C792" s="80">
        <v>20187.0</v>
      </c>
      <c r="D792" s="84" t="str">
        <f>IFERROR(VLOOKUP(B792,BASE_VEICULOS!$A:$B,2,0),"")</f>
        <v>TEW9A26</v>
      </c>
      <c r="E792" s="82">
        <f>IFERROR(__xludf.DUMMYFUNCTION("IF(OR(A792="""",D792="""",C792=""""),"""",IFERROR(MAX(0,C792-MAX(FILTER($C$2:$C792,TRIM($D$2:$D792)=TRIM(D792),(($A$2:$A792&lt;A792)+(($A$2:$A792=A792)*(ROW($A$2:$A792)&lt;ROW(A792))))))),""""))"),241.0)</f>
        <v>241</v>
      </c>
    </row>
    <row r="793" ht="22.5" customHeight="1">
      <c r="A793" s="78">
        <v>46143.0</v>
      </c>
      <c r="B793" s="7" t="s">
        <v>14</v>
      </c>
      <c r="C793" s="80">
        <v>95897.0</v>
      </c>
      <c r="D793" s="84" t="str">
        <f>IFERROR(VLOOKUP(B793,BASE_VEICULOS!$A:$B,2,0),"")</f>
        <v>FOK8A73</v>
      </c>
      <c r="E793" s="82">
        <f>IFERROR(__xludf.DUMMYFUNCTION("IF(OR(A793="""",D793="""",C793=""""),"""",IFERROR(MAX(0,C793-MAX(FILTER($C$2:$C793,TRIM($D$2:$D793)=TRIM(D793),(($A$2:$A793&lt;A793)+(($A$2:$A793=A793)*(ROW($A$2:$A793)&lt;ROW(A793))))))),""""))"),160.0)</f>
        <v>160</v>
      </c>
    </row>
    <row r="794" ht="22.5" customHeight="1">
      <c r="A794" s="78">
        <v>46143.0</v>
      </c>
      <c r="B794" s="7" t="s">
        <v>16</v>
      </c>
      <c r="C794" s="80">
        <v>14163.0</v>
      </c>
      <c r="D794" s="84" t="str">
        <f>IFERROR(VLOOKUP(B794,BASE_VEICULOS!$A:$B,2,0),"")</f>
        <v>TEW9A27</v>
      </c>
      <c r="E794" s="82">
        <f>IFERROR(__xludf.DUMMYFUNCTION("IF(OR(A794="""",D794="""",C794=""""),"""",IFERROR(MAX(0,C794-MAX(FILTER($C$2:$C794,TRIM($D$2:$D794)=TRIM(D794),(($A$2:$A794&lt;A794)+(($A$2:$A794=A794)*(ROW($A$2:$A794)&lt;ROW(A794))))))),""""))"),57.0)</f>
        <v>57</v>
      </c>
    </row>
    <row r="795" ht="22.5" customHeight="1">
      <c r="A795" s="78">
        <v>46144.0</v>
      </c>
      <c r="B795" s="7" t="s">
        <v>21</v>
      </c>
      <c r="C795" s="80">
        <v>22408.0</v>
      </c>
      <c r="D795" s="84" t="str">
        <f>IFERROR(VLOOKUP(B795,BASE_VEICULOS!$A:$B,2,0),"")</f>
        <v>TEW9A33</v>
      </c>
      <c r="E795" s="82">
        <f>IFERROR(__xludf.DUMMYFUNCTION("IF(OR(A795="""",D795="""",C795=""""),"""",IFERROR(MAX(0,C795-MAX(FILTER($C$2:$C795,TRIM($D$2:$D795)=TRIM(D795),(($A$2:$A795&lt;A795)+(($A$2:$A795=A795)*(ROW($A$2:$A795)&lt;ROW(A795))))))),""""))"),183.0)</f>
        <v>183</v>
      </c>
    </row>
    <row r="796" ht="22.5" customHeight="1">
      <c r="A796" s="78">
        <v>46144.0</v>
      </c>
      <c r="B796" s="7" t="s">
        <v>14</v>
      </c>
      <c r="C796" s="80">
        <v>96064.0</v>
      </c>
      <c r="D796" s="84" t="str">
        <f>IFERROR(VLOOKUP(B796,BASE_VEICULOS!$A:$B,2,0),"")</f>
        <v>FOK8A73</v>
      </c>
      <c r="E796" s="82">
        <f>IFERROR(__xludf.DUMMYFUNCTION("IF(OR(A796="""",D796="""",C796=""""),"""",IFERROR(MAX(0,C796-MAX(FILTER($C$2:$C796,TRIM($D$2:$D796)=TRIM(D796),(($A$2:$A796&lt;A796)+(($A$2:$A796=A796)*(ROW($A$2:$A796)&lt;ROW(A796))))))),""""))"),167.0)</f>
        <v>167</v>
      </c>
    </row>
    <row r="797" ht="22.5" customHeight="1">
      <c r="A797" s="78">
        <v>46144.0</v>
      </c>
      <c r="B797" s="7" t="s">
        <v>19</v>
      </c>
      <c r="C797" s="80">
        <v>23855.0</v>
      </c>
      <c r="D797" s="84" t="str">
        <f>IFERROR(VLOOKUP(B797,BASE_VEICULOS!$A:$B,2,0),"")</f>
        <v>TEW9A24</v>
      </c>
      <c r="E797" s="82">
        <f>IFERROR(__xludf.DUMMYFUNCTION("IF(OR(A797="""",D797="""",C797=""""),"""",IFERROR(MAX(0,C797-MAX(FILTER($C$2:$C797,TRIM($D$2:$D797)=TRIM(D797),(($A$2:$A797&lt;A797)+(($A$2:$A797=A797)*(ROW($A$2:$A797)&lt;ROW(A797))))))),""""))"),120.0)</f>
        <v>120</v>
      </c>
    </row>
    <row r="798" ht="22.5" customHeight="1">
      <c r="A798" s="78">
        <v>46144.0</v>
      </c>
      <c r="B798" s="7" t="s">
        <v>25</v>
      </c>
      <c r="C798" s="80">
        <v>20488.0</v>
      </c>
      <c r="D798" s="84" t="str">
        <f>IFERROR(VLOOKUP(B798,BASE_VEICULOS!$A:$B,2,0),"")</f>
        <v>TEW9A26</v>
      </c>
      <c r="E798" s="82">
        <f>IFERROR(__xludf.DUMMYFUNCTION("IF(OR(A798="""",D798="""",C798=""""),"""",IFERROR(MAX(0,C798-MAX(FILTER($C$2:$C798,TRIM($D$2:$D798)=TRIM(D798),(($A$2:$A798&lt;A798)+(($A$2:$A798=A798)*(ROW($A$2:$A798)&lt;ROW(A798))))))),""""))"),301.0)</f>
        <v>301</v>
      </c>
    </row>
    <row r="799" ht="22.5" customHeight="1">
      <c r="A799" s="78">
        <v>46144.0</v>
      </c>
      <c r="B799" s="7" t="s">
        <v>15</v>
      </c>
      <c r="C799" s="80">
        <v>111317.0</v>
      </c>
      <c r="D799" s="84" t="str">
        <f>IFERROR(VLOOKUP(B799,BASE_VEICULOS!$A:$B,2,0),"")</f>
        <v>EWH1B84</v>
      </c>
      <c r="E799" s="82">
        <f>IFERROR(__xludf.DUMMYFUNCTION("IF(OR(A799="""",D799="""",C799=""""),"""",IFERROR(MAX(0,C799-MAX(FILTER($C$2:$C799,TRIM($D$2:$D799)=TRIM(D799),(($A$2:$A799&lt;A799)+(($A$2:$A799=A799)*(ROW($A$2:$A799)&lt;ROW(A799))))))),""""))"),139.0)</f>
        <v>139</v>
      </c>
    </row>
    <row r="800" ht="22.5" customHeight="1">
      <c r="A800" s="78">
        <v>46144.0</v>
      </c>
      <c r="B800" s="7" t="s">
        <v>22</v>
      </c>
      <c r="C800" s="80">
        <v>35325.0</v>
      </c>
      <c r="D800" s="84" t="str">
        <f>IFERROR(VLOOKUP(B800,BASE_VEICULOS!$A:$B,2,0),"")</f>
        <v>TET5H37</v>
      </c>
      <c r="E800" s="82">
        <f>IFERROR(__xludf.DUMMYFUNCTION("IF(OR(A800="""",D800="""",C800=""""),"""",IFERROR(MAX(0,C800-MAX(FILTER($C$2:$C800,TRIM($D$2:$D800)=TRIM(D800),(($A$2:$A800&lt;A800)+(($A$2:$A800=A800)*(ROW($A$2:$A800)&lt;ROW(A800))))))),""""))"),638.0)</f>
        <v>638</v>
      </c>
    </row>
    <row r="801" ht="22.5" customHeight="1">
      <c r="A801" s="78">
        <v>46145.0</v>
      </c>
      <c r="B801" s="7" t="s">
        <v>21</v>
      </c>
      <c r="C801" s="80">
        <v>22546.0</v>
      </c>
      <c r="D801" s="84" t="str">
        <f>IFERROR(VLOOKUP(B801,BASE_VEICULOS!$A:$B,2,0),"")</f>
        <v>TEW9A33</v>
      </c>
      <c r="E801" s="82">
        <f>IFERROR(__xludf.DUMMYFUNCTION("IF(OR(A801="""",D801="""",C801=""""),"""",IFERROR(MAX(0,C801-MAX(FILTER($C$2:$C801,TRIM($D$2:$D801)=TRIM(D801),(($A$2:$A801&lt;A801)+(($A$2:$A801=A801)*(ROW($A$2:$A801)&lt;ROW(A801))))))),""""))"),138.0)</f>
        <v>138</v>
      </c>
    </row>
    <row r="802" ht="22.5" customHeight="1">
      <c r="A802" s="78">
        <v>46145.0</v>
      </c>
      <c r="B802" s="7" t="s">
        <v>19</v>
      </c>
      <c r="C802" s="80">
        <v>23883.0</v>
      </c>
      <c r="D802" s="84" t="str">
        <f>IFERROR(VLOOKUP(B802,BASE_VEICULOS!$A:$B,2,0),"")</f>
        <v>TEW9A24</v>
      </c>
      <c r="E802" s="82">
        <f>IFERROR(__xludf.DUMMYFUNCTION("IF(OR(A802="""",D802="""",C802=""""),"""",IFERROR(MAX(0,C802-MAX(FILTER($C$2:$C802,TRIM($D$2:$D802)=TRIM(D802),(($A$2:$A802&lt;A802)+(($A$2:$A802=A802)*(ROW($A$2:$A802)&lt;ROW(A802))))))),""""))"),28.0)</f>
        <v>28</v>
      </c>
    </row>
    <row r="803" ht="22.5" customHeight="1">
      <c r="A803" s="78">
        <v>46145.0</v>
      </c>
      <c r="B803" s="7" t="s">
        <v>12</v>
      </c>
      <c r="C803" s="80">
        <v>93285.0</v>
      </c>
      <c r="D803" s="84" t="str">
        <f>IFERROR(VLOOKUP(B803,BASE_VEICULOS!$A:$B,2,0),"")</f>
        <v>FIL8C14</v>
      </c>
      <c r="E803" s="82">
        <f>IFERROR(__xludf.DUMMYFUNCTION("IF(OR(A803="""",D803="""",C803=""""),"""",IFERROR(MAX(0,C803-MAX(FILTER($C$2:$C803,TRIM($D$2:$D803)=TRIM(D803),(($A$2:$A803&lt;A803)+(($A$2:$A803=A803)*(ROW($A$2:$A803)&lt;ROW(A803))))))),""""))"),120.0)</f>
        <v>120</v>
      </c>
    </row>
    <row r="804" ht="22.5" customHeight="1">
      <c r="A804" s="78">
        <v>46145.0</v>
      </c>
      <c r="B804" s="7" t="s">
        <v>25</v>
      </c>
      <c r="C804" s="80">
        <v>20657.0</v>
      </c>
      <c r="D804" s="84" t="str">
        <f>IFERROR(VLOOKUP(B804,BASE_VEICULOS!$A:$B,2,0),"")</f>
        <v>TEW9A26</v>
      </c>
      <c r="E804" s="82">
        <f>IFERROR(__xludf.DUMMYFUNCTION("IF(OR(A804="""",D804="""",C804=""""),"""",IFERROR(MAX(0,C804-MAX(FILTER($C$2:$C804,TRIM($D$2:$D804)=TRIM(D804),(($A$2:$A804&lt;A804)+(($A$2:$A804=A804)*(ROW($A$2:$A804)&lt;ROW(A804))))))),""""))"),169.0)</f>
        <v>169</v>
      </c>
    </row>
    <row r="805" ht="22.5" customHeight="1">
      <c r="A805" s="78">
        <v>46145.0</v>
      </c>
      <c r="B805" s="7" t="s">
        <v>14</v>
      </c>
      <c r="C805" s="80">
        <v>96231.0</v>
      </c>
      <c r="D805" s="84" t="str">
        <f>IFERROR(VLOOKUP(B805,BASE_VEICULOS!$A:$B,2,0),"")</f>
        <v>FOK8A73</v>
      </c>
      <c r="E805" s="82">
        <f>IFERROR(__xludf.DUMMYFUNCTION("IF(OR(A805="""",D805="""",C805=""""),"""",IFERROR(MAX(0,C805-MAX(FILTER($C$2:$C805,TRIM($D$2:$D805)=TRIM(D805),(($A$2:$A805&lt;A805)+(($A$2:$A805=A805)*(ROW($A$2:$A805)&lt;ROW(A805))))))),""""))"),167.0)</f>
        <v>167</v>
      </c>
    </row>
    <row r="806" ht="22.5" customHeight="1">
      <c r="A806" s="78">
        <v>46146.0</v>
      </c>
      <c r="B806" s="7" t="s">
        <v>30</v>
      </c>
      <c r="C806" s="80">
        <v>24729.0</v>
      </c>
      <c r="D806" s="84" t="str">
        <f>IFERROR(VLOOKUP(B806,BASE_VEICULOS!$A:$B,2,0),"")</f>
        <v/>
      </c>
      <c r="E806" s="82" t="str">
        <f>IFERROR(__xludf.DUMMYFUNCTION("IF(OR(A806="""",D806="""",C806=""""),"""",IFERROR(MAX(0,C806-MAX(FILTER($C$2:$C806,TRIM($D$2:$D806)=TRIM(D806),(($A$2:$A806&lt;A806)+(($A$2:$A806=A806)*(ROW($A$2:$A806)&lt;ROW(A806))))))),""""))"),"")</f>
        <v/>
      </c>
    </row>
    <row r="807" ht="22.5" customHeight="1">
      <c r="A807" s="78">
        <v>46146.0</v>
      </c>
      <c r="B807" s="7" t="s">
        <v>29</v>
      </c>
      <c r="C807" s="80">
        <v>80898.0</v>
      </c>
      <c r="D807" s="84" t="str">
        <f>IFERROR(VLOOKUP(B807,BASE_VEICULOS!$A:$B,2,0),"")</f>
        <v>TEQ2I74</v>
      </c>
      <c r="E807" s="82">
        <f>IFERROR(__xludf.DUMMYFUNCTION("IF(OR(A807="""",D807="""",C807=""""),"""",IFERROR(MAX(0,C807-MAX(FILTER($C$2:$C807,TRIM($D$2:$D807)=TRIM(D807),(($A$2:$A807&lt;A807)+(($A$2:$A807=A807)*(ROW($A$2:$A807)&lt;ROW(A807))))))),""""))"),614.0)</f>
        <v>614</v>
      </c>
    </row>
    <row r="808" ht="22.5" customHeight="1">
      <c r="A808" s="78">
        <v>46146.0</v>
      </c>
      <c r="B808" s="7" t="s">
        <v>25</v>
      </c>
      <c r="C808" s="80">
        <v>20759.0</v>
      </c>
      <c r="D808" s="84" t="str">
        <f>IFERROR(VLOOKUP(B808,BASE_VEICULOS!$A:$B,2,0),"")</f>
        <v>TEW9A26</v>
      </c>
      <c r="E808" s="82">
        <f>IFERROR(__xludf.DUMMYFUNCTION("IF(OR(A808="""",D808="""",C808=""""),"""",IFERROR(MAX(0,C808-MAX(FILTER($C$2:$C808,TRIM($D$2:$D808)=TRIM(D808),(($A$2:$A808&lt;A808)+(($A$2:$A808=A808)*(ROW($A$2:$A808)&lt;ROW(A808))))))),""""))"),102.0)</f>
        <v>102</v>
      </c>
    </row>
    <row r="809" ht="22.5" customHeight="1">
      <c r="A809" s="78">
        <v>46146.0</v>
      </c>
      <c r="B809" s="7" t="s">
        <v>21</v>
      </c>
      <c r="C809" s="80">
        <v>22654.0</v>
      </c>
      <c r="D809" s="84" t="str">
        <f>IFERROR(VLOOKUP(B809,BASE_VEICULOS!$A:$B,2,0),"")</f>
        <v>TEW9A33</v>
      </c>
      <c r="E809" s="82">
        <f>IFERROR(__xludf.DUMMYFUNCTION("IF(OR(A809="""",D809="""",C809=""""),"""",IFERROR(MAX(0,C809-MAX(FILTER($C$2:$C809,TRIM($D$2:$D809)=TRIM(D809),(($A$2:$A809&lt;A809)+(($A$2:$A809=A809)*(ROW($A$2:$A809)&lt;ROW(A809))))))),""""))"),108.0)</f>
        <v>108</v>
      </c>
    </row>
    <row r="810" ht="22.5" customHeight="1">
      <c r="A810" s="78">
        <v>46146.0</v>
      </c>
      <c r="B810" s="7" t="s">
        <v>19</v>
      </c>
      <c r="C810" s="80">
        <v>24062.0</v>
      </c>
      <c r="D810" s="84" t="str">
        <f>IFERROR(VLOOKUP(B810,BASE_VEICULOS!$A:$B,2,0),"")</f>
        <v>TEW9A24</v>
      </c>
      <c r="E810" s="82">
        <f>IFERROR(__xludf.DUMMYFUNCTION("IF(OR(A810="""",D810="""",C810=""""),"""",IFERROR(MAX(0,C810-MAX(FILTER($C$2:$C810,TRIM($D$2:$D810)=TRIM(D810),(($A$2:$A810&lt;A810)+(($A$2:$A810=A810)*(ROW($A$2:$A810)&lt;ROW(A810))))))),""""))"),179.0)</f>
        <v>179</v>
      </c>
    </row>
    <row r="811" ht="22.5" customHeight="1">
      <c r="A811" s="78">
        <v>46146.0</v>
      </c>
      <c r="B811" s="7" t="s">
        <v>16</v>
      </c>
      <c r="C811" s="80">
        <v>14216.0</v>
      </c>
      <c r="D811" s="84" t="str">
        <f>IFERROR(VLOOKUP(B811,BASE_VEICULOS!$A:$B,2,0),"")</f>
        <v>TEW9A27</v>
      </c>
      <c r="E811" s="82">
        <f>IFERROR(__xludf.DUMMYFUNCTION("IF(OR(A811="""",D811="""",C811=""""),"""",IFERROR(MAX(0,C811-MAX(FILTER($C$2:$C811,TRIM($D$2:$D811)=TRIM(D811),(($A$2:$A811&lt;A811)+(($A$2:$A811=A811)*(ROW($A$2:$A811)&lt;ROW(A811))))))),""""))"),53.0)</f>
        <v>53</v>
      </c>
    </row>
    <row r="812" ht="22.5" customHeight="1">
      <c r="A812" s="78">
        <v>46146.0</v>
      </c>
      <c r="B812" s="7" t="s">
        <v>12</v>
      </c>
      <c r="C812" s="80">
        <v>93390.0</v>
      </c>
      <c r="D812" s="84" t="str">
        <f>IFERROR(VLOOKUP(B812,BASE_VEICULOS!$A:$B,2,0),"")</f>
        <v>FIL8C14</v>
      </c>
      <c r="E812" s="82">
        <f>IFERROR(__xludf.DUMMYFUNCTION("IF(OR(A812="""",D812="""",C812=""""),"""",IFERROR(MAX(0,C812-MAX(FILTER($C$2:$C812,TRIM($D$2:$D812)=TRIM(D812),(($A$2:$A812&lt;A812)+(($A$2:$A812=A812)*(ROW($A$2:$A812)&lt;ROW(A812))))))),""""))"),105.0)</f>
        <v>105</v>
      </c>
    </row>
    <row r="813" ht="22.5" customHeight="1">
      <c r="A813" s="78">
        <v>46146.0</v>
      </c>
      <c r="B813" s="7" t="s">
        <v>10</v>
      </c>
      <c r="C813" s="80">
        <v>22304.0</v>
      </c>
      <c r="D813" s="84" t="str">
        <f>IFERROR(VLOOKUP(B813,BASE_VEICULOS!$A:$B,2,0),"")</f>
        <v>TEW9A25</v>
      </c>
      <c r="E813" s="82">
        <f>IFERROR(__xludf.DUMMYFUNCTION("IF(OR(A813="""",D813="""",C813=""""),"""",IFERROR(MAX(0,C813-MAX(FILTER($C$2:$C813,TRIM($D$2:$D813)=TRIM(D813),(($A$2:$A813&lt;A813)+(($A$2:$A813=A813)*(ROW($A$2:$A813)&lt;ROW(A813))))))),""""))"),150.0)</f>
        <v>150</v>
      </c>
    </row>
    <row r="814" ht="22.5" customHeight="1">
      <c r="A814" s="78">
        <v>46146.0</v>
      </c>
      <c r="B814" s="7" t="s">
        <v>20</v>
      </c>
      <c r="C814" s="80">
        <v>20916.0</v>
      </c>
      <c r="D814" s="84" t="str">
        <f>IFERROR(VLOOKUP(B814,BASE_VEICULOS!$A:$B,2,0),"")</f>
        <v>TEW9A34</v>
      </c>
      <c r="E814" s="82">
        <f>IFERROR(__xludf.DUMMYFUNCTION("IF(OR(A814="""",D814="""",C814=""""),"""",IFERROR(MAX(0,C814-MAX(FILTER($C$2:$C814,TRIM($D$2:$D814)=TRIM(D814),(($A$2:$A814&lt;A814)+(($A$2:$A814=A814)*(ROW($A$2:$A814)&lt;ROW(A814))))))),""""))"),275.0)</f>
        <v>275</v>
      </c>
    </row>
    <row r="815" ht="22.5" customHeight="1">
      <c r="A815" s="78">
        <v>46146.0</v>
      </c>
      <c r="B815" s="7" t="s">
        <v>11</v>
      </c>
      <c r="C815" s="80">
        <v>98928.0</v>
      </c>
      <c r="D815" s="84" t="str">
        <f>IFERROR(VLOOKUP(B815,BASE_VEICULOS!$A:$B,2,0),"")</f>
        <v>TEW9A28</v>
      </c>
      <c r="E815" s="82">
        <f>IFERROR(__xludf.DUMMYFUNCTION("IF(OR(A815="""",D815="""",C815=""""),"""",IFERROR(MAX(0,C815-MAX(FILTER($C$2:$C815,TRIM($D$2:$D815)=TRIM(D815),(($A$2:$A815&lt;A815)+(($A$2:$A815=A815)*(ROW($A$2:$A815)&lt;ROW(A815))))))),""""))"),33.0)</f>
        <v>33</v>
      </c>
    </row>
    <row r="816" ht="22.5" customHeight="1">
      <c r="A816" s="78">
        <v>46146.0</v>
      </c>
      <c r="B816" s="7" t="s">
        <v>24</v>
      </c>
      <c r="C816" s="80">
        <v>20299.0</v>
      </c>
      <c r="D816" s="84" t="str">
        <f>IFERROR(VLOOKUP(B816,BASE_VEICULOS!$A:$B,2,0),"")</f>
        <v>TEW9A23</v>
      </c>
      <c r="E816" s="82">
        <f>IFERROR(__xludf.DUMMYFUNCTION("IF(OR(A816="""",D816="""",C816=""""),"""",IFERROR(MAX(0,C816-MAX(FILTER($C$2:$C816,TRIM($D$2:$D816)=TRIM(D816),(($A$2:$A816&lt;A816)+(($A$2:$A816=A816)*(ROW($A$2:$A816)&lt;ROW(A816))))))),""""))"),250.0)</f>
        <v>250</v>
      </c>
    </row>
    <row r="817" ht="22.5" customHeight="1">
      <c r="A817" s="78">
        <v>46146.0</v>
      </c>
      <c r="B817" s="7" t="s">
        <v>22</v>
      </c>
      <c r="C817" s="80">
        <v>35441.0</v>
      </c>
      <c r="D817" s="84" t="str">
        <f>IFERROR(VLOOKUP(B817,BASE_VEICULOS!$A:$B,2,0),"")</f>
        <v>TET5H37</v>
      </c>
      <c r="E817" s="82">
        <f>IFERROR(__xludf.DUMMYFUNCTION("IF(OR(A817="""",D817="""",C817=""""),"""",IFERROR(MAX(0,C817-MAX(FILTER($C$2:$C817,TRIM($D$2:$D817)=TRIM(D817),(($A$2:$A817&lt;A817)+(($A$2:$A817=A817)*(ROW($A$2:$A817)&lt;ROW(A817))))))),""""))"),116.0)</f>
        <v>116</v>
      </c>
    </row>
    <row r="818" ht="22.5" customHeight="1">
      <c r="A818" s="78">
        <v>46146.0</v>
      </c>
      <c r="B818" s="7" t="s">
        <v>18</v>
      </c>
      <c r="C818" s="80">
        <v>22145.0</v>
      </c>
      <c r="D818" s="84" t="str">
        <f>IFERROR(VLOOKUP(B818,BASE_VEICULOS!$A:$B,2,0),"")</f>
        <v>TEW9A29</v>
      </c>
      <c r="E818" s="82">
        <f>IFERROR(__xludf.DUMMYFUNCTION("IF(OR(A818="""",D818="""",C818=""""),"""",IFERROR(MAX(0,C818-MAX(FILTER($C$2:$C818,TRIM($D$2:$D818)=TRIM(D818),(($A$2:$A818&lt;A818)+(($A$2:$A818=A818)*(ROW($A$2:$A818)&lt;ROW(A818))))))),""""))"),280.0)</f>
        <v>280</v>
      </c>
    </row>
    <row r="819" ht="22.5" customHeight="1">
      <c r="A819" s="78">
        <v>46146.0</v>
      </c>
      <c r="B819" s="7" t="s">
        <v>15</v>
      </c>
      <c r="C819" s="80">
        <v>111445.0</v>
      </c>
      <c r="D819" s="84" t="str">
        <f>IFERROR(VLOOKUP(B819,BASE_VEICULOS!$A:$B,2,0),"")</f>
        <v>EWH1B84</v>
      </c>
      <c r="E819" s="82">
        <f>IFERROR(__xludf.DUMMYFUNCTION("IF(OR(A819="""",D819="""",C819=""""),"""",IFERROR(MAX(0,C819-MAX(FILTER($C$2:$C819,TRIM($D$2:$D819)=TRIM(D819),(($A$2:$A819&lt;A819)+(($A$2:$A819=A819)*(ROW($A$2:$A819)&lt;ROW(A819))))))),""""))"),128.0)</f>
        <v>128</v>
      </c>
    </row>
    <row r="820" ht="22.5" customHeight="1">
      <c r="A820" s="78">
        <v>46146.0</v>
      </c>
      <c r="B820" s="7" t="s">
        <v>13</v>
      </c>
      <c r="C820" s="80">
        <v>109817.0</v>
      </c>
      <c r="D820" s="84" t="str">
        <f>IFERROR(VLOOKUP(B820,BASE_VEICULOS!$A:$B,2,0),"")</f>
        <v>FGO3C61</v>
      </c>
      <c r="E820" s="82">
        <f>IFERROR(__xludf.DUMMYFUNCTION("IF(OR(A820="""",D820="""",C820=""""),"""",IFERROR(MAX(0,C820-MAX(FILTER($C$2:$C820,TRIM($D$2:$D820)=TRIM(D820),(($A$2:$A820&lt;A820)+(($A$2:$A820=A820)*(ROW($A$2:$A820)&lt;ROW(A820))))))),""""))"),233.0)</f>
        <v>233</v>
      </c>
    </row>
    <row r="821" ht="22.5" customHeight="1">
      <c r="A821" s="78">
        <v>46146.0</v>
      </c>
      <c r="B821" s="7" t="s">
        <v>34</v>
      </c>
      <c r="C821" s="80">
        <v>59308.0</v>
      </c>
      <c r="D821" s="84" t="str">
        <f>IFERROR(VLOOKUP(B821,BASE_VEICULOS!$A:$B,2,0),"")</f>
        <v>SRU8D16</v>
      </c>
      <c r="E821" s="82">
        <f>IFERROR(__xludf.DUMMYFUNCTION("IF(OR(A821="""",D821="""",C821=""""),"""",IFERROR(MAX(0,C821-MAX(FILTER($C$2:$C821,TRIM($D$2:$D821)=TRIM(D821),(($A$2:$A821&lt;A821)+(($A$2:$A821=A821)*(ROW($A$2:$A821)&lt;ROW(A821))))))),""""))"),256.0)</f>
        <v>256</v>
      </c>
    </row>
    <row r="822" ht="22.5" customHeight="1">
      <c r="A822" s="78">
        <v>46147.0</v>
      </c>
      <c r="B822" s="7" t="s">
        <v>16</v>
      </c>
      <c r="C822" s="80">
        <v>14227.0</v>
      </c>
      <c r="D822" s="84" t="str">
        <f>IFERROR(VLOOKUP(B822,BASE_VEICULOS!$A:$B,2,0),"")</f>
        <v>TEW9A27</v>
      </c>
      <c r="E822" s="82">
        <f>IFERROR(__xludf.DUMMYFUNCTION("IF(OR(A822="""",D822="""",C822=""""),"""",IFERROR(MAX(0,C822-MAX(FILTER($C$2:$C822,TRIM($D$2:$D822)=TRIM(D822),(($A$2:$A822&lt;A822)+(($A$2:$A822=A822)*(ROW($A$2:$A822)&lt;ROW(A822))))))),""""))"),11.0)</f>
        <v>11</v>
      </c>
    </row>
    <row r="823" ht="22.5" customHeight="1">
      <c r="A823" s="78">
        <v>46147.0</v>
      </c>
      <c r="B823" s="7" t="s">
        <v>21</v>
      </c>
      <c r="C823" s="80">
        <v>22668.0</v>
      </c>
      <c r="D823" s="84" t="str">
        <f>IFERROR(VLOOKUP(B823,BASE_VEICULOS!$A:$B,2,0),"")</f>
        <v>TEW9A33</v>
      </c>
      <c r="E823" s="82">
        <f>IFERROR(__xludf.DUMMYFUNCTION("IF(OR(A823="""",D823="""",C823=""""),"""",IFERROR(MAX(0,C823-MAX(FILTER($C$2:$C823,TRIM($D$2:$D823)=TRIM(D823),(($A$2:$A823&lt;A823)+(($A$2:$A823=A823)*(ROW($A$2:$A823)&lt;ROW(A823))))))),""""))"),14.0)</f>
        <v>14</v>
      </c>
    </row>
    <row r="824" ht="22.5" customHeight="1">
      <c r="A824" s="78">
        <v>46147.0</v>
      </c>
      <c r="B824" s="7" t="s">
        <v>28</v>
      </c>
      <c r="C824" s="80">
        <v>108320.0</v>
      </c>
      <c r="D824" s="84" t="str">
        <f>IFERROR(VLOOKUP(B824,BASE_VEICULOS!$A:$B,2,0),"")</f>
        <v/>
      </c>
      <c r="E824" s="82" t="str">
        <f>IFERROR(__xludf.DUMMYFUNCTION("IF(OR(A824="""",D824="""",C824=""""),"""",IFERROR(MAX(0,C824-MAX(FILTER($C$2:$C824,TRIM($D$2:$D824)=TRIM(D824),(($A$2:$A824&lt;A824)+(($A$2:$A824=A824)*(ROW($A$2:$A824)&lt;ROW(A824))))))),""""))"),"")</f>
        <v/>
      </c>
    </row>
    <row r="825" ht="22.5" customHeight="1">
      <c r="A825" s="78">
        <v>46147.0</v>
      </c>
      <c r="B825" s="7" t="s">
        <v>10</v>
      </c>
      <c r="C825" s="80">
        <v>22445.0</v>
      </c>
      <c r="D825" s="84" t="str">
        <f>IFERROR(VLOOKUP(B825,BASE_VEICULOS!$A:$B,2,0),"")</f>
        <v>TEW9A25</v>
      </c>
      <c r="E825" s="82">
        <f>IFERROR(__xludf.DUMMYFUNCTION("IF(OR(A825="""",D825="""",C825=""""),"""",IFERROR(MAX(0,C825-MAX(FILTER($C$2:$C825,TRIM($D$2:$D825)=TRIM(D825),(($A$2:$A825&lt;A825)+(($A$2:$A825=A825)*(ROW($A$2:$A825)&lt;ROW(A825))))))),""""))"),141.0)</f>
        <v>141</v>
      </c>
    </row>
    <row r="826" ht="1.5" customHeight="1">
      <c r="A826" s="78">
        <v>46147.0</v>
      </c>
      <c r="B826" s="7" t="s">
        <v>11</v>
      </c>
      <c r="C826" s="80">
        <v>98950.0</v>
      </c>
      <c r="D826" s="84" t="str">
        <f>IFERROR(VLOOKUP(B826,BASE_VEICULOS!$A:$B,2,0),"")</f>
        <v>TEW9A28</v>
      </c>
      <c r="E826" s="82">
        <f>IFERROR(__xludf.DUMMYFUNCTION("IF(OR(A826="""",D826="""",C826=""""),"""",IFERROR(MAX(0,C826-MAX(FILTER($C$2:$C826,TRIM($D$2:$D826)=TRIM(D826),(($A$2:$A826&lt;A826)+(($A$2:$A826=A826)*(ROW($A$2:$A826)&lt;ROW(A826))))))),""""))"),22.0)</f>
        <v>22</v>
      </c>
    </row>
    <row r="827" ht="1.5" customHeight="1">
      <c r="A827" s="78">
        <v>46147.0</v>
      </c>
      <c r="B827" s="7" t="s">
        <v>18</v>
      </c>
      <c r="C827" s="80">
        <v>22278.0</v>
      </c>
      <c r="D827" s="84" t="str">
        <f>IFERROR(VLOOKUP(B827,BASE_VEICULOS!$A:$B,2,0),"")</f>
        <v>TEW9A29</v>
      </c>
      <c r="E827" s="82">
        <f>IFERROR(__xludf.DUMMYFUNCTION("IF(OR(A827="""",D827="""",C827=""""),"""",IFERROR(MAX(0,C827-MAX(FILTER($C$2:$C827,TRIM($D$2:$D827)=TRIM(D827),(($A$2:$A827&lt;A827)+(($A$2:$A827=A827)*(ROW($A$2:$A827)&lt;ROW(A827))))))),""""))"),133.0)</f>
        <v>133</v>
      </c>
    </row>
    <row r="828" ht="22.5" customHeight="1">
      <c r="A828" s="78">
        <v>46147.0</v>
      </c>
      <c r="B828" s="7" t="s">
        <v>12</v>
      </c>
      <c r="C828" s="80">
        <v>93481.0</v>
      </c>
      <c r="D828" s="84" t="str">
        <f>IFERROR(VLOOKUP(B828,BASE_VEICULOS!$A:$B,2,0),"")</f>
        <v>FIL8C14</v>
      </c>
      <c r="E828" s="82">
        <f>IFERROR(__xludf.DUMMYFUNCTION("IF(OR(A828="""",D828="""",C828=""""),"""",IFERROR(MAX(0,C828-MAX(FILTER($C$2:$C828,TRIM($D$2:$D828)=TRIM(D828),(($A$2:$A828&lt;A828)+(($A$2:$A828=A828)*(ROW($A$2:$A828)&lt;ROW(A828))))))),""""))"),91.0)</f>
        <v>91</v>
      </c>
    </row>
    <row r="829" ht="22.5" customHeight="1">
      <c r="A829" s="78">
        <v>46147.0</v>
      </c>
      <c r="B829" s="7" t="s">
        <v>29</v>
      </c>
      <c r="C829" s="80">
        <v>81076.0</v>
      </c>
      <c r="D829" s="84" t="str">
        <f>IFERROR(VLOOKUP(B829,BASE_VEICULOS!$A:$B,2,0),"")</f>
        <v>TEQ2I74</v>
      </c>
      <c r="E829" s="82">
        <f>IFERROR(__xludf.DUMMYFUNCTION("IF(OR(A829="""",D829="""",C829=""""),"""",IFERROR(MAX(0,C829-MAX(FILTER($C$2:$C829,TRIM($D$2:$D829)=TRIM(D829),(($A$2:$A829&lt;A829)+(($A$2:$A829=A829)*(ROW($A$2:$A829)&lt;ROW(A829))))))),""""))"),178.0)</f>
        <v>178</v>
      </c>
    </row>
    <row r="830" ht="22.5" customHeight="1">
      <c r="A830" s="78">
        <v>46147.0</v>
      </c>
      <c r="B830" s="7" t="s">
        <v>25</v>
      </c>
      <c r="C830" s="80">
        <v>20847.0</v>
      </c>
      <c r="D830" s="84" t="str">
        <f>IFERROR(VLOOKUP(B830,BASE_VEICULOS!$A:$B,2,0),"")</f>
        <v>TEW9A26</v>
      </c>
      <c r="E830" s="82">
        <f>IFERROR(__xludf.DUMMYFUNCTION("IF(OR(A830="""",D830="""",C830=""""),"""",IFERROR(MAX(0,C830-MAX(FILTER($C$2:$C830,TRIM($D$2:$D830)=TRIM(D830),(($A$2:$A830&lt;A830)+(($A$2:$A830=A830)*(ROW($A$2:$A830)&lt;ROW(A830))))))),""""))"),88.0)</f>
        <v>88</v>
      </c>
    </row>
    <row r="831" ht="22.5" customHeight="1">
      <c r="A831" s="78">
        <v>46147.0</v>
      </c>
      <c r="B831" s="7" t="s">
        <v>20</v>
      </c>
      <c r="C831" s="80">
        <v>21036.0</v>
      </c>
      <c r="D831" s="84" t="str">
        <f>IFERROR(VLOOKUP(B831,BASE_VEICULOS!$A:$B,2,0),"")</f>
        <v>TEW9A34</v>
      </c>
      <c r="E831" s="82">
        <f>IFERROR(__xludf.DUMMYFUNCTION("IF(OR(A831="""",D831="""",C831=""""),"""",IFERROR(MAX(0,C831-MAX(FILTER($C$2:$C831,TRIM($D$2:$D831)=TRIM(D831),(($A$2:$A831&lt;A831)+(($A$2:$A831=A831)*(ROW($A$2:$A831)&lt;ROW(A831))))))),""""))"),120.0)</f>
        <v>120</v>
      </c>
    </row>
    <row r="832" ht="22.5" customHeight="1">
      <c r="A832" s="78">
        <v>46147.0</v>
      </c>
      <c r="B832" s="7" t="s">
        <v>24</v>
      </c>
      <c r="C832" s="80">
        <v>20553.0</v>
      </c>
      <c r="D832" s="84" t="str">
        <f>IFERROR(VLOOKUP(B832,BASE_VEICULOS!$A:$B,2,0),"")</f>
        <v>TEW9A23</v>
      </c>
      <c r="E832" s="82">
        <f>IFERROR(__xludf.DUMMYFUNCTION("IF(OR(A832="""",D832="""",C832=""""),"""",IFERROR(MAX(0,C832-MAX(FILTER($C$2:$C832,TRIM($D$2:$D832)=TRIM(D832),(($A$2:$A832&lt;A832)+(($A$2:$A832=A832)*(ROW($A$2:$A832)&lt;ROW(A832))))))),""""))"),254.0)</f>
        <v>254</v>
      </c>
    </row>
    <row r="833" ht="22.5" customHeight="1">
      <c r="A833" s="78">
        <v>46147.0</v>
      </c>
      <c r="B833" s="7" t="s">
        <v>22</v>
      </c>
      <c r="C833" s="80">
        <v>35676.0</v>
      </c>
      <c r="D833" s="84" t="str">
        <f>IFERROR(VLOOKUP(B833,BASE_VEICULOS!$A:$B,2,0),"")</f>
        <v>TET5H37</v>
      </c>
      <c r="E833" s="82">
        <f>IFERROR(__xludf.DUMMYFUNCTION("IF(OR(A833="""",D833="""",C833=""""),"""",IFERROR(MAX(0,C833-MAX(FILTER($C$2:$C833,TRIM($D$2:$D833)=TRIM(D833),(($A$2:$A833&lt;A833)+(($A$2:$A833=A833)*(ROW($A$2:$A833)&lt;ROW(A833))))))),""""))"),235.0)</f>
        <v>235</v>
      </c>
    </row>
    <row r="834" ht="22.5" customHeight="1">
      <c r="A834" s="78">
        <v>46147.0</v>
      </c>
      <c r="B834" s="7" t="s">
        <v>34</v>
      </c>
      <c r="C834" s="80">
        <v>59519.0</v>
      </c>
      <c r="D834" s="84" t="str">
        <f>IFERROR(VLOOKUP(B834,BASE_VEICULOS!$A:$B,2,0),"")</f>
        <v>SRU8D16</v>
      </c>
      <c r="E834" s="82">
        <f>IFERROR(__xludf.DUMMYFUNCTION("IF(OR(A834="""",D834="""",C834=""""),"""",IFERROR(MAX(0,C834-MAX(FILTER($C$2:$C834,TRIM($D$2:$D834)=TRIM(D834),(($A$2:$A834&lt;A834)+(($A$2:$A834=A834)*(ROW($A$2:$A834)&lt;ROW(A834))))))),""""))"),211.0)</f>
        <v>211</v>
      </c>
    </row>
    <row r="835" ht="22.5" customHeight="1">
      <c r="A835" s="78">
        <v>46148.0</v>
      </c>
      <c r="B835" s="7" t="s">
        <v>29</v>
      </c>
      <c r="C835" s="80">
        <v>81272.0</v>
      </c>
      <c r="D835" s="84" t="str">
        <f>IFERROR(VLOOKUP(B835,BASE_VEICULOS!$A:$B,2,0),"")</f>
        <v>TEQ2I74</v>
      </c>
      <c r="E835" s="82">
        <f>IFERROR(__xludf.DUMMYFUNCTION("IF(OR(A835="""",D835="""",C835=""""),"""",IFERROR(MAX(0,C835-MAX(FILTER($C$2:$C835,TRIM($D$2:$D835)=TRIM(D835),(($A$2:$A835&lt;A835)+(($A$2:$A835=A835)*(ROW($A$2:$A835)&lt;ROW(A835))))))),""""))"),196.0)</f>
        <v>196</v>
      </c>
    </row>
    <row r="836" ht="22.5" customHeight="1">
      <c r="A836" s="78">
        <v>46148.0</v>
      </c>
      <c r="B836" s="7" t="s">
        <v>23</v>
      </c>
      <c r="C836" s="80">
        <v>22944.0</v>
      </c>
      <c r="D836" s="84" t="str">
        <f>IFERROR(VLOOKUP(B836,BASE_VEICULOS!$A:$B,2,0),"")</f>
        <v>TEH3I02</v>
      </c>
      <c r="E836" s="82">
        <f>IFERROR(__xludf.DUMMYFUNCTION("IF(OR(A836="""",D836="""",C836=""""),"""",IFERROR(MAX(0,C836-MAX(FILTER($C$2:$C836,TRIM($D$2:$D836)=TRIM(D836),(($A$2:$A836&lt;A836)+(($A$2:$A836=A836)*(ROW($A$2:$A836)&lt;ROW(A836))))))),""""))"),756.0)</f>
        <v>756</v>
      </c>
    </row>
    <row r="837" ht="22.5" customHeight="1">
      <c r="A837" s="78">
        <v>46148.0</v>
      </c>
      <c r="B837" s="7" t="s">
        <v>24</v>
      </c>
      <c r="C837" s="80">
        <v>20694.0</v>
      </c>
      <c r="D837" s="84" t="str">
        <f>IFERROR(VLOOKUP(B837,BASE_VEICULOS!$A:$B,2,0),"")</f>
        <v>TEW9A23</v>
      </c>
      <c r="E837" s="82">
        <f>IFERROR(__xludf.DUMMYFUNCTION("IF(OR(A837="""",D837="""",C837=""""),"""",IFERROR(MAX(0,C837-MAX(FILTER($C$2:$C837,TRIM($D$2:$D837)=TRIM(D837),(($A$2:$A837&lt;A837)+(($A$2:$A837=A837)*(ROW($A$2:$A837)&lt;ROW(A837))))))),""""))"),141.0)</f>
        <v>141</v>
      </c>
    </row>
    <row r="838" ht="22.5" customHeight="1">
      <c r="A838" s="78">
        <v>46148.0</v>
      </c>
      <c r="B838" s="7" t="s">
        <v>16</v>
      </c>
      <c r="C838" s="80">
        <v>14293.0</v>
      </c>
      <c r="D838" s="84" t="str">
        <f>IFERROR(VLOOKUP(B838,BASE_VEICULOS!$A:$B,2,0),"")</f>
        <v>TEW9A27</v>
      </c>
      <c r="E838" s="82">
        <f>IFERROR(__xludf.DUMMYFUNCTION("IF(OR(A838="""",D838="""",C838=""""),"""",IFERROR(MAX(0,C838-MAX(FILTER($C$2:$C838,TRIM($D$2:$D838)=TRIM(D838),(($A$2:$A838&lt;A838)+(($A$2:$A838=A838)*(ROW($A$2:$A838)&lt;ROW(A838))))))),""""))"),66.0)</f>
        <v>66</v>
      </c>
    </row>
    <row r="839" ht="22.5" customHeight="1">
      <c r="A839" s="78">
        <v>46148.0</v>
      </c>
      <c r="B839" s="7" t="s">
        <v>30</v>
      </c>
      <c r="C839" s="80">
        <v>25071.0</v>
      </c>
      <c r="D839" s="84" t="str">
        <f>IFERROR(VLOOKUP(B839,BASE_VEICULOS!$A:$B,2,0),"")</f>
        <v/>
      </c>
      <c r="E839" s="82" t="str">
        <f>IFERROR(__xludf.DUMMYFUNCTION("IF(OR(A839="""",D839="""",C839=""""),"""",IFERROR(MAX(0,C839-MAX(FILTER($C$2:$C839,TRIM($D$2:$D839)=TRIM(D839),(($A$2:$A839&lt;A839)+(($A$2:$A839=A839)*(ROW($A$2:$A839)&lt;ROW(A839))))))),""""))"),"")</f>
        <v/>
      </c>
    </row>
    <row r="840" ht="22.5" customHeight="1">
      <c r="A840" s="78">
        <v>46148.0</v>
      </c>
      <c r="B840" s="7" t="s">
        <v>19</v>
      </c>
      <c r="C840" s="80">
        <v>24469.0</v>
      </c>
      <c r="D840" s="84" t="str">
        <f>IFERROR(VLOOKUP(B840,BASE_VEICULOS!$A:$B,2,0),"")</f>
        <v>TEW9A24</v>
      </c>
      <c r="E840" s="82">
        <f>IFERROR(__xludf.DUMMYFUNCTION("IF(OR(A840="""",D840="""",C840=""""),"""",IFERROR(MAX(0,C840-MAX(FILTER($C$2:$C840,TRIM($D$2:$D840)=TRIM(D840),(($A$2:$A840&lt;A840)+(($A$2:$A840=A840)*(ROW($A$2:$A840)&lt;ROW(A840))))))),""""))"),407.0)</f>
        <v>407</v>
      </c>
    </row>
    <row r="841" ht="22.5" customHeight="1">
      <c r="A841" s="78">
        <v>46148.0</v>
      </c>
      <c r="B841" s="7" t="s">
        <v>11</v>
      </c>
      <c r="C841" s="80">
        <v>98998.0</v>
      </c>
      <c r="D841" s="84" t="str">
        <f>IFERROR(VLOOKUP(B841,BASE_VEICULOS!$A:$B,2,0),"")</f>
        <v>TEW9A28</v>
      </c>
      <c r="E841" s="82">
        <f>IFERROR(__xludf.DUMMYFUNCTION("IF(OR(A841="""",D841="""",C841=""""),"""",IFERROR(MAX(0,C841-MAX(FILTER($C$2:$C841,TRIM($D$2:$D841)=TRIM(D841),(($A$2:$A841&lt;A841)+(($A$2:$A841=A841)*(ROW($A$2:$A841)&lt;ROW(A841))))))),""""))"),48.0)</f>
        <v>48</v>
      </c>
    </row>
    <row r="842" ht="22.5" customHeight="1">
      <c r="A842" s="78">
        <v>46148.0</v>
      </c>
      <c r="B842" s="7" t="s">
        <v>12</v>
      </c>
      <c r="C842" s="80">
        <v>93577.0</v>
      </c>
      <c r="D842" s="84" t="str">
        <f>IFERROR(VLOOKUP(B842,BASE_VEICULOS!$A:$B,2,0),"")</f>
        <v>FIL8C14</v>
      </c>
      <c r="E842" s="82">
        <f>IFERROR(__xludf.DUMMYFUNCTION("IF(OR(A842="""",D842="""",C842=""""),"""",IFERROR(MAX(0,C842-MAX(FILTER($C$2:$C842,TRIM($D$2:$D842)=TRIM(D842),(($A$2:$A842&lt;A842)+(($A$2:$A842=A842)*(ROW($A$2:$A842)&lt;ROW(A842))))))),""""))"),96.0)</f>
        <v>96</v>
      </c>
    </row>
    <row r="843" ht="22.5" customHeight="1">
      <c r="A843" s="78">
        <v>46148.0</v>
      </c>
      <c r="B843" s="7" t="s">
        <v>13</v>
      </c>
      <c r="C843" s="80">
        <v>109966.0</v>
      </c>
      <c r="D843" s="84" t="str">
        <f>IFERROR(VLOOKUP(B843,BASE_VEICULOS!$A:$B,2,0),"")</f>
        <v>FGO3C61</v>
      </c>
      <c r="E843" s="82">
        <f>IFERROR(__xludf.DUMMYFUNCTION("IF(OR(A843="""",D843="""",C843=""""),"""",IFERROR(MAX(0,C843-MAX(FILTER($C$2:$C843,TRIM($D$2:$D843)=TRIM(D843),(($A$2:$A843&lt;A843)+(($A$2:$A843=A843)*(ROW($A$2:$A843)&lt;ROW(A843))))))),""""))"),149.0)</f>
        <v>149</v>
      </c>
    </row>
    <row r="844" ht="22.5" customHeight="1">
      <c r="A844" s="78">
        <v>46148.0</v>
      </c>
      <c r="B844" s="7" t="s">
        <v>20</v>
      </c>
      <c r="C844" s="80">
        <v>21275.0</v>
      </c>
      <c r="D844" s="84" t="str">
        <f>IFERROR(VLOOKUP(B844,BASE_VEICULOS!$A:$B,2,0),"")</f>
        <v>TEW9A34</v>
      </c>
      <c r="E844" s="82">
        <f>IFERROR(__xludf.DUMMYFUNCTION("IF(OR(A844="""",D844="""",C844=""""),"""",IFERROR(MAX(0,C844-MAX(FILTER($C$2:$C844,TRIM($D$2:$D844)=TRIM(D844),(($A$2:$A844&lt;A844)+(($A$2:$A844=A844)*(ROW($A$2:$A844)&lt;ROW(A844))))))),""""))"),239.0)</f>
        <v>239</v>
      </c>
    </row>
    <row r="845" ht="22.5" customHeight="1">
      <c r="A845" s="78">
        <v>46148.0</v>
      </c>
      <c r="B845" s="7" t="s">
        <v>34</v>
      </c>
      <c r="C845" s="80">
        <v>59678.0</v>
      </c>
      <c r="D845" s="84" t="str">
        <f>IFERROR(VLOOKUP(B845,BASE_VEICULOS!$A:$B,2,0),"")</f>
        <v>SRU8D16</v>
      </c>
      <c r="E845" s="82">
        <f>IFERROR(__xludf.DUMMYFUNCTION("IF(OR(A845="""",D845="""",C845=""""),"""",IFERROR(MAX(0,C845-MAX(FILTER($C$2:$C845,TRIM($D$2:$D845)=TRIM(D845),(($A$2:$A845&lt;A845)+(($A$2:$A845=A845)*(ROW($A$2:$A845)&lt;ROW(A845))))))),""""))"),159.0)</f>
        <v>159</v>
      </c>
    </row>
    <row r="846" ht="22.5" customHeight="1">
      <c r="A846" s="78">
        <v>46148.0</v>
      </c>
      <c r="B846" s="7" t="s">
        <v>25</v>
      </c>
      <c r="C846" s="80">
        <v>21145.0</v>
      </c>
      <c r="D846" s="84" t="str">
        <f>IFERROR(VLOOKUP(B846,BASE_VEICULOS!$A:$B,2,0),"")</f>
        <v>TEW9A26</v>
      </c>
      <c r="E846" s="82">
        <f>IFERROR(__xludf.DUMMYFUNCTION("IF(OR(A846="""",D846="""",C846=""""),"""",IFERROR(MAX(0,C846-MAX(FILTER($C$2:$C846,TRIM($D$2:$D846)=TRIM(D846),(($A$2:$A846&lt;A846)+(($A$2:$A846=A846)*(ROW($A$2:$A846)&lt;ROW(A846))))))),""""))"),298.0)</f>
        <v>298</v>
      </c>
    </row>
    <row r="847" ht="22.5" customHeight="1">
      <c r="A847" s="78">
        <v>46149.0</v>
      </c>
      <c r="B847" s="7" t="s">
        <v>24</v>
      </c>
      <c r="C847" s="80">
        <v>20936.0</v>
      </c>
      <c r="D847" s="84" t="str">
        <f>IFERROR(VLOOKUP(B847,BASE_VEICULOS!$A:$B,2,0),"")</f>
        <v>TEW9A23</v>
      </c>
      <c r="E847" s="82">
        <f>IFERROR(__xludf.DUMMYFUNCTION("IF(OR(A847="""",D847="""",C847=""""),"""",IFERROR(MAX(0,C847-MAX(FILTER($C$2:$C847,TRIM($D$2:$D847)=TRIM(D847),(($A$2:$A847&lt;A847)+(($A$2:$A847=A847)*(ROW($A$2:$A847)&lt;ROW(A847))))))),""""))"),242.0)</f>
        <v>242</v>
      </c>
    </row>
    <row r="848" ht="22.5" customHeight="1">
      <c r="A848" s="78">
        <v>46149.0</v>
      </c>
      <c r="B848" s="7" t="s">
        <v>19</v>
      </c>
      <c r="C848" s="80">
        <v>24508.0</v>
      </c>
      <c r="D848" s="84" t="str">
        <f>IFERROR(VLOOKUP(B848,BASE_VEICULOS!$A:$B,2,0),"")</f>
        <v>TEW9A24</v>
      </c>
      <c r="E848" s="82">
        <f>IFERROR(__xludf.DUMMYFUNCTION("IF(OR(A848="""",D848="""",C848=""""),"""",IFERROR(MAX(0,C848-MAX(FILTER($C$2:$C848,TRIM($D$2:$D848)=TRIM(D848),(($A$2:$A848&lt;A848)+(($A$2:$A848=A848)*(ROW($A$2:$A848)&lt;ROW(A848))))))),""""))"),39.0)</f>
        <v>39</v>
      </c>
    </row>
    <row r="849" ht="22.5" customHeight="1">
      <c r="A849" s="78">
        <v>46149.0</v>
      </c>
      <c r="B849" s="7" t="s">
        <v>15</v>
      </c>
      <c r="C849" s="80">
        <v>111644.0</v>
      </c>
      <c r="D849" s="84" t="str">
        <f>IFERROR(VLOOKUP(B849,BASE_VEICULOS!$A:$B,2,0),"")</f>
        <v>EWH1B84</v>
      </c>
      <c r="E849" s="82">
        <f>IFERROR(__xludf.DUMMYFUNCTION("IF(OR(A849="""",D849="""",C849=""""),"""",IFERROR(MAX(0,C849-MAX(FILTER($C$2:$C849,TRIM($D$2:$D849)=TRIM(D849),(($A$2:$A849&lt;A849)+(($A$2:$A849=A849)*(ROW($A$2:$A849)&lt;ROW(A849))))))),""""))"),199.0)</f>
        <v>199</v>
      </c>
    </row>
    <row r="850" ht="22.5" customHeight="1">
      <c r="A850" s="78">
        <v>46149.0</v>
      </c>
      <c r="B850" s="7" t="s">
        <v>16</v>
      </c>
      <c r="C850" s="80">
        <v>14414.0</v>
      </c>
      <c r="D850" s="84" t="str">
        <f>IFERROR(VLOOKUP(B850,BASE_VEICULOS!$A:$B,2,0),"")</f>
        <v>TEW9A27</v>
      </c>
      <c r="E850" s="82">
        <f>IFERROR(__xludf.DUMMYFUNCTION("IF(OR(A850="""",D850="""",C850=""""),"""",IFERROR(MAX(0,C850-MAX(FILTER($C$2:$C850,TRIM($D$2:$D850)=TRIM(D850),(($A$2:$A850&lt;A850)+(($A$2:$A850=A850)*(ROW($A$2:$A850)&lt;ROW(A850))))))),""""))"),121.0)</f>
        <v>121</v>
      </c>
    </row>
    <row r="851" ht="22.5" customHeight="1">
      <c r="A851" s="78">
        <v>46149.0</v>
      </c>
      <c r="B851" s="7" t="s">
        <v>11</v>
      </c>
      <c r="C851" s="80">
        <v>99025.0</v>
      </c>
      <c r="D851" s="84" t="str">
        <f>IFERROR(VLOOKUP(B851,BASE_VEICULOS!$A:$B,2,0),"")</f>
        <v>TEW9A28</v>
      </c>
      <c r="E851" s="82">
        <f>IFERROR(__xludf.DUMMYFUNCTION("IF(OR(A851="""",D851="""",C851=""""),"""",IFERROR(MAX(0,C851-MAX(FILTER($C$2:$C851,TRIM($D$2:$D851)=TRIM(D851),(($A$2:$A851&lt;A851)+(($A$2:$A851=A851)*(ROW($A$2:$A851)&lt;ROW(A851))))))),""""))"),27.0)</f>
        <v>27</v>
      </c>
    </row>
    <row r="852" ht="22.5" customHeight="1">
      <c r="A852" s="78">
        <v>46149.0</v>
      </c>
      <c r="B852" s="7" t="s">
        <v>30</v>
      </c>
      <c r="C852" s="80">
        <v>25150.0</v>
      </c>
      <c r="D852" s="84" t="str">
        <f>IFERROR(VLOOKUP(B852,BASE_VEICULOS!$A:$B,2,0),"")</f>
        <v/>
      </c>
      <c r="E852" s="82" t="str">
        <f>IFERROR(__xludf.DUMMYFUNCTION("IF(OR(A852="""",D852="""",C852=""""),"""",IFERROR(MAX(0,C852-MAX(FILTER($C$2:$C852,TRIM($D$2:$D852)=TRIM(D852),(($A$2:$A852&lt;A852)+(($A$2:$A852=A852)*(ROW($A$2:$A852)&lt;ROW(A852))))))),""""))"),"")</f>
        <v/>
      </c>
    </row>
    <row r="853" ht="22.5" customHeight="1">
      <c r="A853" s="78">
        <v>46149.0</v>
      </c>
      <c r="B853" s="7" t="s">
        <v>12</v>
      </c>
      <c r="C853" s="80">
        <v>93716.0</v>
      </c>
      <c r="D853" s="84" t="str">
        <f>IFERROR(VLOOKUP(B853,BASE_VEICULOS!$A:$B,2,0),"")</f>
        <v>FIL8C14</v>
      </c>
      <c r="E853" s="82">
        <f>IFERROR(__xludf.DUMMYFUNCTION("IF(OR(A853="""",D853="""",C853=""""),"""",IFERROR(MAX(0,C853-MAX(FILTER($C$2:$C853,TRIM($D$2:$D853)=TRIM(D853),(($A$2:$A853&lt;A853)+(($A$2:$A853=A853)*(ROW($A$2:$A853)&lt;ROW(A853))))))),""""))"),139.0)</f>
        <v>139</v>
      </c>
    </row>
    <row r="854" ht="22.5" customHeight="1">
      <c r="A854" s="78">
        <v>46149.0</v>
      </c>
      <c r="B854" s="7" t="s">
        <v>21</v>
      </c>
      <c r="C854" s="80">
        <v>23087.0</v>
      </c>
      <c r="D854" s="84" t="str">
        <f>IFERROR(VLOOKUP(B854,BASE_VEICULOS!$A:$B,2,0),"")</f>
        <v>TEW9A33</v>
      </c>
      <c r="E854" s="82">
        <f>IFERROR(__xludf.DUMMYFUNCTION("IF(OR(A854="""",D854="""",C854=""""),"""",IFERROR(MAX(0,C854-MAX(FILTER($C$2:$C854,TRIM($D$2:$D854)=TRIM(D854),(($A$2:$A854&lt;A854)+(($A$2:$A854=A854)*(ROW($A$2:$A854)&lt;ROW(A854))))))),""""))"),419.0)</f>
        <v>419</v>
      </c>
    </row>
    <row r="855" ht="22.5" customHeight="1">
      <c r="A855" s="78">
        <v>46149.0</v>
      </c>
      <c r="B855" s="7" t="s">
        <v>18</v>
      </c>
      <c r="C855" s="80">
        <v>22608.0</v>
      </c>
      <c r="D855" s="84" t="str">
        <f>IFERROR(VLOOKUP(B855,BASE_VEICULOS!$A:$B,2,0),"")</f>
        <v>TEW9A29</v>
      </c>
      <c r="E855" s="82">
        <f>IFERROR(__xludf.DUMMYFUNCTION("IF(OR(A855="""",D855="""",C855=""""),"""",IFERROR(MAX(0,C855-MAX(FILTER($C$2:$C855,TRIM($D$2:$D855)=TRIM(D855),(($A$2:$A855&lt;A855)+(($A$2:$A855=A855)*(ROW($A$2:$A855)&lt;ROW(A855))))))),""""))"),330.0)</f>
        <v>330</v>
      </c>
    </row>
    <row r="856" ht="22.5" customHeight="1">
      <c r="A856" s="78">
        <v>46149.0</v>
      </c>
      <c r="B856" s="7" t="s">
        <v>25</v>
      </c>
      <c r="C856" s="80">
        <v>21449.0</v>
      </c>
      <c r="D856" s="84" t="str">
        <f>IFERROR(VLOOKUP(B856,BASE_VEICULOS!$A:$B,2,0),"")</f>
        <v>TEW9A26</v>
      </c>
      <c r="E856" s="82">
        <f>IFERROR(__xludf.DUMMYFUNCTION("IF(OR(A856="""",D856="""",C856=""""),"""",IFERROR(MAX(0,C856-MAX(FILTER($C$2:$C856,TRIM($D$2:$D856)=TRIM(D856),(($A$2:$A856&lt;A856)+(($A$2:$A856=A856)*(ROW($A$2:$A856)&lt;ROW(A856))))))),""""))"),304.0)</f>
        <v>304</v>
      </c>
    </row>
    <row r="857" ht="22.5" customHeight="1">
      <c r="A857" s="78">
        <v>46149.0</v>
      </c>
      <c r="B857" s="7" t="s">
        <v>10</v>
      </c>
      <c r="C857" s="80">
        <v>22736.0</v>
      </c>
      <c r="D857" s="84" t="str">
        <f>IFERROR(VLOOKUP(B857,BASE_VEICULOS!$A:$B,2,0),"")</f>
        <v>TEW9A25</v>
      </c>
      <c r="E857" s="82">
        <f>IFERROR(__xludf.DUMMYFUNCTION("IF(OR(A857="""",D857="""",C857=""""),"""",IFERROR(MAX(0,C857-MAX(FILTER($C$2:$C857,TRIM($D$2:$D857)=TRIM(D857),(($A$2:$A857&lt;A857)+(($A$2:$A857=A857)*(ROW($A$2:$A857)&lt;ROW(A857))))))),""""))"),291.0)</f>
        <v>291</v>
      </c>
    </row>
    <row r="858" ht="22.5" customHeight="1">
      <c r="A858" s="78">
        <v>46149.0</v>
      </c>
      <c r="B858" s="7" t="s">
        <v>13</v>
      </c>
      <c r="C858" s="80">
        <v>110156.0</v>
      </c>
      <c r="D858" s="84" t="str">
        <f>IFERROR(VLOOKUP(B858,BASE_VEICULOS!$A:$B,2,0),"")</f>
        <v>FGO3C61</v>
      </c>
      <c r="E858" s="82">
        <f>IFERROR(__xludf.DUMMYFUNCTION("IF(OR(A858="""",D858="""",C858=""""),"""",IFERROR(MAX(0,C858-MAX(FILTER($C$2:$C858,TRIM($D$2:$D858)=TRIM(D858),(($A$2:$A858&lt;A858)+(($A$2:$A858=A858)*(ROW($A$2:$A858)&lt;ROW(A858))))))),""""))"),190.0)</f>
        <v>190</v>
      </c>
    </row>
    <row r="859" ht="22.5" customHeight="1">
      <c r="A859" s="78">
        <v>46149.0</v>
      </c>
      <c r="B859" s="7" t="s">
        <v>23</v>
      </c>
      <c r="C859" s="80">
        <v>23062.0</v>
      </c>
      <c r="D859" s="84" t="str">
        <f>IFERROR(VLOOKUP(B859,BASE_VEICULOS!$A:$B,2,0),"")</f>
        <v>TEH3I02</v>
      </c>
      <c r="E859" s="82">
        <f>IFERROR(__xludf.DUMMYFUNCTION("IF(OR(A859="""",D859="""",C859=""""),"""",IFERROR(MAX(0,C859-MAX(FILTER($C$2:$C859,TRIM($D$2:$D859)=TRIM(D859),(($A$2:$A859&lt;A859)+(($A$2:$A859=A859)*(ROW($A$2:$A859)&lt;ROW(A859))))))),""""))"),118.0)</f>
        <v>118</v>
      </c>
    </row>
    <row r="860" ht="22.5" customHeight="1">
      <c r="A860" s="78">
        <v>46149.0</v>
      </c>
      <c r="B860" s="7" t="s">
        <v>34</v>
      </c>
      <c r="C860" s="80">
        <v>59771.0</v>
      </c>
      <c r="D860" s="84" t="str">
        <f>IFERROR(VLOOKUP(B860,BASE_VEICULOS!$A:$B,2,0),"")</f>
        <v>SRU8D16</v>
      </c>
      <c r="E860" s="82">
        <f>IFERROR(__xludf.DUMMYFUNCTION("IF(OR(A860="""",D860="""",C860=""""),"""",IFERROR(MAX(0,C860-MAX(FILTER($C$2:$C860,TRIM($D$2:$D860)=TRIM(D860),(($A$2:$A860&lt;A860)+(($A$2:$A860=A860)*(ROW($A$2:$A860)&lt;ROW(A860))))))),""""))"),93.0)</f>
        <v>93</v>
      </c>
    </row>
    <row r="861" ht="22.5" customHeight="1">
      <c r="A861" s="78">
        <v>46149.0</v>
      </c>
      <c r="B861" s="7" t="s">
        <v>20</v>
      </c>
      <c r="C861" s="80">
        <v>21423.0</v>
      </c>
      <c r="D861" s="84" t="str">
        <f>IFERROR(VLOOKUP(B861,BASE_VEICULOS!$A:$B,2,0),"")</f>
        <v>TEW9A34</v>
      </c>
      <c r="E861" s="82">
        <f>IFERROR(__xludf.DUMMYFUNCTION("IF(OR(A861="""",D861="""",C861=""""),"""",IFERROR(MAX(0,C861-MAX(FILTER($C$2:$C861,TRIM($D$2:$D861)=TRIM(D861),(($A$2:$A861&lt;A861)+(($A$2:$A861=A861)*(ROW($A$2:$A861)&lt;ROW(A861))))))),""""))"),148.0)</f>
        <v>148</v>
      </c>
    </row>
    <row r="862" ht="22.5" customHeight="1">
      <c r="A862" s="78">
        <v>46150.0</v>
      </c>
      <c r="B862" s="7" t="s">
        <v>28</v>
      </c>
      <c r="C862" s="80">
        <v>108351.0</v>
      </c>
      <c r="D862" s="84" t="str">
        <f>IFERROR(VLOOKUP(B862,BASE_VEICULOS!$A:$B,2,0),"")</f>
        <v/>
      </c>
      <c r="E862" s="82" t="str">
        <f>IFERROR(__xludf.DUMMYFUNCTION("IF(OR(A862="""",D862="""",C862=""""),"""",IFERROR(MAX(0,C862-MAX(FILTER($C$2:$C862,TRIM($D$2:$D862)=TRIM(D862),(($A$2:$A862&lt;A862)+(($A$2:$A862=A862)*(ROW($A$2:$A862)&lt;ROW(A862))))))),""""))"),"")</f>
        <v/>
      </c>
    </row>
    <row r="863" ht="22.5" customHeight="1">
      <c r="A863" s="78">
        <v>46150.0</v>
      </c>
      <c r="B863" s="7" t="s">
        <v>24</v>
      </c>
      <c r="C863" s="80">
        <v>21101.0</v>
      </c>
      <c r="D863" s="84" t="str">
        <f>IFERROR(VLOOKUP(B863,BASE_VEICULOS!$A:$B,2,0),"")</f>
        <v>TEW9A23</v>
      </c>
      <c r="E863" s="82">
        <f>IFERROR(__xludf.DUMMYFUNCTION("IF(OR(A863="""",D863="""",C863=""""),"""",IFERROR(MAX(0,C863-MAX(FILTER($C$2:$C863,TRIM($D$2:$D863)=TRIM(D863),(($A$2:$A863&lt;A863)+(($A$2:$A863=A863)*(ROW($A$2:$A863)&lt;ROW(A863))))))),""""))"),165.0)</f>
        <v>165</v>
      </c>
    </row>
    <row r="864" ht="22.5" customHeight="1">
      <c r="A864" s="78">
        <v>46150.0</v>
      </c>
      <c r="B864" s="7" t="s">
        <v>19</v>
      </c>
      <c r="C864" s="80">
        <v>24686.0</v>
      </c>
      <c r="D864" s="84" t="str">
        <f>IFERROR(VLOOKUP(B864,BASE_VEICULOS!$A:$B,2,0),"")</f>
        <v>TEW9A24</v>
      </c>
      <c r="E864" s="82">
        <f>IFERROR(__xludf.DUMMYFUNCTION("IF(OR(A864="""",D864="""",C864=""""),"""",IFERROR(MAX(0,C864-MAX(FILTER($C$2:$C864,TRIM($D$2:$D864)=TRIM(D864),(($A$2:$A864&lt;A864)+(($A$2:$A864=A864)*(ROW($A$2:$A864)&lt;ROW(A864))))))),""""))"),178.0)</f>
        <v>178</v>
      </c>
    </row>
    <row r="865" ht="22.5" customHeight="1">
      <c r="A865" s="78">
        <v>46150.0</v>
      </c>
      <c r="B865" s="7" t="s">
        <v>15</v>
      </c>
      <c r="C865" s="80">
        <v>318.0</v>
      </c>
      <c r="D865" s="84" t="str">
        <f>IFERROR(VLOOKUP(B865,BASE_VEICULOS!$A:$B,2,0),"")</f>
        <v>EWH1B84</v>
      </c>
      <c r="E865" s="82">
        <f>IFERROR(__xludf.DUMMYFUNCTION("IF(OR(A865="""",D865="""",C865=""""),"""",IFERROR(MAX(0,C865-MAX(FILTER($C$2:$C865,TRIM($D$2:$D865)=TRIM(D865),(($A$2:$A865&lt;A865)+(($A$2:$A865=A865)*(ROW($A$2:$A865)&lt;ROW(A865))))))),""""))"),0.0)</f>
        <v>0</v>
      </c>
    </row>
    <row r="866" ht="22.5" customHeight="1">
      <c r="A866" s="78">
        <v>46150.0</v>
      </c>
      <c r="B866" s="7" t="s">
        <v>16</v>
      </c>
      <c r="C866" s="80">
        <v>14447.0</v>
      </c>
      <c r="D866" s="84" t="str">
        <f>IFERROR(VLOOKUP(B866,BASE_VEICULOS!$A:$B,2,0),"")</f>
        <v>TEW9A27</v>
      </c>
      <c r="E866" s="82">
        <f>IFERROR(__xludf.DUMMYFUNCTION("IF(OR(A866="""",D866="""",C866=""""),"""",IFERROR(MAX(0,C866-MAX(FILTER($C$2:$C866,TRIM($D$2:$D866)=TRIM(D866),(($A$2:$A866&lt;A866)+(($A$2:$A866=A866)*(ROW($A$2:$A866)&lt;ROW(A866))))))),""""))"),33.0)</f>
        <v>33</v>
      </c>
    </row>
    <row r="867" ht="22.5" customHeight="1">
      <c r="A867" s="78">
        <v>46150.0</v>
      </c>
      <c r="B867" s="7" t="s">
        <v>11</v>
      </c>
      <c r="C867" s="80">
        <v>99069.0</v>
      </c>
      <c r="D867" s="84" t="str">
        <f>IFERROR(VLOOKUP(B867,BASE_VEICULOS!$A:$B,2,0),"")</f>
        <v>TEW9A28</v>
      </c>
      <c r="E867" s="82">
        <f>IFERROR(__xludf.DUMMYFUNCTION("IF(OR(A867="""",D867="""",C867=""""),"""",IFERROR(MAX(0,C867-MAX(FILTER($C$2:$C867,TRIM($D$2:$D867)=TRIM(D867),(($A$2:$A867&lt;A867)+(($A$2:$A867=A867)*(ROW($A$2:$A867)&lt;ROW(A867))))))),""""))"),44.0)</f>
        <v>44</v>
      </c>
    </row>
    <row r="868" ht="22.5" customHeight="1">
      <c r="A868" s="78">
        <v>46150.0</v>
      </c>
      <c r="B868" s="7" t="s">
        <v>30</v>
      </c>
      <c r="C868" s="80">
        <v>25245.0</v>
      </c>
      <c r="D868" s="84" t="str">
        <f>IFERROR(VLOOKUP(B868,BASE_VEICULOS!$A:$B,2,0),"")</f>
        <v/>
      </c>
      <c r="E868" s="82" t="str">
        <f>IFERROR(__xludf.DUMMYFUNCTION("IF(OR(A868="""",D868="""",C868=""""),"""",IFERROR(MAX(0,C868-MAX(FILTER($C$2:$C868,TRIM($D$2:$D868)=TRIM(D868),(($A$2:$A868&lt;A868)+(($A$2:$A868=A868)*(ROW($A$2:$A868)&lt;ROW(A868))))))),""""))"),"")</f>
        <v/>
      </c>
    </row>
    <row r="869" ht="22.5" customHeight="1">
      <c r="A869" s="78">
        <v>46150.0</v>
      </c>
      <c r="B869" s="7" t="s">
        <v>12</v>
      </c>
      <c r="C869" s="80">
        <v>93786.0</v>
      </c>
      <c r="D869" s="84" t="str">
        <f>IFERROR(VLOOKUP(B869,BASE_VEICULOS!$A:$B,2,0),"")</f>
        <v>FIL8C14</v>
      </c>
      <c r="E869" s="82">
        <f>IFERROR(__xludf.DUMMYFUNCTION("IF(OR(A869="""",D869="""",C869=""""),"""",IFERROR(MAX(0,C869-MAX(FILTER($C$2:$C869,TRIM($D$2:$D869)=TRIM(D869),(($A$2:$A869&lt;A869)+(($A$2:$A869=A869)*(ROW($A$2:$A869)&lt;ROW(A869))))))),""""))"),70.0)</f>
        <v>70</v>
      </c>
    </row>
    <row r="870" ht="22.5" customHeight="1">
      <c r="A870" s="78">
        <v>46150.0</v>
      </c>
      <c r="B870" s="7" t="s">
        <v>21</v>
      </c>
      <c r="C870" s="80">
        <v>23199.0</v>
      </c>
      <c r="D870" s="84" t="str">
        <f>IFERROR(VLOOKUP(B870,BASE_VEICULOS!$A:$B,2,0),"")</f>
        <v>TEW9A33</v>
      </c>
      <c r="E870" s="82">
        <f>IFERROR(__xludf.DUMMYFUNCTION("IF(OR(A870="""",D870="""",C870=""""),"""",IFERROR(MAX(0,C870-MAX(FILTER($C$2:$C870,TRIM($D$2:$D870)=TRIM(D870),(($A$2:$A870&lt;A870)+(($A$2:$A870=A870)*(ROW($A$2:$A870)&lt;ROW(A870))))))),""""))"),112.0)</f>
        <v>112</v>
      </c>
    </row>
    <row r="871" ht="22.5" customHeight="1">
      <c r="A871" s="78">
        <v>46150.0</v>
      </c>
      <c r="B871" s="7" t="s">
        <v>18</v>
      </c>
      <c r="C871" s="80">
        <v>22845.0</v>
      </c>
      <c r="D871" s="84" t="str">
        <f>IFERROR(VLOOKUP(B871,BASE_VEICULOS!$A:$B,2,0),"")</f>
        <v>TEW9A29</v>
      </c>
      <c r="E871" s="82">
        <f>IFERROR(__xludf.DUMMYFUNCTION("IF(OR(A871="""",D871="""",C871=""""),"""",IFERROR(MAX(0,C871-MAX(FILTER($C$2:$C871,TRIM($D$2:$D871)=TRIM(D871),(($A$2:$A871&lt;A871)+(($A$2:$A871=A871)*(ROW($A$2:$A871)&lt;ROW(A871))))))),""""))"),237.0)</f>
        <v>237</v>
      </c>
    </row>
    <row r="872" ht="22.5" customHeight="1">
      <c r="A872" s="78">
        <v>46150.0</v>
      </c>
      <c r="B872" s="7" t="s">
        <v>25</v>
      </c>
      <c r="C872" s="80">
        <v>21783.0</v>
      </c>
      <c r="D872" s="84" t="str">
        <f>IFERROR(VLOOKUP(B872,BASE_VEICULOS!$A:$B,2,0),"")</f>
        <v>TEW9A26</v>
      </c>
      <c r="E872" s="82">
        <f>IFERROR(__xludf.DUMMYFUNCTION("IF(OR(A872="""",D872="""",C872=""""),"""",IFERROR(MAX(0,C872-MAX(FILTER($C$2:$C872,TRIM($D$2:$D872)=TRIM(D872),(($A$2:$A872&lt;A872)+(($A$2:$A872=A872)*(ROW($A$2:$A872)&lt;ROW(A872))))))),""""))"),334.0)</f>
        <v>334</v>
      </c>
    </row>
    <row r="873" ht="22.5" customHeight="1">
      <c r="A873" s="78">
        <v>46150.0</v>
      </c>
      <c r="B873" s="7" t="s">
        <v>10</v>
      </c>
      <c r="C873" s="80">
        <v>22819.0</v>
      </c>
      <c r="D873" s="84" t="str">
        <f>IFERROR(VLOOKUP(B873,BASE_VEICULOS!$A:$B,2,0),"")</f>
        <v>TEW9A25</v>
      </c>
      <c r="E873" s="82">
        <f>IFERROR(__xludf.DUMMYFUNCTION("IF(OR(A873="""",D873="""",C873=""""),"""",IFERROR(MAX(0,C873-MAX(FILTER($C$2:$C873,TRIM($D$2:$D873)=TRIM(D873),(($A$2:$A873&lt;A873)+(($A$2:$A873=A873)*(ROW($A$2:$A873)&lt;ROW(A873))))))),""""))"),83.0)</f>
        <v>83</v>
      </c>
    </row>
    <row r="874" ht="22.5" customHeight="1">
      <c r="A874" s="78">
        <v>46150.0</v>
      </c>
      <c r="B874" s="7" t="s">
        <v>13</v>
      </c>
      <c r="C874" s="80">
        <v>110273.0</v>
      </c>
      <c r="D874" s="84" t="str">
        <f>IFERROR(VLOOKUP(B874,BASE_VEICULOS!$A:$B,2,0),"")</f>
        <v>FGO3C61</v>
      </c>
      <c r="E874" s="82">
        <f>IFERROR(__xludf.DUMMYFUNCTION("IF(OR(A874="""",D874="""",C874=""""),"""",IFERROR(MAX(0,C874-MAX(FILTER($C$2:$C874,TRIM($D$2:$D874)=TRIM(D874),(($A$2:$A874&lt;A874)+(($A$2:$A874=A874)*(ROW($A$2:$A874)&lt;ROW(A874))))))),""""))"),117.0)</f>
        <v>117</v>
      </c>
    </row>
    <row r="875" ht="22.5" customHeight="1">
      <c r="A875" s="78">
        <v>46150.0</v>
      </c>
      <c r="B875" s="7" t="s">
        <v>34</v>
      </c>
      <c r="C875" s="80">
        <v>59898.0</v>
      </c>
      <c r="D875" s="84" t="str">
        <f>IFERROR(VLOOKUP(B875,BASE_VEICULOS!$A:$B,2,0),"")</f>
        <v>SRU8D16</v>
      </c>
      <c r="E875" s="82">
        <f>IFERROR(__xludf.DUMMYFUNCTION("IF(OR(A875="""",D875="""",C875=""""),"""",IFERROR(MAX(0,C875-MAX(FILTER($C$2:$C875,TRIM($D$2:$D875)=TRIM(D875),(($A$2:$A875&lt;A875)+(($A$2:$A875=A875)*(ROW($A$2:$A875)&lt;ROW(A875))))))),""""))"),127.0)</f>
        <v>127</v>
      </c>
    </row>
    <row r="876" ht="22.5" customHeight="1">
      <c r="A876" s="78">
        <v>46150.0</v>
      </c>
      <c r="B876" s="7" t="s">
        <v>20</v>
      </c>
      <c r="C876" s="80">
        <v>21552.0</v>
      </c>
      <c r="D876" s="84" t="str">
        <f>IFERROR(VLOOKUP(B876,BASE_VEICULOS!$A:$B,2,0),"")</f>
        <v>TEW9A34</v>
      </c>
      <c r="E876" s="82">
        <f>IFERROR(__xludf.DUMMYFUNCTION("IF(OR(A876="""",D876="""",C876=""""),"""",IFERROR(MAX(0,C876-MAX(FILTER($C$2:$C876,TRIM($D$2:$D876)=TRIM(D876),(($A$2:$A876&lt;A876)+(($A$2:$A876=A876)*(ROW($A$2:$A876)&lt;ROW(A876))))))),""""))"),129.0)</f>
        <v>129</v>
      </c>
    </row>
    <row r="877" ht="22.5" customHeight="1">
      <c r="A877" s="78">
        <v>46151.0</v>
      </c>
      <c r="B877" s="7" t="s">
        <v>19</v>
      </c>
      <c r="C877" s="80">
        <v>24758.0</v>
      </c>
      <c r="D877" s="84" t="str">
        <f>IFERROR(VLOOKUP(B877,BASE_VEICULOS!$A:$B,2,0),"")</f>
        <v>TEW9A24</v>
      </c>
      <c r="E877" s="82">
        <f>IFERROR(__xludf.DUMMYFUNCTION("IF(OR(A877="""",D877="""",C877=""""),"""",IFERROR(MAX(0,C877-MAX(FILTER($C$2:$C877,TRIM($D$2:$D877)=TRIM(D877),(($A$2:$A877&lt;A877)+(($A$2:$A877=A877)*(ROW($A$2:$A877)&lt;ROW(A877))))))),""""))"),72.0)</f>
        <v>72</v>
      </c>
    </row>
    <row r="878" ht="22.5" customHeight="1">
      <c r="A878" s="78">
        <v>46151.0</v>
      </c>
      <c r="B878" s="7" t="s">
        <v>29</v>
      </c>
      <c r="C878" s="80">
        <v>33687.0</v>
      </c>
      <c r="D878" s="84" t="str">
        <f>IFERROR(VLOOKUP(B878,BASE_VEICULOS!$A:$B,2,0),"")</f>
        <v>TEQ2I74</v>
      </c>
      <c r="E878" s="82">
        <f>IFERROR(__xludf.DUMMYFUNCTION("IF(OR(A878="""",D878="""",C878=""""),"""",IFERROR(MAX(0,C878-MAX(FILTER($C$2:$C878,TRIM($D$2:$D878)=TRIM(D878),(($A$2:$A878&lt;A878)+(($A$2:$A878=A878)*(ROW($A$2:$A878)&lt;ROW(A878))))))),""""))"),0.0)</f>
        <v>0</v>
      </c>
    </row>
    <row r="879" ht="22.5" customHeight="1">
      <c r="A879" s="78">
        <v>46153.0</v>
      </c>
      <c r="B879" s="7" t="s">
        <v>28</v>
      </c>
      <c r="C879" s="80">
        <v>108649.0</v>
      </c>
      <c r="D879" s="84" t="str">
        <f>IFERROR(VLOOKUP(B879,BASE_VEICULOS!$A:$B,2,0),"")</f>
        <v/>
      </c>
      <c r="E879" s="82" t="str">
        <f>IFERROR(__xludf.DUMMYFUNCTION("IF(OR(A879="""",D879="""",C879=""""),"""",IFERROR(MAX(0,C879-MAX(FILTER($C$2:$C879,TRIM($D$2:$D879)=TRIM(D879),(($A$2:$A879&lt;A879)+(($A$2:$A879=A879)*(ROW($A$2:$A879)&lt;ROW(A879))))))),""""))"),"")</f>
        <v/>
      </c>
    </row>
    <row r="880" ht="22.5" customHeight="1">
      <c r="A880" s="78">
        <v>46153.0</v>
      </c>
      <c r="B880" s="7" t="s">
        <v>29</v>
      </c>
      <c r="C880" s="80">
        <v>33958.0</v>
      </c>
      <c r="D880" s="84" t="str">
        <f>IFERROR(VLOOKUP(B880,BASE_VEICULOS!$A:$B,2,0),"")</f>
        <v>TEQ2I74</v>
      </c>
      <c r="E880" s="82">
        <f>IFERROR(__xludf.DUMMYFUNCTION("IF(OR(A880="""",D880="""",C880=""""),"""",IFERROR(MAX(0,C880-MAX(FILTER($C$2:$C880,TRIM($D$2:$D880)=TRIM(D880),(($A$2:$A880&lt;A880)+(($A$2:$A880=A880)*(ROW($A$2:$A880)&lt;ROW(A880))))))),""""))"),0.0)</f>
        <v>0</v>
      </c>
    </row>
    <row r="881" ht="22.5" customHeight="1">
      <c r="A881" s="78">
        <v>46153.0</v>
      </c>
      <c r="B881" s="7" t="s">
        <v>16</v>
      </c>
      <c r="C881" s="80">
        <v>14554.0</v>
      </c>
      <c r="D881" s="84" t="str">
        <f>IFERROR(VLOOKUP(B881,BASE_VEICULOS!$A:$B,2,0),"")</f>
        <v>TEW9A27</v>
      </c>
      <c r="E881" s="82">
        <f>IFERROR(__xludf.DUMMYFUNCTION("IF(OR(A881="""",D881="""",C881=""""),"""",IFERROR(MAX(0,C881-MAX(FILTER($C$2:$C881,TRIM($D$2:$D881)=TRIM(D881),(($A$2:$A881&lt;A881)+(($A$2:$A881=A881)*(ROW($A$2:$A881)&lt;ROW(A881))))))),""""))"),107.0)</f>
        <v>107</v>
      </c>
    </row>
    <row r="882" ht="22.5" customHeight="1">
      <c r="A882" s="78">
        <v>46153.0</v>
      </c>
      <c r="B882" s="7" t="s">
        <v>24</v>
      </c>
      <c r="C882" s="80">
        <v>21250.0</v>
      </c>
      <c r="D882" s="84" t="str">
        <f>IFERROR(VLOOKUP(B882,BASE_VEICULOS!$A:$B,2,0),"")</f>
        <v>TEW9A23</v>
      </c>
      <c r="E882" s="82">
        <f>IFERROR(__xludf.DUMMYFUNCTION("IF(OR(A882="""",D882="""",C882=""""),"""",IFERROR(MAX(0,C882-MAX(FILTER($C$2:$C882,TRIM($D$2:$D882)=TRIM(D882),(($A$2:$A882&lt;A882)+(($A$2:$A882=A882)*(ROW($A$2:$A882)&lt;ROW(A882))))))),""""))"),149.0)</f>
        <v>149</v>
      </c>
    </row>
    <row r="883" ht="22.5" customHeight="1">
      <c r="A883" s="78">
        <v>46153.0</v>
      </c>
      <c r="B883" s="7" t="s">
        <v>19</v>
      </c>
      <c r="C883" s="80">
        <v>24817.0</v>
      </c>
      <c r="D883" s="84" t="str">
        <f>IFERROR(VLOOKUP(B883,BASE_VEICULOS!$A:$B,2,0),"")</f>
        <v>TEW9A24</v>
      </c>
      <c r="E883" s="82">
        <f>IFERROR(__xludf.DUMMYFUNCTION("IF(OR(A883="""",D883="""",C883=""""),"""",IFERROR(MAX(0,C883-MAX(FILTER($C$2:$C883,TRIM($D$2:$D883)=TRIM(D883),(($A$2:$A883&lt;A883)+(($A$2:$A883=A883)*(ROW($A$2:$A883)&lt;ROW(A883))))))),""""))"),59.0)</f>
        <v>59</v>
      </c>
    </row>
    <row r="884" ht="22.5" customHeight="1">
      <c r="A884" s="78">
        <v>46153.0</v>
      </c>
      <c r="B884" s="7" t="s">
        <v>22</v>
      </c>
      <c r="C884" s="80">
        <v>36022.0</v>
      </c>
      <c r="D884" s="84" t="str">
        <f>IFERROR(VLOOKUP(B884,BASE_VEICULOS!$A:$B,2,0),"")</f>
        <v>TET5H37</v>
      </c>
      <c r="E884" s="82">
        <f>IFERROR(__xludf.DUMMYFUNCTION("IF(OR(A884="""",D884="""",C884=""""),"""",IFERROR(MAX(0,C884-MAX(FILTER($C$2:$C884,TRIM($D$2:$D884)=TRIM(D884),(($A$2:$A884&lt;A884)+(($A$2:$A884=A884)*(ROW($A$2:$A884)&lt;ROW(A884))))))),""""))"),346.0)</f>
        <v>346</v>
      </c>
    </row>
    <row r="885" ht="22.5" customHeight="1">
      <c r="A885" s="78">
        <v>46153.0</v>
      </c>
      <c r="B885" s="7" t="s">
        <v>34</v>
      </c>
      <c r="C885" s="80">
        <v>59948.0</v>
      </c>
      <c r="D885" s="84" t="str">
        <f>IFERROR(VLOOKUP(B885,BASE_VEICULOS!$A:$B,2,0),"")</f>
        <v>SRU8D16</v>
      </c>
      <c r="E885" s="82">
        <f>IFERROR(__xludf.DUMMYFUNCTION("IF(OR(A885="""",D885="""",C885=""""),"""",IFERROR(MAX(0,C885-MAX(FILTER($C$2:$C885,TRIM($D$2:$D885)=TRIM(D885),(($A$2:$A885&lt;A885)+(($A$2:$A885=A885)*(ROW($A$2:$A885)&lt;ROW(A885))))))),""""))"),50.0)</f>
        <v>50</v>
      </c>
    </row>
    <row r="886" ht="22.5" customHeight="1">
      <c r="A886" s="78">
        <v>46153.0</v>
      </c>
      <c r="B886" s="7" t="s">
        <v>15</v>
      </c>
      <c r="C886" s="80">
        <v>111776.0</v>
      </c>
      <c r="D886" s="84" t="str">
        <f>IFERROR(VLOOKUP(B886,BASE_VEICULOS!$A:$B,2,0),"")</f>
        <v>EWH1B84</v>
      </c>
      <c r="E886" s="82">
        <f>IFERROR(__xludf.DUMMYFUNCTION("IF(OR(A886="""",D886="""",C886=""""),"""",IFERROR(MAX(0,C886-MAX(FILTER($C$2:$C886,TRIM($D$2:$D886)=TRIM(D886),(($A$2:$A886&lt;A886)+(($A$2:$A886=A886)*(ROW($A$2:$A886)&lt;ROW(A886))))))),""""))"),132.0)</f>
        <v>132</v>
      </c>
    </row>
    <row r="887" ht="22.5" customHeight="1">
      <c r="A887" s="78">
        <v>46153.0</v>
      </c>
      <c r="B887" s="7" t="s">
        <v>25</v>
      </c>
      <c r="C887" s="80">
        <v>21851.0</v>
      </c>
      <c r="D887" s="84" t="str">
        <f>IFERROR(VLOOKUP(B887,BASE_VEICULOS!$A:$B,2,0),"")</f>
        <v>TEW9A26</v>
      </c>
      <c r="E887" s="82">
        <f>IFERROR(__xludf.DUMMYFUNCTION("IF(OR(A887="""",D887="""",C887=""""),"""",IFERROR(MAX(0,C887-MAX(FILTER($C$2:$C887,TRIM($D$2:$D887)=TRIM(D887),(($A$2:$A887&lt;A887)+(($A$2:$A887=A887)*(ROW($A$2:$A887)&lt;ROW(A887))))))),""""))"),68.0)</f>
        <v>68</v>
      </c>
    </row>
    <row r="888" ht="22.5" customHeight="1">
      <c r="A888" s="78">
        <v>46153.0</v>
      </c>
      <c r="B888" s="7" t="s">
        <v>10</v>
      </c>
      <c r="C888" s="80">
        <v>23027.0</v>
      </c>
      <c r="D888" s="84" t="str">
        <f>IFERROR(VLOOKUP(B888,BASE_VEICULOS!$A:$B,2,0),"")</f>
        <v>TEW9A25</v>
      </c>
      <c r="E888" s="82">
        <f>IFERROR(__xludf.DUMMYFUNCTION("IF(OR(A888="""",D888="""",C888=""""),"""",IFERROR(MAX(0,C888-MAX(FILTER($C$2:$C888,TRIM($D$2:$D888)=TRIM(D888),(($A$2:$A888&lt;A888)+(($A$2:$A888=A888)*(ROW($A$2:$A888)&lt;ROW(A888))))))),""""))"),208.0)</f>
        <v>208</v>
      </c>
    </row>
    <row r="889" ht="22.5" customHeight="1">
      <c r="A889" s="78">
        <v>46153.0</v>
      </c>
      <c r="B889" s="7" t="s">
        <v>11</v>
      </c>
      <c r="C889" s="80">
        <v>99094.0</v>
      </c>
      <c r="D889" s="84" t="str">
        <f>IFERROR(VLOOKUP(B889,BASE_VEICULOS!$A:$B,2,0),"")</f>
        <v>TEW9A28</v>
      </c>
      <c r="E889" s="82">
        <f>IFERROR(__xludf.DUMMYFUNCTION("IF(OR(A889="""",D889="""",C889=""""),"""",IFERROR(MAX(0,C889-MAX(FILTER($C$2:$C889,TRIM($D$2:$D889)=TRIM(D889),(($A$2:$A889&lt;A889)+(($A$2:$A889=A889)*(ROW($A$2:$A889)&lt;ROW(A889))))))),""""))"),25.0)</f>
        <v>25</v>
      </c>
    </row>
    <row r="890" ht="22.5" customHeight="1">
      <c r="A890" s="78">
        <v>46153.0</v>
      </c>
      <c r="B890" s="7" t="s">
        <v>12</v>
      </c>
      <c r="C890" s="80">
        <v>93909.0</v>
      </c>
      <c r="D890" s="84" t="str">
        <f>IFERROR(VLOOKUP(B890,BASE_VEICULOS!$A:$B,2,0),"")</f>
        <v>FIL8C14</v>
      </c>
      <c r="E890" s="82">
        <f>IFERROR(__xludf.DUMMYFUNCTION("IF(OR(A890="""",D890="""",C890=""""),"""",IFERROR(MAX(0,C890-MAX(FILTER($C$2:$C890,TRIM($D$2:$D890)=TRIM(D890),(($A$2:$A890&lt;A890)+(($A$2:$A890=A890)*(ROW($A$2:$A890)&lt;ROW(A890))))))),""""))"),123.0)</f>
        <v>123</v>
      </c>
    </row>
    <row r="891" ht="22.5" customHeight="1">
      <c r="A891" s="78">
        <v>46153.0</v>
      </c>
      <c r="B891" s="7" t="s">
        <v>20</v>
      </c>
      <c r="C891" s="80">
        <v>21689.0</v>
      </c>
      <c r="D891" s="84" t="str">
        <f>IFERROR(VLOOKUP(B891,BASE_VEICULOS!$A:$B,2,0),"")</f>
        <v>TEW9A34</v>
      </c>
      <c r="E891" s="82">
        <f>IFERROR(__xludf.DUMMYFUNCTION("IF(OR(A891="""",D891="""",C891=""""),"""",IFERROR(MAX(0,C891-MAX(FILTER($C$2:$C891,TRIM($D$2:$D891)=TRIM(D891),(($A$2:$A891&lt;A891)+(($A$2:$A891=A891)*(ROW($A$2:$A891)&lt;ROW(A891))))))),""""))"),137.0)</f>
        <v>137</v>
      </c>
    </row>
    <row r="892" ht="22.5" customHeight="1">
      <c r="A892" s="78">
        <v>46153.0</v>
      </c>
      <c r="B892" s="7" t="s">
        <v>34</v>
      </c>
      <c r="C892" s="80">
        <v>60030.0</v>
      </c>
      <c r="D892" s="84" t="str">
        <f>IFERROR(VLOOKUP(B892,BASE_VEICULOS!$A:$B,2,0),"")</f>
        <v>SRU8D16</v>
      </c>
      <c r="E892" s="82">
        <f>IFERROR(__xludf.DUMMYFUNCTION("IF(OR(A892="""",D892="""",C892=""""),"""",IFERROR(MAX(0,C892-MAX(FILTER($C$2:$C892,TRIM($D$2:$D892)=TRIM(D892),(($A$2:$A892&lt;A892)+(($A$2:$A892=A892)*(ROW($A$2:$A892)&lt;ROW(A892))))))),""""))"),82.0)</f>
        <v>82</v>
      </c>
    </row>
    <row r="893" ht="22.5" customHeight="1">
      <c r="A893" s="78">
        <v>46153.0</v>
      </c>
      <c r="B893" s="7" t="s">
        <v>13</v>
      </c>
      <c r="C893" s="80">
        <v>110396.0</v>
      </c>
      <c r="D893" s="84" t="str">
        <f>IFERROR(VLOOKUP(B893,BASE_VEICULOS!$A:$B,2,0),"")</f>
        <v>FGO3C61</v>
      </c>
      <c r="E893" s="82">
        <f>IFERROR(__xludf.DUMMYFUNCTION("IF(OR(A893="""",D893="""",C893=""""),"""",IFERROR(MAX(0,C893-MAX(FILTER($C$2:$C893,TRIM($D$2:$D893)=TRIM(D893),(($A$2:$A893&lt;A893)+(($A$2:$A893=A893)*(ROW($A$2:$A893)&lt;ROW(A893))))))),""""))"),123.0)</f>
        <v>123</v>
      </c>
    </row>
    <row r="894" ht="22.5" customHeight="1">
      <c r="A894" s="78">
        <v>46153.0</v>
      </c>
      <c r="B894" s="7" t="s">
        <v>30</v>
      </c>
      <c r="C894" s="80">
        <v>25340.0</v>
      </c>
      <c r="D894" s="84" t="str">
        <f>IFERROR(VLOOKUP(B894,BASE_VEICULOS!$A:$B,2,0),"")</f>
        <v/>
      </c>
      <c r="E894" s="82" t="str">
        <f>IFERROR(__xludf.DUMMYFUNCTION("IF(OR(A894="""",D894="""",C894=""""),"""",IFERROR(MAX(0,C894-MAX(FILTER($C$2:$C894,TRIM($D$2:$D894)=TRIM(D894),(($A$2:$A894&lt;A894)+(($A$2:$A894=A894)*(ROW($A$2:$A894)&lt;ROW(A894))))))),""""))"),"")</f>
        <v/>
      </c>
    </row>
    <row r="895" ht="22.5" customHeight="1">
      <c r="A895" s="78">
        <v>46157.0</v>
      </c>
      <c r="B895" s="7" t="s">
        <v>10</v>
      </c>
      <c r="C895" s="80">
        <v>23545.0</v>
      </c>
      <c r="D895" s="84" t="str">
        <f>IFERROR(VLOOKUP(B895,BASE_VEICULOS!$A:$B,2,0),"")</f>
        <v>TEW9A25</v>
      </c>
      <c r="E895" s="82">
        <f>IFERROR(__xludf.DUMMYFUNCTION("IF(OR(A895="""",D895="""",C895=""""),"""",IFERROR(MAX(0,C895-MAX(FILTER($C$2:$C895,TRIM($D$2:$D895)=TRIM(D895),(($A$2:$A895&lt;A895)+(($A$2:$A895=A895)*(ROW($A$2:$A895)&lt;ROW(A895))))))),""""))"),518.0)</f>
        <v>518</v>
      </c>
    </row>
    <row r="896" ht="22.5" customHeight="1">
      <c r="A896" s="78">
        <v>46157.0</v>
      </c>
      <c r="B896" s="7" t="s">
        <v>12</v>
      </c>
      <c r="C896" s="80">
        <v>94311.0</v>
      </c>
      <c r="D896" s="84" t="str">
        <f>IFERROR(VLOOKUP(B896,BASE_VEICULOS!$A:$B,2,0),"")</f>
        <v>FIL8C14</v>
      </c>
      <c r="E896" s="82">
        <f>IFERROR(__xludf.DUMMYFUNCTION("IF(OR(A896="""",D896="""",C896=""""),"""",IFERROR(MAX(0,C896-MAX(FILTER($C$2:$C896,TRIM($D$2:$D896)=TRIM(D896),(($A$2:$A896&lt;A896)+(($A$2:$A896=A896)*(ROW($A$2:$A896)&lt;ROW(A896))))))),""""))"),402.0)</f>
        <v>402</v>
      </c>
    </row>
    <row r="897" ht="22.5" customHeight="1">
      <c r="A897" s="78">
        <v>46157.0</v>
      </c>
      <c r="B897" s="7" t="s">
        <v>11</v>
      </c>
      <c r="C897" s="80">
        <v>99364.0</v>
      </c>
      <c r="D897" s="84" t="str">
        <f>IFERROR(VLOOKUP(B897,BASE_VEICULOS!$A:$B,2,0),"")</f>
        <v>TEW9A28</v>
      </c>
      <c r="E897" s="82">
        <f>IFERROR(__xludf.DUMMYFUNCTION("IF(OR(A897="""",D897="""",C897=""""),"""",IFERROR(MAX(0,C897-MAX(FILTER($C$2:$C897,TRIM($D$2:$D897)=TRIM(D897),(($A$2:$A897&lt;A897)+(($A$2:$A897=A897)*(ROW($A$2:$A897)&lt;ROW(A897))))))),""""))"),270.0)</f>
        <v>270</v>
      </c>
    </row>
    <row r="898" ht="22.5" customHeight="1">
      <c r="A898" s="78">
        <v>46157.0</v>
      </c>
      <c r="B898" s="7" t="s">
        <v>18</v>
      </c>
      <c r="C898" s="80">
        <v>23371.0</v>
      </c>
      <c r="D898" s="84" t="str">
        <f>IFERROR(VLOOKUP(B898,BASE_VEICULOS!$A:$B,2,0),"")</f>
        <v>TEW9A29</v>
      </c>
      <c r="E898" s="82">
        <f>IFERROR(__xludf.DUMMYFUNCTION("IF(OR(A898="""",D898="""",C898=""""),"""",IFERROR(MAX(0,C898-MAX(FILTER($C$2:$C898,TRIM($D$2:$D898)=TRIM(D898),(($A$2:$A898&lt;A898)+(($A$2:$A898=A898)*(ROW($A$2:$A898)&lt;ROW(A898))))))),""""))"),526.0)</f>
        <v>526</v>
      </c>
    </row>
    <row r="899" ht="22.5" customHeight="1">
      <c r="A899" s="78">
        <v>46157.0</v>
      </c>
      <c r="B899" s="7" t="s">
        <v>15</v>
      </c>
      <c r="C899" s="80">
        <v>112397.0</v>
      </c>
      <c r="D899" s="84" t="str">
        <f>IFERROR(VLOOKUP(B899,BASE_VEICULOS!$A:$B,2,0),"")</f>
        <v>EWH1B84</v>
      </c>
      <c r="E899" s="82">
        <f>IFERROR(__xludf.DUMMYFUNCTION("IF(OR(A899="""",D899="""",C899=""""),"""",IFERROR(MAX(0,C899-MAX(FILTER($C$2:$C899,TRIM($D$2:$D899)=TRIM(D899),(($A$2:$A899&lt;A899)+(($A$2:$A899=A899)*(ROW($A$2:$A899)&lt;ROW(A899))))))),""""))"),621.0)</f>
        <v>621</v>
      </c>
    </row>
    <row r="900" ht="22.5" customHeight="1">
      <c r="A900" s="78">
        <v>46157.0</v>
      </c>
      <c r="B900" s="7" t="s">
        <v>13</v>
      </c>
      <c r="C900" s="80">
        <v>111022.0</v>
      </c>
      <c r="D900" s="84" t="str">
        <f>IFERROR(VLOOKUP(B900,BASE_VEICULOS!$A:$B,2,0),"")</f>
        <v>FGO3C61</v>
      </c>
      <c r="E900" s="82">
        <f>IFERROR(__xludf.DUMMYFUNCTION("IF(OR(A900="""",D900="""",C900=""""),"""",IFERROR(MAX(0,C900-MAX(FILTER($C$2:$C900,TRIM($D$2:$D900)=TRIM(D900),(($A$2:$A900&lt;A900)+(($A$2:$A900=A900)*(ROW($A$2:$A900)&lt;ROW(A900))))))),""""))"),626.0)</f>
        <v>626</v>
      </c>
    </row>
    <row r="901" ht="22.5" customHeight="1">
      <c r="A901" s="78">
        <v>46157.0</v>
      </c>
      <c r="B901" s="7" t="s">
        <v>25</v>
      </c>
      <c r="C901" s="80">
        <v>22622.0</v>
      </c>
      <c r="D901" s="84" t="str">
        <f>IFERROR(VLOOKUP(B901,BASE_VEICULOS!$A:$B,2,0),"")</f>
        <v>TEW9A26</v>
      </c>
      <c r="E901" s="82">
        <f>IFERROR(__xludf.DUMMYFUNCTION("IF(OR(A901="""",D901="""",C901=""""),"""",IFERROR(MAX(0,C901-MAX(FILTER($C$2:$C901,TRIM($D$2:$D901)=TRIM(D901),(($A$2:$A901&lt;A901)+(($A$2:$A901=A901)*(ROW($A$2:$A901)&lt;ROW(A901))))))),""""))"),771.0)</f>
        <v>771</v>
      </c>
    </row>
    <row r="902" ht="22.5" customHeight="1">
      <c r="A902" s="78">
        <v>46157.0</v>
      </c>
      <c r="B902" s="7" t="s">
        <v>34</v>
      </c>
      <c r="C902" s="80">
        <v>60603.0</v>
      </c>
      <c r="D902" s="84" t="str">
        <f>IFERROR(VLOOKUP(B902,BASE_VEICULOS!$A:$B,2,0),"")</f>
        <v>SRU8D16</v>
      </c>
      <c r="E902" s="82">
        <f>IFERROR(__xludf.DUMMYFUNCTION("IF(OR(A902="""",D902="""",C902=""""),"""",IFERROR(MAX(0,C902-MAX(FILTER($C$2:$C902,TRIM($D$2:$D902)=TRIM(D902),(($A$2:$A902&lt;A902)+(($A$2:$A902=A902)*(ROW($A$2:$A902)&lt;ROW(A902))))))),""""))"),573.0)</f>
        <v>573</v>
      </c>
    </row>
    <row r="903" ht="22.5" customHeight="1">
      <c r="A903" s="78">
        <v>46157.0</v>
      </c>
      <c r="B903" s="7" t="s">
        <v>22</v>
      </c>
      <c r="C903" s="80">
        <v>36553.0</v>
      </c>
      <c r="D903" s="84" t="str">
        <f>IFERROR(VLOOKUP(B903,BASE_VEICULOS!$A:$B,2,0),"")</f>
        <v>TET5H37</v>
      </c>
      <c r="E903" s="82">
        <f>IFERROR(__xludf.DUMMYFUNCTION("IF(OR(A903="""",D903="""",C903=""""),"""",IFERROR(MAX(0,C903-MAX(FILTER($C$2:$C903,TRIM($D$2:$D903)=TRIM(D903),(($A$2:$A903&lt;A903)+(($A$2:$A903=A903)*(ROW($A$2:$A903)&lt;ROW(A903))))))),""""))"),531.0)</f>
        <v>531</v>
      </c>
    </row>
    <row r="904" ht="22.5" customHeight="1">
      <c r="A904" s="78">
        <v>46157.0</v>
      </c>
      <c r="B904" s="7" t="s">
        <v>24</v>
      </c>
      <c r="C904" s="80">
        <v>21768.0</v>
      </c>
      <c r="D904" s="84" t="str">
        <f>IFERROR(VLOOKUP(B904,BASE_VEICULOS!$A:$B,2,0),"")</f>
        <v>TEW9A23</v>
      </c>
      <c r="E904" s="82">
        <f>IFERROR(__xludf.DUMMYFUNCTION("IF(OR(A904="""",D904="""",C904=""""),"""",IFERROR(MAX(0,C904-MAX(FILTER($C$2:$C904,TRIM($D$2:$D904)=TRIM(D904),(($A$2:$A904&lt;A904)+(($A$2:$A904=A904)*(ROW($A$2:$A904)&lt;ROW(A904))))))),""""))"),518.0)</f>
        <v>518</v>
      </c>
    </row>
    <row r="905" ht="22.5" customHeight="1">
      <c r="A905" s="78">
        <v>46157.0</v>
      </c>
      <c r="B905" s="7" t="s">
        <v>21</v>
      </c>
      <c r="C905" s="80">
        <v>23705.0</v>
      </c>
      <c r="D905" s="84" t="str">
        <f>IFERROR(VLOOKUP(B905,BASE_VEICULOS!$A:$B,2,0),"")</f>
        <v>TEW9A33</v>
      </c>
      <c r="E905" s="82">
        <f>IFERROR(__xludf.DUMMYFUNCTION("IF(OR(A905="""",D905="""",C905=""""),"""",IFERROR(MAX(0,C905-MAX(FILTER($C$2:$C905,TRIM($D$2:$D905)=TRIM(D905),(($A$2:$A905&lt;A905)+(($A$2:$A905=A905)*(ROW($A$2:$A905)&lt;ROW(A905))))))),""""))"),506.0)</f>
        <v>506</v>
      </c>
    </row>
    <row r="906" ht="22.5" customHeight="1">
      <c r="A906" s="78">
        <v>46157.0</v>
      </c>
      <c r="B906" s="7" t="s">
        <v>19</v>
      </c>
      <c r="C906" s="80">
        <v>25524.0</v>
      </c>
      <c r="D906" s="84" t="str">
        <f>IFERROR(VLOOKUP(B906,BASE_VEICULOS!$A:$B,2,0),"")</f>
        <v>TEW9A24</v>
      </c>
      <c r="E906" s="82">
        <f>IFERROR(__xludf.DUMMYFUNCTION("IF(OR(A906="""",D906="""",C906=""""),"""",IFERROR(MAX(0,C906-MAX(FILTER($C$2:$C906,TRIM($D$2:$D906)=TRIM(D906),(($A$2:$A906&lt;A906)+(($A$2:$A906=A906)*(ROW($A$2:$A906)&lt;ROW(A906))))))),""""))"),707.0)</f>
        <v>707</v>
      </c>
    </row>
    <row r="907" ht="22.5" customHeight="1">
      <c r="A907" s="78">
        <v>46157.0</v>
      </c>
      <c r="B907" s="7" t="s">
        <v>20</v>
      </c>
      <c r="C907" s="80">
        <v>22314.0</v>
      </c>
      <c r="D907" s="84" t="str">
        <f>IFERROR(VLOOKUP(B907,BASE_VEICULOS!$A:$B,2,0),"")</f>
        <v>TEW9A34</v>
      </c>
      <c r="E907" s="82">
        <f>IFERROR(__xludf.DUMMYFUNCTION("IF(OR(A907="""",D907="""",C907=""""),"""",IFERROR(MAX(0,C907-MAX(FILTER($C$2:$C907,TRIM($D$2:$D907)=TRIM(D907),(($A$2:$A907&lt;A907)+(($A$2:$A907=A907)*(ROW($A$2:$A907)&lt;ROW(A907))))))),""""))"),625.0)</f>
        <v>625</v>
      </c>
    </row>
    <row r="908" ht="22.5" customHeight="1">
      <c r="A908" s="78">
        <v>46158.0</v>
      </c>
      <c r="B908" s="7" t="s">
        <v>16</v>
      </c>
      <c r="C908" s="80">
        <v>15013.0</v>
      </c>
      <c r="D908" s="84" t="str">
        <f>IFERROR(VLOOKUP(B908,BASE_VEICULOS!$A:$B,2,0),"")</f>
        <v>TEW9A27</v>
      </c>
      <c r="E908" s="82">
        <f>IFERROR(__xludf.DUMMYFUNCTION("IF(OR(A908="""",D908="""",C908=""""),"""",IFERROR(MAX(0,C908-MAX(FILTER($C$2:$C908,TRIM($D$2:$D908)=TRIM(D908),(($A$2:$A908&lt;A908)+(($A$2:$A908=A908)*(ROW($A$2:$A908)&lt;ROW(A908))))))),""""))"),459.0)</f>
        <v>459</v>
      </c>
    </row>
    <row r="909" ht="22.5" customHeight="1">
      <c r="A909" s="78">
        <v>46159.0</v>
      </c>
      <c r="B909" s="7" t="s">
        <v>30</v>
      </c>
      <c r="C909" s="80">
        <v>26171.0</v>
      </c>
      <c r="D909" s="84" t="str">
        <f>IFERROR(VLOOKUP(B909,BASE_VEICULOS!$A:$B,2,0),"")</f>
        <v/>
      </c>
      <c r="E909" s="82" t="str">
        <f>IFERROR(__xludf.DUMMYFUNCTION("IF(OR(A909="""",D909="""",C909=""""),"""",IFERROR(MAX(0,C909-MAX(FILTER($C$2:$C909,TRIM($D$2:$D909)=TRIM(D909),(($A$2:$A909&lt;A909)+(($A$2:$A909=A909)*(ROW($A$2:$A909)&lt;ROW(A909))))))),""""))"),"")</f>
        <v/>
      </c>
    </row>
    <row r="910" ht="22.5" customHeight="1">
      <c r="A910" s="78">
        <v>46160.0</v>
      </c>
      <c r="B910" s="7" t="s">
        <v>15</v>
      </c>
      <c r="C910" s="80">
        <v>112580.0</v>
      </c>
      <c r="D910" s="84" t="str">
        <f>IFERROR(VLOOKUP(B910,BASE_VEICULOS!$A:$B,2,0),"")</f>
        <v>EWH1B84</v>
      </c>
      <c r="E910" s="82">
        <f>IFERROR(__xludf.DUMMYFUNCTION("IF(OR(A910="""",D910="""",C910=""""),"""",IFERROR(MAX(0,C910-MAX(FILTER($C$2:$C910,TRIM($D$2:$D910)=TRIM(D910),(($A$2:$A910&lt;A910)+(($A$2:$A910=A910)*(ROW($A$2:$A910)&lt;ROW(A910))))))),""""))"),183.0)</f>
        <v>183</v>
      </c>
    </row>
    <row r="911" ht="22.5" customHeight="1">
      <c r="A911" s="78">
        <v>46160.0</v>
      </c>
      <c r="B911" s="7" t="s">
        <v>19</v>
      </c>
      <c r="C911" s="80">
        <v>25559.0</v>
      </c>
      <c r="D911" s="84" t="str">
        <f>IFERROR(VLOOKUP(B911,BASE_VEICULOS!$A:$B,2,0),"")</f>
        <v>TEW9A24</v>
      </c>
      <c r="E911" s="82">
        <f>IFERROR(__xludf.DUMMYFUNCTION("IF(OR(A911="""",D911="""",C911=""""),"""",IFERROR(MAX(0,C911-MAX(FILTER($C$2:$C911,TRIM($D$2:$D911)=TRIM(D911),(($A$2:$A911&lt;A911)+(($A$2:$A911=A911)*(ROW($A$2:$A911)&lt;ROW(A911))))))),""""))"),35.0)</f>
        <v>35</v>
      </c>
    </row>
    <row r="912" ht="22.5" customHeight="1">
      <c r="A912" s="78">
        <v>46160.0</v>
      </c>
      <c r="B912" s="7" t="s">
        <v>34</v>
      </c>
      <c r="C912" s="80">
        <v>61023.0</v>
      </c>
      <c r="D912" s="84" t="str">
        <f>IFERROR(VLOOKUP(B912,BASE_VEICULOS!$A:$B,2,0),"")</f>
        <v>SRU8D16</v>
      </c>
      <c r="E912" s="82">
        <f>IFERROR(__xludf.DUMMYFUNCTION("IF(OR(A912="""",D912="""",C912=""""),"""",IFERROR(MAX(0,C912-MAX(FILTER($C$2:$C912,TRIM($D$2:$D912)=TRIM(D912),(($A$2:$A912&lt;A912)+(($A$2:$A912=A912)*(ROW($A$2:$A912)&lt;ROW(A912))))))),""""))"),420.0)</f>
        <v>420</v>
      </c>
    </row>
    <row r="913" ht="22.5" customHeight="1">
      <c r="A913" s="78">
        <v>46160.0</v>
      </c>
      <c r="B913" s="7" t="s">
        <v>21</v>
      </c>
      <c r="C913" s="80">
        <v>23770.0</v>
      </c>
      <c r="D913" s="84" t="str">
        <f>IFERROR(VLOOKUP(B913,BASE_VEICULOS!$A:$B,2,0),"")</f>
        <v>TEW9A33</v>
      </c>
      <c r="E913" s="82">
        <f>IFERROR(__xludf.DUMMYFUNCTION("IF(OR(A913="""",D913="""",C913=""""),"""",IFERROR(MAX(0,C913-MAX(FILTER($C$2:$C913,TRIM($D$2:$D913)=TRIM(D913),(($A$2:$A913&lt;A913)+(($A$2:$A913=A913)*(ROW($A$2:$A913)&lt;ROW(A913))))))),""""))"),65.0)</f>
        <v>65</v>
      </c>
    </row>
    <row r="914" ht="22.5" customHeight="1">
      <c r="A914" s="78">
        <v>46160.0</v>
      </c>
      <c r="B914" s="7" t="s">
        <v>18</v>
      </c>
      <c r="C914" s="80">
        <v>23520.0</v>
      </c>
      <c r="D914" s="84" t="str">
        <f>IFERROR(VLOOKUP(B914,BASE_VEICULOS!$A:$B,2,0),"")</f>
        <v>TEW9A29</v>
      </c>
      <c r="E914" s="82">
        <f>IFERROR(__xludf.DUMMYFUNCTION("IF(OR(A914="""",D914="""",C914=""""),"""",IFERROR(MAX(0,C914-MAX(FILTER($C$2:$C914,TRIM($D$2:$D914)=TRIM(D914),(($A$2:$A914&lt;A914)+(($A$2:$A914=A914)*(ROW($A$2:$A914)&lt;ROW(A914))))))),""""))"),149.0)</f>
        <v>149</v>
      </c>
    </row>
    <row r="915" ht="22.5" customHeight="1">
      <c r="A915" s="78">
        <v>46160.0</v>
      </c>
      <c r="B915" s="7" t="s">
        <v>30</v>
      </c>
      <c r="C915" s="80">
        <v>26286.0</v>
      </c>
      <c r="D915" s="84" t="str">
        <f>IFERROR(VLOOKUP(B915,BASE_VEICULOS!$A:$B,2,0),"")</f>
        <v/>
      </c>
      <c r="E915" s="82" t="str">
        <f>IFERROR(__xludf.DUMMYFUNCTION("IF(OR(A915="""",D915="""",C915=""""),"""",IFERROR(MAX(0,C915-MAX(FILTER($C$2:$C915,TRIM($D$2:$D915)=TRIM(D915),(($A$2:$A915&lt;A915)+(($A$2:$A915=A915)*(ROW($A$2:$A915)&lt;ROW(A915))))))),""""))"),"")</f>
        <v/>
      </c>
    </row>
    <row r="916" ht="22.5" customHeight="1">
      <c r="A916" s="78">
        <v>46160.0</v>
      </c>
      <c r="B916" s="7" t="s">
        <v>24</v>
      </c>
      <c r="C916" s="80">
        <v>21924.0</v>
      </c>
      <c r="D916" s="84" t="str">
        <f>IFERROR(VLOOKUP(B916,BASE_VEICULOS!$A:$B,2,0),"")</f>
        <v>TEW9A23</v>
      </c>
      <c r="E916" s="82">
        <f>IFERROR(__xludf.DUMMYFUNCTION("IF(OR(A916="""",D916="""",C916=""""),"""",IFERROR(MAX(0,C916-MAX(FILTER($C$2:$C916,TRIM($D$2:$D916)=TRIM(D916),(($A$2:$A916&lt;A916)+(($A$2:$A916=A916)*(ROW($A$2:$A916)&lt;ROW(A916))))))),""""))"),156.0)</f>
        <v>156</v>
      </c>
    </row>
    <row r="917" ht="22.5" customHeight="1">
      <c r="A917" s="78">
        <v>46160.0</v>
      </c>
      <c r="B917" s="7" t="s">
        <v>12</v>
      </c>
      <c r="C917" s="80">
        <v>94420.0</v>
      </c>
      <c r="D917" s="84" t="str">
        <f>IFERROR(VLOOKUP(B917,BASE_VEICULOS!$A:$B,2,0),"")</f>
        <v>FIL8C14</v>
      </c>
      <c r="E917" s="82">
        <f>IFERROR(__xludf.DUMMYFUNCTION("IF(OR(A917="""",D917="""",C917=""""),"""",IFERROR(MAX(0,C917-MAX(FILTER($C$2:$C917,TRIM($D$2:$D917)=TRIM(D917),(($A$2:$A917&lt;A917)+(($A$2:$A917=A917)*(ROW($A$2:$A917)&lt;ROW(A917))))))),""""))"),109.0)</f>
        <v>109</v>
      </c>
    </row>
    <row r="918" ht="22.5" customHeight="1">
      <c r="A918" s="78">
        <v>46160.0</v>
      </c>
      <c r="B918" s="7" t="s">
        <v>10</v>
      </c>
      <c r="C918" s="80">
        <v>23693.0</v>
      </c>
      <c r="D918" s="84" t="str">
        <f>IFERROR(VLOOKUP(B918,BASE_VEICULOS!$A:$B,2,0),"")</f>
        <v>TEW9A25</v>
      </c>
      <c r="E918" s="82">
        <f>IFERROR(__xludf.DUMMYFUNCTION("IF(OR(A918="""",D918="""",C918=""""),"""",IFERROR(MAX(0,C918-MAX(FILTER($C$2:$C918,TRIM($D$2:$D918)=TRIM(D918),(($A$2:$A918&lt;A918)+(($A$2:$A918=A918)*(ROW($A$2:$A918)&lt;ROW(A918))))))),""""))"),148.0)</f>
        <v>148</v>
      </c>
    </row>
    <row r="919" ht="22.5" customHeight="1">
      <c r="A919" s="78">
        <v>46160.0</v>
      </c>
      <c r="B919" s="7" t="s">
        <v>13</v>
      </c>
      <c r="C919" s="80">
        <v>111109.0</v>
      </c>
      <c r="D919" s="84" t="str">
        <f>IFERROR(VLOOKUP(B919,BASE_VEICULOS!$A:$B,2,0),"")</f>
        <v>FGO3C61</v>
      </c>
      <c r="E919" s="82">
        <f>IFERROR(__xludf.DUMMYFUNCTION("IF(OR(A919="""",D919="""",C919=""""),"""",IFERROR(MAX(0,C919-MAX(FILTER($C$2:$C919,TRIM($D$2:$D919)=TRIM(D919),(($A$2:$A919&lt;A919)+(($A$2:$A919=A919)*(ROW($A$2:$A919)&lt;ROW(A919))))))),""""))"),87.0)</f>
        <v>87</v>
      </c>
    </row>
    <row r="920" ht="22.5" customHeight="1">
      <c r="A920" s="78">
        <v>46160.0</v>
      </c>
      <c r="B920" s="7" t="s">
        <v>28</v>
      </c>
      <c r="C920" s="80">
        <v>109240.0</v>
      </c>
      <c r="D920" s="84" t="str">
        <f>IFERROR(VLOOKUP(B920,BASE_VEICULOS!$A:$B,2,0),"")</f>
        <v/>
      </c>
      <c r="E920" s="82" t="str">
        <f>IFERROR(__xludf.DUMMYFUNCTION("IF(OR(A920="""",D920="""",C920=""""),"""",IFERROR(MAX(0,C920-MAX(FILTER($C$2:$C920,TRIM($D$2:$D920)=TRIM(D920),(($A$2:$A920&lt;A920)+(($A$2:$A920=A920)*(ROW($A$2:$A920)&lt;ROW(A920))))))),""""))"),"")</f>
        <v/>
      </c>
    </row>
    <row r="921" ht="22.5" customHeight="1">
      <c r="A921" s="78">
        <v>46160.0</v>
      </c>
      <c r="B921" s="7" t="s">
        <v>20</v>
      </c>
      <c r="C921" s="80">
        <v>22538.0</v>
      </c>
      <c r="D921" s="84" t="str">
        <f>IFERROR(VLOOKUP(B921,BASE_VEICULOS!$A:$B,2,0),"")</f>
        <v>TEW9A34</v>
      </c>
      <c r="E921" s="82">
        <f>IFERROR(__xludf.DUMMYFUNCTION("IF(OR(A921="""",D921="""",C921=""""),"""",IFERROR(MAX(0,C921-MAX(FILTER($C$2:$C921,TRIM($D$2:$D921)=TRIM(D921),(($A$2:$A921&lt;A921)+(($A$2:$A921=A921)*(ROW($A$2:$A921)&lt;ROW(A921))))))),""""))"),224.0)</f>
        <v>224</v>
      </c>
    </row>
    <row r="922" ht="22.5" customHeight="1">
      <c r="A922" s="78">
        <v>46160.0</v>
      </c>
      <c r="B922" s="7" t="s">
        <v>25</v>
      </c>
      <c r="C922" s="80">
        <v>22949.0</v>
      </c>
      <c r="D922" s="84" t="str">
        <f>IFERROR(VLOOKUP(B922,BASE_VEICULOS!$A:$B,2,0),"")</f>
        <v>TEW9A26</v>
      </c>
      <c r="E922" s="82">
        <f>IFERROR(__xludf.DUMMYFUNCTION("IF(OR(A922="""",D922="""",C922=""""),"""",IFERROR(MAX(0,C922-MAX(FILTER($C$2:$C922,TRIM($D$2:$D922)=TRIM(D922),(($A$2:$A922&lt;A922)+(($A$2:$A922=A922)*(ROW($A$2:$A922)&lt;ROW(A922))))))),""""))"),327.0)</f>
        <v>327</v>
      </c>
    </row>
    <row r="923" ht="22.5" customHeight="1">
      <c r="A923" s="78">
        <v>46160.0</v>
      </c>
      <c r="B923" s="7" t="s">
        <v>16</v>
      </c>
      <c r="C923" s="80">
        <v>15077.0</v>
      </c>
      <c r="D923" s="84" t="str">
        <f>IFERROR(VLOOKUP(B923,BASE_VEICULOS!$A:$B,2,0),"")</f>
        <v>TEW9A27</v>
      </c>
      <c r="E923" s="82">
        <f>IFERROR(__xludf.DUMMYFUNCTION("IF(OR(A923="""",D923="""",C923=""""),"""",IFERROR(MAX(0,C923-MAX(FILTER($C$2:$C923,TRIM($D$2:$D923)=TRIM(D923),(($A$2:$A923&lt;A923)+(($A$2:$A923=A923)*(ROW($A$2:$A923)&lt;ROW(A923))))))),""""))"),64.0)</f>
        <v>64</v>
      </c>
    </row>
    <row r="924" ht="22.5" customHeight="1">
      <c r="A924" s="78">
        <v>46160.0</v>
      </c>
      <c r="B924" s="7" t="s">
        <v>22</v>
      </c>
      <c r="C924" s="80">
        <v>36852.0</v>
      </c>
      <c r="D924" s="84" t="str">
        <f>IFERROR(VLOOKUP(B924,BASE_VEICULOS!$A:$B,2,0),"")</f>
        <v>TET5H37</v>
      </c>
      <c r="E924" s="82">
        <f>IFERROR(__xludf.DUMMYFUNCTION("IF(OR(A924="""",D924="""",C924=""""),"""",IFERROR(MAX(0,C924-MAX(FILTER($C$2:$C924,TRIM($D$2:$D924)=TRIM(D924),(($A$2:$A924&lt;A924)+(($A$2:$A924=A924)*(ROW($A$2:$A924)&lt;ROW(A924))))))),""""))"),299.0)</f>
        <v>299</v>
      </c>
    </row>
    <row r="925" ht="22.5" customHeight="1">
      <c r="A925" s="78">
        <v>46164.0</v>
      </c>
      <c r="B925" s="7" t="s">
        <v>16</v>
      </c>
      <c r="C925" s="80">
        <v>15270.0</v>
      </c>
      <c r="D925" s="84" t="str">
        <f>IFERROR(VLOOKUP(B925,BASE_VEICULOS!$A:$B,2,0),"")</f>
        <v>TEW9A27</v>
      </c>
      <c r="E925" s="82">
        <f>IFERROR(__xludf.DUMMYFUNCTION("IF(OR(A925="""",D925="""",C925=""""),"""",IFERROR(MAX(0,C925-MAX(FILTER($C$2:$C925,TRIM($D$2:$D925)=TRIM(D925),(($A$2:$A925&lt;A925)+(($A$2:$A925=A925)*(ROW($A$2:$A925)&lt;ROW(A925))))))),""""))"),193.0)</f>
        <v>193</v>
      </c>
    </row>
    <row r="926" ht="22.5" customHeight="1">
      <c r="A926" s="78">
        <v>46164.0</v>
      </c>
      <c r="B926" s="7" t="s">
        <v>10</v>
      </c>
      <c r="C926" s="80">
        <v>24264.0</v>
      </c>
      <c r="D926" s="84" t="str">
        <f>IFERROR(VLOOKUP(B926,BASE_VEICULOS!$A:$B,2,0),"")</f>
        <v>TEW9A25</v>
      </c>
      <c r="E926" s="82">
        <f>IFERROR(__xludf.DUMMYFUNCTION("IF(OR(A926="""",D926="""",C926=""""),"""",IFERROR(MAX(0,C926-MAX(FILTER($C$2:$C926,TRIM($D$2:$D926)=TRIM(D926),(($A$2:$A926&lt;A926)+(($A$2:$A926=A926)*(ROW($A$2:$A926)&lt;ROW(A926))))))),""""))"),571.0)</f>
        <v>571</v>
      </c>
    </row>
    <row r="927" ht="22.5" customHeight="1">
      <c r="A927" s="78">
        <v>46164.0</v>
      </c>
      <c r="B927" s="7" t="s">
        <v>24</v>
      </c>
      <c r="C927" s="80">
        <v>22574.0</v>
      </c>
      <c r="D927" s="84" t="str">
        <f>IFERROR(VLOOKUP(B927,BASE_VEICULOS!$A:$B,2,0),"")</f>
        <v>TEW9A23</v>
      </c>
      <c r="E927" s="82">
        <f>IFERROR(__xludf.DUMMYFUNCTION("IF(OR(A927="""",D927="""",C927=""""),"""",IFERROR(MAX(0,C927-MAX(FILTER($C$2:$C927,TRIM($D$2:$D927)=TRIM(D927),(($A$2:$A927&lt;A927)+(($A$2:$A927=A927)*(ROW($A$2:$A927)&lt;ROW(A927))))))),""""))"),650.0)</f>
        <v>650</v>
      </c>
    </row>
    <row r="928" ht="22.5" customHeight="1">
      <c r="A928" s="78">
        <v>46164.0</v>
      </c>
      <c r="B928" s="7" t="s">
        <v>29</v>
      </c>
      <c r="C928" s="80">
        <v>35801.0</v>
      </c>
      <c r="D928" s="84" t="str">
        <f>IFERROR(VLOOKUP(B928,BASE_VEICULOS!$A:$B,2,0),"")</f>
        <v>TEQ2I74</v>
      </c>
      <c r="E928" s="82">
        <f>IFERROR(__xludf.DUMMYFUNCTION("IF(OR(A928="""",D928="""",C928=""""),"""",IFERROR(MAX(0,C928-MAX(FILTER($C$2:$C928,TRIM($D$2:$D928)=TRIM(D928),(($A$2:$A928&lt;A928)+(($A$2:$A928=A928)*(ROW($A$2:$A928)&lt;ROW(A928))))))),""""))"),0.0)</f>
        <v>0</v>
      </c>
    </row>
    <row r="929" ht="22.5" customHeight="1">
      <c r="A929" s="78">
        <v>46164.0</v>
      </c>
      <c r="B929" s="7" t="s">
        <v>34</v>
      </c>
      <c r="C929" s="80">
        <v>61559.0</v>
      </c>
      <c r="D929" s="84" t="str">
        <f>IFERROR(VLOOKUP(B929,BASE_VEICULOS!$A:$B,2,0),"")</f>
        <v>SRU8D16</v>
      </c>
      <c r="E929" s="82">
        <f>IFERROR(__xludf.DUMMYFUNCTION("IF(OR(A929="""",D929="""",C929=""""),"""",IFERROR(MAX(0,C929-MAX(FILTER($C$2:$C929,TRIM($D$2:$D929)=TRIM(D929),(($A$2:$A929&lt;A929)+(($A$2:$A929=A929)*(ROW($A$2:$A929)&lt;ROW(A929))))))),""""))"),536.0)</f>
        <v>536</v>
      </c>
    </row>
    <row r="930" ht="22.5" customHeight="1">
      <c r="A930" s="78">
        <v>46164.0</v>
      </c>
      <c r="B930" s="7" t="s">
        <v>12</v>
      </c>
      <c r="C930" s="80">
        <v>94828.0</v>
      </c>
      <c r="D930" s="84" t="str">
        <f>IFERROR(VLOOKUP(B930,BASE_VEICULOS!$A:$B,2,0),"")</f>
        <v>FIL8C14</v>
      </c>
      <c r="E930" s="82">
        <f>IFERROR(__xludf.DUMMYFUNCTION("IF(OR(A930="""",D930="""",C930=""""),"""",IFERROR(MAX(0,C930-MAX(FILTER($C$2:$C930,TRIM($D$2:$D930)=TRIM(D930),(($A$2:$A930&lt;A930)+(($A$2:$A930=A930)*(ROW($A$2:$A930)&lt;ROW(A930))))))),""""))"),408.0)</f>
        <v>408</v>
      </c>
    </row>
    <row r="931" ht="22.5" customHeight="1">
      <c r="A931" s="78">
        <v>46164.0</v>
      </c>
      <c r="B931" s="7" t="s">
        <v>25</v>
      </c>
      <c r="C931" s="80">
        <v>23548.0</v>
      </c>
      <c r="D931" s="84" t="str">
        <f>IFERROR(VLOOKUP(B931,BASE_VEICULOS!$A:$B,2,0),"")</f>
        <v>TEW9A26</v>
      </c>
      <c r="E931" s="82">
        <f>IFERROR(__xludf.DUMMYFUNCTION("IF(OR(A931="""",D931="""",C931=""""),"""",IFERROR(MAX(0,C931-MAX(FILTER($C$2:$C931,TRIM($D$2:$D931)=TRIM(D931),(($A$2:$A931&lt;A931)+(($A$2:$A931=A931)*(ROW($A$2:$A931)&lt;ROW(A931))))))),""""))"),599.0)</f>
        <v>599</v>
      </c>
    </row>
    <row r="932" ht="22.5" customHeight="1">
      <c r="A932" s="78">
        <v>46164.0</v>
      </c>
      <c r="B932" s="7" t="s">
        <v>15</v>
      </c>
      <c r="C932" s="80">
        <v>113057.0</v>
      </c>
      <c r="D932" s="84" t="str">
        <f>IFERROR(VLOOKUP(B932,BASE_VEICULOS!$A:$B,2,0),"")</f>
        <v>EWH1B84</v>
      </c>
      <c r="E932" s="82">
        <f>IFERROR(__xludf.DUMMYFUNCTION("IF(OR(A932="""",D932="""",C932=""""),"""",IFERROR(MAX(0,C932-MAX(FILTER($C$2:$C932,TRIM($D$2:$D932)=TRIM(D932),(($A$2:$A932&lt;A932)+(($A$2:$A932=A932)*(ROW($A$2:$A932)&lt;ROW(A932))))))),""""))"),477.0)</f>
        <v>477</v>
      </c>
    </row>
    <row r="933" ht="22.5" customHeight="1">
      <c r="A933" s="78">
        <v>46164.0</v>
      </c>
      <c r="B933" s="7" t="s">
        <v>21</v>
      </c>
      <c r="C933" s="80">
        <v>24199.0</v>
      </c>
      <c r="D933" s="84" t="str">
        <f>IFERROR(VLOOKUP(B933,BASE_VEICULOS!$A:$B,2,0),"")</f>
        <v>TEW9A33</v>
      </c>
      <c r="E933" s="82">
        <f>IFERROR(__xludf.DUMMYFUNCTION("IF(OR(A933="""",D933="""",C933=""""),"""",IFERROR(MAX(0,C933-MAX(FILTER($C$2:$C933,TRIM($D$2:$D933)=TRIM(D933),(($A$2:$A933&lt;A933)+(($A$2:$A933=A933)*(ROW($A$2:$A933)&lt;ROW(A933))))))),""""))"),429.0)</f>
        <v>429</v>
      </c>
    </row>
    <row r="934" ht="22.5" customHeight="1">
      <c r="A934" s="78">
        <v>46164.0</v>
      </c>
      <c r="B934" s="7" t="s">
        <v>13</v>
      </c>
      <c r="C934" s="80">
        <v>111714.0</v>
      </c>
      <c r="D934" s="84" t="str">
        <f>IFERROR(VLOOKUP(B934,BASE_VEICULOS!$A:$B,2,0),"")</f>
        <v>FGO3C61</v>
      </c>
      <c r="E934" s="82">
        <f>IFERROR(__xludf.DUMMYFUNCTION("IF(OR(A934="""",D934="""",C934=""""),"""",IFERROR(MAX(0,C934-MAX(FILTER($C$2:$C934,TRIM($D$2:$D934)=TRIM(D934),(($A$2:$A934&lt;A934)+(($A$2:$A934=A934)*(ROW($A$2:$A934)&lt;ROW(A934))))))),""""))"),605.0)</f>
        <v>605</v>
      </c>
    </row>
    <row r="935" ht="22.5" customHeight="1">
      <c r="A935" s="78">
        <v>46164.0</v>
      </c>
      <c r="B935" s="7" t="s">
        <v>20</v>
      </c>
      <c r="C935" s="80">
        <v>22791.0</v>
      </c>
      <c r="D935" s="84" t="str">
        <f>IFERROR(VLOOKUP(B935,BASE_VEICULOS!$A:$B,2,0),"")</f>
        <v>TEW9A34</v>
      </c>
      <c r="E935" s="82">
        <f>IFERROR(__xludf.DUMMYFUNCTION("IF(OR(A935="""",D935="""",C935=""""),"""",IFERROR(MAX(0,C935-MAX(FILTER($C$2:$C935,TRIM($D$2:$D935)=TRIM(D935),(($A$2:$A935&lt;A935)+(($A$2:$A935=A935)*(ROW($A$2:$A935)&lt;ROW(A935))))))),""""))"),253.0)</f>
        <v>253</v>
      </c>
    </row>
    <row r="936" ht="22.5" customHeight="1">
      <c r="A936" s="78">
        <v>46164.0</v>
      </c>
      <c r="B936" s="7" t="s">
        <v>18</v>
      </c>
      <c r="C936" s="80">
        <v>23977.0</v>
      </c>
      <c r="D936" s="84" t="str">
        <f>IFERROR(VLOOKUP(B936,BASE_VEICULOS!$A:$B,2,0),"")</f>
        <v>TEW9A29</v>
      </c>
      <c r="E936" s="82">
        <f>IFERROR(__xludf.DUMMYFUNCTION("IF(OR(A936="""",D936="""",C936=""""),"""",IFERROR(MAX(0,C936-MAX(FILTER($C$2:$C936,TRIM($D$2:$D936)=TRIM(D936),(($A$2:$A936&lt;A936)+(($A$2:$A936=A936)*(ROW($A$2:$A936)&lt;ROW(A936))))))),""""))"),457.0)</f>
        <v>457</v>
      </c>
    </row>
    <row r="937" ht="22.5" customHeight="1">
      <c r="A937" s="78">
        <v>46164.0</v>
      </c>
      <c r="B937" s="7" t="s">
        <v>19</v>
      </c>
      <c r="C937" s="80">
        <v>26375.0</v>
      </c>
      <c r="D937" s="84" t="str">
        <f>IFERROR(VLOOKUP(B937,BASE_VEICULOS!$A:$B,2,0),"")</f>
        <v>TEW9A24</v>
      </c>
      <c r="E937" s="82">
        <f>IFERROR(__xludf.DUMMYFUNCTION("IF(OR(A937="""",D937="""",C937=""""),"""",IFERROR(MAX(0,C937-MAX(FILTER($C$2:$C937,TRIM($D$2:$D937)=TRIM(D937),(($A$2:$A937&lt;A937)+(($A$2:$A937=A937)*(ROW($A$2:$A937)&lt;ROW(A937))))))),""""))"),816.0)</f>
        <v>816</v>
      </c>
    </row>
    <row r="938" ht="22.5" customHeight="1">
      <c r="A938" s="78">
        <v>46167.0</v>
      </c>
      <c r="B938" s="7" t="s">
        <v>19</v>
      </c>
      <c r="C938" s="80">
        <v>26434.0</v>
      </c>
      <c r="D938" s="84" t="str">
        <f>IFERROR(VLOOKUP(B938,BASE_VEICULOS!$A:$B,2,0),"")</f>
        <v>TEW9A24</v>
      </c>
      <c r="E938" s="82">
        <f>IFERROR(__xludf.DUMMYFUNCTION("IF(OR(A938="""",D938="""",C938=""""),"""",IFERROR(MAX(0,C938-MAX(FILTER($C$2:$C938,TRIM($D$2:$D938)=TRIM(D938),(($A$2:$A938&lt;A938)+(($A$2:$A938=A938)*(ROW($A$2:$A938)&lt;ROW(A938))))))),""""))"),59.0)</f>
        <v>59</v>
      </c>
    </row>
    <row r="939" ht="22.5" customHeight="1">
      <c r="A939" s="78">
        <v>46167.0</v>
      </c>
      <c r="B939" s="7" t="s">
        <v>29</v>
      </c>
      <c r="C939" s="80">
        <v>36480.0</v>
      </c>
      <c r="D939" s="84" t="str">
        <f>IFERROR(VLOOKUP(B939,BASE_VEICULOS!$A:$B,2,0),"")</f>
        <v>TEQ2I74</v>
      </c>
      <c r="E939" s="82">
        <f>IFERROR(__xludf.DUMMYFUNCTION("IF(OR(A939="""",D939="""",C939=""""),"""",IFERROR(MAX(0,C939-MAX(FILTER($C$2:$C939,TRIM($D$2:$D939)=TRIM(D939),(($A$2:$A939&lt;A939)+(($A$2:$A939=A939)*(ROW($A$2:$A939)&lt;ROW(A939))))))),""""))"),0.0)</f>
        <v>0</v>
      </c>
    </row>
    <row r="940" ht="22.5" customHeight="1">
      <c r="A940" s="78">
        <v>46167.0</v>
      </c>
      <c r="B940" s="7" t="s">
        <v>21</v>
      </c>
      <c r="C940" s="80">
        <v>24372.0</v>
      </c>
      <c r="D940" s="84" t="str">
        <f>IFERROR(VLOOKUP(B940,BASE_VEICULOS!$A:$B,2,0),"")</f>
        <v>TEW9A33</v>
      </c>
      <c r="E940" s="82">
        <f>IFERROR(__xludf.DUMMYFUNCTION("IF(OR(A940="""",D940="""",C940=""""),"""",IFERROR(MAX(0,C940-MAX(FILTER($C$2:$C940,TRIM($D$2:$D940)=TRIM(D940),(($A$2:$A940&lt;A940)+(($A$2:$A940=A940)*(ROW($A$2:$A940)&lt;ROW(A940))))))),""""))"),173.0)</f>
        <v>173</v>
      </c>
    </row>
    <row r="941" ht="22.5" customHeight="1">
      <c r="A941" s="78">
        <v>46167.0</v>
      </c>
      <c r="B941" s="7" t="s">
        <v>24</v>
      </c>
      <c r="C941" s="80">
        <v>22727.0</v>
      </c>
      <c r="D941" s="84" t="str">
        <f>IFERROR(VLOOKUP(B941,BASE_VEICULOS!$A:$B,2,0),"")</f>
        <v>TEW9A23</v>
      </c>
      <c r="E941" s="82">
        <f>IFERROR(__xludf.DUMMYFUNCTION("IF(OR(A941="""",D941="""",C941=""""),"""",IFERROR(MAX(0,C941-MAX(FILTER($C$2:$C941,TRIM($D$2:$D941)=TRIM(D941),(($A$2:$A941&lt;A941)+(($A$2:$A941=A941)*(ROW($A$2:$A941)&lt;ROW(A941))))))),""""))"),153.0)</f>
        <v>153</v>
      </c>
    </row>
    <row r="942" ht="22.5" customHeight="1">
      <c r="A942" s="78">
        <v>46167.0</v>
      </c>
      <c r="B942" s="7" t="s">
        <v>10</v>
      </c>
      <c r="C942" s="80">
        <v>24407.0</v>
      </c>
      <c r="D942" s="84" t="str">
        <f>IFERROR(VLOOKUP(B942,BASE_VEICULOS!$A:$B,2,0),"")</f>
        <v>TEW9A25</v>
      </c>
      <c r="E942" s="82">
        <f>IFERROR(__xludf.DUMMYFUNCTION("IF(OR(A942="""",D942="""",C942=""""),"""",IFERROR(MAX(0,C942-MAX(FILTER($C$2:$C942,TRIM($D$2:$D942)=TRIM(D942),(($A$2:$A942&lt;A942)+(($A$2:$A942=A942)*(ROW($A$2:$A942)&lt;ROW(A942))))))),""""))"),143.0)</f>
        <v>143</v>
      </c>
    </row>
    <row r="943" ht="22.5" customHeight="1">
      <c r="A943" s="78">
        <v>46167.0</v>
      </c>
      <c r="B943" s="7" t="s">
        <v>34</v>
      </c>
      <c r="C943" s="80">
        <v>61685.0</v>
      </c>
      <c r="D943" s="84" t="str">
        <f>IFERROR(VLOOKUP(B943,BASE_VEICULOS!$A:$B,2,0),"")</f>
        <v>SRU8D16</v>
      </c>
      <c r="E943" s="82">
        <f>IFERROR(__xludf.DUMMYFUNCTION("IF(OR(A943="""",D943="""",C943=""""),"""",IFERROR(MAX(0,C943-MAX(FILTER($C$2:$C943,TRIM($D$2:$D943)=TRIM(D943),(($A$2:$A943&lt;A943)+(($A$2:$A943=A943)*(ROW($A$2:$A943)&lt;ROW(A943))))))),""""))"),126.0)</f>
        <v>126</v>
      </c>
    </row>
    <row r="944" ht="22.5" customHeight="1">
      <c r="A944" s="78">
        <v>46167.0</v>
      </c>
      <c r="B944" s="7" t="s">
        <v>12</v>
      </c>
      <c r="C944" s="80">
        <v>95265.0</v>
      </c>
      <c r="D944" s="84" t="str">
        <f>IFERROR(VLOOKUP(B944,BASE_VEICULOS!$A:$B,2,0),"")</f>
        <v>FIL8C14</v>
      </c>
      <c r="E944" s="82">
        <f>IFERROR(__xludf.DUMMYFUNCTION("IF(OR(A944="""",D944="""",C944=""""),"""",IFERROR(MAX(0,C944-MAX(FILTER($C$2:$C944,TRIM($D$2:$D944)=TRIM(D944),(($A$2:$A944&lt;A944)+(($A$2:$A944=A944)*(ROW($A$2:$A944)&lt;ROW(A944))))))),""""))"),437.0)</f>
        <v>437</v>
      </c>
    </row>
    <row r="945" ht="22.5" customHeight="1">
      <c r="A945" s="78">
        <v>46167.0</v>
      </c>
      <c r="B945" s="7" t="s">
        <v>15</v>
      </c>
      <c r="C945" s="80">
        <v>113141.0</v>
      </c>
      <c r="D945" s="84" t="str">
        <f>IFERROR(VLOOKUP(B945,BASE_VEICULOS!$A:$B,2,0),"")</f>
        <v>EWH1B84</v>
      </c>
      <c r="E945" s="82">
        <f>IFERROR(__xludf.DUMMYFUNCTION("IF(OR(A945="""",D945="""",C945=""""),"""",IFERROR(MAX(0,C945-MAX(FILTER($C$2:$C945,TRIM($D$2:$D945)=TRIM(D945),(($A$2:$A945&lt;A945)+(($A$2:$A945=A945)*(ROW($A$2:$A945)&lt;ROW(A945))))))),""""))"),84.0)</f>
        <v>84</v>
      </c>
    </row>
    <row r="946" ht="22.5" customHeight="1">
      <c r="A946" s="78">
        <v>46167.0</v>
      </c>
      <c r="B946" s="7" t="s">
        <v>16</v>
      </c>
      <c r="C946" s="80">
        <v>15575.0</v>
      </c>
      <c r="D946" s="84" t="str">
        <f>IFERROR(VLOOKUP(B946,BASE_VEICULOS!$A:$B,2,0),"")</f>
        <v>TEW9A27</v>
      </c>
      <c r="E946" s="82">
        <f>IFERROR(__xludf.DUMMYFUNCTION("IF(OR(A946="""",D946="""",C946=""""),"""",IFERROR(MAX(0,C946-MAX(FILTER($C$2:$C946,TRIM($D$2:$D946)=TRIM(D946),(($A$2:$A946&lt;A946)+(($A$2:$A946=A946)*(ROW($A$2:$A946)&lt;ROW(A946))))))),""""))"),305.0)</f>
        <v>305</v>
      </c>
    </row>
    <row r="947" ht="22.5" customHeight="1">
      <c r="A947" s="78">
        <v>46167.0</v>
      </c>
      <c r="B947" s="7" t="s">
        <v>20</v>
      </c>
      <c r="C947" s="80">
        <v>22911.0</v>
      </c>
      <c r="D947" s="84" t="str">
        <f>IFERROR(VLOOKUP(B947,BASE_VEICULOS!$A:$B,2,0),"")</f>
        <v>TEW9A34</v>
      </c>
      <c r="E947" s="82">
        <f>IFERROR(__xludf.DUMMYFUNCTION("IF(OR(A947="""",D947="""",C947=""""),"""",IFERROR(MAX(0,C947-MAX(FILTER($C$2:$C947,TRIM($D$2:$D947)=TRIM(D947),(($A$2:$A947&lt;A947)+(($A$2:$A947=A947)*(ROW($A$2:$A947)&lt;ROW(A947))))))),""""))"),120.0)</f>
        <v>120</v>
      </c>
    </row>
    <row r="948" ht="22.5" customHeight="1">
      <c r="A948" s="78">
        <v>46167.0</v>
      </c>
      <c r="B948" s="7" t="s">
        <v>18</v>
      </c>
      <c r="C948" s="80">
        <v>24171.0</v>
      </c>
      <c r="D948" s="84" t="str">
        <f>IFERROR(VLOOKUP(B948,BASE_VEICULOS!$A:$B,2,0),"")</f>
        <v>TEW9A29</v>
      </c>
      <c r="E948" s="82">
        <f>IFERROR(__xludf.DUMMYFUNCTION("IF(OR(A948="""",D948="""",C948=""""),"""",IFERROR(MAX(0,C948-MAX(FILTER($C$2:$C948,TRIM($D$2:$D948)=TRIM(D948),(($A$2:$A948&lt;A948)+(($A$2:$A948=A948)*(ROW($A$2:$A948)&lt;ROW(A948))))))),""""))"),194.0)</f>
        <v>194</v>
      </c>
    </row>
    <row r="949" ht="22.5" customHeight="1">
      <c r="A949" s="78">
        <v>46167.0</v>
      </c>
      <c r="B949" s="7" t="s">
        <v>13</v>
      </c>
      <c r="C949" s="80">
        <v>111859.0</v>
      </c>
      <c r="D949" s="84" t="str">
        <f>IFERROR(VLOOKUP(B949,BASE_VEICULOS!$A:$B,2,0),"")</f>
        <v>FGO3C61</v>
      </c>
      <c r="E949" s="82">
        <f>IFERROR(__xludf.DUMMYFUNCTION("IF(OR(A949="""",D949="""",C949=""""),"""",IFERROR(MAX(0,C949-MAX(FILTER($C$2:$C949,TRIM($D$2:$D949)=TRIM(D949),(($A$2:$A949&lt;A949)+(($A$2:$A949=A949)*(ROW($A$2:$A949)&lt;ROW(A949))))))),""""))"),145.0)</f>
        <v>145</v>
      </c>
    </row>
    <row r="950" ht="22.5" customHeight="1">
      <c r="A950" s="78">
        <v>46167.0</v>
      </c>
      <c r="B950" s="7" t="s">
        <v>22</v>
      </c>
      <c r="C950" s="80">
        <v>37510.0</v>
      </c>
      <c r="D950" s="84" t="str">
        <f>IFERROR(VLOOKUP(B950,BASE_VEICULOS!$A:$B,2,0),"")</f>
        <v>TET5H37</v>
      </c>
      <c r="E950" s="82">
        <f>IFERROR(__xludf.DUMMYFUNCTION("IF(OR(A950="""",D950="""",C950=""""),"""",IFERROR(MAX(0,C950-MAX(FILTER($C$2:$C950,TRIM($D$2:$D950)=TRIM(D950),(($A$2:$A950&lt;A950)+(($A$2:$A950=A950)*(ROW($A$2:$A950)&lt;ROW(A950))))))),""""))"),658.0)</f>
        <v>658</v>
      </c>
    </row>
    <row r="951" ht="22.5" customHeight="1">
      <c r="A951" s="78">
        <v>46167.0</v>
      </c>
      <c r="B951" s="7" t="s">
        <v>25</v>
      </c>
      <c r="C951" s="80">
        <v>23656.0</v>
      </c>
      <c r="D951" s="84" t="str">
        <f>IFERROR(VLOOKUP(B951,BASE_VEICULOS!$A:$B,2,0),"")</f>
        <v>TEW9A26</v>
      </c>
      <c r="E951" s="82">
        <f>IFERROR(__xludf.DUMMYFUNCTION("IF(OR(A951="""",D951="""",C951=""""),"""",IFERROR(MAX(0,C951-MAX(FILTER($C$2:$C951,TRIM($D$2:$D951)=TRIM(D951),(($A$2:$A951&lt;A951)+(($A$2:$A951=A951)*(ROW($A$2:$A951)&lt;ROW(A951))))))),""""))"),108.0)</f>
        <v>108</v>
      </c>
    </row>
    <row r="952" ht="22.5" customHeight="1">
      <c r="A952" s="78">
        <v>46171.0</v>
      </c>
      <c r="B952" s="7" t="s">
        <v>10</v>
      </c>
      <c r="C952" s="80">
        <v>25030.0</v>
      </c>
      <c r="D952" s="84" t="str">
        <f>IFERROR(VLOOKUP(B952,BASE_VEICULOS!$A:$B,2,0),"")</f>
        <v>TEW9A25</v>
      </c>
      <c r="E952" s="82">
        <f>IFERROR(__xludf.DUMMYFUNCTION("IF(OR(A952="""",D952="""",C952=""""),"""",IFERROR(MAX(0,C952-MAX(FILTER($C$2:$C952,TRIM($D$2:$D952)=TRIM(D952),(($A$2:$A952&lt;A952)+(($A$2:$A952=A952)*(ROW($A$2:$A952)&lt;ROW(A952))))))),""""))"),623.0)</f>
        <v>623</v>
      </c>
    </row>
    <row r="953" ht="22.5" customHeight="1">
      <c r="A953" s="78">
        <v>46171.0</v>
      </c>
      <c r="B953" s="7" t="s">
        <v>12</v>
      </c>
      <c r="C953" s="80">
        <v>96292.0</v>
      </c>
      <c r="D953" s="84" t="str">
        <f>IFERROR(VLOOKUP(B953,BASE_VEICULOS!$A:$B,2,0),"")</f>
        <v>FIL8C14</v>
      </c>
      <c r="E953" s="82">
        <f>IFERROR(__xludf.DUMMYFUNCTION("IF(OR(A953="""",D953="""",C953=""""),"""",IFERROR(MAX(0,C953-MAX(FILTER($C$2:$C953,TRIM($D$2:$D953)=TRIM(D953),(($A$2:$A953&lt;A953)+(($A$2:$A953=A953)*(ROW($A$2:$A953)&lt;ROW(A953))))))),""""))"),1027.0)</f>
        <v>1027</v>
      </c>
    </row>
    <row r="954" ht="22.5" customHeight="1">
      <c r="A954" s="78">
        <v>46171.0</v>
      </c>
      <c r="B954" s="7" t="s">
        <v>18</v>
      </c>
      <c r="C954" s="80">
        <v>24704.0</v>
      </c>
      <c r="D954" s="84" t="str">
        <f>IFERROR(VLOOKUP(B954,BASE_VEICULOS!$A:$B,2,0),"")</f>
        <v>TEW9A29</v>
      </c>
      <c r="E954" s="82">
        <f>IFERROR(__xludf.DUMMYFUNCTION("IF(OR(A954="""",D954="""",C954=""""),"""",IFERROR(MAX(0,C954-MAX(FILTER($C$2:$C954,TRIM($D$2:$D954)=TRIM(D954),(($A$2:$A954&lt;A954)+(($A$2:$A954=A954)*(ROW($A$2:$A954)&lt;ROW(A954))))))),""""))"),533.0)</f>
        <v>533</v>
      </c>
    </row>
    <row r="955" ht="22.5" customHeight="1">
      <c r="A955" s="78">
        <v>46171.0</v>
      </c>
      <c r="B955" s="7" t="s">
        <v>13</v>
      </c>
      <c r="C955" s="80">
        <v>112375.0</v>
      </c>
      <c r="D955" s="84" t="str">
        <f>IFERROR(VLOOKUP(B955,BASE_VEICULOS!$A:$B,2,0),"")</f>
        <v>FGO3C61</v>
      </c>
      <c r="E955" s="82">
        <f>IFERROR(__xludf.DUMMYFUNCTION("IF(OR(A955="""",D955="""",C955=""""),"""",IFERROR(MAX(0,C955-MAX(FILTER($C$2:$C955,TRIM($D$2:$D955)=TRIM(D955),(($A$2:$A955&lt;A955)+(($A$2:$A955=A955)*(ROW($A$2:$A955)&lt;ROW(A955))))))),""""))"),516.0)</f>
        <v>516</v>
      </c>
    </row>
    <row r="956" ht="22.5" customHeight="1">
      <c r="A956" s="78">
        <v>46171.0</v>
      </c>
      <c r="B956" s="7" t="s">
        <v>15</v>
      </c>
      <c r="C956" s="80">
        <v>114223.0</v>
      </c>
      <c r="D956" s="84" t="str">
        <f>IFERROR(VLOOKUP(B956,BASE_VEICULOS!$A:$B,2,0),"")</f>
        <v>EWH1B84</v>
      </c>
      <c r="E956" s="82">
        <f>IFERROR(__xludf.DUMMYFUNCTION("IF(OR(A956="""",D956="""",C956=""""),"""",IFERROR(MAX(0,C956-MAX(FILTER($C$2:$C956,TRIM($D$2:$D956)=TRIM(D956),(($A$2:$A956&lt;A956)+(($A$2:$A956=A956)*(ROW($A$2:$A956)&lt;ROW(A956))))))),""""))"),1082.0)</f>
        <v>1082</v>
      </c>
    </row>
    <row r="957" ht="22.5" customHeight="1">
      <c r="A957" s="78">
        <v>46171.0</v>
      </c>
      <c r="B957" s="7" t="s">
        <v>16</v>
      </c>
      <c r="C957" s="80">
        <v>15783.0</v>
      </c>
      <c r="D957" s="84" t="str">
        <f>IFERROR(VLOOKUP(B957,BASE_VEICULOS!$A:$B,2,0),"")</f>
        <v>TEW9A27</v>
      </c>
      <c r="E957" s="82">
        <f>IFERROR(__xludf.DUMMYFUNCTION("IF(OR(A957="""",D957="""",C957=""""),"""",IFERROR(MAX(0,C957-MAX(FILTER($C$2:$C957,TRIM($D$2:$D957)=TRIM(D957),(($A$2:$A957&lt;A957)+(($A$2:$A957=A957)*(ROW($A$2:$A957)&lt;ROW(A957))))))),""""))"),208.0)</f>
        <v>208</v>
      </c>
    </row>
    <row r="958" ht="22.5" customHeight="1">
      <c r="A958" s="78">
        <v>46171.0</v>
      </c>
      <c r="B958" s="7" t="s">
        <v>25</v>
      </c>
      <c r="C958" s="80">
        <v>23971.0</v>
      </c>
      <c r="D958" s="84" t="str">
        <f>IFERROR(VLOOKUP(B958,BASE_VEICULOS!$A:$B,2,0),"")</f>
        <v>TEW9A26</v>
      </c>
      <c r="E958" s="82">
        <f>IFERROR(__xludf.DUMMYFUNCTION("IF(OR(A958="""",D958="""",C958=""""),"""",IFERROR(MAX(0,C958-MAX(FILTER($C$2:$C958,TRIM($D$2:$D958)=TRIM(D958),(($A$2:$A958&lt;A958)+(($A$2:$A958=A958)*(ROW($A$2:$A958)&lt;ROW(A958))))))),""""))"),315.0)</f>
        <v>315</v>
      </c>
    </row>
    <row r="959" ht="22.5" customHeight="1">
      <c r="A959" s="78">
        <v>46171.0</v>
      </c>
      <c r="B959" s="7" t="s">
        <v>34</v>
      </c>
      <c r="C959" s="80">
        <v>62517.0</v>
      </c>
      <c r="D959" s="84" t="str">
        <f>IFERROR(VLOOKUP(B959,BASE_VEICULOS!$A:$B,2,0),"")</f>
        <v>SRU8D16</v>
      </c>
      <c r="E959" s="82">
        <f>IFERROR(__xludf.DUMMYFUNCTION("IF(OR(A959="""",D959="""",C959=""""),"""",IFERROR(MAX(0,C959-MAX(FILTER($C$2:$C959,TRIM($D$2:$D959)=TRIM(D959),(($A$2:$A959&lt;A959)+(($A$2:$A959=A959)*(ROW($A$2:$A959)&lt;ROW(A959))))))),""""))"),832.0)</f>
        <v>832</v>
      </c>
    </row>
    <row r="960" ht="22.5" customHeight="1">
      <c r="A960" s="78">
        <v>46171.0</v>
      </c>
      <c r="B960" s="7" t="s">
        <v>22</v>
      </c>
      <c r="C960" s="80">
        <v>37992.0</v>
      </c>
      <c r="D960" s="84" t="str">
        <f>IFERROR(VLOOKUP(B960,BASE_VEICULOS!$A:$B,2,0),"")</f>
        <v>TET5H37</v>
      </c>
      <c r="E960" s="82">
        <f>IFERROR(__xludf.DUMMYFUNCTION("IF(OR(A960="""",D960="""",C960=""""),"""",IFERROR(MAX(0,C960-MAX(FILTER($C$2:$C960,TRIM($D$2:$D960)=TRIM(D960),(($A$2:$A960&lt;A960)+(($A$2:$A960=A960)*(ROW($A$2:$A960)&lt;ROW(A960))))))),""""))"),482.0)</f>
        <v>482</v>
      </c>
    </row>
    <row r="961" ht="22.5" customHeight="1">
      <c r="A961" s="78">
        <v>46171.0</v>
      </c>
      <c r="B961" s="7" t="s">
        <v>24</v>
      </c>
      <c r="C961" s="80">
        <v>23369.0</v>
      </c>
      <c r="D961" s="84" t="str">
        <f>IFERROR(VLOOKUP(B961,BASE_VEICULOS!$A:$B,2,0),"")</f>
        <v>TEW9A23</v>
      </c>
      <c r="E961" s="82">
        <f>IFERROR(__xludf.DUMMYFUNCTION("IF(OR(A961="""",D961="""",C961=""""),"""",IFERROR(MAX(0,C961-MAX(FILTER($C$2:$C961,TRIM($D$2:$D961)=TRIM(D961),(($A$2:$A961&lt;A961)+(($A$2:$A961=A961)*(ROW($A$2:$A961)&lt;ROW(A961))))))),""""))"),642.0)</f>
        <v>642</v>
      </c>
    </row>
    <row r="962" ht="22.5" customHeight="1">
      <c r="A962" s="78">
        <v>46171.0</v>
      </c>
      <c r="B962" s="7" t="s">
        <v>21</v>
      </c>
      <c r="C962" s="80">
        <v>24921.0</v>
      </c>
      <c r="D962" s="84" t="str">
        <f>IFERROR(VLOOKUP(B962,BASE_VEICULOS!$A:$B,2,0),"")</f>
        <v>TEW9A33</v>
      </c>
      <c r="E962" s="82">
        <f>IFERROR(__xludf.DUMMYFUNCTION("IF(OR(A962="""",D962="""",C962=""""),"""",IFERROR(MAX(0,C962-MAX(FILTER($C$2:$C962,TRIM($D$2:$D962)=TRIM(D962),(($A$2:$A962&lt;A962)+(($A$2:$A962=A962)*(ROW($A$2:$A962)&lt;ROW(A962))))))),""""))"),549.0)</f>
        <v>549</v>
      </c>
    </row>
    <row r="963" ht="22.5" customHeight="1">
      <c r="A963" s="78">
        <v>46171.0</v>
      </c>
      <c r="B963" s="7" t="s">
        <v>19</v>
      </c>
      <c r="C963" s="80">
        <v>27598.0</v>
      </c>
      <c r="D963" s="84" t="str">
        <f>IFERROR(VLOOKUP(B963,BASE_VEICULOS!$A:$B,2,0),"")</f>
        <v>TEW9A24</v>
      </c>
      <c r="E963" s="82">
        <f>IFERROR(__xludf.DUMMYFUNCTION("IF(OR(A963="""",D963="""",C963=""""),"""",IFERROR(MAX(0,C963-MAX(FILTER($C$2:$C963,TRIM($D$2:$D963)=TRIM(D963),(($A$2:$A963&lt;A963)+(($A$2:$A963=A963)*(ROW($A$2:$A963)&lt;ROW(A963))))))),""""))"),1164.0)</f>
        <v>1164</v>
      </c>
    </row>
    <row r="964" ht="22.5" customHeight="1">
      <c r="A964" s="78">
        <v>46171.0</v>
      </c>
      <c r="B964" s="7" t="s">
        <v>20</v>
      </c>
      <c r="C964" s="80">
        <v>23462.0</v>
      </c>
      <c r="D964" s="84" t="str">
        <f>IFERROR(VLOOKUP(B964,BASE_VEICULOS!$A:$B,2,0),"")</f>
        <v>TEW9A34</v>
      </c>
      <c r="E964" s="82">
        <f>IFERROR(__xludf.DUMMYFUNCTION("IF(OR(A964="""",D964="""",C964=""""),"""",IFERROR(MAX(0,C964-MAX(FILTER($C$2:$C964,TRIM($D$2:$D964)=TRIM(D964),(($A$2:$A964&lt;A964)+(($A$2:$A964=A964)*(ROW($A$2:$A964)&lt;ROW(A964))))))),""""))"),551.0)</f>
        <v>551</v>
      </c>
    </row>
    <row r="965" ht="22.5" customHeight="1">
      <c r="A965" s="78">
        <v>46174.0</v>
      </c>
      <c r="B965" s="7" t="s">
        <v>19</v>
      </c>
      <c r="C965" s="80">
        <v>27598.0</v>
      </c>
      <c r="D965" s="84" t="str">
        <f>IFERROR(VLOOKUP(B965,BASE_VEICULOS!$A:$B,2,0),"")</f>
        <v>TEW9A24</v>
      </c>
      <c r="E965" s="82">
        <f>IFERROR(__xludf.DUMMYFUNCTION("IF(OR(A965="""",D965="""",C965=""""),"""",IFERROR(MAX(0,C965-MAX(FILTER($C$2:$C965,TRIM($D$2:$D965)=TRIM(D965),(($A$2:$A965&lt;A965)+(($A$2:$A965=A965)*(ROW($A$2:$A965)&lt;ROW(A965))))))),""""))"),0.0)</f>
        <v>0</v>
      </c>
    </row>
    <row r="966" ht="22.5" customHeight="1">
      <c r="A966" s="78">
        <v>46174.0</v>
      </c>
      <c r="B966" s="7" t="s">
        <v>22</v>
      </c>
      <c r="C966" s="80">
        <v>37992.0</v>
      </c>
      <c r="D966" s="84" t="str">
        <f>IFERROR(VLOOKUP(B966,BASE_VEICULOS!$A:$B,2,0),"")</f>
        <v>TET5H37</v>
      </c>
      <c r="E966" s="82">
        <f>IFERROR(__xludf.DUMMYFUNCTION("IF(OR(A966="""",D966="""",C966=""""),"""",IFERROR(MAX(0,C966-MAX(FILTER($C$2:$C966,TRIM($D$2:$D966)=TRIM(D966),(($A$2:$A966&lt;A966)+(($A$2:$A966=A966)*(ROW($A$2:$A966)&lt;ROW(A966))))))),""""))"),0.0)</f>
        <v>0</v>
      </c>
    </row>
    <row r="967" ht="22.5" customHeight="1">
      <c r="A967" s="78">
        <v>46174.0</v>
      </c>
      <c r="B967" s="7" t="s">
        <v>14</v>
      </c>
      <c r="C967" s="80">
        <v>97462.0</v>
      </c>
      <c r="D967" s="84" t="str">
        <f>IFERROR(VLOOKUP(B967,BASE_VEICULOS!$A:$B,2,0),"")</f>
        <v>FOK8A73</v>
      </c>
      <c r="E967" s="82">
        <f>IFERROR(__xludf.DUMMYFUNCTION("IF(OR(A967="""",D967="""",C967=""""),"""",IFERROR(MAX(0,C967-MAX(FILTER($C$2:$C967,TRIM($D$2:$D967)=TRIM(D967),(($A$2:$A967&lt;A967)+(($A$2:$A967=A967)*(ROW($A$2:$A967)&lt;ROW(A967))))))),""""))"),1231.0)</f>
        <v>1231</v>
      </c>
    </row>
    <row r="968" ht="22.5" customHeight="1">
      <c r="A968" s="78">
        <v>46174.0</v>
      </c>
      <c r="B968" s="7" t="s">
        <v>28</v>
      </c>
      <c r="C968" s="80">
        <v>110390.0</v>
      </c>
      <c r="D968" s="84" t="str">
        <f>IFERROR(VLOOKUP(B968,BASE_VEICULOS!$A:$B,2,0),"")</f>
        <v/>
      </c>
      <c r="E968" s="82" t="str">
        <f>IFERROR(__xludf.DUMMYFUNCTION("IF(OR(A968="""",D968="""",C968=""""),"""",IFERROR(MAX(0,C968-MAX(FILTER($C$2:$C968,TRIM($D$2:$D968)=TRIM(D968),(($A$2:$A968&lt;A968)+(($A$2:$A968=A968)*(ROW($A$2:$A968)&lt;ROW(A968))))))),""""))"),"")</f>
        <v/>
      </c>
    </row>
    <row r="969" ht="22.5" customHeight="1">
      <c r="A969" s="78">
        <v>46174.0</v>
      </c>
      <c r="B969" s="7" t="s">
        <v>20</v>
      </c>
      <c r="C969" s="80">
        <v>23462.0</v>
      </c>
      <c r="D969" s="84" t="str">
        <f>IFERROR(VLOOKUP(B969,BASE_VEICULOS!$A:$B,2,0),"")</f>
        <v>TEW9A34</v>
      </c>
      <c r="E969" s="82">
        <f>IFERROR(__xludf.DUMMYFUNCTION("IF(OR(A969="""",D969="""",C969=""""),"""",IFERROR(MAX(0,C969-MAX(FILTER($C$2:$C969,TRIM($D$2:$D969)=TRIM(D969),(($A$2:$A969&lt;A969)+(($A$2:$A969=A969)*(ROW($A$2:$A969)&lt;ROW(A969))))))),""""))"),0.0)</f>
        <v>0</v>
      </c>
    </row>
    <row r="970" ht="22.5" customHeight="1">
      <c r="A970" s="78">
        <v>46174.0</v>
      </c>
      <c r="B970" s="7" t="s">
        <v>13</v>
      </c>
      <c r="C970" s="80">
        <v>112375.0</v>
      </c>
      <c r="D970" s="84" t="str">
        <f>IFERROR(VLOOKUP(B970,BASE_VEICULOS!$A:$B,2,0),"")</f>
        <v>FGO3C61</v>
      </c>
      <c r="E970" s="82">
        <f>IFERROR(__xludf.DUMMYFUNCTION("IF(OR(A970="""",D970="""",C970=""""),"""",IFERROR(MAX(0,C970-MAX(FILTER($C$2:$C970,TRIM($D$2:$D970)=TRIM(D970),(($A$2:$A970&lt;A970)+(($A$2:$A970=A970)*(ROW($A$2:$A970)&lt;ROW(A970))))))),""""))"),0.0)</f>
        <v>0</v>
      </c>
    </row>
    <row r="971" ht="22.5" customHeight="1">
      <c r="A971" s="78">
        <v>46174.0</v>
      </c>
      <c r="B971" s="7" t="s">
        <v>12</v>
      </c>
      <c r="C971" s="80">
        <v>96292.0</v>
      </c>
      <c r="D971" s="84" t="str">
        <f>IFERROR(VLOOKUP(B971,BASE_VEICULOS!$A:$B,2,0),"")</f>
        <v>FIL8C14</v>
      </c>
      <c r="E971" s="82">
        <f>IFERROR(__xludf.DUMMYFUNCTION("IF(OR(A971="""",D971="""",C971=""""),"""",IFERROR(MAX(0,C971-MAX(FILTER($C$2:$C971,TRIM($D$2:$D971)=TRIM(D971),(($A$2:$A971&lt;A971)+(($A$2:$A971=A971)*(ROW($A$2:$A971)&lt;ROW(A971))))))),""""))"),0.0)</f>
        <v>0</v>
      </c>
    </row>
    <row r="972" ht="22.5" customHeight="1">
      <c r="A972" s="78">
        <v>46174.0</v>
      </c>
      <c r="B972" s="7" t="s">
        <v>18</v>
      </c>
      <c r="C972" s="80">
        <v>24704.0</v>
      </c>
      <c r="D972" s="84" t="str">
        <f>IFERROR(VLOOKUP(B972,BASE_VEICULOS!$A:$B,2,0),"")</f>
        <v>TEW9A29</v>
      </c>
      <c r="E972" s="82">
        <f>IFERROR(__xludf.DUMMYFUNCTION("IF(OR(A972="""",D972="""",C972=""""),"""",IFERROR(MAX(0,C972-MAX(FILTER($C$2:$C972,TRIM($D$2:$D972)=TRIM(D972),(($A$2:$A972&lt;A972)+(($A$2:$A972=A972)*(ROW($A$2:$A972)&lt;ROW(A972))))))),""""))"),0.0)</f>
        <v>0</v>
      </c>
    </row>
    <row r="973" ht="22.5" customHeight="1">
      <c r="A973" s="78">
        <v>46174.0</v>
      </c>
      <c r="B973" s="7" t="s">
        <v>11</v>
      </c>
      <c r="C973" s="80">
        <v>27048.0</v>
      </c>
      <c r="D973" s="84" t="str">
        <f>IFERROR(VLOOKUP(B973,BASE_VEICULOS!$A:$B,2,0),"")</f>
        <v>TEW9A28</v>
      </c>
      <c r="E973" s="82">
        <f>IFERROR(__xludf.DUMMYFUNCTION("IF(OR(A973="""",D973="""",C973=""""),"""",IFERROR(MAX(0,C973-MAX(FILTER($C$2:$C973,TRIM($D$2:$D973)=TRIM(D973),(($A$2:$A973&lt;A973)+(($A$2:$A973=A973)*(ROW($A$2:$A973)&lt;ROW(A973))))))),""""))"),0.0)</f>
        <v>0</v>
      </c>
    </row>
    <row r="974" ht="22.5" customHeight="1">
      <c r="A974" s="78">
        <v>46174.0</v>
      </c>
      <c r="B974" s="7" t="s">
        <v>21</v>
      </c>
      <c r="C974" s="80">
        <v>24921.0</v>
      </c>
      <c r="D974" s="84" t="str">
        <f>IFERROR(VLOOKUP(B974,BASE_VEICULOS!$A:$B,2,0),"")</f>
        <v>TEW9A33</v>
      </c>
      <c r="E974" s="82">
        <f>IFERROR(__xludf.DUMMYFUNCTION("IF(OR(A974="""",D974="""",C974=""""),"""",IFERROR(MAX(0,C974-MAX(FILTER($C$2:$C974,TRIM($D$2:$D974)=TRIM(D974),(($A$2:$A974&lt;A974)+(($A$2:$A974=A974)*(ROW($A$2:$A974)&lt;ROW(A974))))))),""""))"),0.0)</f>
        <v>0</v>
      </c>
    </row>
    <row r="975" ht="22.5" customHeight="1">
      <c r="A975" s="78">
        <v>46174.0</v>
      </c>
      <c r="B975" s="7" t="s">
        <v>25</v>
      </c>
      <c r="C975" s="80">
        <v>24075.0</v>
      </c>
      <c r="D975" s="84" t="str">
        <f>IFERROR(VLOOKUP(B975,BASE_VEICULOS!$A:$B,2,0),"")</f>
        <v>TEW9A26</v>
      </c>
      <c r="E975" s="82">
        <f>IFERROR(__xludf.DUMMYFUNCTION("IF(OR(A975="""",D975="""",C975=""""),"""",IFERROR(MAX(0,C975-MAX(FILTER($C$2:$C975,TRIM($D$2:$D975)=TRIM(D975),(($A$2:$A975&lt;A975)+(($A$2:$A975=A975)*(ROW($A$2:$A975)&lt;ROW(A975))))))),""""))"),104.0)</f>
        <v>104</v>
      </c>
    </row>
    <row r="976" ht="22.5" customHeight="1">
      <c r="A976" s="78">
        <v>46174.0</v>
      </c>
      <c r="B976" s="7" t="s">
        <v>24</v>
      </c>
      <c r="C976" s="80">
        <v>23369.0</v>
      </c>
      <c r="D976" s="84" t="str">
        <f>IFERROR(VLOOKUP(B976,BASE_VEICULOS!$A:$B,2,0),"")</f>
        <v>TEW9A23</v>
      </c>
      <c r="E976" s="82">
        <f>IFERROR(__xludf.DUMMYFUNCTION("IF(OR(A976="""",D976="""",C976=""""),"""",IFERROR(MAX(0,C976-MAX(FILTER($C$2:$C976,TRIM($D$2:$D976)=TRIM(D976),(($A$2:$A976&lt;A976)+(($A$2:$A976=A976)*(ROW($A$2:$A976)&lt;ROW(A976))))))),""""))"),0.0)</f>
        <v>0</v>
      </c>
    </row>
    <row r="977" ht="22.5" customHeight="1">
      <c r="A977" s="78">
        <v>46174.0</v>
      </c>
      <c r="B977" s="7" t="s">
        <v>29</v>
      </c>
      <c r="C977" s="80">
        <v>25047.0</v>
      </c>
      <c r="D977" s="84" t="str">
        <f>IFERROR(VLOOKUP(B977,BASE_VEICULOS!$A:$B,2,0),"")</f>
        <v>TEQ2I74</v>
      </c>
      <c r="E977" s="82">
        <f>IFERROR(__xludf.DUMMYFUNCTION("IF(OR(A977="""",D977="""",C977=""""),"""",IFERROR(MAX(0,C977-MAX(FILTER($C$2:$C977,TRIM($D$2:$D977)=TRIM(D977),(($A$2:$A977&lt;A977)+(($A$2:$A977=A977)*(ROW($A$2:$A977)&lt;ROW(A977))))))),""""))"),0.0)</f>
        <v>0</v>
      </c>
    </row>
    <row r="978" ht="22.5" customHeight="1">
      <c r="A978" s="78">
        <v>46174.0</v>
      </c>
      <c r="B978" s="7" t="s">
        <v>15</v>
      </c>
      <c r="C978" s="80">
        <v>113691.0</v>
      </c>
      <c r="D978" s="84" t="str">
        <f>IFERROR(VLOOKUP(B978,BASE_VEICULOS!$A:$B,2,0),"")</f>
        <v>EWH1B84</v>
      </c>
      <c r="E978" s="82">
        <f>IFERROR(__xludf.DUMMYFUNCTION("IF(OR(A978="""",D978="""",C978=""""),"""",IFERROR(MAX(0,C978-MAX(FILTER($C$2:$C978,TRIM($D$2:$D978)=TRIM(D978),(($A$2:$A978&lt;A978)+(($A$2:$A978=A978)*(ROW($A$2:$A978)&lt;ROW(A978))))))),""""))"),0.0)</f>
        <v>0</v>
      </c>
    </row>
    <row r="979" ht="22.5" customHeight="1">
      <c r="A979" s="78">
        <v>46174.0</v>
      </c>
      <c r="B979" s="7" t="s">
        <v>33</v>
      </c>
      <c r="C979" s="80">
        <v>21725.0</v>
      </c>
      <c r="D979" s="84" t="str">
        <f>IFERROR(VLOOKUP(B979,BASE_VEICULOS!$A:$B,2,0),"")</f>
        <v>TEW9A30</v>
      </c>
      <c r="E979" s="82">
        <f>IFERROR(__xludf.DUMMYFUNCTION("IF(OR(A979="""",D979="""",C979=""""),"""",IFERROR(MAX(0,C979-MAX(FILTER($C$2:$C979,TRIM($D$2:$D979)=TRIM(D979),(($A$2:$A979&lt;A979)+(($A$2:$A979=A979)*(ROW($A$2:$A979)&lt;ROW(A979))))))),""""))"),0.0)</f>
        <v>0</v>
      </c>
    </row>
    <row r="980" ht="22.5" customHeight="1">
      <c r="A980" s="78">
        <v>46174.0</v>
      </c>
      <c r="B980" s="7" t="s">
        <v>16</v>
      </c>
      <c r="C980" s="80">
        <v>15783.0</v>
      </c>
      <c r="D980" s="84" t="str">
        <f>IFERROR(VLOOKUP(B980,BASE_VEICULOS!$A:$B,2,0),"")</f>
        <v>TEW9A27</v>
      </c>
      <c r="E980" s="82">
        <f>IFERROR(__xludf.DUMMYFUNCTION("IF(OR(A980="""",D980="""",C980=""""),"""",IFERROR(MAX(0,C980-MAX(FILTER($C$2:$C980,TRIM($D$2:$D980)=TRIM(D980),(($A$2:$A980&lt;A980)+(($A$2:$A980=A980)*(ROW($A$2:$A980)&lt;ROW(A980))))))),""""))"),0.0)</f>
        <v>0</v>
      </c>
    </row>
    <row r="981" ht="22.5" customHeight="1">
      <c r="A981" s="78">
        <v>46178.0</v>
      </c>
      <c r="B981" s="7" t="s">
        <v>12</v>
      </c>
      <c r="C981" s="80">
        <v>96713.0</v>
      </c>
      <c r="D981" s="84" t="str">
        <f>IFERROR(VLOOKUP(B981,BASE_VEICULOS!$A:$B,2,0),"")</f>
        <v>FIL8C14</v>
      </c>
      <c r="E981" s="82">
        <f>IFERROR(__xludf.DUMMYFUNCTION("IF(OR(A981="""",D981="""",C981=""""),"""",IFERROR(MAX(0,C981-MAX(FILTER($C$2:$C981,TRIM($D$2:$D981)=TRIM(D981),(($A$2:$A981&lt;A981)+(($A$2:$A981=A981)*(ROW($A$2:$A981)&lt;ROW(A981))))))),""""))"),421.0)</f>
        <v>421</v>
      </c>
    </row>
    <row r="982" ht="22.5" customHeight="1">
      <c r="A982" s="78">
        <v>46178.0</v>
      </c>
      <c r="B982" s="7" t="s">
        <v>19</v>
      </c>
      <c r="C982" s="80">
        <v>29003.0</v>
      </c>
      <c r="D982" s="84" t="str">
        <f>IFERROR(VLOOKUP(B982,BASE_VEICULOS!$A:$B,2,0),"")</f>
        <v>TEW9A24</v>
      </c>
      <c r="E982" s="82">
        <f>IFERROR(__xludf.DUMMYFUNCTION("IF(OR(A982="""",D982="""",C982=""""),"""",IFERROR(MAX(0,C982-MAX(FILTER($C$2:$C982,TRIM($D$2:$D982)=TRIM(D982),(($A$2:$A982&lt;A982)+(($A$2:$A982=A982)*(ROW($A$2:$A982)&lt;ROW(A982))))))),""""))"),1405.0)</f>
        <v>1405</v>
      </c>
    </row>
    <row r="983" ht="22.5" customHeight="1">
      <c r="A983" s="78">
        <v>46178.0</v>
      </c>
      <c r="B983" s="7" t="s">
        <v>21</v>
      </c>
      <c r="C983" s="80">
        <v>25563.0</v>
      </c>
      <c r="D983" s="84" t="str">
        <f>IFERROR(VLOOKUP(B983,BASE_VEICULOS!$A:$B,2,0),"")</f>
        <v>TEW9A33</v>
      </c>
      <c r="E983" s="82">
        <f>IFERROR(__xludf.DUMMYFUNCTION("IF(OR(A983="""",D983="""",C983=""""),"""",IFERROR(MAX(0,C983-MAX(FILTER($C$2:$C983,TRIM($D$2:$D983)=TRIM(D983),(($A$2:$A983&lt;A983)+(($A$2:$A983=A983)*(ROW($A$2:$A983)&lt;ROW(A983))))))),""""))"),642.0)</f>
        <v>642</v>
      </c>
    </row>
    <row r="984" ht="22.5" customHeight="1">
      <c r="A984" s="78">
        <v>46178.0</v>
      </c>
      <c r="B984" s="7" t="s">
        <v>29</v>
      </c>
      <c r="C984" s="80">
        <v>25331.0</v>
      </c>
      <c r="D984" s="84" t="str">
        <f>IFERROR(VLOOKUP(B984,BASE_VEICULOS!$A:$B,2,0),"")</f>
        <v>TEQ2I74</v>
      </c>
      <c r="E984" s="82">
        <f>IFERROR(__xludf.DUMMYFUNCTION("IF(OR(A984="""",D984="""",C984=""""),"""",IFERROR(MAX(0,C984-MAX(FILTER($C$2:$C984,TRIM($D$2:$D984)=TRIM(D984),(($A$2:$A984&lt;A984)+(($A$2:$A984=A984)*(ROW($A$2:$A984)&lt;ROW(A984))))))),""""))"),0.0)</f>
        <v>0</v>
      </c>
    </row>
    <row r="985" ht="22.5" customHeight="1">
      <c r="A985" s="78">
        <v>46178.0</v>
      </c>
      <c r="B985" s="7" t="s">
        <v>18</v>
      </c>
      <c r="C985" s="80">
        <v>25035.0</v>
      </c>
      <c r="D985" s="84" t="str">
        <f>IFERROR(VLOOKUP(B985,BASE_VEICULOS!$A:$B,2,0),"")</f>
        <v>TEW9A29</v>
      </c>
      <c r="E985" s="82">
        <f>IFERROR(__xludf.DUMMYFUNCTION("IF(OR(A985="""",D985="""",C985=""""),"""",IFERROR(MAX(0,C985-MAX(FILTER($C$2:$C985,TRIM($D$2:$D985)=TRIM(D985),(($A$2:$A985&lt;A985)+(($A$2:$A985=A985)*(ROW($A$2:$A985)&lt;ROW(A985))))))),""""))"),331.0)</f>
        <v>331</v>
      </c>
    </row>
    <row r="986" ht="22.5" customHeight="1">
      <c r="A986" s="78">
        <v>46178.0</v>
      </c>
      <c r="B986" s="7" t="s">
        <v>20</v>
      </c>
      <c r="C986" s="80">
        <v>23929.0</v>
      </c>
      <c r="D986" s="84" t="str">
        <f>IFERROR(VLOOKUP(B986,BASE_VEICULOS!$A:$B,2,0),"")</f>
        <v>TEW9A34</v>
      </c>
      <c r="E986" s="82">
        <f>IFERROR(__xludf.DUMMYFUNCTION("IF(OR(A986="""",D986="""",C986=""""),"""",IFERROR(MAX(0,C986-MAX(FILTER($C$2:$C986,TRIM($D$2:$D986)=TRIM(D986),(($A$2:$A986&lt;A986)+(($A$2:$A986=A986)*(ROW($A$2:$A986)&lt;ROW(A986))))))),""""))"),467.0)</f>
        <v>467</v>
      </c>
    </row>
    <row r="987" ht="22.5" customHeight="1">
      <c r="A987" s="78">
        <v>46178.0</v>
      </c>
      <c r="B987" s="7" t="s">
        <v>25</v>
      </c>
      <c r="C987" s="80">
        <v>24560.0</v>
      </c>
      <c r="D987" s="84" t="str">
        <f>IFERROR(VLOOKUP(B987,BASE_VEICULOS!$A:$B,2,0),"")</f>
        <v>TEW9A26</v>
      </c>
      <c r="E987" s="82">
        <f>IFERROR(__xludf.DUMMYFUNCTION("IF(OR(A987="""",D987="""",C987=""""),"""",IFERROR(MAX(0,C987-MAX(FILTER($C$2:$C987,TRIM($D$2:$D987)=TRIM(D987),(($A$2:$A987&lt;A987)+(($A$2:$A987=A987)*(ROW($A$2:$A987)&lt;ROW(A987))))))),""""))"),485.0)</f>
        <v>485</v>
      </c>
    </row>
    <row r="988" ht="22.5" customHeight="1">
      <c r="A988" s="78">
        <v>46178.0</v>
      </c>
      <c r="B988" s="7" t="s">
        <v>15</v>
      </c>
      <c r="C988" s="80">
        <v>114223.0</v>
      </c>
      <c r="D988" s="84" t="str">
        <f>IFERROR(VLOOKUP(B988,BASE_VEICULOS!$A:$B,2,0),"")</f>
        <v>EWH1B84</v>
      </c>
      <c r="E988" s="82">
        <f>IFERROR(__xludf.DUMMYFUNCTION("IF(OR(A988="""",D988="""",C988=""""),"""",IFERROR(MAX(0,C988-MAX(FILTER($C$2:$C988,TRIM($D$2:$D988)=TRIM(D988),(($A$2:$A988&lt;A988)+(($A$2:$A988=A988)*(ROW($A$2:$A988)&lt;ROW(A988))))))),""""))"),0.0)</f>
        <v>0</v>
      </c>
    </row>
    <row r="989" ht="22.5" customHeight="1">
      <c r="A989" s="78">
        <v>46178.0</v>
      </c>
      <c r="B989" s="7" t="s">
        <v>24</v>
      </c>
      <c r="C989" s="80">
        <v>23810.0</v>
      </c>
      <c r="D989" s="84" t="str">
        <f>IFERROR(VLOOKUP(B989,BASE_VEICULOS!$A:$B,2,0),"")</f>
        <v>TEW9A23</v>
      </c>
      <c r="E989" s="82">
        <f>IFERROR(__xludf.DUMMYFUNCTION("IF(OR(A989="""",D989="""",C989=""""),"""",IFERROR(MAX(0,C989-MAX(FILTER($C$2:$C989,TRIM($D$2:$D989)=TRIM(D989),(($A$2:$A989&lt;A989)+(($A$2:$A989=A989)*(ROW($A$2:$A989)&lt;ROW(A989))))))),""""))"),441.0)</f>
        <v>441</v>
      </c>
    </row>
    <row r="990" ht="22.5" customHeight="1">
      <c r="A990" s="78">
        <v>46178.0</v>
      </c>
      <c r="B990" s="7" t="s">
        <v>14</v>
      </c>
      <c r="C990" s="80">
        <v>98363.0</v>
      </c>
      <c r="D990" s="84" t="str">
        <f>IFERROR(VLOOKUP(B990,BASE_VEICULOS!$A:$B,2,0),"")</f>
        <v>FOK8A73</v>
      </c>
      <c r="E990" s="82">
        <f>IFERROR(__xludf.DUMMYFUNCTION("IF(OR(A990="""",D990="""",C990=""""),"""",IFERROR(MAX(0,C990-MAX(FILTER($C$2:$C990,TRIM($D$2:$D990)=TRIM(D990),(($A$2:$A990&lt;A990)+(($A$2:$A990=A990)*(ROW($A$2:$A990)&lt;ROW(A990))))))),""""))"),901.0)</f>
        <v>901</v>
      </c>
    </row>
    <row r="991" ht="22.5" customHeight="1">
      <c r="A991" s="78">
        <v>46178.0</v>
      </c>
      <c r="B991" s="7" t="s">
        <v>16</v>
      </c>
      <c r="C991" s="80">
        <v>16032.0</v>
      </c>
      <c r="D991" s="84" t="str">
        <f>IFERROR(VLOOKUP(B991,BASE_VEICULOS!$A:$B,2,0),"")</f>
        <v>TEW9A27</v>
      </c>
      <c r="E991" s="82">
        <f>IFERROR(__xludf.DUMMYFUNCTION("IF(OR(A991="""",D991="""",C991=""""),"""",IFERROR(MAX(0,C991-MAX(FILTER($C$2:$C991,TRIM($D$2:$D991)=TRIM(D991),(($A$2:$A991&lt;A991)+(($A$2:$A991=A991)*(ROW($A$2:$A991)&lt;ROW(A991))))))),""""))"),249.0)</f>
        <v>249</v>
      </c>
    </row>
    <row r="992" ht="22.5" customHeight="1">
      <c r="A992" s="78">
        <v>46178.0</v>
      </c>
      <c r="B992" s="7" t="s">
        <v>33</v>
      </c>
      <c r="C992" s="80">
        <v>22512.0</v>
      </c>
      <c r="D992" s="84" t="str">
        <f>IFERROR(VLOOKUP(B992,BASE_VEICULOS!$A:$B,2,0),"")</f>
        <v>TEW9A30</v>
      </c>
      <c r="E992" s="82">
        <f>IFERROR(__xludf.DUMMYFUNCTION("IF(OR(A992="""",D992="""",C992=""""),"""",IFERROR(MAX(0,C992-MAX(FILTER($C$2:$C992,TRIM($D$2:$D992)=TRIM(D992),(($A$2:$A992&lt;A992)+(($A$2:$A992=A992)*(ROW($A$2:$A992)&lt;ROW(A992))))))),""""))"),0.0)</f>
        <v>0</v>
      </c>
    </row>
    <row r="993" ht="22.5" customHeight="1">
      <c r="A993" s="78">
        <v>46178.0</v>
      </c>
      <c r="B993" s="7" t="s">
        <v>13</v>
      </c>
      <c r="C993" s="80">
        <v>113188.0</v>
      </c>
      <c r="D993" s="84" t="str">
        <f>IFERROR(VLOOKUP(B993,BASE_VEICULOS!$A:$B,2,0),"")</f>
        <v>FGO3C61</v>
      </c>
      <c r="E993" s="82">
        <f>IFERROR(__xludf.DUMMYFUNCTION("IF(OR(A993="""",D993="""",C993=""""),"""",IFERROR(MAX(0,C993-MAX(FILTER($C$2:$C993,TRIM($D$2:$D993)=TRIM(D993),(($A$2:$A993&lt;A993)+(($A$2:$A993=A993)*(ROW($A$2:$A993)&lt;ROW(A993))))))),""""))"),813.0)</f>
        <v>813</v>
      </c>
    </row>
    <row r="994" ht="22.5" customHeight="1">
      <c r="A994" s="78">
        <v>46178.0</v>
      </c>
      <c r="B994" s="7" t="s">
        <v>34</v>
      </c>
      <c r="C994" s="80">
        <v>63144.0</v>
      </c>
      <c r="D994" s="84" t="str">
        <f>IFERROR(VLOOKUP(B994,BASE_VEICULOS!$A:$B,2,0),"")</f>
        <v>SRU8D16</v>
      </c>
      <c r="E994" s="82">
        <f>IFERROR(__xludf.DUMMYFUNCTION("IF(OR(A994="""",D994="""",C994=""""),"""",IFERROR(MAX(0,C994-MAX(FILTER($C$2:$C994,TRIM($D$2:$D994)=TRIM(D994),(($A$2:$A994&lt;A994)+(($A$2:$A994=A994)*(ROW($A$2:$A994)&lt;ROW(A994))))))),""""))"),627.0)</f>
        <v>627</v>
      </c>
    </row>
    <row r="995" ht="22.5" customHeight="1">
      <c r="A995" s="78">
        <v>46178.0</v>
      </c>
      <c r="B995" s="7" t="s">
        <v>11</v>
      </c>
      <c r="C995" s="80">
        <v>27226.0</v>
      </c>
      <c r="D995" s="84" t="str">
        <f>IFERROR(VLOOKUP(B995,BASE_VEICULOS!$A:$B,2,0),"")</f>
        <v>TEW9A28</v>
      </c>
      <c r="E995" s="82">
        <f>IFERROR(__xludf.DUMMYFUNCTION("IF(OR(A995="""",D995="""",C995=""""),"""",IFERROR(MAX(0,C995-MAX(FILTER($C$2:$C995,TRIM($D$2:$D995)=TRIM(D995),(($A$2:$A995&lt;A995)+(($A$2:$A995=A995)*(ROW($A$2:$A995)&lt;ROW(A995))))))),""""))"),0.0)</f>
        <v>0</v>
      </c>
    </row>
    <row r="996" ht="22.5" customHeight="1">
      <c r="A996" s="78">
        <v>46178.0</v>
      </c>
      <c r="B996" s="7" t="s">
        <v>22</v>
      </c>
      <c r="C996" s="80">
        <v>38528.0</v>
      </c>
      <c r="D996" s="84" t="str">
        <f>IFERROR(VLOOKUP(B996,BASE_VEICULOS!$A:$B,2,0),"")</f>
        <v>TET5H37</v>
      </c>
      <c r="E996" s="82">
        <f>IFERROR(__xludf.DUMMYFUNCTION("IF(OR(A996="""",D996="""",C996=""""),"""",IFERROR(MAX(0,C996-MAX(FILTER($C$2:$C996,TRIM($D$2:$D996)=TRIM(D996),(($A$2:$A996&lt;A996)+(($A$2:$A996=A996)*(ROW($A$2:$A996)&lt;ROW(A996))))))),""""))"),536.0)</f>
        <v>536</v>
      </c>
    </row>
    <row r="997" ht="22.5" customHeight="1">
      <c r="A997" s="78">
        <v>46180.0</v>
      </c>
      <c r="B997" s="7" t="s">
        <v>14</v>
      </c>
      <c r="C997" s="80">
        <v>98530.0</v>
      </c>
      <c r="D997" s="84" t="str">
        <f>IFERROR(VLOOKUP(B997,BASE_VEICULOS!$A:$B,2,0),"")</f>
        <v>FOK8A73</v>
      </c>
      <c r="E997" s="82">
        <f>IFERROR(__xludf.DUMMYFUNCTION("IF(OR(A997="""",D997="""",C997=""""),"""",IFERROR(MAX(0,C997-MAX(FILTER($C$2:$C997,TRIM($D$2:$D997)=TRIM(D997),(($A$2:$A997&lt;A997)+(($A$2:$A997=A997)*(ROW($A$2:$A997)&lt;ROW(A997))))))),""""))"),167.0)</f>
        <v>167</v>
      </c>
    </row>
    <row r="998" ht="22.5" customHeight="1">
      <c r="A998" s="78"/>
      <c r="B998" s="9"/>
      <c r="C998" s="80"/>
      <c r="D998" s="84" t="str">
        <f>IFERROR(VLOOKUP(B998,BASE_VEICULOS!$A:$B,2,0),"")</f>
        <v/>
      </c>
      <c r="E998" s="82" t="str">
        <f>IFERROR(__xludf.DUMMYFUNCTION("IF(OR(A998="""",D998="""",C998=""""),"""",IFERROR(MAX(0,C998-MAX(FILTER($C$2:$C998,TRIM($D$2:$D998)=TRIM(D998),(($A$2:$A998&lt;A998)+(($A$2:$A998=A998)*(ROW($A$2:$A998)&lt;ROW(A998))))))),""""))"),"")</f>
        <v/>
      </c>
    </row>
    <row r="999" ht="22.5" customHeight="1">
      <c r="A999" s="78"/>
      <c r="B999" s="9"/>
      <c r="C999" s="80"/>
      <c r="D999" s="84" t="str">
        <f>IFERROR(VLOOKUP(B999,BASE_VEICULOS!$A:$B,2,0),"")</f>
        <v/>
      </c>
      <c r="E999" s="82" t="str">
        <f>IFERROR(__xludf.DUMMYFUNCTION("IF(OR(A999="""",D999="""",C999=""""),"""",IFERROR(MAX(0,C999-MAX(FILTER($C$2:$C999,TRIM($D$2:$D999)=TRIM(D999),(($A$2:$A999&lt;A999)+(($A$2:$A999=A999)*(ROW($A$2:$A999)&lt;ROW(A999))))))),""""))"),"")</f>
        <v/>
      </c>
    </row>
    <row r="1000" ht="22.5" customHeight="1">
      <c r="A1000" s="78"/>
      <c r="B1000" s="9"/>
      <c r="C1000" s="80"/>
      <c r="D1000" s="84" t="str">
        <f>IFERROR(VLOOKUP(B1000,BASE_VEICULOS!$A:$B,2,0),"")</f>
        <v/>
      </c>
      <c r="E1000" s="82" t="str">
        <f>IFERROR(__xludf.DUMMYFUNCTION("IF(OR(A1000="""",D1000="""",C1000=""""),"""",IFERROR(MAX(0,C1000-MAX(FILTER($C$2:$C1000,TRIM($D$2:$D1000)=TRIM(D1000),(($A$2:$A1000&lt;A1000)+(($A$2:$A1000=A1000)*(ROW($A$2:$A1000)&lt;ROW(A1000))))))),""""))"),"")</f>
        <v/>
      </c>
    </row>
    <row r="1001" ht="22.5" customHeight="1">
      <c r="A1001" s="78"/>
      <c r="B1001" s="9"/>
      <c r="C1001" s="80"/>
      <c r="D1001" s="84" t="str">
        <f>IFERROR(VLOOKUP(B1001,BASE_VEICULOS!$A:$B,2,0),"")</f>
        <v/>
      </c>
      <c r="E1001" s="82" t="str">
        <f>IFERROR(__xludf.DUMMYFUNCTION("IF(OR(A1001="""",D1001="""",C1001=""""),"""",IFERROR(MAX(0,C1001-MAX(FILTER($C$2:$C1001,TRIM($D$2:$D1001)=TRIM(D1001),(($A$2:$A1001&lt;A1001)+(($A$2:$A1001=A1001)*(ROW($A$2:$A1001)&lt;ROW(A1001))))))),""""))"),"")</f>
        <v/>
      </c>
    </row>
    <row r="1002" ht="22.5" customHeight="1">
      <c r="A1002" s="78"/>
      <c r="B1002" s="9"/>
      <c r="C1002" s="80"/>
      <c r="D1002" s="84" t="str">
        <f>IFERROR(VLOOKUP(B1002,BASE_VEICULOS!$A:$B,2,0),"")</f>
        <v/>
      </c>
      <c r="E1002" s="82" t="str">
        <f>IFERROR(__xludf.DUMMYFUNCTION("IF(OR(A1002="""",D1002="""",C1002=""""),"""",IFERROR(MAX(0,C1002-MAX(FILTER($C$2:$C1002,TRIM($D$2:$D1002)=TRIM(D1002),(($A$2:$A1002&lt;A1002)+(($A$2:$A1002=A1002)*(ROW($A$2:$A1002)&lt;ROW(A1002))))))),""""))"),"")</f>
        <v/>
      </c>
    </row>
  </sheetData>
  <dataValidations>
    <dataValidation type="custom" allowBlank="1" showDropDown="1" sqref="A2:A1002">
      <formula1>OR(NOT(ISERROR(DATEVALUE(A2))), AND(ISNUMBER(A2), LEFT(CELL("format", A2))="D"))</formula1>
    </dataValidation>
    <dataValidation type="custom" allowBlank="1" showDropDown="1" sqref="C2:C1002">
      <formula1>AND(ISNUMBER(C2),(NOT(OR(NOT(ISERROR(DATEVALUE(C2))), AND(ISNUMBER(C2), LEFT(CELL("format", C2))="D")))))</formula1>
    </dataValidation>
    <dataValidation type="list" allowBlank="1" sqref="B2:B1002">
      <formula1>#REF!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14"/>
    <col customWidth="1" min="2" max="2" width="11.86"/>
    <col customWidth="1" min="3" max="3" width="22.0"/>
    <col customWidth="1" min="4" max="4" width="12.86"/>
    <col customWidth="1" min="5" max="5" width="21.0"/>
    <col customWidth="1" min="6" max="6" width="12.86"/>
    <col customWidth="1" min="7" max="7" width="43.0"/>
    <col customWidth="1" min="8" max="8" width="37.0"/>
    <col customWidth="1" min="9" max="9" width="12.71"/>
    <col customWidth="1" min="10" max="10" width="18.71"/>
    <col customWidth="1" min="11" max="11" width="20.29"/>
    <col customWidth="1" min="12" max="12" width="18.29"/>
    <col customWidth="1" min="13" max="13" width="19.71"/>
    <col customWidth="1" min="14" max="14" width="32.86"/>
    <col customWidth="1" min="15" max="15" width="36.71"/>
    <col customWidth="1" min="16" max="16" width="30.57"/>
    <col customWidth="1" min="17" max="17" width="23.86"/>
    <col customWidth="1" min="18" max="18" width="23.29"/>
  </cols>
  <sheetData>
    <row r="1">
      <c r="A1" s="85"/>
      <c r="B1" s="85"/>
      <c r="C1" s="86"/>
      <c r="D1" s="85"/>
      <c r="E1" s="85"/>
      <c r="F1" s="85"/>
      <c r="G1" s="85"/>
      <c r="H1" s="87"/>
      <c r="I1" s="87"/>
      <c r="J1" s="87"/>
      <c r="K1" s="85"/>
      <c r="L1" s="87"/>
      <c r="M1" s="88"/>
      <c r="N1" s="87"/>
      <c r="O1" s="87"/>
      <c r="P1" s="89"/>
      <c r="Q1" s="90"/>
      <c r="R1" s="91"/>
    </row>
    <row r="2" ht="22.5" customHeight="1">
      <c r="A2" s="92" t="s">
        <v>4</v>
      </c>
      <c r="B2" s="93" t="s">
        <v>6</v>
      </c>
      <c r="C2" s="93" t="s">
        <v>135</v>
      </c>
      <c r="D2" s="92" t="s">
        <v>136</v>
      </c>
      <c r="E2" s="92" t="s">
        <v>137</v>
      </c>
      <c r="F2" s="93" t="s">
        <v>138</v>
      </c>
      <c r="G2" s="94" t="s">
        <v>5</v>
      </c>
      <c r="H2" s="94" t="s">
        <v>139</v>
      </c>
      <c r="I2" s="94" t="s">
        <v>7</v>
      </c>
      <c r="J2" s="94" t="s">
        <v>140</v>
      </c>
      <c r="K2" s="93" t="s">
        <v>141</v>
      </c>
      <c r="L2" s="93" t="s">
        <v>142</v>
      </c>
      <c r="M2" s="95" t="s">
        <v>143</v>
      </c>
      <c r="N2" s="92" t="s">
        <v>144</v>
      </c>
      <c r="O2" s="94" t="s">
        <v>145</v>
      </c>
      <c r="P2" s="96" t="s">
        <v>146</v>
      </c>
      <c r="Q2" s="92" t="s">
        <v>147</v>
      </c>
      <c r="R2" s="92" t="s">
        <v>148</v>
      </c>
    </row>
    <row r="3" ht="22.5" customHeight="1">
      <c r="A3" s="75"/>
      <c r="B3" s="97" t="s">
        <v>149</v>
      </c>
      <c r="C3" s="98" t="s">
        <v>150</v>
      </c>
      <c r="D3" s="75">
        <v>1.354465013E9</v>
      </c>
      <c r="E3" s="75" t="s">
        <v>151</v>
      </c>
      <c r="F3" s="75" t="s">
        <v>152</v>
      </c>
      <c r="G3" s="99" t="s">
        <v>66</v>
      </c>
      <c r="H3" s="100"/>
      <c r="I3" s="101"/>
      <c r="J3" s="75" t="s">
        <v>153</v>
      </c>
      <c r="K3" s="75" t="s">
        <v>154</v>
      </c>
      <c r="L3" s="102">
        <v>3000.0</v>
      </c>
      <c r="M3" s="103">
        <v>2470.39</v>
      </c>
      <c r="N3" s="75">
        <v>36.0</v>
      </c>
      <c r="O3" s="104">
        <v>45131.0</v>
      </c>
      <c r="P3" s="104">
        <v>46226.0</v>
      </c>
      <c r="Q3" s="105">
        <v>2357.0</v>
      </c>
      <c r="R3" s="105">
        <v>1.185466176E9</v>
      </c>
    </row>
    <row r="4" ht="22.5" customHeight="1">
      <c r="A4" s="75"/>
      <c r="B4" s="75" t="s">
        <v>155</v>
      </c>
      <c r="C4" s="98" t="s">
        <v>150</v>
      </c>
      <c r="D4" s="75">
        <v>1.354464998E9</v>
      </c>
      <c r="E4" s="75" t="s">
        <v>156</v>
      </c>
      <c r="F4" s="75" t="s">
        <v>152</v>
      </c>
      <c r="G4" s="99" t="s">
        <v>64</v>
      </c>
      <c r="H4" s="100"/>
      <c r="I4" s="101"/>
      <c r="J4" s="75" t="s">
        <v>153</v>
      </c>
      <c r="K4" s="75" t="s">
        <v>154</v>
      </c>
      <c r="L4" s="102">
        <v>3000.0</v>
      </c>
      <c r="M4" s="103">
        <v>2470.39</v>
      </c>
      <c r="N4" s="75">
        <v>36.0</v>
      </c>
      <c r="O4" s="104">
        <v>45131.0</v>
      </c>
      <c r="P4" s="104">
        <v>46226.0</v>
      </c>
      <c r="Q4" s="105">
        <v>806143.0</v>
      </c>
      <c r="R4" s="105">
        <v>1.171264213E9</v>
      </c>
    </row>
    <row r="5" ht="22.5" customHeight="1">
      <c r="A5" s="75" t="s">
        <v>12</v>
      </c>
      <c r="B5" s="75" t="s">
        <v>157</v>
      </c>
      <c r="C5" s="98" t="s">
        <v>150</v>
      </c>
      <c r="D5" s="75">
        <v>1.3576093E9</v>
      </c>
      <c r="E5" s="75" t="s">
        <v>158</v>
      </c>
      <c r="F5" s="75" t="s">
        <v>152</v>
      </c>
      <c r="G5" s="99" t="s">
        <v>64</v>
      </c>
      <c r="H5" s="100" t="s">
        <v>90</v>
      </c>
      <c r="I5" s="101"/>
      <c r="J5" s="75" t="s">
        <v>153</v>
      </c>
      <c r="K5" s="75" t="s">
        <v>154</v>
      </c>
      <c r="L5" s="102">
        <v>3000.0</v>
      </c>
      <c r="M5" s="103">
        <v>2469.15</v>
      </c>
      <c r="N5" s="75">
        <v>36.0</v>
      </c>
      <c r="O5" s="104">
        <v>45180.0</v>
      </c>
      <c r="P5" s="104">
        <v>46275.0</v>
      </c>
      <c r="Q5" s="105">
        <v>1605.0</v>
      </c>
      <c r="R5" s="105">
        <v>1.1770947E9</v>
      </c>
    </row>
    <row r="6" ht="22.5" customHeight="1">
      <c r="A6" s="75" t="s">
        <v>13</v>
      </c>
      <c r="B6" s="75" t="s">
        <v>159</v>
      </c>
      <c r="C6" s="98" t="s">
        <v>150</v>
      </c>
      <c r="D6" s="75">
        <v>1.35446503E9</v>
      </c>
      <c r="E6" s="75" t="s">
        <v>160</v>
      </c>
      <c r="F6" s="75" t="s">
        <v>152</v>
      </c>
      <c r="G6" s="99" t="s">
        <v>66</v>
      </c>
      <c r="H6" s="100" t="s">
        <v>161</v>
      </c>
      <c r="I6" s="101"/>
      <c r="J6" s="75" t="s">
        <v>153</v>
      </c>
      <c r="K6" s="75" t="s">
        <v>154</v>
      </c>
      <c r="L6" s="102">
        <v>3000.0</v>
      </c>
      <c r="M6" s="103">
        <v>2470.39</v>
      </c>
      <c r="N6" s="75">
        <v>36.0</v>
      </c>
      <c r="O6" s="104">
        <v>45131.0</v>
      </c>
      <c r="P6" s="104">
        <v>46226.0</v>
      </c>
      <c r="Q6" s="105">
        <v>9628251.0</v>
      </c>
      <c r="R6" s="105">
        <v>1.176651609E9</v>
      </c>
    </row>
    <row r="7" ht="22.5" customHeight="1">
      <c r="A7" s="75" t="s">
        <v>14</v>
      </c>
      <c r="B7" s="75" t="s">
        <v>162</v>
      </c>
      <c r="C7" s="98" t="s">
        <v>150</v>
      </c>
      <c r="D7" s="75">
        <v>1.35446492E9</v>
      </c>
      <c r="E7" s="75" t="s">
        <v>163</v>
      </c>
      <c r="F7" s="75" t="s">
        <v>152</v>
      </c>
      <c r="G7" s="99" t="s">
        <v>64</v>
      </c>
      <c r="H7" s="100" t="s">
        <v>93</v>
      </c>
      <c r="I7" s="101"/>
      <c r="J7" s="75" t="s">
        <v>153</v>
      </c>
      <c r="K7" s="75" t="s">
        <v>154</v>
      </c>
      <c r="L7" s="102">
        <v>3000.0</v>
      </c>
      <c r="M7" s="103">
        <v>2393.44</v>
      </c>
      <c r="N7" s="75">
        <v>36.0</v>
      </c>
      <c r="O7" s="104">
        <v>45131.0</v>
      </c>
      <c r="P7" s="104">
        <v>46226.0</v>
      </c>
      <c r="Q7" s="105">
        <v>695700.0</v>
      </c>
      <c r="R7" s="105">
        <v>1.175599242E9</v>
      </c>
    </row>
    <row r="8" ht="22.5" customHeight="1">
      <c r="A8" s="75" t="s">
        <v>15</v>
      </c>
      <c r="B8" s="75" t="s">
        <v>164</v>
      </c>
      <c r="C8" s="98" t="s">
        <v>150</v>
      </c>
      <c r="D8" s="75">
        <v>1.357609288E9</v>
      </c>
      <c r="E8" s="75" t="s">
        <v>165</v>
      </c>
      <c r="F8" s="75" t="s">
        <v>152</v>
      </c>
      <c r="G8" s="99" t="s">
        <v>66</v>
      </c>
      <c r="H8" s="100" t="s">
        <v>94</v>
      </c>
      <c r="I8" s="101"/>
      <c r="J8" s="75" t="s">
        <v>153</v>
      </c>
      <c r="K8" s="75" t="s">
        <v>154</v>
      </c>
      <c r="L8" s="102">
        <v>3000.0</v>
      </c>
      <c r="M8" s="103">
        <v>2469.15</v>
      </c>
      <c r="N8" s="75">
        <v>36.0</v>
      </c>
      <c r="O8" s="104">
        <v>45239.0</v>
      </c>
      <c r="P8" s="104">
        <v>46275.0</v>
      </c>
      <c r="Q8" s="106">
        <v>806598.0</v>
      </c>
      <c r="R8" s="105">
        <v>1.175775665E9</v>
      </c>
    </row>
    <row r="9" ht="15.75" customHeight="1">
      <c r="A9" s="75" t="s">
        <v>128</v>
      </c>
      <c r="B9" s="75" t="s">
        <v>166</v>
      </c>
      <c r="C9" s="98" t="s">
        <v>167</v>
      </c>
      <c r="D9" s="75"/>
      <c r="E9" s="75"/>
      <c r="F9" s="75" t="s">
        <v>168</v>
      </c>
      <c r="G9" s="99" t="s">
        <v>67</v>
      </c>
      <c r="H9" s="100" t="s">
        <v>128</v>
      </c>
      <c r="I9" s="101"/>
      <c r="J9" s="75" t="s">
        <v>153</v>
      </c>
      <c r="K9" s="75" t="s">
        <v>154</v>
      </c>
      <c r="L9" s="102">
        <v>3000.0</v>
      </c>
      <c r="M9" s="103">
        <v>3395.0</v>
      </c>
      <c r="N9" s="75">
        <v>36.0</v>
      </c>
      <c r="O9" s="104">
        <v>45566.0</v>
      </c>
      <c r="P9" s="104">
        <v>46660.0</v>
      </c>
      <c r="Q9" s="106">
        <v>1571.0</v>
      </c>
      <c r="R9" s="105">
        <v>1.12231575E9</v>
      </c>
    </row>
    <row r="10" ht="15.75" customHeight="1">
      <c r="A10" s="75" t="s">
        <v>22</v>
      </c>
      <c r="B10" s="75" t="s">
        <v>169</v>
      </c>
      <c r="C10" s="107" t="s">
        <v>170</v>
      </c>
      <c r="D10" s="108">
        <v>1.44524082E9</v>
      </c>
      <c r="E10" s="108" t="s">
        <v>171</v>
      </c>
      <c r="F10" s="108" t="s">
        <v>152</v>
      </c>
      <c r="G10" s="99" t="s">
        <v>40</v>
      </c>
      <c r="H10" s="100" t="s">
        <v>82</v>
      </c>
      <c r="I10" s="101"/>
      <c r="J10" s="108" t="s">
        <v>172</v>
      </c>
      <c r="K10" s="108" t="s">
        <v>173</v>
      </c>
      <c r="L10" s="109">
        <v>3000.0</v>
      </c>
      <c r="M10" s="110">
        <v>2700.0</v>
      </c>
      <c r="N10" s="75">
        <v>1.0</v>
      </c>
      <c r="O10" s="111">
        <v>45940.0</v>
      </c>
      <c r="P10" s="111"/>
      <c r="Q10" s="108">
        <v>973232.0</v>
      </c>
      <c r="R10" s="105">
        <v>1.173593437E9</v>
      </c>
    </row>
    <row r="11" ht="15.75" customHeight="1">
      <c r="A11" s="75" t="s">
        <v>113</v>
      </c>
      <c r="B11" s="75" t="s">
        <v>174</v>
      </c>
      <c r="C11" s="112" t="s">
        <v>175</v>
      </c>
      <c r="D11" s="97"/>
      <c r="E11" s="97"/>
      <c r="F11" s="108" t="s">
        <v>176</v>
      </c>
      <c r="G11" s="99" t="s">
        <v>67</v>
      </c>
      <c r="H11" s="100" t="s">
        <v>113</v>
      </c>
      <c r="I11" s="101"/>
      <c r="J11" s="108" t="s">
        <v>172</v>
      </c>
      <c r="K11" s="108" t="s">
        <v>177</v>
      </c>
      <c r="L11" s="109">
        <v>2500.0</v>
      </c>
      <c r="M11" s="110">
        <v>3500.0</v>
      </c>
      <c r="N11" s="75">
        <v>1.0</v>
      </c>
      <c r="O11" s="111">
        <v>45958.0</v>
      </c>
      <c r="P11" s="113"/>
      <c r="Q11" s="108">
        <v>1589.0</v>
      </c>
      <c r="R11" s="105">
        <v>1.112920117E9</v>
      </c>
    </row>
    <row r="12" ht="15.75" customHeight="1">
      <c r="A12" s="75" t="s">
        <v>24</v>
      </c>
      <c r="B12" s="75" t="s">
        <v>178</v>
      </c>
      <c r="C12" s="112" t="s">
        <v>179</v>
      </c>
      <c r="D12" s="97">
        <v>1.448038399E9</v>
      </c>
      <c r="E12" s="97" t="s">
        <v>180</v>
      </c>
      <c r="F12" s="108" t="s">
        <v>152</v>
      </c>
      <c r="G12" s="99" t="s">
        <v>40</v>
      </c>
      <c r="H12" s="100" t="s">
        <v>86</v>
      </c>
      <c r="I12" s="108"/>
      <c r="J12" s="75" t="s">
        <v>153</v>
      </c>
      <c r="K12" s="75" t="s">
        <v>154</v>
      </c>
      <c r="L12" s="108">
        <v>3000.0</v>
      </c>
      <c r="M12" s="110">
        <v>2989.0</v>
      </c>
      <c r="N12" s="75">
        <v>36.0</v>
      </c>
      <c r="O12" s="111">
        <v>45951.0</v>
      </c>
      <c r="P12" s="111">
        <v>47046.0</v>
      </c>
      <c r="Q12" s="108">
        <v>2705.0</v>
      </c>
      <c r="R12" s="105">
        <v>1.177898618E9</v>
      </c>
    </row>
    <row r="13" ht="15.75" customHeight="1">
      <c r="A13" s="75" t="s">
        <v>19</v>
      </c>
      <c r="B13" s="97" t="s">
        <v>181</v>
      </c>
      <c r="C13" s="112" t="s">
        <v>179</v>
      </c>
      <c r="D13" s="97">
        <v>1.448038402E9</v>
      </c>
      <c r="E13" s="97" t="s">
        <v>182</v>
      </c>
      <c r="F13" s="108" t="s">
        <v>152</v>
      </c>
      <c r="G13" s="99" t="s">
        <v>40</v>
      </c>
      <c r="H13" s="100" t="s">
        <v>75</v>
      </c>
      <c r="I13" s="108"/>
      <c r="J13" s="75" t="s">
        <v>153</v>
      </c>
      <c r="K13" s="75" t="s">
        <v>154</v>
      </c>
      <c r="L13" s="108">
        <v>3000.0</v>
      </c>
      <c r="M13" s="110">
        <v>2989.0</v>
      </c>
      <c r="N13" s="75">
        <v>36.0</v>
      </c>
      <c r="O13" s="111">
        <v>45950.0</v>
      </c>
      <c r="P13" s="111">
        <v>47045.0</v>
      </c>
      <c r="Q13" s="108">
        <v>2339.0</v>
      </c>
      <c r="R13" s="105">
        <v>1.166514872E9</v>
      </c>
    </row>
    <row r="14" ht="15.75" customHeight="1">
      <c r="A14" s="75" t="s">
        <v>10</v>
      </c>
      <c r="B14" s="97" t="s">
        <v>183</v>
      </c>
      <c r="C14" s="112" t="s">
        <v>179</v>
      </c>
      <c r="D14" s="97">
        <v>1.44803841E9</v>
      </c>
      <c r="E14" s="97" t="s">
        <v>184</v>
      </c>
      <c r="F14" s="108" t="s">
        <v>152</v>
      </c>
      <c r="G14" s="99" t="s">
        <v>64</v>
      </c>
      <c r="H14" s="100" t="s">
        <v>73</v>
      </c>
      <c r="I14" s="114"/>
      <c r="J14" s="75" t="s">
        <v>153</v>
      </c>
      <c r="K14" s="75" t="s">
        <v>154</v>
      </c>
      <c r="L14" s="115">
        <v>3000.0</v>
      </c>
      <c r="M14" s="116">
        <v>2989.0</v>
      </c>
      <c r="N14" s="117">
        <v>36.0</v>
      </c>
      <c r="O14" s="111">
        <v>45953.0</v>
      </c>
      <c r="P14" s="111">
        <v>47048.0</v>
      </c>
      <c r="Q14" s="118">
        <v>6580.0</v>
      </c>
      <c r="R14" s="105">
        <v>1.123931107E9</v>
      </c>
    </row>
    <row r="15" ht="15.75" customHeight="1">
      <c r="A15" s="75" t="s">
        <v>25</v>
      </c>
      <c r="B15" s="97" t="s">
        <v>185</v>
      </c>
      <c r="C15" s="112" t="s">
        <v>179</v>
      </c>
      <c r="D15" s="97">
        <v>1.448038429E9</v>
      </c>
      <c r="E15" s="97" t="s">
        <v>186</v>
      </c>
      <c r="F15" s="108" t="s">
        <v>152</v>
      </c>
      <c r="G15" s="99" t="s">
        <v>40</v>
      </c>
      <c r="H15" s="100" t="s">
        <v>87</v>
      </c>
      <c r="I15" s="101"/>
      <c r="J15" s="75" t="s">
        <v>153</v>
      </c>
      <c r="K15" s="75" t="s">
        <v>154</v>
      </c>
      <c r="L15" s="108">
        <v>3000.0</v>
      </c>
      <c r="M15" s="110">
        <v>2989.0</v>
      </c>
      <c r="N15" s="75">
        <v>36.0</v>
      </c>
      <c r="O15" s="111">
        <v>45957.0</v>
      </c>
      <c r="P15" s="111">
        <v>47052.0</v>
      </c>
      <c r="Q15" s="108">
        <v>2332.0</v>
      </c>
      <c r="R15" s="105">
        <v>1.164571683E9</v>
      </c>
    </row>
    <row r="16" ht="15.75" customHeight="1">
      <c r="A16" s="75" t="s">
        <v>20</v>
      </c>
      <c r="B16" s="97" t="s">
        <v>187</v>
      </c>
      <c r="C16" s="112" t="s">
        <v>179</v>
      </c>
      <c r="D16" s="97">
        <v>1.448038496E9</v>
      </c>
      <c r="E16" s="97" t="s">
        <v>188</v>
      </c>
      <c r="F16" s="108" t="s">
        <v>152</v>
      </c>
      <c r="G16" s="99" t="s">
        <v>40</v>
      </c>
      <c r="H16" s="100" t="s">
        <v>76</v>
      </c>
      <c r="I16" s="108"/>
      <c r="J16" s="75" t="s">
        <v>153</v>
      </c>
      <c r="K16" s="75" t="s">
        <v>154</v>
      </c>
      <c r="L16" s="108">
        <v>3000.0</v>
      </c>
      <c r="M16" s="110">
        <v>2989.0</v>
      </c>
      <c r="N16" s="75">
        <v>36.0</v>
      </c>
      <c r="O16" s="111">
        <v>45951.0</v>
      </c>
      <c r="P16" s="111">
        <v>47046.0</v>
      </c>
      <c r="Q16" s="108">
        <v>2313.0</v>
      </c>
      <c r="R16" s="105">
        <v>1.137666461E9</v>
      </c>
    </row>
    <row r="17" ht="15.75" customHeight="1">
      <c r="A17" s="75" t="s">
        <v>16</v>
      </c>
      <c r="B17" s="97" t="s">
        <v>189</v>
      </c>
      <c r="C17" s="112" t="s">
        <v>179</v>
      </c>
      <c r="D17" s="97">
        <v>1.448038437E9</v>
      </c>
      <c r="E17" s="97" t="s">
        <v>190</v>
      </c>
      <c r="F17" s="108" t="s">
        <v>152</v>
      </c>
      <c r="G17" s="99" t="s">
        <v>66</v>
      </c>
      <c r="H17" s="100" t="s">
        <v>191</v>
      </c>
      <c r="I17" s="108"/>
      <c r="J17" s="75" t="s">
        <v>153</v>
      </c>
      <c r="K17" s="75" t="s">
        <v>154</v>
      </c>
      <c r="L17" s="108">
        <v>3000.0</v>
      </c>
      <c r="M17" s="110">
        <v>2989.0</v>
      </c>
      <c r="N17" s="75">
        <v>36.0</v>
      </c>
      <c r="O17" s="111">
        <v>45966.0</v>
      </c>
      <c r="P17" s="111">
        <v>47061.0</v>
      </c>
      <c r="Q17" s="108">
        <v>1639.0</v>
      </c>
      <c r="R17" s="105">
        <v>1.15957578E9</v>
      </c>
    </row>
    <row r="18" ht="15.75" customHeight="1">
      <c r="A18" s="75" t="s">
        <v>11</v>
      </c>
      <c r="B18" s="97" t="s">
        <v>192</v>
      </c>
      <c r="C18" s="112" t="s">
        <v>179</v>
      </c>
      <c r="D18" s="97">
        <v>1.448038445E9</v>
      </c>
      <c r="E18" s="97" t="s">
        <v>193</v>
      </c>
      <c r="F18" s="108" t="s">
        <v>152</v>
      </c>
      <c r="G18" s="99" t="s">
        <v>40</v>
      </c>
      <c r="H18" s="100" t="s">
        <v>194</v>
      </c>
      <c r="I18" s="108"/>
      <c r="J18" s="75" t="s">
        <v>153</v>
      </c>
      <c r="K18" s="75" t="s">
        <v>154</v>
      </c>
      <c r="L18" s="108">
        <v>3000.0</v>
      </c>
      <c r="M18" s="110">
        <v>2989.0</v>
      </c>
      <c r="N18" s="75">
        <v>36.0</v>
      </c>
      <c r="O18" s="111">
        <v>45965.0</v>
      </c>
      <c r="P18" s="111">
        <v>47060.0</v>
      </c>
      <c r="Q18" s="108">
        <v>8151.0</v>
      </c>
      <c r="R18" s="105">
        <v>1.110504952E9</v>
      </c>
    </row>
    <row r="19" ht="15.75" customHeight="1">
      <c r="A19" s="75" t="s">
        <v>18</v>
      </c>
      <c r="B19" s="97" t="s">
        <v>195</v>
      </c>
      <c r="C19" s="112" t="s">
        <v>179</v>
      </c>
      <c r="D19" s="97">
        <v>1.448038453E9</v>
      </c>
      <c r="E19" s="97" t="s">
        <v>196</v>
      </c>
      <c r="F19" s="108" t="s">
        <v>152</v>
      </c>
      <c r="G19" s="99" t="s">
        <v>64</v>
      </c>
      <c r="H19" s="100" t="s">
        <v>96</v>
      </c>
      <c r="I19" s="108"/>
      <c r="J19" s="75" t="s">
        <v>153</v>
      </c>
      <c r="K19" s="75" t="s">
        <v>154</v>
      </c>
      <c r="L19" s="108">
        <v>3000.0</v>
      </c>
      <c r="M19" s="110">
        <v>2989.0</v>
      </c>
      <c r="N19" s="75">
        <v>36.0</v>
      </c>
      <c r="O19" s="111">
        <v>45951.0</v>
      </c>
      <c r="P19" s="111">
        <v>47046.0</v>
      </c>
      <c r="Q19" s="119">
        <v>4187.0</v>
      </c>
      <c r="R19" s="105">
        <v>1.130417477E9</v>
      </c>
    </row>
    <row r="20" ht="15.75" customHeight="1">
      <c r="A20" s="75" t="s">
        <v>33</v>
      </c>
      <c r="B20" s="97" t="s">
        <v>197</v>
      </c>
      <c r="C20" s="112" t="s">
        <v>179</v>
      </c>
      <c r="D20" s="97">
        <v>1.44800592E9</v>
      </c>
      <c r="E20" s="97" t="s">
        <v>198</v>
      </c>
      <c r="F20" s="108" t="s">
        <v>152</v>
      </c>
      <c r="G20" s="99" t="s">
        <v>40</v>
      </c>
      <c r="H20" s="100" t="s">
        <v>74</v>
      </c>
      <c r="I20" s="101"/>
      <c r="J20" s="75" t="s">
        <v>153</v>
      </c>
      <c r="K20" s="75" t="s">
        <v>154</v>
      </c>
      <c r="L20" s="108">
        <v>3000.0</v>
      </c>
      <c r="M20" s="110">
        <v>2989.0</v>
      </c>
      <c r="N20" s="75">
        <v>36.0</v>
      </c>
      <c r="O20" s="111">
        <v>45972.0</v>
      </c>
      <c r="P20" s="111">
        <v>47067.0</v>
      </c>
      <c r="Q20" s="108">
        <v>4153.0</v>
      </c>
      <c r="R20" s="105">
        <v>1.148099343E9</v>
      </c>
    </row>
    <row r="21" ht="15.75" customHeight="1">
      <c r="A21" s="75" t="s">
        <v>21</v>
      </c>
      <c r="B21" s="97" t="s">
        <v>199</v>
      </c>
      <c r="C21" s="112" t="s">
        <v>179</v>
      </c>
      <c r="D21" s="97">
        <v>1.448038488E9</v>
      </c>
      <c r="E21" s="97" t="s">
        <v>200</v>
      </c>
      <c r="F21" s="108" t="s">
        <v>152</v>
      </c>
      <c r="G21" s="99" t="s">
        <v>40</v>
      </c>
      <c r="H21" s="100" t="s">
        <v>77</v>
      </c>
      <c r="I21" s="108"/>
      <c r="J21" s="75" t="s">
        <v>153</v>
      </c>
      <c r="K21" s="75" t="s">
        <v>154</v>
      </c>
      <c r="L21" s="108">
        <v>3000.0</v>
      </c>
      <c r="M21" s="110">
        <v>2989.0</v>
      </c>
      <c r="N21" s="75">
        <v>36.0</v>
      </c>
      <c r="O21" s="111">
        <v>45951.0</v>
      </c>
      <c r="P21" s="111">
        <v>47046.0</v>
      </c>
      <c r="Q21" s="108">
        <v>1984.0</v>
      </c>
      <c r="R21" s="105">
        <v>1.155524837E9</v>
      </c>
    </row>
    <row r="22" ht="15.75" customHeight="1">
      <c r="A22" s="75" t="s">
        <v>201</v>
      </c>
      <c r="B22" s="97" t="s">
        <v>202</v>
      </c>
      <c r="C22" s="112" t="s">
        <v>179</v>
      </c>
      <c r="D22" s="120"/>
      <c r="E22" s="120"/>
      <c r="F22" s="108" t="s">
        <v>152</v>
      </c>
      <c r="G22" s="99" t="s">
        <v>40</v>
      </c>
      <c r="H22" s="100" t="s">
        <v>203</v>
      </c>
      <c r="I22" s="120"/>
      <c r="J22" s="108" t="s">
        <v>172</v>
      </c>
      <c r="K22" s="108" t="s">
        <v>173</v>
      </c>
      <c r="L22" s="108">
        <v>3000.0</v>
      </c>
      <c r="M22" s="110">
        <v>3200.0</v>
      </c>
      <c r="N22" s="75">
        <v>1.0</v>
      </c>
      <c r="O22" s="111">
        <v>46034.0</v>
      </c>
      <c r="P22" s="113"/>
      <c r="Q22" s="119">
        <v>2340.0</v>
      </c>
      <c r="R22" s="105">
        <v>2.159564773E9</v>
      </c>
    </row>
    <row r="23" ht="15.75" customHeight="1">
      <c r="A23" s="75" t="s">
        <v>27</v>
      </c>
      <c r="B23" s="97" t="s">
        <v>204</v>
      </c>
      <c r="C23" s="112" t="s">
        <v>150</v>
      </c>
      <c r="D23" s="108">
        <v>1.388078837E9</v>
      </c>
      <c r="E23" s="108" t="s">
        <v>205</v>
      </c>
      <c r="F23" s="108" t="s">
        <v>206</v>
      </c>
      <c r="G23" s="99" t="s">
        <v>66</v>
      </c>
      <c r="H23" s="100" t="s">
        <v>27</v>
      </c>
      <c r="I23" s="120"/>
      <c r="J23" s="108" t="s">
        <v>172</v>
      </c>
      <c r="K23" s="108" t="s">
        <v>207</v>
      </c>
      <c r="L23" s="108">
        <v>4000.0</v>
      </c>
      <c r="M23" s="110">
        <v>2685.0</v>
      </c>
      <c r="N23" s="75">
        <v>1.0</v>
      </c>
      <c r="O23" s="111">
        <v>46161.0</v>
      </c>
      <c r="P23" s="113"/>
      <c r="Q23" s="108">
        <v>502.0</v>
      </c>
      <c r="R23" s="105">
        <v>1.133409223E9</v>
      </c>
    </row>
    <row r="24" ht="15.75" customHeight="1">
      <c r="A24" s="75" t="s">
        <v>29</v>
      </c>
      <c r="B24" s="97" t="s">
        <v>208</v>
      </c>
      <c r="C24" s="107" t="s">
        <v>170</v>
      </c>
      <c r="D24" s="108">
        <v>1.391954022E9</v>
      </c>
      <c r="E24" s="108" t="s">
        <v>209</v>
      </c>
      <c r="F24" s="108" t="s">
        <v>152</v>
      </c>
      <c r="G24" s="99" t="s">
        <v>40</v>
      </c>
      <c r="H24" s="100" t="s">
        <v>79</v>
      </c>
      <c r="I24" s="120"/>
      <c r="J24" s="108" t="s">
        <v>172</v>
      </c>
      <c r="K24" s="108" t="s">
        <v>173</v>
      </c>
      <c r="L24" s="108">
        <v>3000.0</v>
      </c>
      <c r="M24" s="110">
        <v>2700.0</v>
      </c>
      <c r="N24" s="75">
        <v>1.0</v>
      </c>
      <c r="O24" s="111">
        <v>46076.0</v>
      </c>
      <c r="P24" s="113"/>
      <c r="Q24" s="108">
        <v>2365.0</v>
      </c>
      <c r="R24" s="108">
        <v>2.156453657E9</v>
      </c>
    </row>
    <row r="25" ht="15.75" customHeight="1">
      <c r="A25" s="121" t="s">
        <v>33</v>
      </c>
      <c r="B25" s="121" t="s">
        <v>210</v>
      </c>
      <c r="C25" s="121" t="s">
        <v>211</v>
      </c>
      <c r="D25" s="121">
        <v>1.391953069E9</v>
      </c>
      <c r="E25" s="121" t="s">
        <v>212</v>
      </c>
      <c r="F25" s="121" t="s">
        <v>152</v>
      </c>
      <c r="G25" s="122" t="s">
        <v>40</v>
      </c>
      <c r="H25" s="100" t="s">
        <v>74</v>
      </c>
      <c r="I25" s="121"/>
      <c r="J25" s="121" t="s">
        <v>172</v>
      </c>
      <c r="K25" s="121" t="s">
        <v>173</v>
      </c>
      <c r="L25" s="121">
        <v>3000.0</v>
      </c>
      <c r="M25" s="123">
        <v>2700.0</v>
      </c>
      <c r="N25" s="124">
        <v>1.0</v>
      </c>
      <c r="O25" s="125">
        <v>46083.0</v>
      </c>
      <c r="P25" s="126"/>
      <c r="Q25" s="97">
        <v>4599.0</v>
      </c>
      <c r="R25" s="121">
        <v>2.156453657E9</v>
      </c>
    </row>
    <row r="26" ht="15.75" customHeight="1">
      <c r="A26" s="75" t="s">
        <v>23</v>
      </c>
      <c r="B26" s="97" t="s">
        <v>213</v>
      </c>
      <c r="C26" s="112" t="s">
        <v>179</v>
      </c>
      <c r="D26" s="127"/>
      <c r="E26" s="121"/>
      <c r="F26" s="121"/>
      <c r="G26" s="99" t="s">
        <v>40</v>
      </c>
      <c r="H26" s="100" t="s">
        <v>214</v>
      </c>
      <c r="I26" s="121"/>
      <c r="J26" s="121" t="s">
        <v>172</v>
      </c>
      <c r="K26" s="121" t="s">
        <v>173</v>
      </c>
      <c r="L26" s="121">
        <v>3000.0</v>
      </c>
      <c r="M26" s="128">
        <v>3200.0</v>
      </c>
      <c r="N26" s="97">
        <v>1.0</v>
      </c>
      <c r="O26" s="125">
        <v>46092.0</v>
      </c>
      <c r="P26" s="126"/>
      <c r="Q26" s="97"/>
      <c r="R26" s="127"/>
    </row>
    <row r="27" ht="15.75" customHeight="1">
      <c r="A27" s="97" t="s">
        <v>34</v>
      </c>
      <c r="B27" s="97" t="s">
        <v>215</v>
      </c>
      <c r="C27" s="112" t="s">
        <v>211</v>
      </c>
      <c r="D27" s="127"/>
      <c r="E27" s="121"/>
      <c r="F27" s="97" t="s">
        <v>206</v>
      </c>
      <c r="G27" s="99" t="s">
        <v>40</v>
      </c>
      <c r="H27" s="100" t="s">
        <v>216</v>
      </c>
      <c r="I27" s="121"/>
      <c r="J27" s="121" t="s">
        <v>172</v>
      </c>
      <c r="K27" s="121" t="s">
        <v>173</v>
      </c>
      <c r="L27" s="121">
        <v>3000.0</v>
      </c>
      <c r="M27" s="123">
        <v>2700.0</v>
      </c>
      <c r="N27" s="97">
        <v>1.0</v>
      </c>
      <c r="O27" s="125"/>
      <c r="P27" s="126"/>
      <c r="Q27" s="97">
        <v>567.0</v>
      </c>
      <c r="R27" s="127"/>
    </row>
    <row r="28" ht="15.75" customHeight="1">
      <c r="A28" s="97" t="s">
        <v>217</v>
      </c>
      <c r="B28" s="97" t="s">
        <v>218</v>
      </c>
      <c r="C28" s="112" t="s">
        <v>179</v>
      </c>
      <c r="D28" s="108">
        <v>1.388078837E9</v>
      </c>
      <c r="E28" s="108" t="s">
        <v>205</v>
      </c>
      <c r="F28" s="108" t="s">
        <v>152</v>
      </c>
      <c r="G28" s="129" t="s">
        <v>40</v>
      </c>
      <c r="H28" s="130" t="s">
        <v>219</v>
      </c>
      <c r="I28" s="131"/>
      <c r="J28" s="121" t="s">
        <v>172</v>
      </c>
      <c r="K28" s="121" t="s">
        <v>173</v>
      </c>
      <c r="L28" s="121">
        <v>3000.0</v>
      </c>
      <c r="M28" s="128">
        <v>3200.0</v>
      </c>
      <c r="N28" s="132">
        <v>1.0</v>
      </c>
      <c r="O28" s="133"/>
      <c r="P28" s="133"/>
      <c r="Q28" s="134">
        <v>5678.0</v>
      </c>
      <c r="R28" s="135">
        <v>1.185466176E9</v>
      </c>
    </row>
    <row r="29" ht="15.75" customHeight="1">
      <c r="A29" s="97" t="s">
        <v>220</v>
      </c>
      <c r="B29" s="97" t="s">
        <v>221</v>
      </c>
      <c r="C29" s="112" t="s">
        <v>222</v>
      </c>
      <c r="D29" s="136"/>
      <c r="E29" s="108"/>
      <c r="F29" s="108" t="s">
        <v>152</v>
      </c>
      <c r="G29" s="137" t="s">
        <v>67</v>
      </c>
      <c r="H29" s="138" t="s">
        <v>120</v>
      </c>
      <c r="I29" s="139"/>
      <c r="J29" s="121" t="s">
        <v>172</v>
      </c>
      <c r="K29" s="121" t="s">
        <v>173</v>
      </c>
      <c r="L29" s="121"/>
      <c r="M29" s="128">
        <v>3900.0</v>
      </c>
      <c r="N29" s="140">
        <v>1.0</v>
      </c>
      <c r="O29" s="141"/>
      <c r="P29" s="141"/>
      <c r="Q29" s="142"/>
      <c r="R29" s="143"/>
    </row>
    <row r="30" ht="15.75" customHeight="1">
      <c r="A30" s="90"/>
      <c r="B30" s="90"/>
      <c r="C30" s="144"/>
      <c r="D30" s="145"/>
      <c r="E30" s="90"/>
      <c r="F30" s="90"/>
      <c r="G30" s="90"/>
      <c r="H30" s="90"/>
      <c r="I30" s="90"/>
      <c r="J30" s="90"/>
      <c r="K30" s="90"/>
      <c r="L30" s="90"/>
      <c r="M30" s="146"/>
      <c r="N30" s="147"/>
      <c r="O30" s="147"/>
      <c r="P30" s="148"/>
      <c r="Q30" s="90"/>
      <c r="R30" s="91"/>
    </row>
    <row r="31" ht="15.75" customHeight="1">
      <c r="A31" s="90"/>
      <c r="B31" s="90"/>
      <c r="C31" s="144"/>
      <c r="D31" s="145"/>
      <c r="E31" s="90"/>
      <c r="F31" s="90"/>
      <c r="G31" s="90"/>
      <c r="H31" s="90"/>
      <c r="I31" s="90"/>
      <c r="J31" s="90"/>
      <c r="K31" s="90"/>
      <c r="L31" s="90"/>
      <c r="M31" s="146"/>
      <c r="N31" s="147"/>
      <c r="O31" s="147"/>
      <c r="P31" s="148"/>
      <c r="Q31" s="90"/>
      <c r="R31" s="91"/>
    </row>
    <row r="32" ht="15.75" customHeight="1">
      <c r="A32" s="90"/>
      <c r="B32" s="90"/>
      <c r="C32" s="144"/>
      <c r="D32" s="145"/>
      <c r="E32" s="90"/>
      <c r="F32" s="90"/>
      <c r="G32" s="90"/>
      <c r="H32" s="90"/>
      <c r="I32" s="90"/>
      <c r="J32" s="90"/>
      <c r="K32" s="90"/>
      <c r="L32" s="90"/>
      <c r="M32" s="146"/>
      <c r="N32" s="147"/>
      <c r="O32" s="147"/>
      <c r="P32" s="148"/>
      <c r="Q32" s="90"/>
      <c r="R32" s="91"/>
    </row>
    <row r="33" ht="15.75" customHeight="1">
      <c r="A33" s="90"/>
      <c r="B33" s="90"/>
      <c r="C33" s="144"/>
      <c r="D33" s="145"/>
      <c r="E33" s="90"/>
      <c r="F33" s="90"/>
      <c r="G33" s="90"/>
      <c r="H33" s="90"/>
      <c r="I33" s="90"/>
      <c r="J33" s="90"/>
      <c r="K33" s="90"/>
      <c r="L33" s="90"/>
      <c r="M33" s="146"/>
      <c r="N33" s="147"/>
      <c r="O33" s="147"/>
      <c r="P33" s="148"/>
      <c r="Q33" s="90"/>
      <c r="R33" s="91"/>
    </row>
    <row r="34" ht="15.75" customHeight="1">
      <c r="A34" s="90"/>
      <c r="B34" s="90"/>
      <c r="C34" s="144"/>
      <c r="D34" s="145"/>
      <c r="E34" s="90"/>
      <c r="F34" s="90"/>
      <c r="G34" s="90"/>
      <c r="H34" s="90"/>
      <c r="I34" s="90"/>
      <c r="J34" s="90"/>
      <c r="K34" s="90"/>
      <c r="L34" s="90"/>
      <c r="M34" s="146"/>
      <c r="N34" s="147"/>
      <c r="O34" s="147"/>
      <c r="P34" s="148"/>
      <c r="Q34" s="90"/>
      <c r="R34" s="91"/>
    </row>
    <row r="35" ht="15.75" customHeight="1">
      <c r="A35" s="90"/>
      <c r="B35" s="90"/>
      <c r="C35" s="144"/>
      <c r="D35" s="145"/>
      <c r="E35" s="90"/>
      <c r="F35" s="90"/>
      <c r="G35" s="90"/>
      <c r="H35" s="90"/>
      <c r="I35" s="90"/>
      <c r="J35" s="90"/>
      <c r="K35" s="90"/>
      <c r="L35" s="90"/>
      <c r="M35" s="146"/>
      <c r="N35" s="147"/>
      <c r="O35" s="147"/>
      <c r="P35" s="148"/>
      <c r="Q35" s="90"/>
      <c r="R35" s="91"/>
    </row>
    <row r="36" ht="15.75" customHeight="1">
      <c r="A36" s="90"/>
      <c r="B36" s="90"/>
      <c r="C36" s="144"/>
      <c r="D36" s="145"/>
      <c r="E36" s="90"/>
      <c r="F36" s="90"/>
      <c r="G36" s="90"/>
      <c r="H36" s="90"/>
      <c r="I36" s="90"/>
      <c r="J36" s="90"/>
      <c r="K36" s="90"/>
      <c r="L36" s="90"/>
      <c r="M36" s="146"/>
      <c r="N36" s="147"/>
      <c r="O36" s="147"/>
      <c r="P36" s="148"/>
      <c r="Q36" s="90"/>
      <c r="R36" s="91"/>
    </row>
    <row r="37" ht="15.75" customHeight="1">
      <c r="A37" s="90"/>
      <c r="B37" s="90"/>
      <c r="C37" s="144"/>
      <c r="D37" s="145"/>
      <c r="E37" s="90"/>
      <c r="F37" s="90"/>
      <c r="G37" s="90"/>
      <c r="H37" s="90"/>
      <c r="I37" s="90"/>
      <c r="J37" s="90"/>
      <c r="K37" s="90"/>
      <c r="L37" s="90"/>
      <c r="M37" s="146"/>
      <c r="N37" s="147"/>
      <c r="O37" s="147"/>
      <c r="P37" s="148"/>
      <c r="Q37" s="90"/>
      <c r="R37" s="91"/>
    </row>
    <row r="38" ht="15.75" customHeight="1">
      <c r="A38" s="90"/>
      <c r="B38" s="90"/>
      <c r="C38" s="144"/>
      <c r="D38" s="145"/>
      <c r="E38" s="90"/>
      <c r="F38" s="90"/>
      <c r="G38" s="90"/>
      <c r="H38" s="90"/>
      <c r="I38" s="90"/>
      <c r="J38" s="90"/>
      <c r="K38" s="90"/>
      <c r="L38" s="90"/>
      <c r="M38" s="146"/>
      <c r="N38" s="147"/>
      <c r="O38" s="147"/>
      <c r="P38" s="148"/>
      <c r="Q38" s="90"/>
      <c r="R38" s="91"/>
    </row>
    <row r="39" ht="15.75" customHeight="1">
      <c r="A39" s="90"/>
      <c r="B39" s="90"/>
      <c r="C39" s="144"/>
      <c r="D39" s="145"/>
      <c r="E39" s="90"/>
      <c r="F39" s="90"/>
      <c r="G39" s="90"/>
      <c r="H39" s="90"/>
      <c r="I39" s="90"/>
      <c r="J39" s="90"/>
      <c r="K39" s="90"/>
      <c r="L39" s="90"/>
      <c r="M39" s="146"/>
      <c r="N39" s="147"/>
      <c r="O39" s="147"/>
      <c r="P39" s="148"/>
      <c r="Q39" s="90"/>
      <c r="R39" s="91"/>
    </row>
    <row r="40" ht="15.75" customHeight="1">
      <c r="A40" s="90"/>
      <c r="B40" s="90"/>
      <c r="C40" s="144"/>
      <c r="D40" s="145"/>
      <c r="E40" s="90"/>
      <c r="F40" s="90"/>
      <c r="G40" s="90"/>
      <c r="H40" s="90"/>
      <c r="I40" s="90"/>
      <c r="J40" s="90"/>
      <c r="K40" s="90"/>
      <c r="L40" s="90"/>
      <c r="M40" s="146"/>
      <c r="N40" s="147"/>
      <c r="O40" s="147"/>
      <c r="P40" s="148"/>
      <c r="Q40" s="90"/>
      <c r="R40" s="91"/>
    </row>
    <row r="41" ht="15.75" customHeight="1">
      <c r="A41" s="90"/>
      <c r="B41" s="90"/>
      <c r="C41" s="144"/>
      <c r="D41" s="145"/>
      <c r="E41" s="90"/>
      <c r="F41" s="90"/>
      <c r="G41" s="90"/>
      <c r="H41" s="90"/>
      <c r="I41" s="90"/>
      <c r="J41" s="90"/>
      <c r="K41" s="90"/>
      <c r="L41" s="90"/>
      <c r="M41" s="146"/>
      <c r="N41" s="147"/>
      <c r="O41" s="147"/>
      <c r="P41" s="148"/>
      <c r="Q41" s="90"/>
      <c r="R41" s="91"/>
    </row>
    <row r="42" ht="15.75" customHeight="1">
      <c r="A42" s="90"/>
      <c r="B42" s="90"/>
      <c r="C42" s="144"/>
      <c r="D42" s="145"/>
      <c r="E42" s="90"/>
      <c r="F42" s="90"/>
      <c r="G42" s="90"/>
      <c r="H42" s="90"/>
      <c r="I42" s="90"/>
      <c r="J42" s="90"/>
      <c r="K42" s="90"/>
      <c r="L42" s="90"/>
      <c r="M42" s="146"/>
      <c r="N42" s="147"/>
      <c r="O42" s="147"/>
      <c r="P42" s="148"/>
      <c r="Q42" s="90"/>
      <c r="R42" s="91"/>
    </row>
    <row r="43" ht="15.75" customHeight="1">
      <c r="A43" s="90"/>
      <c r="B43" s="90"/>
      <c r="C43" s="144"/>
      <c r="D43" s="145"/>
      <c r="E43" s="90"/>
      <c r="F43" s="90"/>
      <c r="G43" s="90"/>
      <c r="H43" s="90"/>
      <c r="I43" s="90"/>
      <c r="J43" s="90"/>
      <c r="K43" s="90"/>
      <c r="L43" s="90"/>
      <c r="M43" s="146"/>
      <c r="N43" s="147"/>
      <c r="O43" s="147"/>
      <c r="P43" s="148"/>
      <c r="Q43" s="90"/>
      <c r="R43" s="91"/>
    </row>
    <row r="44" ht="15.75" customHeight="1">
      <c r="A44" s="90"/>
      <c r="B44" s="90"/>
      <c r="C44" s="144"/>
      <c r="D44" s="145"/>
      <c r="E44" s="90"/>
      <c r="F44" s="90"/>
      <c r="G44" s="90"/>
      <c r="H44" s="90"/>
      <c r="I44" s="90"/>
      <c r="J44" s="90"/>
      <c r="K44" s="90"/>
      <c r="L44" s="90"/>
      <c r="M44" s="146"/>
      <c r="N44" s="147"/>
      <c r="O44" s="147"/>
      <c r="P44" s="148"/>
      <c r="Q44" s="90"/>
      <c r="R44" s="91"/>
    </row>
    <row r="45" ht="15.75" customHeight="1">
      <c r="A45" s="90"/>
      <c r="B45" s="90"/>
      <c r="C45" s="144"/>
      <c r="D45" s="145"/>
      <c r="E45" s="90"/>
      <c r="F45" s="90"/>
      <c r="G45" s="90"/>
      <c r="H45" s="90"/>
      <c r="I45" s="90"/>
      <c r="J45" s="90"/>
      <c r="K45" s="90"/>
      <c r="L45" s="90"/>
      <c r="M45" s="146"/>
      <c r="N45" s="147"/>
      <c r="O45" s="147"/>
      <c r="P45" s="148"/>
      <c r="Q45" s="90"/>
      <c r="R45" s="91"/>
    </row>
    <row r="46" ht="15.75" customHeight="1">
      <c r="A46" s="90"/>
      <c r="B46" s="90"/>
      <c r="C46" s="144"/>
      <c r="D46" s="145"/>
      <c r="E46" s="90"/>
      <c r="F46" s="90"/>
      <c r="G46" s="90"/>
      <c r="H46" s="90"/>
      <c r="I46" s="90"/>
      <c r="J46" s="90"/>
      <c r="K46" s="90"/>
      <c r="L46" s="90"/>
      <c r="M46" s="146"/>
      <c r="N46" s="147"/>
      <c r="O46" s="147"/>
      <c r="P46" s="148"/>
      <c r="Q46" s="90"/>
      <c r="R46" s="91"/>
    </row>
    <row r="47" ht="15.75" customHeight="1">
      <c r="A47" s="90"/>
      <c r="B47" s="90"/>
      <c r="C47" s="144"/>
      <c r="D47" s="145"/>
      <c r="E47" s="90"/>
      <c r="F47" s="90"/>
      <c r="G47" s="90"/>
      <c r="H47" s="90"/>
      <c r="I47" s="90"/>
      <c r="J47" s="90"/>
      <c r="K47" s="90"/>
      <c r="L47" s="90"/>
      <c r="M47" s="146"/>
      <c r="N47" s="147"/>
      <c r="O47" s="147"/>
      <c r="P47" s="148"/>
      <c r="Q47" s="90"/>
      <c r="R47" s="91"/>
    </row>
    <row r="48" ht="15.75" customHeight="1">
      <c r="A48" s="90"/>
      <c r="B48" s="90"/>
      <c r="C48" s="144"/>
      <c r="D48" s="145"/>
      <c r="E48" s="90"/>
      <c r="F48" s="90"/>
      <c r="G48" s="90"/>
      <c r="H48" s="90"/>
      <c r="I48" s="90"/>
      <c r="J48" s="90"/>
      <c r="K48" s="90"/>
      <c r="L48" s="90"/>
      <c r="M48" s="146"/>
      <c r="N48" s="147"/>
      <c r="O48" s="147"/>
      <c r="P48" s="148"/>
      <c r="Q48" s="90"/>
      <c r="R48" s="91"/>
    </row>
    <row r="49" ht="15.75" customHeight="1">
      <c r="A49" s="90"/>
      <c r="B49" s="90"/>
      <c r="C49" s="144"/>
      <c r="D49" s="145"/>
      <c r="E49" s="90"/>
      <c r="F49" s="90"/>
      <c r="G49" s="90"/>
      <c r="H49" s="90"/>
      <c r="I49" s="90"/>
      <c r="J49" s="90"/>
      <c r="K49" s="90"/>
      <c r="L49" s="90"/>
      <c r="M49" s="146"/>
      <c r="N49" s="147"/>
      <c r="O49" s="147"/>
      <c r="P49" s="148"/>
      <c r="Q49" s="90"/>
      <c r="R49" s="91"/>
    </row>
    <row r="50" ht="15.75" customHeight="1">
      <c r="A50" s="90"/>
      <c r="B50" s="90"/>
      <c r="C50" s="144"/>
      <c r="D50" s="145"/>
      <c r="E50" s="90"/>
      <c r="F50" s="90"/>
      <c r="G50" s="90"/>
      <c r="H50" s="90"/>
      <c r="I50" s="90"/>
      <c r="J50" s="90"/>
      <c r="K50" s="90"/>
      <c r="L50" s="90"/>
      <c r="M50" s="146"/>
      <c r="N50" s="147"/>
      <c r="O50" s="147"/>
      <c r="P50" s="148"/>
      <c r="Q50" s="90"/>
      <c r="R50" s="91"/>
    </row>
    <row r="51" ht="15.75" customHeight="1">
      <c r="A51" s="90"/>
      <c r="B51" s="90"/>
      <c r="C51" s="144"/>
      <c r="D51" s="145"/>
      <c r="E51" s="90"/>
      <c r="F51" s="90"/>
      <c r="G51" s="90"/>
      <c r="H51" s="90"/>
      <c r="I51" s="90"/>
      <c r="J51" s="90"/>
      <c r="K51" s="90"/>
      <c r="L51" s="90"/>
      <c r="M51" s="146"/>
      <c r="N51" s="147"/>
      <c r="O51" s="147"/>
      <c r="P51" s="148"/>
      <c r="Q51" s="90"/>
      <c r="R51" s="91"/>
    </row>
    <row r="52" ht="15.75" customHeight="1">
      <c r="A52" s="90"/>
      <c r="B52" s="90"/>
      <c r="C52" s="144"/>
      <c r="D52" s="145"/>
      <c r="E52" s="90"/>
      <c r="F52" s="90"/>
      <c r="G52" s="90"/>
      <c r="H52" s="90"/>
      <c r="I52" s="90"/>
      <c r="J52" s="90"/>
      <c r="K52" s="90"/>
      <c r="L52" s="90"/>
      <c r="M52" s="146"/>
      <c r="N52" s="147"/>
      <c r="O52" s="147"/>
      <c r="P52" s="148"/>
      <c r="Q52" s="90"/>
      <c r="R52" s="91"/>
    </row>
    <row r="53" ht="15.75" customHeight="1">
      <c r="A53" s="90"/>
      <c r="B53" s="90"/>
      <c r="C53" s="144"/>
      <c r="D53" s="145"/>
      <c r="E53" s="90"/>
      <c r="F53" s="90"/>
      <c r="G53" s="90"/>
      <c r="H53" s="90"/>
      <c r="I53" s="90"/>
      <c r="J53" s="90"/>
      <c r="K53" s="90"/>
      <c r="L53" s="90"/>
      <c r="M53" s="146"/>
      <c r="N53" s="147"/>
      <c r="O53" s="147"/>
      <c r="P53" s="148"/>
      <c r="Q53" s="90"/>
      <c r="R53" s="91"/>
    </row>
    <row r="54" ht="15.75" customHeight="1">
      <c r="A54" s="90"/>
      <c r="B54" s="90"/>
      <c r="C54" s="144"/>
      <c r="D54" s="145"/>
      <c r="E54" s="90"/>
      <c r="F54" s="90"/>
      <c r="G54" s="90"/>
      <c r="H54" s="90"/>
      <c r="I54" s="90"/>
      <c r="J54" s="90"/>
      <c r="K54" s="90"/>
      <c r="L54" s="90"/>
      <c r="M54" s="146"/>
      <c r="N54" s="147"/>
      <c r="O54" s="147"/>
      <c r="P54" s="148"/>
      <c r="Q54" s="90"/>
      <c r="R54" s="91"/>
    </row>
    <row r="55" ht="15.75" customHeight="1">
      <c r="A55" s="90"/>
      <c r="B55" s="90"/>
      <c r="C55" s="144"/>
      <c r="D55" s="145"/>
      <c r="E55" s="90"/>
      <c r="F55" s="90"/>
      <c r="G55" s="90"/>
      <c r="H55" s="90"/>
      <c r="I55" s="90"/>
      <c r="J55" s="90"/>
      <c r="K55" s="90"/>
      <c r="L55" s="90"/>
      <c r="M55" s="146"/>
      <c r="N55" s="147"/>
      <c r="O55" s="147"/>
      <c r="P55" s="148"/>
      <c r="Q55" s="90"/>
      <c r="R55" s="91"/>
    </row>
    <row r="56" ht="15.75" customHeight="1">
      <c r="A56" s="90"/>
      <c r="B56" s="90"/>
      <c r="C56" s="144"/>
      <c r="D56" s="145"/>
      <c r="E56" s="90"/>
      <c r="F56" s="90"/>
      <c r="G56" s="90"/>
      <c r="H56" s="90"/>
      <c r="I56" s="90"/>
      <c r="J56" s="90"/>
      <c r="K56" s="90"/>
      <c r="L56" s="90"/>
      <c r="M56" s="146"/>
      <c r="N56" s="147"/>
      <c r="O56" s="147"/>
      <c r="P56" s="148"/>
      <c r="Q56" s="90"/>
      <c r="R56" s="91"/>
    </row>
    <row r="57" ht="15.75" customHeight="1">
      <c r="A57" s="90"/>
      <c r="B57" s="90"/>
      <c r="C57" s="144"/>
      <c r="D57" s="145"/>
      <c r="E57" s="90"/>
      <c r="F57" s="90"/>
      <c r="G57" s="90"/>
      <c r="H57" s="90"/>
      <c r="I57" s="90"/>
      <c r="J57" s="90"/>
      <c r="K57" s="90"/>
      <c r="L57" s="90"/>
      <c r="M57" s="146"/>
      <c r="N57" s="147"/>
      <c r="O57" s="147"/>
      <c r="P57" s="148"/>
      <c r="Q57" s="90"/>
      <c r="R57" s="91"/>
    </row>
    <row r="58" ht="15.75" customHeight="1">
      <c r="A58" s="90"/>
      <c r="B58" s="90"/>
      <c r="C58" s="144"/>
      <c r="D58" s="145"/>
      <c r="E58" s="90"/>
      <c r="F58" s="90"/>
      <c r="G58" s="90"/>
      <c r="H58" s="90"/>
      <c r="I58" s="90"/>
      <c r="J58" s="90"/>
      <c r="K58" s="90"/>
      <c r="L58" s="90"/>
      <c r="M58" s="146"/>
      <c r="N58" s="147"/>
      <c r="O58" s="147"/>
      <c r="P58" s="148"/>
      <c r="Q58" s="90"/>
      <c r="R58" s="91"/>
    </row>
    <row r="59" ht="15.75" customHeight="1">
      <c r="A59" s="90"/>
      <c r="B59" s="90"/>
      <c r="C59" s="144"/>
      <c r="D59" s="145"/>
      <c r="E59" s="90"/>
      <c r="F59" s="90"/>
      <c r="G59" s="90"/>
      <c r="H59" s="90"/>
      <c r="I59" s="90"/>
      <c r="J59" s="90"/>
      <c r="K59" s="90"/>
      <c r="L59" s="90"/>
      <c r="M59" s="146"/>
      <c r="N59" s="147"/>
      <c r="O59" s="147"/>
      <c r="P59" s="148"/>
      <c r="Q59" s="90"/>
      <c r="R59" s="91"/>
    </row>
    <row r="60" ht="15.75" customHeight="1">
      <c r="A60" s="90"/>
      <c r="B60" s="90"/>
      <c r="C60" s="144"/>
      <c r="D60" s="145"/>
      <c r="E60" s="90"/>
      <c r="F60" s="90"/>
      <c r="G60" s="90"/>
      <c r="H60" s="90"/>
      <c r="I60" s="90"/>
      <c r="J60" s="90"/>
      <c r="K60" s="90"/>
      <c r="L60" s="90"/>
      <c r="M60" s="146"/>
      <c r="N60" s="147"/>
      <c r="O60" s="147"/>
      <c r="P60" s="148"/>
      <c r="Q60" s="90"/>
      <c r="R60" s="91"/>
    </row>
    <row r="61" ht="15.75" customHeight="1">
      <c r="A61" s="90"/>
      <c r="B61" s="90"/>
      <c r="C61" s="144"/>
      <c r="D61" s="145"/>
      <c r="E61" s="90"/>
      <c r="F61" s="90"/>
      <c r="G61" s="90"/>
      <c r="H61" s="90"/>
      <c r="I61" s="90"/>
      <c r="J61" s="90"/>
      <c r="K61" s="90"/>
      <c r="L61" s="90"/>
      <c r="M61" s="146"/>
      <c r="N61" s="147"/>
      <c r="O61" s="147"/>
      <c r="P61" s="148"/>
      <c r="Q61" s="90"/>
      <c r="R61" s="91"/>
    </row>
    <row r="62" ht="15.75" customHeight="1">
      <c r="A62" s="90"/>
      <c r="B62" s="90"/>
      <c r="C62" s="144"/>
      <c r="D62" s="145"/>
      <c r="E62" s="90"/>
      <c r="F62" s="90"/>
      <c r="G62" s="90"/>
      <c r="H62" s="90"/>
      <c r="I62" s="90"/>
      <c r="J62" s="90"/>
      <c r="K62" s="90"/>
      <c r="L62" s="90"/>
      <c r="M62" s="146"/>
      <c r="N62" s="147"/>
      <c r="O62" s="147"/>
      <c r="P62" s="148"/>
      <c r="Q62" s="90"/>
      <c r="R62" s="91"/>
    </row>
    <row r="63" ht="15.75" customHeight="1">
      <c r="A63" s="90"/>
      <c r="B63" s="90"/>
      <c r="C63" s="144"/>
      <c r="D63" s="145"/>
      <c r="E63" s="90"/>
      <c r="F63" s="90"/>
      <c r="G63" s="90"/>
      <c r="H63" s="90"/>
      <c r="I63" s="90"/>
      <c r="J63" s="90"/>
      <c r="K63" s="90"/>
      <c r="L63" s="90"/>
      <c r="M63" s="146"/>
      <c r="N63" s="147"/>
      <c r="O63" s="147"/>
      <c r="P63" s="148"/>
      <c r="Q63" s="90"/>
      <c r="R63" s="91"/>
    </row>
    <row r="64" ht="15.75" customHeight="1">
      <c r="A64" s="90"/>
      <c r="B64" s="90"/>
      <c r="C64" s="144"/>
      <c r="D64" s="145"/>
      <c r="E64" s="90"/>
      <c r="F64" s="90"/>
      <c r="G64" s="90"/>
      <c r="H64" s="90"/>
      <c r="I64" s="90"/>
      <c r="J64" s="90"/>
      <c r="K64" s="90"/>
      <c r="L64" s="90"/>
      <c r="M64" s="146"/>
      <c r="N64" s="147"/>
      <c r="O64" s="147"/>
      <c r="P64" s="148"/>
      <c r="Q64" s="90"/>
      <c r="R64" s="91"/>
    </row>
    <row r="65" ht="15.75" customHeight="1">
      <c r="A65" s="90"/>
      <c r="B65" s="90"/>
      <c r="C65" s="144"/>
      <c r="D65" s="145"/>
      <c r="E65" s="90"/>
      <c r="F65" s="90"/>
      <c r="G65" s="90"/>
      <c r="H65" s="90"/>
      <c r="I65" s="90"/>
      <c r="J65" s="90"/>
      <c r="K65" s="90"/>
      <c r="L65" s="90"/>
      <c r="M65" s="146"/>
      <c r="N65" s="147"/>
      <c r="O65" s="147"/>
      <c r="P65" s="148"/>
      <c r="Q65" s="90"/>
      <c r="R65" s="91"/>
    </row>
    <row r="66" ht="15.75" customHeight="1">
      <c r="A66" s="90"/>
      <c r="B66" s="90"/>
      <c r="C66" s="144"/>
      <c r="D66" s="145"/>
      <c r="E66" s="90"/>
      <c r="F66" s="90"/>
      <c r="G66" s="90"/>
      <c r="H66" s="90"/>
      <c r="I66" s="90"/>
      <c r="J66" s="90"/>
      <c r="K66" s="90"/>
      <c r="L66" s="90"/>
      <c r="M66" s="146"/>
      <c r="N66" s="147"/>
      <c r="O66" s="147"/>
      <c r="P66" s="148"/>
      <c r="Q66" s="90"/>
      <c r="R66" s="91"/>
    </row>
    <row r="67" ht="15.75" customHeight="1">
      <c r="A67" s="90"/>
      <c r="B67" s="90"/>
      <c r="C67" s="144"/>
      <c r="D67" s="145"/>
      <c r="E67" s="90"/>
      <c r="F67" s="90"/>
      <c r="G67" s="90"/>
      <c r="H67" s="90"/>
      <c r="I67" s="90"/>
      <c r="J67" s="90"/>
      <c r="K67" s="90"/>
      <c r="L67" s="90"/>
      <c r="M67" s="146"/>
      <c r="N67" s="147"/>
      <c r="O67" s="147"/>
      <c r="P67" s="148"/>
      <c r="Q67" s="90"/>
      <c r="R67" s="91"/>
    </row>
    <row r="68" ht="15.75" customHeight="1">
      <c r="A68" s="90"/>
      <c r="B68" s="90"/>
      <c r="C68" s="144"/>
      <c r="D68" s="145"/>
      <c r="E68" s="90"/>
      <c r="F68" s="90"/>
      <c r="G68" s="90"/>
      <c r="H68" s="90"/>
      <c r="I68" s="90"/>
      <c r="J68" s="90"/>
      <c r="K68" s="90"/>
      <c r="L68" s="90"/>
      <c r="M68" s="146"/>
      <c r="N68" s="147"/>
      <c r="O68" s="147"/>
      <c r="P68" s="148"/>
      <c r="Q68" s="90"/>
      <c r="R68" s="91"/>
    </row>
    <row r="69" ht="15.75" customHeight="1">
      <c r="A69" s="90"/>
      <c r="B69" s="90"/>
      <c r="C69" s="144"/>
      <c r="D69" s="145"/>
      <c r="E69" s="90"/>
      <c r="F69" s="90"/>
      <c r="G69" s="90"/>
      <c r="H69" s="90"/>
      <c r="I69" s="90"/>
      <c r="J69" s="90"/>
      <c r="K69" s="90"/>
      <c r="L69" s="90"/>
      <c r="M69" s="146"/>
      <c r="N69" s="147"/>
      <c r="O69" s="147"/>
      <c r="P69" s="148"/>
      <c r="Q69" s="90"/>
      <c r="R69" s="91"/>
    </row>
    <row r="70" ht="15.75" customHeight="1">
      <c r="A70" s="90"/>
      <c r="B70" s="90"/>
      <c r="C70" s="144"/>
      <c r="D70" s="145"/>
      <c r="E70" s="90"/>
      <c r="F70" s="90"/>
      <c r="G70" s="90"/>
      <c r="H70" s="90"/>
      <c r="I70" s="90"/>
      <c r="J70" s="90"/>
      <c r="K70" s="90"/>
      <c r="L70" s="90"/>
      <c r="M70" s="146"/>
      <c r="N70" s="147"/>
      <c r="O70" s="147"/>
      <c r="P70" s="148"/>
      <c r="Q70" s="90"/>
      <c r="R70" s="91"/>
    </row>
    <row r="71" ht="15.75" customHeight="1">
      <c r="A71" s="90"/>
      <c r="B71" s="90"/>
      <c r="C71" s="144"/>
      <c r="D71" s="145"/>
      <c r="E71" s="90"/>
      <c r="F71" s="90"/>
      <c r="G71" s="90"/>
      <c r="H71" s="90"/>
      <c r="I71" s="90"/>
      <c r="J71" s="90"/>
      <c r="K71" s="90"/>
      <c r="L71" s="90"/>
      <c r="M71" s="146"/>
      <c r="N71" s="147"/>
      <c r="O71" s="147"/>
      <c r="P71" s="148"/>
      <c r="Q71" s="90"/>
      <c r="R71" s="91"/>
    </row>
    <row r="72" ht="15.75" customHeight="1">
      <c r="A72" s="90"/>
      <c r="B72" s="90"/>
      <c r="C72" s="144"/>
      <c r="D72" s="145"/>
      <c r="E72" s="90"/>
      <c r="F72" s="90"/>
      <c r="G72" s="90"/>
      <c r="H72" s="90"/>
      <c r="I72" s="90"/>
      <c r="J72" s="90"/>
      <c r="K72" s="90"/>
      <c r="L72" s="90"/>
      <c r="M72" s="146"/>
      <c r="N72" s="147"/>
      <c r="O72" s="147"/>
      <c r="P72" s="148"/>
      <c r="Q72" s="90"/>
      <c r="R72" s="91"/>
    </row>
    <row r="73" ht="15.75" customHeight="1">
      <c r="A73" s="90"/>
      <c r="B73" s="90"/>
      <c r="C73" s="144"/>
      <c r="D73" s="145"/>
      <c r="E73" s="90"/>
      <c r="F73" s="90"/>
      <c r="G73" s="90"/>
      <c r="H73" s="90"/>
      <c r="I73" s="90"/>
      <c r="J73" s="90"/>
      <c r="K73" s="90"/>
      <c r="L73" s="90"/>
      <c r="M73" s="146"/>
      <c r="N73" s="147"/>
      <c r="O73" s="147"/>
      <c r="P73" s="148"/>
      <c r="Q73" s="90"/>
      <c r="R73" s="91"/>
    </row>
    <row r="74" ht="15.75" customHeight="1">
      <c r="A74" s="90"/>
      <c r="B74" s="90"/>
      <c r="C74" s="144"/>
      <c r="D74" s="145"/>
      <c r="E74" s="90"/>
      <c r="F74" s="90"/>
      <c r="G74" s="90"/>
      <c r="H74" s="90"/>
      <c r="I74" s="90"/>
      <c r="J74" s="90"/>
      <c r="K74" s="90"/>
      <c r="L74" s="90"/>
      <c r="M74" s="146"/>
      <c r="N74" s="147"/>
      <c r="O74" s="147"/>
      <c r="P74" s="148"/>
      <c r="Q74" s="90"/>
      <c r="R74" s="91"/>
    </row>
    <row r="75" ht="15.75" customHeight="1">
      <c r="A75" s="90"/>
      <c r="B75" s="90"/>
      <c r="C75" s="144"/>
      <c r="D75" s="145"/>
      <c r="E75" s="90"/>
      <c r="F75" s="90"/>
      <c r="G75" s="90"/>
      <c r="H75" s="90"/>
      <c r="I75" s="90"/>
      <c r="J75" s="90"/>
      <c r="K75" s="90"/>
      <c r="L75" s="90"/>
      <c r="M75" s="146"/>
      <c r="N75" s="147"/>
      <c r="O75" s="147"/>
      <c r="P75" s="148"/>
      <c r="Q75" s="90"/>
      <c r="R75" s="91"/>
    </row>
    <row r="76" ht="15.75" customHeight="1">
      <c r="A76" s="90"/>
      <c r="B76" s="90"/>
      <c r="C76" s="144"/>
      <c r="D76" s="145"/>
      <c r="E76" s="90"/>
      <c r="F76" s="90"/>
      <c r="G76" s="90"/>
      <c r="H76" s="90"/>
      <c r="I76" s="90"/>
      <c r="J76" s="90"/>
      <c r="K76" s="90"/>
      <c r="L76" s="90"/>
      <c r="M76" s="146"/>
      <c r="N76" s="147"/>
      <c r="O76" s="147"/>
      <c r="P76" s="148"/>
      <c r="Q76" s="90"/>
      <c r="R76" s="91"/>
    </row>
    <row r="77" ht="15.75" customHeight="1">
      <c r="A77" s="90"/>
      <c r="B77" s="90"/>
      <c r="C77" s="144"/>
      <c r="D77" s="145"/>
      <c r="E77" s="90"/>
      <c r="F77" s="90"/>
      <c r="G77" s="90"/>
      <c r="H77" s="90"/>
      <c r="I77" s="90"/>
      <c r="J77" s="90"/>
      <c r="K77" s="90"/>
      <c r="L77" s="90"/>
      <c r="M77" s="146"/>
      <c r="N77" s="147"/>
      <c r="O77" s="147"/>
      <c r="P77" s="148"/>
      <c r="Q77" s="90"/>
      <c r="R77" s="91"/>
    </row>
    <row r="78" ht="15.75" customHeight="1">
      <c r="A78" s="90"/>
      <c r="B78" s="90"/>
      <c r="C78" s="144"/>
      <c r="D78" s="145"/>
      <c r="E78" s="90"/>
      <c r="F78" s="90"/>
      <c r="G78" s="90"/>
      <c r="H78" s="90"/>
      <c r="I78" s="90"/>
      <c r="J78" s="90"/>
      <c r="K78" s="90"/>
      <c r="L78" s="90"/>
      <c r="M78" s="146"/>
      <c r="N78" s="147"/>
      <c r="O78" s="147"/>
      <c r="P78" s="148"/>
      <c r="Q78" s="90"/>
      <c r="R78" s="91"/>
    </row>
    <row r="79" ht="15.75" customHeight="1">
      <c r="A79" s="90"/>
      <c r="B79" s="90"/>
      <c r="C79" s="144"/>
      <c r="D79" s="145"/>
      <c r="E79" s="90"/>
      <c r="F79" s="90"/>
      <c r="G79" s="90"/>
      <c r="H79" s="90"/>
      <c r="I79" s="90"/>
      <c r="J79" s="90"/>
      <c r="K79" s="90"/>
      <c r="L79" s="90"/>
      <c r="M79" s="146"/>
      <c r="N79" s="147"/>
      <c r="O79" s="147"/>
      <c r="P79" s="148"/>
      <c r="Q79" s="90"/>
      <c r="R79" s="91"/>
    </row>
    <row r="80" ht="15.75" customHeight="1">
      <c r="A80" s="90"/>
      <c r="B80" s="90"/>
      <c r="C80" s="144"/>
      <c r="D80" s="145"/>
      <c r="E80" s="90"/>
      <c r="F80" s="90"/>
      <c r="G80" s="90"/>
      <c r="H80" s="90"/>
      <c r="I80" s="90"/>
      <c r="J80" s="90"/>
      <c r="K80" s="90"/>
      <c r="L80" s="90"/>
      <c r="M80" s="146"/>
      <c r="N80" s="147"/>
      <c r="O80" s="147"/>
      <c r="P80" s="148"/>
      <c r="Q80" s="90"/>
      <c r="R80" s="91"/>
    </row>
    <row r="81" ht="15.75" customHeight="1">
      <c r="A81" s="90"/>
      <c r="B81" s="90"/>
      <c r="C81" s="144"/>
      <c r="D81" s="145"/>
      <c r="E81" s="90"/>
      <c r="F81" s="90"/>
      <c r="G81" s="90"/>
      <c r="H81" s="90"/>
      <c r="I81" s="90"/>
      <c r="J81" s="90"/>
      <c r="K81" s="90"/>
      <c r="L81" s="90"/>
      <c r="M81" s="146"/>
      <c r="N81" s="147"/>
      <c r="O81" s="147"/>
      <c r="P81" s="148"/>
      <c r="Q81" s="90"/>
      <c r="R81" s="91"/>
    </row>
    <row r="82" ht="15.75" customHeight="1">
      <c r="A82" s="90"/>
      <c r="B82" s="90"/>
      <c r="C82" s="144"/>
      <c r="D82" s="145"/>
      <c r="E82" s="90"/>
      <c r="F82" s="90"/>
      <c r="G82" s="90"/>
      <c r="H82" s="90"/>
      <c r="I82" s="90"/>
      <c r="J82" s="90"/>
      <c r="K82" s="90"/>
      <c r="L82" s="90"/>
      <c r="M82" s="146"/>
      <c r="N82" s="147"/>
      <c r="O82" s="147"/>
      <c r="P82" s="148"/>
      <c r="Q82" s="90"/>
      <c r="R82" s="91"/>
    </row>
    <row r="83" ht="15.75" customHeight="1">
      <c r="A83" s="90"/>
      <c r="B83" s="90"/>
      <c r="C83" s="144"/>
      <c r="D83" s="145"/>
      <c r="E83" s="90"/>
      <c r="F83" s="90"/>
      <c r="G83" s="90"/>
      <c r="H83" s="90"/>
      <c r="I83" s="90"/>
      <c r="J83" s="90"/>
      <c r="K83" s="90"/>
      <c r="L83" s="90"/>
      <c r="M83" s="146"/>
      <c r="N83" s="147"/>
      <c r="O83" s="147"/>
      <c r="P83" s="148"/>
      <c r="Q83" s="90"/>
      <c r="R83" s="91"/>
    </row>
    <row r="84" ht="15.75" customHeight="1">
      <c r="A84" s="90"/>
      <c r="B84" s="90"/>
      <c r="C84" s="144"/>
      <c r="D84" s="145"/>
      <c r="E84" s="90"/>
      <c r="F84" s="90"/>
      <c r="G84" s="90"/>
      <c r="H84" s="90"/>
      <c r="I84" s="90"/>
      <c r="J84" s="90"/>
      <c r="K84" s="90"/>
      <c r="L84" s="90"/>
      <c r="M84" s="146"/>
      <c r="N84" s="147"/>
      <c r="O84" s="147"/>
      <c r="P84" s="148"/>
      <c r="Q84" s="90"/>
      <c r="R84" s="91"/>
    </row>
    <row r="85" ht="15.75" customHeight="1">
      <c r="A85" s="90"/>
      <c r="B85" s="90"/>
      <c r="C85" s="144"/>
      <c r="D85" s="145"/>
      <c r="E85" s="90"/>
      <c r="F85" s="90"/>
      <c r="G85" s="90"/>
      <c r="H85" s="90"/>
      <c r="I85" s="90"/>
      <c r="J85" s="90"/>
      <c r="K85" s="90"/>
      <c r="L85" s="90"/>
      <c r="M85" s="146"/>
      <c r="N85" s="147"/>
      <c r="O85" s="147"/>
      <c r="P85" s="148"/>
      <c r="Q85" s="90"/>
      <c r="R85" s="91"/>
    </row>
    <row r="86" ht="15.75" customHeight="1">
      <c r="A86" s="90"/>
      <c r="B86" s="90"/>
      <c r="C86" s="144"/>
      <c r="D86" s="145"/>
      <c r="E86" s="90"/>
      <c r="F86" s="90"/>
      <c r="G86" s="90"/>
      <c r="H86" s="90"/>
      <c r="I86" s="90"/>
      <c r="J86" s="90"/>
      <c r="K86" s="90"/>
      <c r="L86" s="90"/>
      <c r="M86" s="146"/>
      <c r="N86" s="147"/>
      <c r="O86" s="147"/>
      <c r="P86" s="148"/>
      <c r="Q86" s="90"/>
      <c r="R86" s="91"/>
    </row>
    <row r="87" ht="15.75" customHeight="1">
      <c r="A87" s="90"/>
      <c r="B87" s="90"/>
      <c r="C87" s="144"/>
      <c r="D87" s="145"/>
      <c r="E87" s="90"/>
      <c r="F87" s="90"/>
      <c r="G87" s="90"/>
      <c r="H87" s="90"/>
      <c r="I87" s="90"/>
      <c r="J87" s="90"/>
      <c r="K87" s="90"/>
      <c r="L87" s="90"/>
      <c r="M87" s="146"/>
      <c r="N87" s="147"/>
      <c r="O87" s="147"/>
      <c r="P87" s="148"/>
      <c r="Q87" s="90"/>
      <c r="R87" s="91"/>
    </row>
    <row r="88" ht="15.75" customHeight="1">
      <c r="A88" s="90"/>
      <c r="B88" s="90"/>
      <c r="C88" s="144"/>
      <c r="D88" s="145"/>
      <c r="E88" s="90"/>
      <c r="F88" s="90"/>
      <c r="G88" s="90"/>
      <c r="H88" s="90"/>
      <c r="I88" s="90"/>
      <c r="J88" s="90"/>
      <c r="K88" s="90"/>
      <c r="L88" s="90"/>
      <c r="M88" s="146"/>
      <c r="N88" s="147"/>
      <c r="O88" s="147"/>
      <c r="P88" s="148"/>
      <c r="Q88" s="90"/>
      <c r="R88" s="91"/>
    </row>
    <row r="89" ht="15.75" customHeight="1">
      <c r="A89" s="90"/>
      <c r="B89" s="90"/>
      <c r="C89" s="144"/>
      <c r="D89" s="145"/>
      <c r="E89" s="90"/>
      <c r="F89" s="90"/>
      <c r="G89" s="90"/>
      <c r="H89" s="90"/>
      <c r="I89" s="90"/>
      <c r="J89" s="90"/>
      <c r="K89" s="90"/>
      <c r="L89" s="90"/>
      <c r="M89" s="146"/>
      <c r="N89" s="147"/>
      <c r="O89" s="147"/>
      <c r="P89" s="148"/>
      <c r="Q89" s="90"/>
      <c r="R89" s="91"/>
    </row>
    <row r="90" ht="15.75" customHeight="1">
      <c r="A90" s="90"/>
      <c r="B90" s="90"/>
      <c r="C90" s="144"/>
      <c r="D90" s="145"/>
      <c r="E90" s="90"/>
      <c r="F90" s="90"/>
      <c r="G90" s="90"/>
      <c r="H90" s="90"/>
      <c r="I90" s="90"/>
      <c r="J90" s="90"/>
      <c r="K90" s="90"/>
      <c r="L90" s="90"/>
      <c r="M90" s="146"/>
      <c r="N90" s="147"/>
      <c r="O90" s="147"/>
      <c r="P90" s="148"/>
      <c r="Q90" s="90"/>
      <c r="R90" s="91"/>
    </row>
    <row r="91" ht="15.75" customHeight="1">
      <c r="A91" s="90"/>
      <c r="B91" s="90"/>
      <c r="C91" s="144"/>
      <c r="D91" s="145"/>
      <c r="E91" s="90"/>
      <c r="F91" s="90"/>
      <c r="G91" s="90"/>
      <c r="H91" s="90"/>
      <c r="I91" s="90"/>
      <c r="J91" s="90"/>
      <c r="K91" s="90"/>
      <c r="L91" s="90"/>
      <c r="M91" s="146"/>
      <c r="N91" s="147"/>
      <c r="O91" s="147"/>
      <c r="P91" s="148"/>
      <c r="Q91" s="90"/>
      <c r="R91" s="91"/>
    </row>
    <row r="92" ht="15.75" customHeight="1">
      <c r="A92" s="90"/>
      <c r="B92" s="90"/>
      <c r="C92" s="144"/>
      <c r="D92" s="145"/>
      <c r="E92" s="90"/>
      <c r="F92" s="90"/>
      <c r="G92" s="90"/>
      <c r="H92" s="90"/>
      <c r="I92" s="90"/>
      <c r="J92" s="90"/>
      <c r="K92" s="90"/>
      <c r="L92" s="90"/>
      <c r="M92" s="146"/>
      <c r="N92" s="147"/>
      <c r="O92" s="147"/>
      <c r="P92" s="148"/>
      <c r="Q92" s="90"/>
      <c r="R92" s="91"/>
    </row>
    <row r="93" ht="15.75" customHeight="1">
      <c r="A93" s="90"/>
      <c r="B93" s="90"/>
      <c r="C93" s="144"/>
      <c r="D93" s="145"/>
      <c r="E93" s="90"/>
      <c r="F93" s="90"/>
      <c r="G93" s="90"/>
      <c r="H93" s="90"/>
      <c r="I93" s="90"/>
      <c r="J93" s="90"/>
      <c r="K93" s="90"/>
      <c r="L93" s="90"/>
      <c r="M93" s="146"/>
      <c r="N93" s="147"/>
      <c r="O93" s="147"/>
      <c r="P93" s="148"/>
      <c r="Q93" s="90"/>
      <c r="R93" s="91"/>
    </row>
    <row r="94" ht="15.75" customHeight="1">
      <c r="A94" s="90"/>
      <c r="B94" s="90"/>
      <c r="C94" s="144"/>
      <c r="D94" s="145"/>
      <c r="E94" s="90"/>
      <c r="F94" s="90"/>
      <c r="G94" s="90"/>
      <c r="H94" s="90"/>
      <c r="I94" s="90"/>
      <c r="J94" s="90"/>
      <c r="K94" s="90"/>
      <c r="L94" s="90"/>
      <c r="M94" s="146"/>
      <c r="N94" s="147"/>
      <c r="O94" s="147"/>
      <c r="P94" s="148"/>
      <c r="Q94" s="90"/>
      <c r="R94" s="91"/>
    </row>
    <row r="95" ht="15.75" customHeight="1">
      <c r="A95" s="90"/>
      <c r="B95" s="90"/>
      <c r="C95" s="144"/>
      <c r="D95" s="145"/>
      <c r="E95" s="90"/>
      <c r="F95" s="90"/>
      <c r="G95" s="90"/>
      <c r="H95" s="90"/>
      <c r="I95" s="90"/>
      <c r="J95" s="90"/>
      <c r="K95" s="90"/>
      <c r="L95" s="90"/>
      <c r="M95" s="146"/>
      <c r="N95" s="147"/>
      <c r="O95" s="147"/>
      <c r="P95" s="148"/>
      <c r="Q95" s="90"/>
      <c r="R95" s="91"/>
    </row>
    <row r="96" ht="15.75" customHeight="1">
      <c r="A96" s="90"/>
      <c r="B96" s="90"/>
      <c r="C96" s="144"/>
      <c r="D96" s="145"/>
      <c r="E96" s="90"/>
      <c r="F96" s="90"/>
      <c r="G96" s="90"/>
      <c r="H96" s="90"/>
      <c r="I96" s="90"/>
      <c r="J96" s="90"/>
      <c r="K96" s="90"/>
      <c r="L96" s="90"/>
      <c r="M96" s="146"/>
      <c r="N96" s="147"/>
      <c r="O96" s="147"/>
      <c r="P96" s="148"/>
      <c r="Q96" s="90"/>
      <c r="R96" s="91"/>
    </row>
    <row r="97" ht="15.75" customHeight="1">
      <c r="A97" s="90"/>
      <c r="B97" s="90"/>
      <c r="C97" s="144"/>
      <c r="D97" s="145"/>
      <c r="E97" s="90"/>
      <c r="F97" s="90"/>
      <c r="G97" s="90"/>
      <c r="H97" s="90"/>
      <c r="I97" s="90"/>
      <c r="J97" s="90"/>
      <c r="K97" s="90"/>
      <c r="L97" s="90"/>
      <c r="M97" s="146"/>
      <c r="N97" s="147"/>
      <c r="O97" s="147"/>
      <c r="P97" s="148"/>
      <c r="Q97" s="90"/>
      <c r="R97" s="91"/>
    </row>
    <row r="98" ht="15.75" customHeight="1">
      <c r="A98" s="90"/>
      <c r="B98" s="90"/>
      <c r="C98" s="144"/>
      <c r="D98" s="145"/>
      <c r="E98" s="90"/>
      <c r="F98" s="90"/>
      <c r="G98" s="90"/>
      <c r="H98" s="90"/>
      <c r="I98" s="90"/>
      <c r="J98" s="90"/>
      <c r="K98" s="90"/>
      <c r="L98" s="90"/>
      <c r="M98" s="146"/>
      <c r="N98" s="147"/>
      <c r="O98" s="147"/>
      <c r="P98" s="148"/>
      <c r="Q98" s="90"/>
      <c r="R98" s="91"/>
    </row>
    <row r="99" ht="15.75" customHeight="1">
      <c r="A99" s="90"/>
      <c r="B99" s="90"/>
      <c r="C99" s="144"/>
      <c r="D99" s="145"/>
      <c r="E99" s="90"/>
      <c r="F99" s="90"/>
      <c r="G99" s="90"/>
      <c r="H99" s="90"/>
      <c r="I99" s="90"/>
      <c r="J99" s="90"/>
      <c r="K99" s="90"/>
      <c r="L99" s="90"/>
      <c r="M99" s="146"/>
      <c r="N99" s="147"/>
      <c r="O99" s="147"/>
      <c r="P99" s="148"/>
      <c r="Q99" s="90"/>
      <c r="R99" s="91"/>
    </row>
    <row r="100" ht="15.75" customHeight="1">
      <c r="A100" s="149"/>
      <c r="B100" s="149"/>
      <c r="C100" s="150"/>
      <c r="D100" s="151"/>
      <c r="E100" s="149"/>
      <c r="F100" s="149"/>
      <c r="G100" s="149"/>
      <c r="H100" s="149"/>
      <c r="I100" s="149"/>
      <c r="J100" s="149"/>
      <c r="K100" s="149"/>
      <c r="L100" s="149"/>
      <c r="M100" s="152"/>
      <c r="N100" s="153"/>
      <c r="O100" s="153"/>
      <c r="P100" s="154"/>
      <c r="Q100" s="90"/>
      <c r="R100" s="91"/>
    </row>
    <row r="101" ht="15.75" customHeight="1">
      <c r="A101" s="90"/>
      <c r="B101" s="90"/>
      <c r="C101" s="144"/>
      <c r="D101" s="145"/>
      <c r="E101" s="90"/>
      <c r="F101" s="90"/>
      <c r="G101" s="90"/>
      <c r="H101" s="90"/>
      <c r="I101" s="90"/>
      <c r="J101" s="90"/>
      <c r="K101" s="90"/>
      <c r="L101" s="90"/>
      <c r="M101" s="146"/>
      <c r="N101" s="147"/>
      <c r="O101" s="147"/>
      <c r="P101" s="148"/>
      <c r="Q101" s="90"/>
      <c r="R101" s="91"/>
    </row>
    <row r="102" ht="15.75" customHeight="1">
      <c r="A102" s="90"/>
      <c r="B102" s="90"/>
      <c r="C102" s="144"/>
      <c r="D102" s="145"/>
      <c r="E102" s="90"/>
      <c r="F102" s="90"/>
      <c r="G102" s="90"/>
      <c r="H102" s="90"/>
      <c r="I102" s="90"/>
      <c r="J102" s="90"/>
      <c r="K102" s="90"/>
      <c r="L102" s="90"/>
      <c r="M102" s="146"/>
      <c r="N102" s="147"/>
      <c r="O102" s="147"/>
      <c r="P102" s="148"/>
      <c r="Q102" s="90"/>
      <c r="R102" s="91"/>
    </row>
    <row r="103" ht="15.75" customHeight="1">
      <c r="A103" s="90"/>
      <c r="B103" s="90"/>
      <c r="C103" s="144"/>
      <c r="D103" s="145"/>
      <c r="E103" s="90"/>
      <c r="F103" s="90"/>
      <c r="G103" s="90"/>
      <c r="H103" s="90"/>
      <c r="I103" s="90"/>
      <c r="J103" s="90"/>
      <c r="K103" s="90"/>
      <c r="L103" s="90"/>
      <c r="M103" s="146"/>
      <c r="N103" s="147"/>
      <c r="O103" s="147"/>
      <c r="P103" s="148"/>
      <c r="Q103" s="90"/>
      <c r="R103" s="91"/>
    </row>
    <row r="104" ht="15.75" customHeight="1">
      <c r="A104" s="90"/>
      <c r="B104" s="90"/>
      <c r="C104" s="144"/>
      <c r="D104" s="145"/>
      <c r="E104" s="90"/>
      <c r="F104" s="90"/>
      <c r="G104" s="90"/>
      <c r="H104" s="90"/>
      <c r="I104" s="90"/>
      <c r="J104" s="90"/>
      <c r="K104" s="90"/>
      <c r="L104" s="90"/>
      <c r="M104" s="146"/>
      <c r="N104" s="147"/>
      <c r="O104" s="147"/>
      <c r="P104" s="148"/>
      <c r="Q104" s="90"/>
      <c r="R104" s="91"/>
    </row>
    <row r="105" ht="15.75" customHeight="1">
      <c r="A105" s="90"/>
      <c r="B105" s="90"/>
      <c r="C105" s="144"/>
      <c r="D105" s="145"/>
      <c r="E105" s="90"/>
      <c r="F105" s="90"/>
      <c r="G105" s="90"/>
      <c r="H105" s="90"/>
      <c r="I105" s="90"/>
      <c r="J105" s="90"/>
      <c r="K105" s="90"/>
      <c r="L105" s="90"/>
      <c r="M105" s="146"/>
      <c r="N105" s="147"/>
      <c r="O105" s="147"/>
      <c r="P105" s="148"/>
      <c r="Q105" s="90"/>
      <c r="R105" s="91"/>
    </row>
    <row r="106" ht="15.75" customHeight="1">
      <c r="A106" s="90"/>
      <c r="B106" s="90"/>
      <c r="C106" s="144"/>
      <c r="D106" s="145"/>
      <c r="E106" s="90"/>
      <c r="F106" s="90"/>
      <c r="G106" s="90"/>
      <c r="H106" s="90"/>
      <c r="I106" s="90"/>
      <c r="J106" s="90"/>
      <c r="K106" s="90"/>
      <c r="L106" s="90"/>
      <c r="M106" s="146"/>
      <c r="N106" s="147"/>
      <c r="O106" s="147"/>
      <c r="P106" s="148"/>
      <c r="Q106" s="90"/>
      <c r="R106" s="91"/>
    </row>
    <row r="107" ht="15.75" customHeight="1">
      <c r="A107" s="90"/>
      <c r="B107" s="90"/>
      <c r="C107" s="144"/>
      <c r="D107" s="145"/>
      <c r="E107" s="90"/>
      <c r="F107" s="90"/>
      <c r="G107" s="90"/>
      <c r="H107" s="90"/>
      <c r="I107" s="90"/>
      <c r="J107" s="90"/>
      <c r="K107" s="90"/>
      <c r="L107" s="90"/>
      <c r="M107" s="146"/>
      <c r="N107" s="147"/>
      <c r="O107" s="147"/>
      <c r="P107" s="148"/>
      <c r="Q107" s="90"/>
      <c r="R107" s="91"/>
    </row>
    <row r="108" ht="15.75" customHeight="1">
      <c r="A108" s="90"/>
      <c r="B108" s="90"/>
      <c r="C108" s="144"/>
      <c r="D108" s="145"/>
      <c r="E108" s="90"/>
      <c r="F108" s="90"/>
      <c r="G108" s="90"/>
      <c r="H108" s="90"/>
      <c r="I108" s="90"/>
      <c r="J108" s="90"/>
      <c r="K108" s="90"/>
      <c r="L108" s="90"/>
      <c r="M108" s="146"/>
      <c r="N108" s="147"/>
      <c r="O108" s="147"/>
      <c r="P108" s="148"/>
      <c r="Q108" s="90"/>
      <c r="R108" s="91"/>
    </row>
    <row r="109" ht="15.75" customHeight="1">
      <c r="A109" s="90"/>
      <c r="B109" s="90"/>
      <c r="C109" s="144"/>
      <c r="D109" s="145"/>
      <c r="E109" s="90"/>
      <c r="F109" s="90"/>
      <c r="G109" s="90"/>
      <c r="H109" s="90"/>
      <c r="I109" s="90"/>
      <c r="J109" s="90"/>
      <c r="K109" s="90"/>
      <c r="L109" s="90"/>
      <c r="M109" s="146"/>
      <c r="N109" s="147"/>
      <c r="O109" s="147"/>
      <c r="P109" s="148"/>
      <c r="Q109" s="90"/>
      <c r="R109" s="91"/>
    </row>
    <row r="110" ht="15.75" customHeight="1">
      <c r="A110" s="90"/>
      <c r="B110" s="90"/>
      <c r="C110" s="144"/>
      <c r="D110" s="145"/>
      <c r="E110" s="90"/>
      <c r="F110" s="90"/>
      <c r="G110" s="90"/>
      <c r="H110" s="90"/>
      <c r="I110" s="90"/>
      <c r="J110" s="90"/>
      <c r="K110" s="90"/>
      <c r="L110" s="90"/>
      <c r="M110" s="146"/>
      <c r="N110" s="147"/>
      <c r="O110" s="147"/>
      <c r="P110" s="148"/>
      <c r="Q110" s="90"/>
      <c r="R110" s="91"/>
    </row>
    <row r="111" ht="15.75" customHeight="1">
      <c r="A111" s="90"/>
      <c r="B111" s="90"/>
      <c r="C111" s="144"/>
      <c r="D111" s="145"/>
      <c r="E111" s="90"/>
      <c r="F111" s="90"/>
      <c r="G111" s="90"/>
      <c r="H111" s="90"/>
      <c r="I111" s="90"/>
      <c r="J111" s="90"/>
      <c r="K111" s="90"/>
      <c r="L111" s="90"/>
      <c r="M111" s="146"/>
      <c r="N111" s="147"/>
      <c r="O111" s="147"/>
      <c r="P111" s="148"/>
      <c r="Q111" s="90"/>
      <c r="R111" s="91"/>
    </row>
    <row r="112" ht="15.75" customHeight="1">
      <c r="A112" s="90"/>
      <c r="B112" s="90"/>
      <c r="C112" s="144"/>
      <c r="D112" s="145"/>
      <c r="E112" s="90"/>
      <c r="F112" s="90"/>
      <c r="G112" s="90"/>
      <c r="H112" s="90"/>
      <c r="I112" s="90"/>
      <c r="J112" s="90"/>
      <c r="K112" s="90"/>
      <c r="L112" s="90"/>
      <c r="M112" s="146"/>
      <c r="N112" s="147"/>
      <c r="O112" s="147"/>
      <c r="P112" s="148"/>
      <c r="Q112" s="90"/>
      <c r="R112" s="91"/>
    </row>
    <row r="113" ht="15.75" customHeight="1">
      <c r="A113" s="90"/>
      <c r="B113" s="90"/>
      <c r="C113" s="144"/>
      <c r="D113" s="145"/>
      <c r="E113" s="90"/>
      <c r="F113" s="90"/>
      <c r="G113" s="90"/>
      <c r="H113" s="90"/>
      <c r="I113" s="90"/>
      <c r="J113" s="90"/>
      <c r="K113" s="90"/>
      <c r="L113" s="90"/>
      <c r="M113" s="146"/>
      <c r="N113" s="147"/>
      <c r="O113" s="147"/>
      <c r="P113" s="148"/>
      <c r="Q113" s="90"/>
      <c r="R113" s="91"/>
    </row>
    <row r="114" ht="15.75" customHeight="1">
      <c r="A114" s="90"/>
      <c r="B114" s="90"/>
      <c r="C114" s="144"/>
      <c r="D114" s="145"/>
      <c r="E114" s="90"/>
      <c r="F114" s="90"/>
      <c r="G114" s="90"/>
      <c r="H114" s="90"/>
      <c r="I114" s="90"/>
      <c r="J114" s="90"/>
      <c r="K114" s="90"/>
      <c r="L114" s="90"/>
      <c r="M114" s="146"/>
      <c r="N114" s="147"/>
      <c r="O114" s="147"/>
      <c r="P114" s="148"/>
      <c r="Q114" s="90"/>
      <c r="R114" s="91"/>
    </row>
    <row r="115" ht="15.75" customHeight="1">
      <c r="A115" s="90"/>
      <c r="B115" s="90"/>
      <c r="C115" s="144"/>
      <c r="D115" s="145"/>
      <c r="E115" s="90"/>
      <c r="F115" s="90"/>
      <c r="G115" s="90"/>
      <c r="H115" s="90"/>
      <c r="I115" s="90"/>
      <c r="J115" s="90"/>
      <c r="K115" s="90"/>
      <c r="L115" s="90"/>
      <c r="M115" s="146"/>
      <c r="N115" s="147"/>
      <c r="O115" s="147"/>
      <c r="P115" s="148"/>
      <c r="Q115" s="90"/>
      <c r="R115" s="91"/>
    </row>
    <row r="116" ht="15.75" customHeight="1">
      <c r="A116" s="90"/>
      <c r="B116" s="90"/>
      <c r="C116" s="144"/>
      <c r="D116" s="145"/>
      <c r="E116" s="90"/>
      <c r="F116" s="90"/>
      <c r="G116" s="90"/>
      <c r="H116" s="90"/>
      <c r="I116" s="90"/>
      <c r="J116" s="90"/>
      <c r="K116" s="90"/>
      <c r="L116" s="90"/>
      <c r="M116" s="146"/>
      <c r="N116" s="147"/>
      <c r="O116" s="147"/>
      <c r="P116" s="148"/>
      <c r="Q116" s="90"/>
      <c r="R116" s="91"/>
    </row>
    <row r="117" ht="15.75" customHeight="1">
      <c r="A117" s="90"/>
      <c r="B117" s="90"/>
      <c r="C117" s="144"/>
      <c r="D117" s="145"/>
      <c r="E117" s="90"/>
      <c r="F117" s="90"/>
      <c r="G117" s="90"/>
      <c r="H117" s="90"/>
      <c r="I117" s="90"/>
      <c r="J117" s="90"/>
      <c r="K117" s="90"/>
      <c r="L117" s="90"/>
      <c r="M117" s="146"/>
      <c r="N117" s="147"/>
      <c r="O117" s="147"/>
      <c r="P117" s="148"/>
      <c r="Q117" s="90"/>
      <c r="R117" s="91"/>
    </row>
    <row r="118" ht="15.75" customHeight="1">
      <c r="A118" s="90"/>
      <c r="B118" s="90"/>
      <c r="C118" s="144"/>
      <c r="D118" s="145"/>
      <c r="E118" s="90"/>
      <c r="F118" s="90"/>
      <c r="G118" s="90"/>
      <c r="H118" s="90"/>
      <c r="I118" s="90"/>
      <c r="J118" s="90"/>
      <c r="K118" s="90"/>
      <c r="L118" s="90"/>
      <c r="M118" s="146"/>
      <c r="N118" s="147"/>
      <c r="O118" s="147"/>
      <c r="P118" s="148"/>
      <c r="Q118" s="90"/>
      <c r="R118" s="91"/>
    </row>
    <row r="119" ht="15.75" customHeight="1">
      <c r="A119" s="90"/>
      <c r="B119" s="90"/>
      <c r="C119" s="144"/>
      <c r="D119" s="145"/>
      <c r="E119" s="90"/>
      <c r="F119" s="90"/>
      <c r="G119" s="90"/>
      <c r="H119" s="90"/>
      <c r="I119" s="90"/>
      <c r="J119" s="90"/>
      <c r="K119" s="90"/>
      <c r="L119" s="90"/>
      <c r="M119" s="146"/>
      <c r="N119" s="147"/>
      <c r="O119" s="147"/>
      <c r="P119" s="148"/>
      <c r="Q119" s="90"/>
      <c r="R119" s="91"/>
    </row>
    <row r="120" ht="15.75" customHeight="1">
      <c r="A120" s="90"/>
      <c r="B120" s="90"/>
      <c r="C120" s="144"/>
      <c r="D120" s="145"/>
      <c r="E120" s="90"/>
      <c r="F120" s="90"/>
      <c r="G120" s="90"/>
      <c r="H120" s="90"/>
      <c r="I120" s="90"/>
      <c r="J120" s="90"/>
      <c r="K120" s="90"/>
      <c r="L120" s="90"/>
      <c r="M120" s="146"/>
      <c r="N120" s="147"/>
      <c r="O120" s="147"/>
      <c r="P120" s="148"/>
      <c r="Q120" s="90"/>
      <c r="R120" s="91"/>
    </row>
    <row r="121" ht="15.75" customHeight="1">
      <c r="A121" s="90"/>
      <c r="B121" s="90"/>
      <c r="C121" s="144"/>
      <c r="D121" s="145"/>
      <c r="E121" s="90"/>
      <c r="F121" s="90"/>
      <c r="G121" s="90"/>
      <c r="H121" s="90"/>
      <c r="I121" s="90"/>
      <c r="J121" s="90"/>
      <c r="K121" s="90"/>
      <c r="L121" s="90"/>
      <c r="M121" s="146"/>
      <c r="N121" s="147"/>
      <c r="O121" s="147"/>
      <c r="P121" s="148"/>
      <c r="Q121" s="90"/>
      <c r="R121" s="91"/>
    </row>
    <row r="122" ht="15.75" customHeight="1">
      <c r="A122" s="90"/>
      <c r="B122" s="90"/>
      <c r="C122" s="144"/>
      <c r="D122" s="145"/>
      <c r="E122" s="90"/>
      <c r="F122" s="90"/>
      <c r="G122" s="90"/>
      <c r="H122" s="90"/>
      <c r="I122" s="90"/>
      <c r="J122" s="90"/>
      <c r="K122" s="90"/>
      <c r="L122" s="90"/>
      <c r="M122" s="146"/>
      <c r="N122" s="147"/>
      <c r="O122" s="147"/>
      <c r="P122" s="148"/>
      <c r="Q122" s="90"/>
      <c r="R122" s="91"/>
    </row>
    <row r="123" ht="15.75" customHeight="1">
      <c r="A123" s="90"/>
      <c r="B123" s="90"/>
      <c r="C123" s="144"/>
      <c r="D123" s="145"/>
      <c r="E123" s="90"/>
      <c r="F123" s="90"/>
      <c r="G123" s="90"/>
      <c r="H123" s="90"/>
      <c r="I123" s="90"/>
      <c r="J123" s="90"/>
      <c r="K123" s="90"/>
      <c r="L123" s="90"/>
      <c r="M123" s="146"/>
      <c r="N123" s="147"/>
      <c r="O123" s="147"/>
      <c r="P123" s="148"/>
      <c r="Q123" s="90"/>
      <c r="R123" s="91"/>
    </row>
    <row r="124" ht="15.75" customHeight="1">
      <c r="A124" s="90"/>
      <c r="B124" s="90"/>
      <c r="C124" s="144"/>
      <c r="D124" s="145"/>
      <c r="E124" s="90"/>
      <c r="F124" s="90"/>
      <c r="G124" s="90"/>
      <c r="H124" s="90"/>
      <c r="I124" s="90"/>
      <c r="J124" s="90"/>
      <c r="K124" s="90"/>
      <c r="L124" s="90"/>
      <c r="M124" s="146"/>
      <c r="N124" s="147"/>
      <c r="O124" s="147"/>
      <c r="P124" s="148"/>
      <c r="Q124" s="90"/>
      <c r="R124" s="91"/>
    </row>
    <row r="125" ht="15.75" customHeight="1">
      <c r="A125" s="90"/>
      <c r="B125" s="90"/>
      <c r="C125" s="144"/>
      <c r="D125" s="145"/>
      <c r="E125" s="90"/>
      <c r="F125" s="90"/>
      <c r="G125" s="90"/>
      <c r="H125" s="90"/>
      <c r="I125" s="90"/>
      <c r="J125" s="90"/>
      <c r="K125" s="90"/>
      <c r="L125" s="90"/>
      <c r="M125" s="146"/>
      <c r="N125" s="147"/>
      <c r="O125" s="147"/>
      <c r="P125" s="148"/>
      <c r="Q125" s="90"/>
      <c r="R125" s="91"/>
    </row>
    <row r="126" ht="15.75" customHeight="1">
      <c r="A126" s="90"/>
      <c r="B126" s="90"/>
      <c r="C126" s="144"/>
      <c r="D126" s="145"/>
      <c r="E126" s="90"/>
      <c r="F126" s="90"/>
      <c r="G126" s="90"/>
      <c r="H126" s="90"/>
      <c r="I126" s="90"/>
      <c r="J126" s="90"/>
      <c r="K126" s="90"/>
      <c r="L126" s="90"/>
      <c r="M126" s="146"/>
      <c r="N126" s="147"/>
      <c r="O126" s="147"/>
      <c r="P126" s="148"/>
      <c r="Q126" s="90"/>
      <c r="R126" s="91"/>
    </row>
    <row r="127" ht="15.75" customHeight="1">
      <c r="A127" s="90"/>
      <c r="B127" s="90"/>
      <c r="C127" s="144"/>
      <c r="D127" s="145"/>
      <c r="E127" s="90"/>
      <c r="F127" s="90"/>
      <c r="G127" s="90"/>
      <c r="H127" s="90"/>
      <c r="I127" s="90"/>
      <c r="J127" s="90"/>
      <c r="K127" s="90"/>
      <c r="L127" s="90"/>
      <c r="M127" s="146"/>
      <c r="N127" s="147"/>
      <c r="O127" s="147"/>
      <c r="P127" s="148"/>
      <c r="Q127" s="90"/>
      <c r="R127" s="91"/>
    </row>
    <row r="128" ht="15.75" customHeight="1">
      <c r="A128" s="90"/>
      <c r="B128" s="90"/>
      <c r="C128" s="144"/>
      <c r="D128" s="145"/>
      <c r="E128" s="90"/>
      <c r="F128" s="90"/>
      <c r="G128" s="90"/>
      <c r="H128" s="90"/>
      <c r="I128" s="90"/>
      <c r="J128" s="90"/>
      <c r="K128" s="90"/>
      <c r="L128" s="90"/>
      <c r="M128" s="146"/>
      <c r="N128" s="147"/>
      <c r="O128" s="147"/>
      <c r="P128" s="148"/>
      <c r="Q128" s="90"/>
      <c r="R128" s="91"/>
    </row>
    <row r="129" ht="15.75" customHeight="1">
      <c r="A129" s="90"/>
      <c r="B129" s="90"/>
      <c r="C129" s="144"/>
      <c r="D129" s="145"/>
      <c r="E129" s="90"/>
      <c r="F129" s="90"/>
      <c r="G129" s="90"/>
      <c r="H129" s="90"/>
      <c r="I129" s="90"/>
      <c r="J129" s="90"/>
      <c r="K129" s="90"/>
      <c r="L129" s="90"/>
      <c r="M129" s="146"/>
      <c r="N129" s="147"/>
      <c r="O129" s="147"/>
      <c r="P129" s="148"/>
      <c r="Q129" s="90"/>
      <c r="R129" s="91"/>
    </row>
    <row r="130" ht="15.75" customHeight="1">
      <c r="A130" s="90"/>
      <c r="B130" s="90"/>
      <c r="C130" s="144"/>
      <c r="D130" s="145"/>
      <c r="E130" s="90"/>
      <c r="F130" s="90"/>
      <c r="G130" s="90"/>
      <c r="H130" s="90"/>
      <c r="I130" s="90"/>
      <c r="J130" s="90"/>
      <c r="K130" s="90"/>
      <c r="L130" s="90"/>
      <c r="M130" s="146"/>
      <c r="N130" s="147"/>
      <c r="O130" s="147"/>
      <c r="P130" s="148"/>
      <c r="Q130" s="90"/>
      <c r="R130" s="91"/>
    </row>
    <row r="131" ht="15.75" customHeight="1">
      <c r="A131" s="90"/>
      <c r="B131" s="90"/>
      <c r="C131" s="144"/>
      <c r="D131" s="145"/>
      <c r="E131" s="90"/>
      <c r="F131" s="90"/>
      <c r="G131" s="90"/>
      <c r="H131" s="90"/>
      <c r="I131" s="90"/>
      <c r="J131" s="90"/>
      <c r="K131" s="90"/>
      <c r="L131" s="90"/>
      <c r="M131" s="146"/>
      <c r="N131" s="147"/>
      <c r="O131" s="147"/>
      <c r="P131" s="148"/>
      <c r="Q131" s="90"/>
      <c r="R131" s="91"/>
    </row>
    <row r="132" ht="15.75" customHeight="1">
      <c r="A132" s="90"/>
      <c r="B132" s="90"/>
      <c r="C132" s="144"/>
      <c r="D132" s="145"/>
      <c r="E132" s="90"/>
      <c r="F132" s="90"/>
      <c r="G132" s="90"/>
      <c r="H132" s="90"/>
      <c r="I132" s="90"/>
      <c r="J132" s="90"/>
      <c r="K132" s="90"/>
      <c r="L132" s="90"/>
      <c r="M132" s="146"/>
      <c r="N132" s="147"/>
      <c r="O132" s="147"/>
      <c r="P132" s="148"/>
      <c r="Q132" s="90"/>
      <c r="R132" s="91"/>
    </row>
    <row r="133" ht="15.75" customHeight="1">
      <c r="A133" s="90"/>
      <c r="B133" s="90"/>
      <c r="C133" s="144"/>
      <c r="D133" s="145"/>
      <c r="E133" s="90"/>
      <c r="F133" s="90"/>
      <c r="G133" s="90"/>
      <c r="H133" s="90"/>
      <c r="I133" s="90"/>
      <c r="J133" s="90"/>
      <c r="K133" s="90"/>
      <c r="L133" s="90"/>
      <c r="M133" s="146"/>
      <c r="N133" s="147"/>
      <c r="O133" s="147"/>
      <c r="P133" s="148"/>
      <c r="Q133" s="90"/>
      <c r="R133" s="91"/>
    </row>
    <row r="134" ht="15.75" customHeight="1">
      <c r="A134" s="90"/>
      <c r="B134" s="90"/>
      <c r="C134" s="144"/>
      <c r="D134" s="145"/>
      <c r="E134" s="90"/>
      <c r="F134" s="90"/>
      <c r="G134" s="90"/>
      <c r="H134" s="90"/>
      <c r="I134" s="90"/>
      <c r="J134" s="90"/>
      <c r="K134" s="90"/>
      <c r="L134" s="90"/>
      <c r="M134" s="146"/>
      <c r="N134" s="147"/>
      <c r="O134" s="147"/>
      <c r="P134" s="148"/>
      <c r="Q134" s="90"/>
      <c r="R134" s="91"/>
    </row>
    <row r="135" ht="15.75" customHeight="1">
      <c r="A135" s="90"/>
      <c r="B135" s="90"/>
      <c r="C135" s="144"/>
      <c r="D135" s="145"/>
      <c r="E135" s="90"/>
      <c r="F135" s="90"/>
      <c r="G135" s="90"/>
      <c r="H135" s="90"/>
      <c r="I135" s="90"/>
      <c r="J135" s="90"/>
      <c r="K135" s="90"/>
      <c r="L135" s="90"/>
      <c r="M135" s="146"/>
      <c r="N135" s="147"/>
      <c r="O135" s="147"/>
      <c r="P135" s="148"/>
      <c r="Q135" s="90"/>
      <c r="R135" s="91"/>
    </row>
    <row r="136" ht="15.75" customHeight="1">
      <c r="A136" s="90"/>
      <c r="B136" s="90"/>
      <c r="C136" s="144"/>
      <c r="D136" s="145"/>
      <c r="E136" s="90"/>
      <c r="F136" s="90"/>
      <c r="G136" s="90"/>
      <c r="H136" s="90"/>
      <c r="I136" s="90"/>
      <c r="J136" s="90"/>
      <c r="K136" s="90"/>
      <c r="L136" s="90"/>
      <c r="M136" s="146"/>
      <c r="N136" s="147"/>
      <c r="O136" s="147"/>
      <c r="P136" s="148"/>
      <c r="Q136" s="90"/>
      <c r="R136" s="91"/>
    </row>
    <row r="137" ht="15.75" customHeight="1">
      <c r="A137" s="90"/>
      <c r="B137" s="90"/>
      <c r="C137" s="144"/>
      <c r="D137" s="145"/>
      <c r="E137" s="90"/>
      <c r="F137" s="90"/>
      <c r="G137" s="90"/>
      <c r="H137" s="90"/>
      <c r="I137" s="90"/>
      <c r="J137" s="90"/>
      <c r="K137" s="90"/>
      <c r="L137" s="90"/>
      <c r="M137" s="146"/>
      <c r="N137" s="147"/>
      <c r="O137" s="147"/>
      <c r="P137" s="148"/>
      <c r="Q137" s="90"/>
      <c r="R137" s="91"/>
    </row>
    <row r="138" ht="15.75" customHeight="1">
      <c r="A138" s="90"/>
      <c r="B138" s="90"/>
      <c r="C138" s="144"/>
      <c r="D138" s="145"/>
      <c r="E138" s="90"/>
      <c r="F138" s="90"/>
      <c r="G138" s="90"/>
      <c r="H138" s="90"/>
      <c r="I138" s="90"/>
      <c r="J138" s="90"/>
      <c r="K138" s="90"/>
      <c r="L138" s="90"/>
      <c r="M138" s="146"/>
      <c r="N138" s="147"/>
      <c r="O138" s="147"/>
      <c r="P138" s="148"/>
      <c r="Q138" s="90"/>
      <c r="R138" s="91"/>
    </row>
    <row r="139" ht="15.75" customHeight="1">
      <c r="A139" s="90"/>
      <c r="B139" s="90"/>
      <c r="C139" s="144"/>
      <c r="D139" s="145"/>
      <c r="E139" s="90"/>
      <c r="F139" s="90"/>
      <c r="G139" s="90"/>
      <c r="H139" s="90"/>
      <c r="I139" s="90"/>
      <c r="J139" s="90"/>
      <c r="K139" s="90"/>
      <c r="L139" s="90"/>
      <c r="M139" s="146"/>
      <c r="N139" s="147"/>
      <c r="O139" s="147"/>
      <c r="P139" s="148"/>
      <c r="Q139" s="90"/>
      <c r="R139" s="91"/>
    </row>
    <row r="140" ht="15.75" customHeight="1">
      <c r="A140" s="90"/>
      <c r="B140" s="90"/>
      <c r="C140" s="144"/>
      <c r="D140" s="145"/>
      <c r="E140" s="90"/>
      <c r="F140" s="90"/>
      <c r="G140" s="90"/>
      <c r="H140" s="90"/>
      <c r="I140" s="90"/>
      <c r="J140" s="90"/>
      <c r="K140" s="90"/>
      <c r="L140" s="90"/>
      <c r="M140" s="146"/>
      <c r="N140" s="147"/>
      <c r="O140" s="147"/>
      <c r="P140" s="148"/>
      <c r="Q140" s="90"/>
      <c r="R140" s="91"/>
    </row>
    <row r="141" ht="15.75" customHeight="1">
      <c r="A141" s="90"/>
      <c r="B141" s="90"/>
      <c r="C141" s="144"/>
      <c r="D141" s="145"/>
      <c r="E141" s="90"/>
      <c r="F141" s="90"/>
      <c r="G141" s="90"/>
      <c r="H141" s="90"/>
      <c r="I141" s="90"/>
      <c r="J141" s="90"/>
      <c r="K141" s="90"/>
      <c r="L141" s="90"/>
      <c r="M141" s="146"/>
      <c r="N141" s="147"/>
      <c r="O141" s="147"/>
      <c r="P141" s="148"/>
      <c r="Q141" s="90"/>
      <c r="R141" s="91"/>
    </row>
    <row r="142" ht="15.75" customHeight="1">
      <c r="A142" s="90"/>
      <c r="B142" s="90"/>
      <c r="C142" s="144"/>
      <c r="D142" s="145"/>
      <c r="E142" s="90"/>
      <c r="F142" s="90"/>
      <c r="G142" s="90"/>
      <c r="H142" s="90"/>
      <c r="I142" s="90"/>
      <c r="J142" s="90"/>
      <c r="K142" s="90"/>
      <c r="L142" s="90"/>
      <c r="M142" s="146"/>
      <c r="N142" s="147"/>
      <c r="O142" s="147"/>
      <c r="P142" s="148"/>
      <c r="Q142" s="90"/>
      <c r="R142" s="91"/>
    </row>
    <row r="143" ht="15.75" customHeight="1">
      <c r="A143" s="90"/>
      <c r="B143" s="90"/>
      <c r="C143" s="144"/>
      <c r="D143" s="145"/>
      <c r="E143" s="90"/>
      <c r="F143" s="90"/>
      <c r="G143" s="90"/>
      <c r="H143" s="90"/>
      <c r="I143" s="90"/>
      <c r="J143" s="90"/>
      <c r="K143" s="90"/>
      <c r="L143" s="90"/>
      <c r="M143" s="146"/>
      <c r="N143" s="147"/>
      <c r="O143" s="147"/>
      <c r="P143" s="148"/>
      <c r="Q143" s="90"/>
      <c r="R143" s="91"/>
    </row>
    <row r="144" ht="15.75" customHeight="1">
      <c r="A144" s="90"/>
      <c r="B144" s="90"/>
      <c r="C144" s="144"/>
      <c r="D144" s="145"/>
      <c r="E144" s="90"/>
      <c r="F144" s="90"/>
      <c r="G144" s="90"/>
      <c r="H144" s="90"/>
      <c r="I144" s="90"/>
      <c r="J144" s="90"/>
      <c r="K144" s="90"/>
      <c r="L144" s="90"/>
      <c r="M144" s="146"/>
      <c r="N144" s="147"/>
      <c r="O144" s="147"/>
      <c r="P144" s="148"/>
      <c r="Q144" s="90"/>
      <c r="R144" s="91"/>
    </row>
    <row r="145" ht="15.75" customHeight="1">
      <c r="A145" s="90"/>
      <c r="B145" s="90"/>
      <c r="C145" s="144"/>
      <c r="D145" s="145"/>
      <c r="E145" s="90"/>
      <c r="F145" s="90"/>
      <c r="G145" s="90"/>
      <c r="H145" s="90"/>
      <c r="I145" s="90"/>
      <c r="J145" s="90"/>
      <c r="K145" s="90"/>
      <c r="L145" s="90"/>
      <c r="M145" s="146"/>
      <c r="N145" s="147"/>
      <c r="O145" s="147"/>
      <c r="P145" s="148"/>
      <c r="Q145" s="90"/>
      <c r="R145" s="91"/>
    </row>
    <row r="146" ht="15.75" customHeight="1">
      <c r="A146" s="90"/>
      <c r="B146" s="90"/>
      <c r="C146" s="144"/>
      <c r="D146" s="145"/>
      <c r="E146" s="90"/>
      <c r="F146" s="90"/>
      <c r="G146" s="90"/>
      <c r="H146" s="90"/>
      <c r="I146" s="90"/>
      <c r="J146" s="90"/>
      <c r="K146" s="90"/>
      <c r="L146" s="90"/>
      <c r="M146" s="146"/>
      <c r="N146" s="147"/>
      <c r="O146" s="147"/>
      <c r="P146" s="148"/>
      <c r="Q146" s="90"/>
      <c r="R146" s="91"/>
    </row>
    <row r="147" ht="15.75" customHeight="1">
      <c r="A147" s="90"/>
      <c r="B147" s="90"/>
      <c r="C147" s="144"/>
      <c r="D147" s="145"/>
      <c r="E147" s="90"/>
      <c r="F147" s="90"/>
      <c r="G147" s="90"/>
      <c r="H147" s="90"/>
      <c r="I147" s="90"/>
      <c r="J147" s="90"/>
      <c r="K147" s="90"/>
      <c r="L147" s="90"/>
      <c r="M147" s="146"/>
      <c r="N147" s="147"/>
      <c r="O147" s="147"/>
      <c r="P147" s="148"/>
      <c r="Q147" s="90"/>
      <c r="R147" s="91"/>
    </row>
    <row r="148" ht="15.75" customHeight="1">
      <c r="A148" s="90"/>
      <c r="B148" s="90"/>
      <c r="C148" s="144"/>
      <c r="D148" s="145"/>
      <c r="E148" s="90"/>
      <c r="F148" s="90"/>
      <c r="G148" s="90"/>
      <c r="H148" s="90"/>
      <c r="I148" s="90"/>
      <c r="J148" s="90"/>
      <c r="K148" s="90"/>
      <c r="L148" s="90"/>
      <c r="M148" s="146"/>
      <c r="N148" s="147"/>
      <c r="O148" s="147"/>
      <c r="P148" s="148"/>
      <c r="Q148" s="90"/>
      <c r="R148" s="91"/>
    </row>
    <row r="149" ht="15.75" customHeight="1">
      <c r="A149" s="90"/>
      <c r="B149" s="90"/>
      <c r="C149" s="144"/>
      <c r="D149" s="145"/>
      <c r="E149" s="90"/>
      <c r="F149" s="90"/>
      <c r="G149" s="90"/>
      <c r="H149" s="90"/>
      <c r="I149" s="90"/>
      <c r="J149" s="90"/>
      <c r="K149" s="90"/>
      <c r="L149" s="90"/>
      <c r="M149" s="146"/>
      <c r="N149" s="147"/>
      <c r="O149" s="147"/>
      <c r="P149" s="148"/>
      <c r="Q149" s="90"/>
      <c r="R149" s="91"/>
    </row>
    <row r="150" ht="15.75" customHeight="1">
      <c r="A150" s="90"/>
      <c r="B150" s="90"/>
      <c r="C150" s="144"/>
      <c r="D150" s="145"/>
      <c r="E150" s="90"/>
      <c r="F150" s="90"/>
      <c r="G150" s="90"/>
      <c r="H150" s="90"/>
      <c r="I150" s="90"/>
      <c r="J150" s="90"/>
      <c r="K150" s="90"/>
      <c r="L150" s="90"/>
      <c r="M150" s="146"/>
      <c r="N150" s="147"/>
      <c r="O150" s="147"/>
      <c r="P150" s="148"/>
      <c r="Q150" s="90"/>
      <c r="R150" s="91"/>
    </row>
    <row r="151" ht="15.75" customHeight="1">
      <c r="A151" s="90"/>
      <c r="B151" s="90"/>
      <c r="C151" s="144"/>
      <c r="D151" s="145"/>
      <c r="E151" s="90"/>
      <c r="F151" s="90"/>
      <c r="G151" s="90"/>
      <c r="H151" s="90"/>
      <c r="I151" s="90"/>
      <c r="J151" s="90"/>
      <c r="K151" s="90"/>
      <c r="L151" s="90"/>
      <c r="M151" s="146"/>
      <c r="N151" s="147"/>
      <c r="O151" s="147"/>
      <c r="P151" s="148"/>
      <c r="Q151" s="90"/>
      <c r="R151" s="91"/>
    </row>
    <row r="152" ht="15.75" customHeight="1">
      <c r="A152" s="90"/>
      <c r="B152" s="90"/>
      <c r="C152" s="144"/>
      <c r="D152" s="145"/>
      <c r="E152" s="90"/>
      <c r="F152" s="90"/>
      <c r="G152" s="90"/>
      <c r="H152" s="90"/>
      <c r="I152" s="90"/>
      <c r="J152" s="90"/>
      <c r="K152" s="90"/>
      <c r="L152" s="90"/>
      <c r="M152" s="146"/>
      <c r="N152" s="147"/>
      <c r="O152" s="147"/>
      <c r="P152" s="148"/>
      <c r="Q152" s="90"/>
      <c r="R152" s="91"/>
    </row>
    <row r="153" ht="15.75" customHeight="1">
      <c r="A153" s="90"/>
      <c r="B153" s="90"/>
      <c r="C153" s="144"/>
      <c r="D153" s="145"/>
      <c r="E153" s="90"/>
      <c r="F153" s="90"/>
      <c r="G153" s="90"/>
      <c r="H153" s="90"/>
      <c r="I153" s="90"/>
      <c r="J153" s="90"/>
      <c r="K153" s="90"/>
      <c r="L153" s="90"/>
      <c r="M153" s="146"/>
      <c r="N153" s="147"/>
      <c r="O153" s="147"/>
      <c r="P153" s="148"/>
      <c r="Q153" s="90"/>
      <c r="R153" s="91"/>
    </row>
    <row r="154" ht="15.75" customHeight="1">
      <c r="A154" s="90"/>
      <c r="B154" s="90"/>
      <c r="C154" s="144"/>
      <c r="D154" s="145"/>
      <c r="E154" s="90"/>
      <c r="F154" s="90"/>
      <c r="G154" s="90"/>
      <c r="H154" s="90"/>
      <c r="I154" s="90"/>
      <c r="J154" s="90"/>
      <c r="K154" s="90"/>
      <c r="L154" s="90"/>
      <c r="M154" s="146"/>
      <c r="N154" s="147"/>
      <c r="O154" s="147"/>
      <c r="P154" s="148"/>
      <c r="Q154" s="90"/>
      <c r="R154" s="91"/>
    </row>
    <row r="155" ht="15.75" customHeight="1">
      <c r="A155" s="90"/>
      <c r="B155" s="90"/>
      <c r="C155" s="144"/>
      <c r="D155" s="145"/>
      <c r="E155" s="90"/>
      <c r="F155" s="90"/>
      <c r="G155" s="90"/>
      <c r="H155" s="90"/>
      <c r="I155" s="90"/>
      <c r="J155" s="90"/>
      <c r="K155" s="90"/>
      <c r="L155" s="90"/>
      <c r="M155" s="146"/>
      <c r="N155" s="147"/>
      <c r="O155" s="147"/>
      <c r="P155" s="148"/>
      <c r="Q155" s="90"/>
      <c r="R155" s="91"/>
    </row>
    <row r="156" ht="15.75" customHeight="1">
      <c r="A156" s="90"/>
      <c r="B156" s="90"/>
      <c r="C156" s="144"/>
      <c r="D156" s="145"/>
      <c r="E156" s="90"/>
      <c r="F156" s="90"/>
      <c r="G156" s="90"/>
      <c r="H156" s="90"/>
      <c r="I156" s="90"/>
      <c r="J156" s="90"/>
      <c r="K156" s="90"/>
      <c r="L156" s="90"/>
      <c r="M156" s="146"/>
      <c r="N156" s="147"/>
      <c r="O156" s="147"/>
      <c r="P156" s="148"/>
      <c r="Q156" s="90"/>
      <c r="R156" s="91"/>
    </row>
    <row r="157" ht="15.75" customHeight="1">
      <c r="A157" s="90"/>
      <c r="B157" s="90"/>
      <c r="C157" s="144"/>
      <c r="D157" s="145"/>
      <c r="E157" s="90"/>
      <c r="F157" s="90"/>
      <c r="G157" s="90"/>
      <c r="H157" s="90"/>
      <c r="I157" s="90"/>
      <c r="J157" s="90"/>
      <c r="K157" s="90"/>
      <c r="L157" s="90"/>
      <c r="M157" s="146"/>
      <c r="N157" s="147"/>
      <c r="O157" s="147"/>
      <c r="P157" s="148"/>
      <c r="Q157" s="90"/>
      <c r="R157" s="91"/>
    </row>
    <row r="158" ht="15.75" customHeight="1">
      <c r="A158" s="90"/>
      <c r="B158" s="90"/>
      <c r="C158" s="144"/>
      <c r="D158" s="145"/>
      <c r="E158" s="90"/>
      <c r="F158" s="90"/>
      <c r="G158" s="90"/>
      <c r="H158" s="90"/>
      <c r="I158" s="90"/>
      <c r="J158" s="90"/>
      <c r="K158" s="90"/>
      <c r="L158" s="90"/>
      <c r="M158" s="146"/>
      <c r="N158" s="147"/>
      <c r="O158" s="147"/>
      <c r="P158" s="148"/>
      <c r="Q158" s="90"/>
      <c r="R158" s="91"/>
    </row>
    <row r="159" ht="15.75" customHeight="1">
      <c r="A159" s="90"/>
      <c r="B159" s="90"/>
      <c r="C159" s="144"/>
      <c r="D159" s="145"/>
      <c r="E159" s="90"/>
      <c r="F159" s="90"/>
      <c r="G159" s="90"/>
      <c r="H159" s="90"/>
      <c r="I159" s="90"/>
      <c r="J159" s="90"/>
      <c r="K159" s="90"/>
      <c r="L159" s="90"/>
      <c r="M159" s="146"/>
      <c r="N159" s="147"/>
      <c r="O159" s="147"/>
      <c r="P159" s="148"/>
      <c r="Q159" s="90"/>
      <c r="R159" s="91"/>
    </row>
    <row r="160" ht="15.75" customHeight="1">
      <c r="A160" s="90"/>
      <c r="B160" s="90"/>
      <c r="C160" s="144"/>
      <c r="D160" s="145"/>
      <c r="E160" s="90"/>
      <c r="F160" s="90"/>
      <c r="G160" s="90"/>
      <c r="H160" s="90"/>
      <c r="I160" s="90"/>
      <c r="J160" s="90"/>
      <c r="K160" s="90"/>
      <c r="L160" s="90"/>
      <c r="M160" s="146"/>
      <c r="N160" s="147"/>
      <c r="O160" s="147"/>
      <c r="P160" s="148"/>
      <c r="Q160" s="90"/>
      <c r="R160" s="91"/>
    </row>
    <row r="161" ht="15.75" customHeight="1">
      <c r="A161" s="90"/>
      <c r="B161" s="90"/>
      <c r="C161" s="144"/>
      <c r="D161" s="145"/>
      <c r="E161" s="90"/>
      <c r="F161" s="90"/>
      <c r="G161" s="90"/>
      <c r="H161" s="90"/>
      <c r="I161" s="90"/>
      <c r="J161" s="90"/>
      <c r="K161" s="90"/>
      <c r="L161" s="90"/>
      <c r="M161" s="146"/>
      <c r="N161" s="147"/>
      <c r="O161" s="147"/>
      <c r="P161" s="148"/>
      <c r="Q161" s="90"/>
      <c r="R161" s="91"/>
    </row>
    <row r="162" ht="15.75" customHeight="1">
      <c r="A162" s="90"/>
      <c r="B162" s="90"/>
      <c r="C162" s="144"/>
      <c r="D162" s="145"/>
      <c r="E162" s="90"/>
      <c r="F162" s="90"/>
      <c r="G162" s="90"/>
      <c r="H162" s="90"/>
      <c r="I162" s="90"/>
      <c r="J162" s="90"/>
      <c r="K162" s="90"/>
      <c r="L162" s="90"/>
      <c r="M162" s="146"/>
      <c r="N162" s="147"/>
      <c r="O162" s="147"/>
      <c r="P162" s="148"/>
      <c r="Q162" s="90"/>
      <c r="R162" s="91"/>
    </row>
    <row r="163" ht="15.75" customHeight="1">
      <c r="A163" s="90"/>
      <c r="B163" s="90"/>
      <c r="C163" s="144"/>
      <c r="D163" s="145"/>
      <c r="E163" s="90"/>
      <c r="F163" s="90"/>
      <c r="G163" s="90"/>
      <c r="H163" s="90"/>
      <c r="I163" s="90"/>
      <c r="J163" s="90"/>
      <c r="K163" s="90"/>
      <c r="L163" s="90"/>
      <c r="M163" s="146"/>
      <c r="N163" s="147"/>
      <c r="O163" s="147"/>
      <c r="P163" s="148"/>
      <c r="Q163" s="90"/>
      <c r="R163" s="91"/>
    </row>
    <row r="164" ht="15.75" customHeight="1">
      <c r="A164" s="90"/>
      <c r="B164" s="90"/>
      <c r="C164" s="144"/>
      <c r="D164" s="145"/>
      <c r="E164" s="90"/>
      <c r="F164" s="90"/>
      <c r="G164" s="90"/>
      <c r="H164" s="90"/>
      <c r="I164" s="90"/>
      <c r="J164" s="90"/>
      <c r="K164" s="90"/>
      <c r="L164" s="90"/>
      <c r="M164" s="146"/>
      <c r="N164" s="147"/>
      <c r="O164" s="147"/>
      <c r="P164" s="148"/>
      <c r="Q164" s="90"/>
      <c r="R164" s="91"/>
    </row>
    <row r="165" ht="15.75" customHeight="1">
      <c r="A165" s="90"/>
      <c r="B165" s="90"/>
      <c r="C165" s="144"/>
      <c r="D165" s="145"/>
      <c r="E165" s="90"/>
      <c r="F165" s="90"/>
      <c r="G165" s="90"/>
      <c r="H165" s="90"/>
      <c r="I165" s="90"/>
      <c r="J165" s="90"/>
      <c r="K165" s="90"/>
      <c r="L165" s="90"/>
      <c r="M165" s="146"/>
      <c r="N165" s="147"/>
      <c r="O165" s="147"/>
      <c r="P165" s="148"/>
      <c r="Q165" s="90"/>
      <c r="R165" s="91"/>
    </row>
    <row r="166" ht="15.75" customHeight="1">
      <c r="A166" s="90"/>
      <c r="B166" s="90"/>
      <c r="C166" s="144"/>
      <c r="D166" s="145"/>
      <c r="E166" s="90"/>
      <c r="F166" s="90"/>
      <c r="G166" s="90"/>
      <c r="H166" s="90"/>
      <c r="I166" s="90"/>
      <c r="J166" s="90"/>
      <c r="K166" s="90"/>
      <c r="L166" s="90"/>
      <c r="M166" s="146"/>
      <c r="N166" s="147"/>
      <c r="O166" s="147"/>
      <c r="P166" s="148"/>
      <c r="Q166" s="90"/>
      <c r="R166" s="91"/>
    </row>
    <row r="167" ht="15.75" customHeight="1">
      <c r="A167" s="90"/>
      <c r="B167" s="90"/>
      <c r="C167" s="144"/>
      <c r="D167" s="145"/>
      <c r="E167" s="90"/>
      <c r="F167" s="90"/>
      <c r="G167" s="90"/>
      <c r="H167" s="90"/>
      <c r="I167" s="90"/>
      <c r="J167" s="90"/>
      <c r="K167" s="90"/>
      <c r="L167" s="90"/>
      <c r="M167" s="146"/>
      <c r="N167" s="147"/>
      <c r="O167" s="147"/>
      <c r="P167" s="148"/>
      <c r="Q167" s="90"/>
      <c r="R167" s="91"/>
    </row>
    <row r="168" ht="15.75" customHeight="1">
      <c r="A168" s="90"/>
      <c r="B168" s="90"/>
      <c r="C168" s="144"/>
      <c r="D168" s="145"/>
      <c r="E168" s="90"/>
      <c r="F168" s="90"/>
      <c r="G168" s="90"/>
      <c r="H168" s="90"/>
      <c r="I168" s="90"/>
      <c r="J168" s="90"/>
      <c r="K168" s="90"/>
      <c r="L168" s="90"/>
      <c r="M168" s="146"/>
      <c r="N168" s="147"/>
      <c r="O168" s="147"/>
      <c r="P168" s="148"/>
      <c r="Q168" s="90"/>
      <c r="R168" s="91"/>
    </row>
    <row r="169" ht="15.75" customHeight="1">
      <c r="A169" s="90"/>
      <c r="B169" s="90"/>
      <c r="C169" s="144"/>
      <c r="D169" s="145"/>
      <c r="E169" s="90"/>
      <c r="F169" s="90"/>
      <c r="G169" s="90"/>
      <c r="H169" s="90"/>
      <c r="I169" s="90"/>
      <c r="J169" s="90"/>
      <c r="K169" s="90"/>
      <c r="L169" s="90"/>
      <c r="M169" s="146"/>
      <c r="N169" s="147"/>
      <c r="O169" s="147"/>
      <c r="P169" s="148"/>
      <c r="Q169" s="90"/>
      <c r="R169" s="91"/>
    </row>
    <row r="170" ht="15.75" customHeight="1">
      <c r="A170" s="90"/>
      <c r="B170" s="90"/>
      <c r="C170" s="144"/>
      <c r="D170" s="145"/>
      <c r="E170" s="90"/>
      <c r="F170" s="90"/>
      <c r="G170" s="90"/>
      <c r="H170" s="90"/>
      <c r="I170" s="90"/>
      <c r="J170" s="90"/>
      <c r="K170" s="90"/>
      <c r="L170" s="90"/>
      <c r="M170" s="146"/>
      <c r="N170" s="147"/>
      <c r="O170" s="147"/>
      <c r="P170" s="148"/>
      <c r="Q170" s="90"/>
      <c r="R170" s="91"/>
    </row>
    <row r="171" ht="15.75" customHeight="1">
      <c r="A171" s="90"/>
      <c r="B171" s="90"/>
      <c r="C171" s="144"/>
      <c r="D171" s="145"/>
      <c r="E171" s="90"/>
      <c r="F171" s="90"/>
      <c r="G171" s="90"/>
      <c r="H171" s="90"/>
      <c r="I171" s="90"/>
      <c r="J171" s="90"/>
      <c r="K171" s="90"/>
      <c r="L171" s="90"/>
      <c r="M171" s="146"/>
      <c r="N171" s="147"/>
      <c r="O171" s="147"/>
      <c r="P171" s="148"/>
      <c r="Q171" s="90"/>
      <c r="R171" s="91"/>
    </row>
    <row r="172" ht="15.75" customHeight="1">
      <c r="A172" s="90"/>
      <c r="B172" s="90"/>
      <c r="C172" s="144"/>
      <c r="D172" s="145"/>
      <c r="E172" s="90"/>
      <c r="F172" s="90"/>
      <c r="G172" s="90"/>
      <c r="H172" s="90"/>
      <c r="I172" s="90"/>
      <c r="J172" s="90"/>
      <c r="K172" s="90"/>
      <c r="L172" s="90"/>
      <c r="M172" s="146"/>
      <c r="N172" s="147"/>
      <c r="O172" s="147"/>
      <c r="P172" s="148"/>
      <c r="Q172" s="90"/>
      <c r="R172" s="91"/>
    </row>
    <row r="173" ht="15.75" customHeight="1">
      <c r="A173" s="90"/>
      <c r="B173" s="90"/>
      <c r="C173" s="144"/>
      <c r="D173" s="145"/>
      <c r="E173" s="90"/>
      <c r="F173" s="90"/>
      <c r="G173" s="90"/>
      <c r="H173" s="90"/>
      <c r="I173" s="90"/>
      <c r="J173" s="90"/>
      <c r="K173" s="90"/>
      <c r="L173" s="90"/>
      <c r="M173" s="146"/>
      <c r="N173" s="147"/>
      <c r="O173" s="147"/>
      <c r="P173" s="148"/>
      <c r="Q173" s="90"/>
      <c r="R173" s="91"/>
    </row>
    <row r="174" ht="15.75" customHeight="1">
      <c r="A174" s="90"/>
      <c r="B174" s="90"/>
      <c r="C174" s="144"/>
      <c r="D174" s="145"/>
      <c r="E174" s="90"/>
      <c r="F174" s="90"/>
      <c r="G174" s="90"/>
      <c r="H174" s="90"/>
      <c r="I174" s="90"/>
      <c r="J174" s="90"/>
      <c r="K174" s="90"/>
      <c r="L174" s="90"/>
      <c r="M174" s="146"/>
      <c r="N174" s="147"/>
      <c r="O174" s="147"/>
      <c r="P174" s="148"/>
      <c r="Q174" s="90"/>
      <c r="R174" s="91"/>
    </row>
    <row r="175" ht="15.75" customHeight="1">
      <c r="A175" s="90"/>
      <c r="B175" s="90"/>
      <c r="C175" s="144"/>
      <c r="D175" s="145"/>
      <c r="E175" s="90"/>
      <c r="F175" s="90"/>
      <c r="G175" s="90"/>
      <c r="H175" s="90"/>
      <c r="I175" s="90"/>
      <c r="J175" s="90"/>
      <c r="K175" s="90"/>
      <c r="L175" s="90"/>
      <c r="M175" s="146"/>
      <c r="N175" s="147"/>
      <c r="O175" s="147"/>
      <c r="P175" s="148"/>
      <c r="Q175" s="90"/>
      <c r="R175" s="91"/>
    </row>
    <row r="176" ht="15.75" customHeight="1">
      <c r="A176" s="90"/>
      <c r="B176" s="90"/>
      <c r="C176" s="144"/>
      <c r="D176" s="145"/>
      <c r="E176" s="90"/>
      <c r="F176" s="90"/>
      <c r="G176" s="90"/>
      <c r="H176" s="90"/>
      <c r="I176" s="90"/>
      <c r="J176" s="90"/>
      <c r="K176" s="90"/>
      <c r="L176" s="90"/>
      <c r="M176" s="146"/>
      <c r="N176" s="147"/>
      <c r="O176" s="147"/>
      <c r="P176" s="148"/>
      <c r="Q176" s="90"/>
      <c r="R176" s="91"/>
    </row>
    <row r="177" ht="15.75" customHeight="1">
      <c r="A177" s="90"/>
      <c r="B177" s="90"/>
      <c r="C177" s="144"/>
      <c r="D177" s="145"/>
      <c r="E177" s="90"/>
      <c r="F177" s="90"/>
      <c r="G177" s="90"/>
      <c r="H177" s="90"/>
      <c r="I177" s="90"/>
      <c r="J177" s="90"/>
      <c r="K177" s="90"/>
      <c r="L177" s="90"/>
      <c r="M177" s="146"/>
      <c r="N177" s="147"/>
      <c r="O177" s="147"/>
      <c r="P177" s="148"/>
      <c r="Q177" s="90"/>
      <c r="R177" s="91"/>
    </row>
    <row r="178" ht="15.75" customHeight="1">
      <c r="A178" s="90"/>
      <c r="B178" s="90"/>
      <c r="C178" s="144"/>
      <c r="D178" s="145"/>
      <c r="E178" s="90"/>
      <c r="F178" s="90"/>
      <c r="G178" s="90"/>
      <c r="H178" s="90"/>
      <c r="I178" s="90"/>
      <c r="J178" s="90"/>
      <c r="K178" s="90"/>
      <c r="L178" s="90"/>
      <c r="M178" s="146"/>
      <c r="N178" s="147"/>
      <c r="O178" s="147"/>
      <c r="P178" s="148"/>
      <c r="Q178" s="90"/>
      <c r="R178" s="91"/>
    </row>
    <row r="179" ht="15.75" customHeight="1">
      <c r="A179" s="90"/>
      <c r="B179" s="90"/>
      <c r="C179" s="144"/>
      <c r="D179" s="145"/>
      <c r="E179" s="90"/>
      <c r="F179" s="90"/>
      <c r="G179" s="90"/>
      <c r="H179" s="90"/>
      <c r="I179" s="90"/>
      <c r="J179" s="90"/>
      <c r="K179" s="90"/>
      <c r="L179" s="90"/>
      <c r="M179" s="146"/>
      <c r="N179" s="147"/>
      <c r="O179" s="147"/>
      <c r="P179" s="148"/>
      <c r="Q179" s="90"/>
      <c r="R179" s="91"/>
    </row>
    <row r="180" ht="15.75" customHeight="1">
      <c r="A180" s="90"/>
      <c r="B180" s="90"/>
      <c r="C180" s="144"/>
      <c r="D180" s="145"/>
      <c r="E180" s="90"/>
      <c r="F180" s="90"/>
      <c r="G180" s="90"/>
      <c r="H180" s="90"/>
      <c r="I180" s="90"/>
      <c r="J180" s="90"/>
      <c r="K180" s="90"/>
      <c r="L180" s="90"/>
      <c r="M180" s="146"/>
      <c r="N180" s="147"/>
      <c r="O180" s="147"/>
      <c r="P180" s="148"/>
      <c r="Q180" s="90"/>
      <c r="R180" s="91"/>
    </row>
    <row r="181" ht="15.75" customHeight="1">
      <c r="A181" s="90"/>
      <c r="B181" s="90"/>
      <c r="C181" s="144"/>
      <c r="D181" s="145"/>
      <c r="E181" s="90"/>
      <c r="F181" s="90"/>
      <c r="G181" s="90"/>
      <c r="H181" s="90"/>
      <c r="I181" s="90"/>
      <c r="J181" s="90"/>
      <c r="K181" s="90"/>
      <c r="L181" s="90"/>
      <c r="M181" s="146"/>
      <c r="N181" s="147"/>
      <c r="O181" s="147"/>
      <c r="P181" s="148"/>
      <c r="Q181" s="90"/>
      <c r="R181" s="91"/>
    </row>
    <row r="182" ht="15.75" customHeight="1">
      <c r="A182" s="90"/>
      <c r="B182" s="90"/>
      <c r="C182" s="144"/>
      <c r="D182" s="145"/>
      <c r="E182" s="90"/>
      <c r="F182" s="90"/>
      <c r="G182" s="90"/>
      <c r="H182" s="90"/>
      <c r="I182" s="90"/>
      <c r="J182" s="90"/>
      <c r="K182" s="90"/>
      <c r="L182" s="90"/>
      <c r="M182" s="146"/>
      <c r="N182" s="147"/>
      <c r="O182" s="147"/>
      <c r="P182" s="148"/>
      <c r="Q182" s="90"/>
      <c r="R182" s="91"/>
    </row>
    <row r="183" ht="15.75" customHeight="1">
      <c r="A183" s="90"/>
      <c r="B183" s="90"/>
      <c r="C183" s="144"/>
      <c r="D183" s="145"/>
      <c r="E183" s="90"/>
      <c r="F183" s="90"/>
      <c r="G183" s="90"/>
      <c r="H183" s="90"/>
      <c r="I183" s="90"/>
      <c r="J183" s="90"/>
      <c r="K183" s="90"/>
      <c r="L183" s="90"/>
      <c r="M183" s="146"/>
      <c r="N183" s="147"/>
      <c r="O183" s="147"/>
      <c r="P183" s="148"/>
      <c r="Q183" s="90"/>
      <c r="R183" s="91"/>
    </row>
    <row r="184" ht="15.75" customHeight="1">
      <c r="A184" s="90"/>
      <c r="B184" s="90"/>
      <c r="C184" s="144"/>
      <c r="D184" s="145"/>
      <c r="E184" s="90"/>
      <c r="F184" s="90"/>
      <c r="G184" s="90"/>
      <c r="H184" s="90"/>
      <c r="I184" s="90"/>
      <c r="J184" s="90"/>
      <c r="K184" s="90"/>
      <c r="L184" s="90"/>
      <c r="M184" s="146"/>
      <c r="N184" s="147"/>
      <c r="O184" s="147"/>
      <c r="P184" s="148"/>
      <c r="Q184" s="90"/>
      <c r="R184" s="91"/>
    </row>
    <row r="185" ht="15.75" customHeight="1">
      <c r="A185" s="90"/>
      <c r="B185" s="90"/>
      <c r="C185" s="144"/>
      <c r="D185" s="145"/>
      <c r="E185" s="90"/>
      <c r="F185" s="90"/>
      <c r="G185" s="90"/>
      <c r="H185" s="90"/>
      <c r="I185" s="90"/>
      <c r="J185" s="90"/>
      <c r="K185" s="90"/>
      <c r="L185" s="90"/>
      <c r="M185" s="146"/>
      <c r="N185" s="147"/>
      <c r="O185" s="147"/>
      <c r="P185" s="148"/>
      <c r="Q185" s="90"/>
      <c r="R185" s="91"/>
    </row>
    <row r="186" ht="15.75" customHeight="1">
      <c r="A186" s="90"/>
      <c r="B186" s="90"/>
      <c r="C186" s="144"/>
      <c r="D186" s="145"/>
      <c r="E186" s="90"/>
      <c r="F186" s="90"/>
      <c r="G186" s="90"/>
      <c r="H186" s="90"/>
      <c r="I186" s="90"/>
      <c r="J186" s="90"/>
      <c r="K186" s="90"/>
      <c r="L186" s="90"/>
      <c r="M186" s="146"/>
      <c r="N186" s="147"/>
      <c r="O186" s="147"/>
      <c r="P186" s="148"/>
      <c r="Q186" s="90"/>
      <c r="R186" s="91"/>
    </row>
    <row r="187" ht="15.75" customHeight="1">
      <c r="A187" s="90"/>
      <c r="B187" s="90"/>
      <c r="C187" s="144"/>
      <c r="D187" s="145"/>
      <c r="E187" s="90"/>
      <c r="F187" s="90"/>
      <c r="G187" s="90"/>
      <c r="H187" s="90"/>
      <c r="I187" s="90"/>
      <c r="J187" s="90"/>
      <c r="K187" s="90"/>
      <c r="L187" s="90"/>
      <c r="M187" s="146"/>
      <c r="N187" s="147"/>
      <c r="O187" s="147"/>
      <c r="P187" s="148"/>
      <c r="Q187" s="90"/>
      <c r="R187" s="91"/>
    </row>
    <row r="188" ht="15.75" customHeight="1">
      <c r="A188" s="90"/>
      <c r="B188" s="90"/>
      <c r="C188" s="144"/>
      <c r="D188" s="145"/>
      <c r="E188" s="90"/>
      <c r="F188" s="90"/>
      <c r="G188" s="90"/>
      <c r="H188" s="90"/>
      <c r="I188" s="90"/>
      <c r="J188" s="90"/>
      <c r="K188" s="90"/>
      <c r="L188" s="90"/>
      <c r="M188" s="146"/>
      <c r="N188" s="147"/>
      <c r="O188" s="147"/>
      <c r="P188" s="148"/>
      <c r="Q188" s="90"/>
      <c r="R188" s="91"/>
    </row>
    <row r="189" ht="15.75" customHeight="1">
      <c r="A189" s="90"/>
      <c r="B189" s="90"/>
      <c r="C189" s="144"/>
      <c r="D189" s="145"/>
      <c r="E189" s="90"/>
      <c r="F189" s="90"/>
      <c r="G189" s="90"/>
      <c r="H189" s="90"/>
      <c r="I189" s="90"/>
      <c r="J189" s="90"/>
      <c r="K189" s="90"/>
      <c r="L189" s="90"/>
      <c r="M189" s="146"/>
      <c r="N189" s="147"/>
      <c r="O189" s="147"/>
      <c r="P189" s="148"/>
      <c r="Q189" s="90"/>
      <c r="R189" s="91"/>
    </row>
    <row r="190" ht="15.75" customHeight="1">
      <c r="A190" s="90"/>
      <c r="B190" s="90"/>
      <c r="C190" s="144"/>
      <c r="D190" s="145"/>
      <c r="E190" s="90"/>
      <c r="F190" s="90"/>
      <c r="G190" s="90"/>
      <c r="H190" s="90"/>
      <c r="I190" s="90"/>
      <c r="J190" s="90"/>
      <c r="K190" s="90"/>
      <c r="L190" s="90"/>
      <c r="M190" s="146"/>
      <c r="N190" s="147"/>
      <c r="O190" s="147"/>
      <c r="P190" s="148"/>
      <c r="Q190" s="90"/>
      <c r="R190" s="91"/>
    </row>
    <row r="191" ht="15.75" customHeight="1">
      <c r="A191" s="90"/>
      <c r="B191" s="90"/>
      <c r="C191" s="144"/>
      <c r="D191" s="145"/>
      <c r="E191" s="90"/>
      <c r="F191" s="90"/>
      <c r="G191" s="90"/>
      <c r="H191" s="90"/>
      <c r="I191" s="90"/>
      <c r="J191" s="90"/>
      <c r="K191" s="90"/>
      <c r="L191" s="90"/>
      <c r="M191" s="146"/>
      <c r="N191" s="147"/>
      <c r="O191" s="147"/>
      <c r="P191" s="148"/>
      <c r="Q191" s="90"/>
      <c r="R191" s="91"/>
    </row>
    <row r="192" ht="15.75" customHeight="1">
      <c r="A192" s="90"/>
      <c r="B192" s="90"/>
      <c r="C192" s="144"/>
      <c r="D192" s="145"/>
      <c r="E192" s="90"/>
      <c r="F192" s="90"/>
      <c r="G192" s="90"/>
      <c r="H192" s="90"/>
      <c r="I192" s="90"/>
      <c r="J192" s="90"/>
      <c r="K192" s="90"/>
      <c r="L192" s="90"/>
      <c r="M192" s="146"/>
      <c r="N192" s="147"/>
      <c r="O192" s="147"/>
      <c r="P192" s="148"/>
      <c r="Q192" s="90"/>
      <c r="R192" s="91"/>
    </row>
    <row r="193" ht="15.75" customHeight="1">
      <c r="A193" s="90"/>
      <c r="B193" s="90"/>
      <c r="C193" s="144"/>
      <c r="D193" s="145"/>
      <c r="E193" s="90"/>
      <c r="F193" s="90"/>
      <c r="G193" s="90"/>
      <c r="H193" s="90"/>
      <c r="I193" s="90"/>
      <c r="J193" s="90"/>
      <c r="K193" s="90"/>
      <c r="L193" s="90"/>
      <c r="M193" s="146"/>
      <c r="N193" s="147"/>
      <c r="O193" s="147"/>
      <c r="P193" s="148"/>
      <c r="Q193" s="90"/>
      <c r="R193" s="91"/>
    </row>
    <row r="194" ht="15.75" customHeight="1">
      <c r="A194" s="90"/>
      <c r="B194" s="90"/>
      <c r="C194" s="144"/>
      <c r="D194" s="145"/>
      <c r="E194" s="90"/>
      <c r="F194" s="90"/>
      <c r="G194" s="90"/>
      <c r="H194" s="90"/>
      <c r="I194" s="90"/>
      <c r="J194" s="90"/>
      <c r="K194" s="90"/>
      <c r="L194" s="90"/>
      <c r="M194" s="146"/>
      <c r="N194" s="147"/>
      <c r="O194" s="147"/>
      <c r="P194" s="148"/>
      <c r="Q194" s="90"/>
      <c r="R194" s="91"/>
    </row>
    <row r="195" ht="15.75" customHeight="1">
      <c r="A195" s="90"/>
      <c r="B195" s="90"/>
      <c r="C195" s="144"/>
      <c r="D195" s="145"/>
      <c r="E195" s="90"/>
      <c r="F195" s="90"/>
      <c r="G195" s="90"/>
      <c r="H195" s="90"/>
      <c r="I195" s="90"/>
      <c r="J195" s="90"/>
      <c r="K195" s="90"/>
      <c r="L195" s="90"/>
      <c r="M195" s="146"/>
      <c r="N195" s="147"/>
      <c r="O195" s="147"/>
      <c r="P195" s="148"/>
      <c r="Q195" s="90"/>
      <c r="R195" s="91"/>
    </row>
    <row r="196" ht="15.75" customHeight="1">
      <c r="A196" s="90"/>
      <c r="B196" s="90"/>
      <c r="C196" s="144"/>
      <c r="D196" s="145"/>
      <c r="E196" s="90"/>
      <c r="F196" s="90"/>
      <c r="G196" s="90"/>
      <c r="H196" s="90"/>
      <c r="I196" s="90"/>
      <c r="J196" s="90"/>
      <c r="K196" s="90"/>
      <c r="L196" s="90"/>
      <c r="M196" s="146"/>
      <c r="N196" s="147"/>
      <c r="O196" s="147"/>
      <c r="P196" s="148"/>
      <c r="Q196" s="90"/>
      <c r="R196" s="91"/>
    </row>
    <row r="197" ht="15.75" customHeight="1">
      <c r="A197" s="90"/>
      <c r="B197" s="90"/>
      <c r="C197" s="144"/>
      <c r="D197" s="145"/>
      <c r="E197" s="90"/>
      <c r="F197" s="90"/>
      <c r="G197" s="90"/>
      <c r="H197" s="90"/>
      <c r="I197" s="90"/>
      <c r="J197" s="90"/>
      <c r="K197" s="90"/>
      <c r="L197" s="90"/>
      <c r="M197" s="146"/>
      <c r="N197" s="147"/>
      <c r="O197" s="147"/>
      <c r="P197" s="148"/>
      <c r="Q197" s="90"/>
      <c r="R197" s="91"/>
    </row>
    <row r="198" ht="15.75" customHeight="1">
      <c r="A198" s="90"/>
      <c r="B198" s="90"/>
      <c r="C198" s="144"/>
      <c r="D198" s="145"/>
      <c r="E198" s="90"/>
      <c r="F198" s="90"/>
      <c r="G198" s="90"/>
      <c r="H198" s="90"/>
      <c r="I198" s="90"/>
      <c r="J198" s="90"/>
      <c r="K198" s="90"/>
      <c r="L198" s="90"/>
      <c r="M198" s="146"/>
      <c r="N198" s="147"/>
      <c r="O198" s="147"/>
      <c r="P198" s="148"/>
      <c r="Q198" s="90"/>
      <c r="R198" s="91"/>
    </row>
    <row r="199" ht="15.75" customHeight="1">
      <c r="A199" s="90"/>
      <c r="B199" s="90"/>
      <c r="C199" s="144"/>
      <c r="D199" s="145"/>
      <c r="E199" s="90"/>
      <c r="F199" s="90"/>
      <c r="G199" s="90"/>
      <c r="H199" s="90"/>
      <c r="I199" s="90"/>
      <c r="J199" s="90"/>
      <c r="K199" s="90"/>
      <c r="L199" s="90"/>
      <c r="M199" s="146"/>
      <c r="N199" s="147"/>
      <c r="O199" s="147"/>
      <c r="P199" s="148"/>
      <c r="Q199" s="90"/>
      <c r="R199" s="91"/>
    </row>
    <row r="200" ht="15.75" customHeight="1">
      <c r="A200" s="90"/>
      <c r="B200" s="90"/>
      <c r="C200" s="144"/>
      <c r="D200" s="145"/>
      <c r="E200" s="90"/>
      <c r="F200" s="90"/>
      <c r="G200" s="90"/>
      <c r="H200" s="90"/>
      <c r="I200" s="90"/>
      <c r="J200" s="90"/>
      <c r="K200" s="90"/>
      <c r="L200" s="90"/>
      <c r="M200" s="146"/>
      <c r="N200" s="147"/>
      <c r="O200" s="147"/>
      <c r="P200" s="148"/>
      <c r="Q200" s="90"/>
      <c r="R200" s="91"/>
    </row>
    <row r="201" ht="15.75" customHeight="1">
      <c r="A201" s="90"/>
      <c r="B201" s="90"/>
      <c r="C201" s="144"/>
      <c r="D201" s="145"/>
      <c r="E201" s="90"/>
      <c r="F201" s="90"/>
      <c r="G201" s="90"/>
      <c r="H201" s="90"/>
      <c r="I201" s="90"/>
      <c r="J201" s="90"/>
      <c r="K201" s="90"/>
      <c r="L201" s="90"/>
      <c r="M201" s="146"/>
      <c r="N201" s="147"/>
      <c r="O201" s="147"/>
      <c r="P201" s="148"/>
      <c r="Q201" s="90"/>
      <c r="R201" s="91"/>
    </row>
    <row r="202" ht="15.75" customHeight="1">
      <c r="A202" s="90"/>
      <c r="B202" s="90"/>
      <c r="C202" s="144"/>
      <c r="D202" s="145"/>
      <c r="E202" s="90"/>
      <c r="F202" s="90"/>
      <c r="G202" s="90"/>
      <c r="H202" s="90"/>
      <c r="I202" s="90"/>
      <c r="J202" s="90"/>
      <c r="K202" s="90"/>
      <c r="L202" s="90"/>
      <c r="M202" s="146"/>
      <c r="N202" s="147"/>
      <c r="O202" s="147"/>
      <c r="P202" s="148"/>
      <c r="Q202" s="90"/>
      <c r="R202" s="91"/>
    </row>
    <row r="203" ht="15.75" customHeight="1">
      <c r="A203" s="90"/>
      <c r="B203" s="90"/>
      <c r="C203" s="144"/>
      <c r="D203" s="145"/>
      <c r="E203" s="90"/>
      <c r="F203" s="90"/>
      <c r="G203" s="90"/>
      <c r="H203" s="90"/>
      <c r="I203" s="90"/>
      <c r="J203" s="90"/>
      <c r="K203" s="90"/>
      <c r="L203" s="90"/>
      <c r="M203" s="146"/>
      <c r="N203" s="147"/>
      <c r="O203" s="147"/>
      <c r="P203" s="148"/>
      <c r="Q203" s="90"/>
      <c r="R203" s="91"/>
    </row>
    <row r="204" ht="15.75" customHeight="1">
      <c r="A204" s="90"/>
      <c r="B204" s="90"/>
      <c r="C204" s="144"/>
      <c r="D204" s="145"/>
      <c r="E204" s="90"/>
      <c r="F204" s="90"/>
      <c r="G204" s="90"/>
      <c r="H204" s="90"/>
      <c r="I204" s="90"/>
      <c r="J204" s="90"/>
      <c r="K204" s="90"/>
      <c r="L204" s="90"/>
      <c r="M204" s="146"/>
      <c r="N204" s="147"/>
      <c r="O204" s="147"/>
      <c r="P204" s="148"/>
      <c r="Q204" s="90"/>
      <c r="R204" s="91"/>
    </row>
    <row r="205" ht="15.75" customHeight="1">
      <c r="A205" s="90"/>
      <c r="B205" s="90"/>
      <c r="C205" s="144"/>
      <c r="D205" s="145"/>
      <c r="E205" s="90"/>
      <c r="F205" s="90"/>
      <c r="G205" s="90"/>
      <c r="H205" s="90"/>
      <c r="I205" s="90"/>
      <c r="J205" s="90"/>
      <c r="K205" s="90"/>
      <c r="L205" s="90"/>
      <c r="M205" s="146"/>
      <c r="N205" s="147"/>
      <c r="O205" s="147"/>
      <c r="P205" s="148"/>
      <c r="Q205" s="90"/>
      <c r="R205" s="91"/>
    </row>
    <row r="206" ht="15.75" customHeight="1">
      <c r="A206" s="90"/>
      <c r="B206" s="90"/>
      <c r="C206" s="144"/>
      <c r="D206" s="145"/>
      <c r="E206" s="90"/>
      <c r="F206" s="90"/>
      <c r="G206" s="90"/>
      <c r="H206" s="90"/>
      <c r="I206" s="90"/>
      <c r="J206" s="90"/>
      <c r="K206" s="90"/>
      <c r="L206" s="90"/>
      <c r="M206" s="146"/>
      <c r="N206" s="147"/>
      <c r="O206" s="147"/>
      <c r="P206" s="148"/>
      <c r="Q206" s="90"/>
      <c r="R206" s="91"/>
    </row>
    <row r="207" ht="15.75" customHeight="1">
      <c r="A207" s="90"/>
      <c r="B207" s="90"/>
      <c r="C207" s="144"/>
      <c r="D207" s="145"/>
      <c r="E207" s="90"/>
      <c r="F207" s="90"/>
      <c r="G207" s="90"/>
      <c r="H207" s="90"/>
      <c r="I207" s="90"/>
      <c r="J207" s="90"/>
      <c r="K207" s="90"/>
      <c r="L207" s="90"/>
      <c r="M207" s="146"/>
      <c r="N207" s="147"/>
      <c r="O207" s="147"/>
      <c r="P207" s="148"/>
      <c r="Q207" s="90"/>
      <c r="R207" s="91"/>
    </row>
    <row r="208" ht="15.75" customHeight="1">
      <c r="A208" s="90"/>
      <c r="B208" s="90"/>
      <c r="C208" s="144"/>
      <c r="D208" s="145"/>
      <c r="E208" s="90"/>
      <c r="F208" s="90"/>
      <c r="G208" s="90"/>
      <c r="H208" s="90"/>
      <c r="I208" s="90"/>
      <c r="J208" s="90"/>
      <c r="K208" s="90"/>
      <c r="L208" s="90"/>
      <c r="M208" s="146"/>
      <c r="N208" s="147"/>
      <c r="O208" s="147"/>
      <c r="P208" s="148"/>
      <c r="Q208" s="90"/>
      <c r="R208" s="91"/>
    </row>
    <row r="209" ht="15.75" customHeight="1">
      <c r="A209" s="90"/>
      <c r="B209" s="90"/>
      <c r="C209" s="144"/>
      <c r="D209" s="145"/>
      <c r="E209" s="90"/>
      <c r="F209" s="90"/>
      <c r="G209" s="90"/>
      <c r="H209" s="90"/>
      <c r="I209" s="90"/>
      <c r="J209" s="90"/>
      <c r="K209" s="90"/>
      <c r="L209" s="90"/>
      <c r="M209" s="146"/>
      <c r="N209" s="147"/>
      <c r="O209" s="147"/>
      <c r="P209" s="148"/>
      <c r="Q209" s="90"/>
      <c r="R209" s="91"/>
    </row>
    <row r="210" ht="15.75" customHeight="1">
      <c r="A210" s="90"/>
      <c r="B210" s="90"/>
      <c r="C210" s="144"/>
      <c r="D210" s="145"/>
      <c r="E210" s="90"/>
      <c r="F210" s="90"/>
      <c r="G210" s="90"/>
      <c r="H210" s="90"/>
      <c r="I210" s="90"/>
      <c r="J210" s="90"/>
      <c r="K210" s="90"/>
      <c r="L210" s="90"/>
      <c r="M210" s="146"/>
      <c r="N210" s="147"/>
      <c r="O210" s="147"/>
      <c r="P210" s="148"/>
      <c r="Q210" s="90"/>
      <c r="R210" s="91"/>
    </row>
    <row r="211" ht="15.75" customHeight="1">
      <c r="A211" s="90"/>
      <c r="B211" s="90"/>
      <c r="C211" s="144"/>
      <c r="D211" s="145"/>
      <c r="E211" s="90"/>
      <c r="F211" s="90"/>
      <c r="G211" s="90"/>
      <c r="H211" s="90"/>
      <c r="I211" s="90"/>
      <c r="J211" s="90"/>
      <c r="K211" s="90"/>
      <c r="L211" s="90"/>
      <c r="M211" s="146"/>
      <c r="N211" s="147"/>
      <c r="O211" s="147"/>
      <c r="P211" s="148"/>
      <c r="Q211" s="90"/>
      <c r="R211" s="91"/>
    </row>
    <row r="212" ht="15.75" customHeight="1">
      <c r="A212" s="90"/>
      <c r="B212" s="90"/>
      <c r="C212" s="144"/>
      <c r="D212" s="145"/>
      <c r="E212" s="90"/>
      <c r="F212" s="90"/>
      <c r="G212" s="90"/>
      <c r="H212" s="90"/>
      <c r="I212" s="90"/>
      <c r="J212" s="90"/>
      <c r="K212" s="90"/>
      <c r="L212" s="90"/>
      <c r="M212" s="146"/>
      <c r="N212" s="147"/>
      <c r="O212" s="147"/>
      <c r="P212" s="148"/>
      <c r="Q212" s="90"/>
      <c r="R212" s="91"/>
    </row>
    <row r="213" ht="15.75" customHeight="1">
      <c r="A213" s="90"/>
      <c r="B213" s="90"/>
      <c r="C213" s="144"/>
      <c r="D213" s="145"/>
      <c r="E213" s="90"/>
      <c r="F213" s="90"/>
      <c r="G213" s="90"/>
      <c r="H213" s="90"/>
      <c r="I213" s="90"/>
      <c r="J213" s="90"/>
      <c r="K213" s="90"/>
      <c r="L213" s="90"/>
      <c r="M213" s="146"/>
      <c r="N213" s="147"/>
      <c r="O213" s="147"/>
      <c r="P213" s="148"/>
      <c r="Q213" s="90"/>
      <c r="R213" s="91"/>
    </row>
    <row r="214" ht="15.75" customHeight="1">
      <c r="A214" s="90"/>
      <c r="B214" s="90"/>
      <c r="C214" s="144"/>
      <c r="D214" s="145"/>
      <c r="E214" s="90"/>
      <c r="F214" s="90"/>
      <c r="G214" s="90"/>
      <c r="H214" s="90"/>
      <c r="I214" s="90"/>
      <c r="J214" s="90"/>
      <c r="K214" s="90"/>
      <c r="L214" s="90"/>
      <c r="M214" s="146"/>
      <c r="N214" s="147"/>
      <c r="O214" s="147"/>
      <c r="P214" s="148"/>
      <c r="Q214" s="90"/>
      <c r="R214" s="91"/>
    </row>
    <row r="215" ht="15.75" customHeight="1">
      <c r="A215" s="90"/>
      <c r="B215" s="90"/>
      <c r="C215" s="144"/>
      <c r="D215" s="145"/>
      <c r="E215" s="90"/>
      <c r="F215" s="90"/>
      <c r="G215" s="90"/>
      <c r="H215" s="90"/>
      <c r="I215" s="90"/>
      <c r="J215" s="90"/>
      <c r="K215" s="90"/>
      <c r="L215" s="90"/>
      <c r="M215" s="146"/>
      <c r="N215" s="147"/>
      <c r="O215" s="147"/>
      <c r="P215" s="148"/>
      <c r="Q215" s="90"/>
      <c r="R215" s="91"/>
    </row>
    <row r="216" ht="15.75" customHeight="1">
      <c r="A216" s="90"/>
      <c r="B216" s="90"/>
      <c r="C216" s="144"/>
      <c r="D216" s="145"/>
      <c r="E216" s="90"/>
      <c r="F216" s="90"/>
      <c r="G216" s="90"/>
      <c r="H216" s="90"/>
      <c r="I216" s="90"/>
      <c r="J216" s="90"/>
      <c r="K216" s="90"/>
      <c r="L216" s="90"/>
      <c r="M216" s="146"/>
      <c r="N216" s="147"/>
      <c r="O216" s="147"/>
      <c r="P216" s="148"/>
      <c r="Q216" s="90"/>
      <c r="R216" s="91"/>
    </row>
    <row r="217" ht="15.75" customHeight="1">
      <c r="A217" s="90"/>
      <c r="B217" s="90"/>
      <c r="C217" s="144"/>
      <c r="D217" s="145"/>
      <c r="E217" s="90"/>
      <c r="F217" s="90"/>
      <c r="G217" s="90"/>
      <c r="H217" s="90"/>
      <c r="I217" s="90"/>
      <c r="J217" s="90"/>
      <c r="K217" s="90"/>
      <c r="L217" s="90"/>
      <c r="M217" s="146"/>
      <c r="N217" s="147"/>
      <c r="O217" s="147"/>
      <c r="P217" s="148"/>
      <c r="Q217" s="90"/>
      <c r="R217" s="91"/>
    </row>
    <row r="218" ht="15.75" customHeight="1">
      <c r="A218" s="90"/>
      <c r="B218" s="90"/>
      <c r="C218" s="144"/>
      <c r="D218" s="145"/>
      <c r="E218" s="90"/>
      <c r="F218" s="90"/>
      <c r="G218" s="90"/>
      <c r="H218" s="90"/>
      <c r="I218" s="90"/>
      <c r="J218" s="90"/>
      <c r="K218" s="90"/>
      <c r="L218" s="90"/>
      <c r="M218" s="146"/>
      <c r="N218" s="147"/>
      <c r="O218" s="147"/>
      <c r="P218" s="148"/>
      <c r="Q218" s="90"/>
      <c r="R218" s="91"/>
    </row>
    <row r="219" ht="15.75" customHeight="1">
      <c r="A219" s="90"/>
      <c r="B219" s="90"/>
      <c r="C219" s="144"/>
      <c r="D219" s="145"/>
      <c r="E219" s="90"/>
      <c r="F219" s="90"/>
      <c r="G219" s="90"/>
      <c r="H219" s="90"/>
      <c r="I219" s="90"/>
      <c r="J219" s="90"/>
      <c r="K219" s="90"/>
      <c r="L219" s="90"/>
      <c r="M219" s="146"/>
      <c r="N219" s="147"/>
      <c r="O219" s="147"/>
      <c r="P219" s="148"/>
      <c r="Q219" s="90"/>
      <c r="R219" s="91"/>
    </row>
    <row r="220" ht="15.75" customHeight="1">
      <c r="A220" s="90"/>
      <c r="B220" s="90"/>
      <c r="C220" s="144"/>
      <c r="D220" s="145"/>
      <c r="E220" s="90"/>
      <c r="F220" s="90"/>
      <c r="G220" s="90"/>
      <c r="H220" s="90"/>
      <c r="I220" s="90"/>
      <c r="J220" s="90"/>
      <c r="K220" s="90"/>
      <c r="L220" s="90"/>
      <c r="M220" s="146"/>
      <c r="N220" s="147"/>
      <c r="O220" s="147"/>
      <c r="P220" s="148"/>
      <c r="Q220" s="90"/>
      <c r="R220" s="91"/>
    </row>
    <row r="221" ht="15.75" customHeight="1">
      <c r="A221" s="90"/>
      <c r="B221" s="90"/>
      <c r="C221" s="144"/>
      <c r="D221" s="145"/>
      <c r="E221" s="90"/>
      <c r="F221" s="90"/>
      <c r="G221" s="90"/>
      <c r="H221" s="90"/>
      <c r="I221" s="90"/>
      <c r="J221" s="90"/>
      <c r="K221" s="90"/>
      <c r="L221" s="90"/>
      <c r="M221" s="146"/>
      <c r="N221" s="147"/>
      <c r="O221" s="147"/>
      <c r="P221" s="148"/>
      <c r="Q221" s="90"/>
      <c r="R221" s="91"/>
    </row>
    <row r="222" ht="15.75" customHeight="1">
      <c r="A222" s="90"/>
      <c r="B222" s="90"/>
      <c r="C222" s="144"/>
      <c r="D222" s="145"/>
      <c r="E222" s="90"/>
      <c r="F222" s="90"/>
      <c r="G222" s="90"/>
      <c r="H222" s="90"/>
      <c r="I222" s="90"/>
      <c r="J222" s="90"/>
      <c r="K222" s="90"/>
      <c r="L222" s="90"/>
      <c r="M222" s="146"/>
      <c r="N222" s="147"/>
      <c r="O222" s="147"/>
      <c r="P222" s="148"/>
      <c r="Q222" s="90"/>
      <c r="R222" s="91"/>
    </row>
    <row r="223" ht="15.75" customHeight="1">
      <c r="A223" s="90"/>
      <c r="B223" s="90"/>
      <c r="C223" s="144"/>
      <c r="D223" s="145"/>
      <c r="E223" s="90"/>
      <c r="F223" s="90"/>
      <c r="G223" s="90"/>
      <c r="H223" s="90"/>
      <c r="I223" s="90"/>
      <c r="J223" s="90"/>
      <c r="K223" s="90"/>
      <c r="L223" s="90"/>
      <c r="M223" s="146"/>
      <c r="N223" s="147"/>
      <c r="O223" s="147"/>
      <c r="P223" s="148"/>
      <c r="Q223" s="90"/>
      <c r="R223" s="91"/>
    </row>
    <row r="224" ht="15.75" customHeight="1">
      <c r="A224" s="90"/>
      <c r="B224" s="90"/>
      <c r="C224" s="144"/>
      <c r="D224" s="145"/>
      <c r="E224" s="90"/>
      <c r="F224" s="90"/>
      <c r="G224" s="90"/>
      <c r="H224" s="90"/>
      <c r="I224" s="90"/>
      <c r="J224" s="90"/>
      <c r="K224" s="90"/>
      <c r="L224" s="90"/>
      <c r="M224" s="146"/>
      <c r="N224" s="147"/>
      <c r="O224" s="147"/>
      <c r="P224" s="148"/>
      <c r="Q224" s="90"/>
      <c r="R224" s="91"/>
    </row>
    <row r="225" ht="15.75" customHeight="1">
      <c r="A225" s="90"/>
      <c r="B225" s="90"/>
      <c r="C225" s="144"/>
      <c r="D225" s="145"/>
      <c r="E225" s="90"/>
      <c r="F225" s="90"/>
      <c r="G225" s="90"/>
      <c r="H225" s="90"/>
      <c r="I225" s="90"/>
      <c r="J225" s="90"/>
      <c r="K225" s="90"/>
      <c r="L225" s="90"/>
      <c r="M225" s="146"/>
      <c r="N225" s="147"/>
      <c r="O225" s="147"/>
      <c r="P225" s="148"/>
      <c r="Q225" s="90"/>
      <c r="R225" s="91"/>
    </row>
    <row r="226" ht="15.75" customHeight="1">
      <c r="A226" s="90"/>
      <c r="B226" s="90"/>
      <c r="C226" s="144"/>
      <c r="D226" s="145"/>
      <c r="E226" s="90"/>
      <c r="F226" s="90"/>
      <c r="G226" s="90"/>
      <c r="H226" s="90"/>
      <c r="I226" s="90"/>
      <c r="J226" s="90"/>
      <c r="K226" s="90"/>
      <c r="L226" s="90"/>
      <c r="M226" s="146"/>
      <c r="N226" s="147"/>
      <c r="O226" s="147"/>
      <c r="P226" s="148"/>
      <c r="Q226" s="90"/>
      <c r="R226" s="91"/>
    </row>
    <row r="227" ht="15.75" customHeight="1">
      <c r="A227" s="90"/>
      <c r="B227" s="90"/>
      <c r="C227" s="144"/>
      <c r="D227" s="145"/>
      <c r="E227" s="90"/>
      <c r="F227" s="90"/>
      <c r="G227" s="90"/>
      <c r="H227" s="90"/>
      <c r="I227" s="90"/>
      <c r="J227" s="90"/>
      <c r="K227" s="90"/>
      <c r="L227" s="90"/>
      <c r="M227" s="146"/>
      <c r="N227" s="147"/>
      <c r="O227" s="147"/>
      <c r="P227" s="148"/>
      <c r="Q227" s="90"/>
      <c r="R227" s="91"/>
    </row>
    <row r="228" ht="15.75" customHeight="1">
      <c r="A228" s="90"/>
      <c r="B228" s="90"/>
      <c r="C228" s="144"/>
      <c r="D228" s="145"/>
      <c r="E228" s="90"/>
      <c r="F228" s="90"/>
      <c r="G228" s="90"/>
      <c r="H228" s="90"/>
      <c r="I228" s="90"/>
      <c r="J228" s="90"/>
      <c r="K228" s="90"/>
      <c r="L228" s="90"/>
      <c r="M228" s="146"/>
      <c r="N228" s="147"/>
      <c r="O228" s="147"/>
      <c r="P228" s="148"/>
      <c r="Q228" s="90"/>
      <c r="R228" s="91"/>
    </row>
    <row r="229" ht="15.75" customHeight="1">
      <c r="A229" s="90"/>
      <c r="B229" s="90"/>
      <c r="C229" s="144"/>
      <c r="D229" s="145"/>
      <c r="E229" s="90"/>
      <c r="F229" s="90"/>
      <c r="G229" s="90"/>
      <c r="H229" s="90"/>
      <c r="I229" s="90"/>
      <c r="J229" s="90"/>
      <c r="K229" s="90"/>
      <c r="L229" s="90"/>
      <c r="M229" s="146"/>
      <c r="N229" s="147"/>
      <c r="O229" s="147"/>
      <c r="P229" s="148"/>
      <c r="Q229" s="90"/>
      <c r="R229" s="91"/>
    </row>
    <row r="230" ht="15.75" customHeight="1">
      <c r="A230" s="90"/>
      <c r="B230" s="90"/>
      <c r="C230" s="144"/>
      <c r="D230" s="145"/>
      <c r="E230" s="90"/>
      <c r="F230" s="90"/>
      <c r="G230" s="90"/>
      <c r="H230" s="90"/>
      <c r="I230" s="90"/>
      <c r="J230" s="90"/>
      <c r="K230" s="90"/>
      <c r="L230" s="90"/>
      <c r="M230" s="146"/>
      <c r="N230" s="147"/>
      <c r="O230" s="147"/>
      <c r="P230" s="148"/>
      <c r="Q230" s="90"/>
      <c r="R230" s="91"/>
    </row>
    <row r="231" ht="15.75" customHeight="1">
      <c r="A231" s="90"/>
      <c r="B231" s="90"/>
      <c r="C231" s="144"/>
      <c r="D231" s="145"/>
      <c r="E231" s="90"/>
      <c r="F231" s="90"/>
      <c r="G231" s="90"/>
      <c r="H231" s="90"/>
      <c r="I231" s="90"/>
      <c r="J231" s="90"/>
      <c r="K231" s="90"/>
      <c r="L231" s="90"/>
      <c r="M231" s="146"/>
      <c r="N231" s="147"/>
      <c r="O231" s="147"/>
      <c r="P231" s="148"/>
      <c r="Q231" s="90"/>
      <c r="R231" s="91"/>
    </row>
    <row r="232" ht="15.75" customHeight="1">
      <c r="A232" s="90"/>
      <c r="B232" s="90"/>
      <c r="C232" s="144"/>
      <c r="D232" s="145"/>
      <c r="E232" s="90"/>
      <c r="F232" s="90"/>
      <c r="G232" s="90"/>
      <c r="H232" s="90"/>
      <c r="I232" s="90"/>
      <c r="J232" s="90"/>
      <c r="K232" s="90"/>
      <c r="L232" s="90"/>
      <c r="M232" s="146"/>
      <c r="N232" s="147"/>
      <c r="O232" s="147"/>
      <c r="P232" s="148"/>
      <c r="Q232" s="90"/>
      <c r="R232" s="91"/>
    </row>
    <row r="233" ht="15.75" customHeight="1">
      <c r="A233" s="90"/>
      <c r="B233" s="90"/>
      <c r="C233" s="144"/>
      <c r="D233" s="145"/>
      <c r="E233" s="90"/>
      <c r="F233" s="90"/>
      <c r="G233" s="90"/>
      <c r="H233" s="90"/>
      <c r="I233" s="90"/>
      <c r="J233" s="90"/>
      <c r="K233" s="90"/>
      <c r="L233" s="90"/>
      <c r="M233" s="146"/>
      <c r="N233" s="147"/>
      <c r="O233" s="147"/>
      <c r="P233" s="148"/>
      <c r="Q233" s="90"/>
      <c r="R233" s="91"/>
    </row>
    <row r="234" ht="15.75" customHeight="1">
      <c r="A234" s="90"/>
      <c r="B234" s="90"/>
      <c r="C234" s="144"/>
      <c r="D234" s="145"/>
      <c r="E234" s="90"/>
      <c r="F234" s="90"/>
      <c r="G234" s="90"/>
      <c r="H234" s="90"/>
      <c r="I234" s="90"/>
      <c r="J234" s="90"/>
      <c r="K234" s="90"/>
      <c r="L234" s="90"/>
      <c r="M234" s="146"/>
      <c r="N234" s="147"/>
      <c r="O234" s="147"/>
      <c r="P234" s="148"/>
      <c r="Q234" s="90"/>
      <c r="R234" s="91"/>
    </row>
    <row r="235" ht="15.75" customHeight="1">
      <c r="A235" s="90"/>
      <c r="B235" s="90"/>
      <c r="C235" s="144"/>
      <c r="D235" s="145"/>
      <c r="E235" s="90"/>
      <c r="F235" s="90"/>
      <c r="G235" s="90"/>
      <c r="H235" s="90"/>
      <c r="I235" s="90"/>
      <c r="J235" s="90"/>
      <c r="K235" s="90"/>
      <c r="L235" s="90"/>
      <c r="M235" s="146"/>
      <c r="N235" s="147"/>
      <c r="O235" s="147"/>
      <c r="P235" s="148"/>
      <c r="Q235" s="90"/>
      <c r="R235" s="91"/>
    </row>
    <row r="236" ht="15.75" customHeight="1">
      <c r="A236" s="90"/>
      <c r="B236" s="90"/>
      <c r="C236" s="144"/>
      <c r="D236" s="145"/>
      <c r="E236" s="90"/>
      <c r="F236" s="90"/>
      <c r="G236" s="90"/>
      <c r="H236" s="90"/>
      <c r="I236" s="90"/>
      <c r="J236" s="90"/>
      <c r="K236" s="90"/>
      <c r="L236" s="90"/>
      <c r="M236" s="146"/>
      <c r="N236" s="147"/>
      <c r="O236" s="147"/>
      <c r="P236" s="148"/>
      <c r="Q236" s="90"/>
      <c r="R236" s="91"/>
    </row>
    <row r="237" ht="15.75" customHeight="1">
      <c r="A237" s="90"/>
      <c r="B237" s="90"/>
      <c r="C237" s="144"/>
      <c r="D237" s="145"/>
      <c r="E237" s="90"/>
      <c r="F237" s="90"/>
      <c r="G237" s="90"/>
      <c r="H237" s="90"/>
      <c r="I237" s="90"/>
      <c r="J237" s="90"/>
      <c r="K237" s="90"/>
      <c r="L237" s="90"/>
      <c r="M237" s="146"/>
      <c r="N237" s="147"/>
      <c r="O237" s="147"/>
      <c r="P237" s="148"/>
      <c r="Q237" s="90"/>
      <c r="R237" s="91"/>
    </row>
    <row r="238" ht="15.75" customHeight="1">
      <c r="A238" s="90"/>
      <c r="B238" s="90"/>
      <c r="C238" s="144"/>
      <c r="D238" s="145"/>
      <c r="E238" s="90"/>
      <c r="F238" s="90"/>
      <c r="G238" s="90"/>
      <c r="H238" s="90"/>
      <c r="I238" s="90"/>
      <c r="J238" s="90"/>
      <c r="K238" s="90"/>
      <c r="L238" s="90"/>
      <c r="M238" s="146"/>
      <c r="N238" s="147"/>
      <c r="O238" s="147"/>
      <c r="P238" s="148"/>
      <c r="Q238" s="90"/>
      <c r="R238" s="91"/>
    </row>
    <row r="239" ht="15.75" customHeight="1">
      <c r="A239" s="90"/>
      <c r="B239" s="90"/>
      <c r="C239" s="144"/>
      <c r="D239" s="145"/>
      <c r="E239" s="90"/>
      <c r="F239" s="90"/>
      <c r="G239" s="90"/>
      <c r="H239" s="90"/>
      <c r="I239" s="90"/>
      <c r="J239" s="90"/>
      <c r="K239" s="90"/>
      <c r="L239" s="90"/>
      <c r="M239" s="146"/>
      <c r="N239" s="147"/>
      <c r="O239" s="147"/>
      <c r="P239" s="148"/>
      <c r="Q239" s="90"/>
      <c r="R239" s="91"/>
    </row>
    <row r="240" ht="15.75" customHeight="1">
      <c r="A240" s="90"/>
      <c r="B240" s="90"/>
      <c r="C240" s="144"/>
      <c r="D240" s="145"/>
      <c r="E240" s="90"/>
      <c r="F240" s="90"/>
      <c r="G240" s="90"/>
      <c r="H240" s="90"/>
      <c r="I240" s="90"/>
      <c r="J240" s="90"/>
      <c r="K240" s="90"/>
      <c r="L240" s="90"/>
      <c r="M240" s="146"/>
      <c r="N240" s="147"/>
      <c r="O240" s="147"/>
      <c r="P240" s="148"/>
      <c r="Q240" s="90"/>
      <c r="R240" s="91"/>
    </row>
    <row r="241" ht="15.75" customHeight="1">
      <c r="A241" s="90"/>
      <c r="B241" s="90"/>
      <c r="C241" s="144"/>
      <c r="D241" s="145"/>
      <c r="E241" s="90"/>
      <c r="F241" s="90"/>
      <c r="G241" s="90"/>
      <c r="H241" s="90"/>
      <c r="I241" s="90"/>
      <c r="J241" s="90"/>
      <c r="K241" s="90"/>
      <c r="L241" s="90"/>
      <c r="M241" s="146"/>
      <c r="N241" s="147"/>
      <c r="O241" s="147"/>
      <c r="P241" s="148"/>
      <c r="Q241" s="90"/>
      <c r="R241" s="91"/>
    </row>
    <row r="242" ht="15.75" customHeight="1">
      <c r="A242" s="90"/>
      <c r="B242" s="90"/>
      <c r="C242" s="144"/>
      <c r="D242" s="145"/>
      <c r="E242" s="90"/>
      <c r="F242" s="90"/>
      <c r="G242" s="90"/>
      <c r="H242" s="90"/>
      <c r="I242" s="90"/>
      <c r="J242" s="90"/>
      <c r="K242" s="90"/>
      <c r="L242" s="90"/>
      <c r="M242" s="146"/>
      <c r="N242" s="147"/>
      <c r="O242" s="147"/>
      <c r="P242" s="148"/>
      <c r="Q242" s="90"/>
      <c r="R242" s="91"/>
    </row>
    <row r="243" ht="15.75" customHeight="1">
      <c r="A243" s="90"/>
      <c r="B243" s="90"/>
      <c r="C243" s="144"/>
      <c r="D243" s="145"/>
      <c r="E243" s="90"/>
      <c r="F243" s="90"/>
      <c r="G243" s="90"/>
      <c r="H243" s="90"/>
      <c r="I243" s="90"/>
      <c r="J243" s="90"/>
      <c r="K243" s="90"/>
      <c r="L243" s="90"/>
      <c r="M243" s="146"/>
      <c r="N243" s="147"/>
      <c r="O243" s="147"/>
      <c r="P243" s="148"/>
      <c r="Q243" s="90"/>
      <c r="R243" s="91"/>
    </row>
    <row r="244" ht="15.75" customHeight="1">
      <c r="A244" s="90"/>
      <c r="B244" s="90"/>
      <c r="C244" s="144"/>
      <c r="D244" s="145"/>
      <c r="E244" s="90"/>
      <c r="F244" s="90"/>
      <c r="G244" s="90"/>
      <c r="H244" s="90"/>
      <c r="I244" s="90"/>
      <c r="J244" s="90"/>
      <c r="K244" s="90"/>
      <c r="L244" s="90"/>
      <c r="M244" s="146"/>
      <c r="N244" s="147"/>
      <c r="O244" s="147"/>
      <c r="P244" s="148"/>
      <c r="Q244" s="90"/>
      <c r="R244" s="91"/>
    </row>
    <row r="245" ht="15.75" customHeight="1">
      <c r="A245" s="90"/>
      <c r="B245" s="90"/>
      <c r="C245" s="144"/>
      <c r="D245" s="145"/>
      <c r="E245" s="90"/>
      <c r="F245" s="90"/>
      <c r="G245" s="90"/>
      <c r="H245" s="90"/>
      <c r="I245" s="90"/>
      <c r="J245" s="90"/>
      <c r="K245" s="90"/>
      <c r="L245" s="90"/>
      <c r="M245" s="146"/>
      <c r="N245" s="147"/>
      <c r="O245" s="147"/>
      <c r="P245" s="148"/>
      <c r="Q245" s="90"/>
      <c r="R245" s="91"/>
    </row>
    <row r="246" ht="15.75" customHeight="1">
      <c r="A246" s="90"/>
      <c r="B246" s="90"/>
      <c r="C246" s="144"/>
      <c r="D246" s="145"/>
      <c r="E246" s="90"/>
      <c r="F246" s="90"/>
      <c r="G246" s="90"/>
      <c r="H246" s="90"/>
      <c r="I246" s="90"/>
      <c r="J246" s="90"/>
      <c r="K246" s="90"/>
      <c r="L246" s="90"/>
      <c r="M246" s="146"/>
      <c r="N246" s="147"/>
      <c r="O246" s="147"/>
      <c r="P246" s="148"/>
      <c r="Q246" s="90"/>
      <c r="R246" s="91"/>
    </row>
    <row r="247" ht="15.75" customHeight="1">
      <c r="A247" s="90"/>
      <c r="B247" s="90"/>
      <c r="C247" s="144"/>
      <c r="D247" s="145"/>
      <c r="E247" s="90"/>
      <c r="F247" s="90"/>
      <c r="G247" s="90"/>
      <c r="H247" s="90"/>
      <c r="I247" s="90"/>
      <c r="J247" s="90"/>
      <c r="K247" s="90"/>
      <c r="L247" s="90"/>
      <c r="M247" s="146"/>
      <c r="N247" s="147"/>
      <c r="O247" s="147"/>
      <c r="P247" s="148"/>
      <c r="Q247" s="90"/>
      <c r="R247" s="91"/>
    </row>
    <row r="248" ht="15.75" customHeight="1">
      <c r="A248" s="90"/>
      <c r="B248" s="90"/>
      <c r="C248" s="144"/>
      <c r="D248" s="145"/>
      <c r="E248" s="90"/>
      <c r="F248" s="90"/>
      <c r="G248" s="90"/>
      <c r="H248" s="90"/>
      <c r="I248" s="90"/>
      <c r="J248" s="90"/>
      <c r="K248" s="90"/>
      <c r="L248" s="90"/>
      <c r="M248" s="146"/>
      <c r="N248" s="147"/>
      <c r="O248" s="147"/>
      <c r="P248" s="148"/>
      <c r="Q248" s="90"/>
      <c r="R248" s="91"/>
    </row>
    <row r="249" ht="15.75" customHeight="1">
      <c r="A249" s="90"/>
      <c r="B249" s="90"/>
      <c r="C249" s="144"/>
      <c r="D249" s="145"/>
      <c r="E249" s="90"/>
      <c r="F249" s="90"/>
      <c r="G249" s="90"/>
      <c r="H249" s="90"/>
      <c r="I249" s="90"/>
      <c r="J249" s="90"/>
      <c r="K249" s="90"/>
      <c r="L249" s="90"/>
      <c r="M249" s="146"/>
      <c r="N249" s="147"/>
      <c r="O249" s="147"/>
      <c r="P249" s="148"/>
      <c r="Q249" s="90"/>
      <c r="R249" s="91"/>
    </row>
    <row r="250" ht="15.75" customHeight="1">
      <c r="A250" s="90"/>
      <c r="B250" s="90"/>
      <c r="C250" s="144"/>
      <c r="D250" s="145"/>
      <c r="E250" s="90"/>
      <c r="F250" s="90"/>
      <c r="G250" s="90"/>
      <c r="H250" s="90"/>
      <c r="I250" s="90"/>
      <c r="J250" s="90"/>
      <c r="K250" s="90"/>
      <c r="L250" s="90"/>
      <c r="M250" s="146"/>
      <c r="N250" s="147"/>
      <c r="O250" s="147"/>
      <c r="P250" s="148"/>
      <c r="Q250" s="90"/>
      <c r="R250" s="91"/>
    </row>
    <row r="251" ht="15.75" customHeight="1">
      <c r="A251" s="90"/>
      <c r="B251" s="90"/>
      <c r="C251" s="144"/>
      <c r="D251" s="145"/>
      <c r="E251" s="90"/>
      <c r="F251" s="90"/>
      <c r="G251" s="90"/>
      <c r="H251" s="90"/>
      <c r="I251" s="90"/>
      <c r="J251" s="90"/>
      <c r="K251" s="90"/>
      <c r="L251" s="90"/>
      <c r="M251" s="146"/>
      <c r="N251" s="147"/>
      <c r="O251" s="147"/>
      <c r="P251" s="148"/>
      <c r="Q251" s="90"/>
      <c r="R251" s="91"/>
    </row>
    <row r="252" ht="15.75" customHeight="1">
      <c r="A252" s="90"/>
      <c r="B252" s="90"/>
      <c r="C252" s="144"/>
      <c r="D252" s="145"/>
      <c r="E252" s="90"/>
      <c r="F252" s="90"/>
      <c r="G252" s="90"/>
      <c r="H252" s="90"/>
      <c r="I252" s="90"/>
      <c r="J252" s="90"/>
      <c r="K252" s="90"/>
      <c r="L252" s="90"/>
      <c r="M252" s="146"/>
      <c r="N252" s="147"/>
      <c r="O252" s="147"/>
      <c r="P252" s="148"/>
      <c r="Q252" s="90"/>
      <c r="R252" s="91"/>
    </row>
    <row r="253" ht="15.75" customHeight="1">
      <c r="A253" s="90"/>
      <c r="B253" s="90"/>
      <c r="C253" s="144"/>
      <c r="D253" s="145"/>
      <c r="E253" s="90"/>
      <c r="F253" s="90"/>
      <c r="G253" s="90"/>
      <c r="H253" s="90"/>
      <c r="I253" s="90"/>
      <c r="J253" s="90"/>
      <c r="K253" s="90"/>
      <c r="L253" s="90"/>
      <c r="M253" s="146"/>
      <c r="N253" s="147"/>
      <c r="O253" s="147"/>
      <c r="P253" s="148"/>
      <c r="Q253" s="90"/>
      <c r="R253" s="91"/>
    </row>
    <row r="254" ht="15.75" customHeight="1">
      <c r="A254" s="90"/>
      <c r="B254" s="90"/>
      <c r="C254" s="144"/>
      <c r="D254" s="145"/>
      <c r="E254" s="90"/>
      <c r="F254" s="90"/>
      <c r="G254" s="90"/>
      <c r="H254" s="90"/>
      <c r="I254" s="90"/>
      <c r="J254" s="90"/>
      <c r="K254" s="90"/>
      <c r="L254" s="90"/>
      <c r="M254" s="146"/>
      <c r="N254" s="147"/>
      <c r="O254" s="147"/>
      <c r="P254" s="148"/>
      <c r="Q254" s="90"/>
      <c r="R254" s="91"/>
    </row>
    <row r="255" ht="15.75" customHeight="1">
      <c r="A255" s="90"/>
      <c r="B255" s="90"/>
      <c r="C255" s="144"/>
      <c r="D255" s="145"/>
      <c r="E255" s="90"/>
      <c r="F255" s="90"/>
      <c r="G255" s="90"/>
      <c r="H255" s="90"/>
      <c r="I255" s="90"/>
      <c r="J255" s="90"/>
      <c r="K255" s="90"/>
      <c r="L255" s="90"/>
      <c r="M255" s="146"/>
      <c r="N255" s="147"/>
      <c r="O255" s="147"/>
      <c r="P255" s="148"/>
      <c r="Q255" s="90"/>
      <c r="R255" s="91"/>
    </row>
    <row r="256" ht="15.75" customHeight="1">
      <c r="A256" s="90"/>
      <c r="B256" s="90"/>
      <c r="C256" s="144"/>
      <c r="D256" s="145"/>
      <c r="E256" s="90"/>
      <c r="F256" s="90"/>
      <c r="G256" s="90"/>
      <c r="H256" s="90"/>
      <c r="I256" s="90"/>
      <c r="J256" s="90"/>
      <c r="K256" s="90"/>
      <c r="L256" s="90"/>
      <c r="M256" s="146"/>
      <c r="N256" s="147"/>
      <c r="O256" s="147"/>
      <c r="P256" s="148"/>
      <c r="Q256" s="90"/>
      <c r="R256" s="91"/>
    </row>
    <row r="257" ht="15.75" customHeight="1">
      <c r="A257" s="90"/>
      <c r="B257" s="90"/>
      <c r="C257" s="144"/>
      <c r="D257" s="145"/>
      <c r="E257" s="90"/>
      <c r="F257" s="90"/>
      <c r="G257" s="90"/>
      <c r="H257" s="90"/>
      <c r="I257" s="90"/>
      <c r="J257" s="90"/>
      <c r="K257" s="90"/>
      <c r="L257" s="90"/>
      <c r="M257" s="146"/>
      <c r="N257" s="147"/>
      <c r="O257" s="147"/>
      <c r="P257" s="148"/>
      <c r="Q257" s="90"/>
      <c r="R257" s="91"/>
    </row>
    <row r="258" ht="15.75" customHeight="1">
      <c r="A258" s="90"/>
      <c r="B258" s="90"/>
      <c r="C258" s="144"/>
      <c r="D258" s="145"/>
      <c r="E258" s="90"/>
      <c r="F258" s="90"/>
      <c r="G258" s="90"/>
      <c r="H258" s="90"/>
      <c r="I258" s="90"/>
      <c r="J258" s="90"/>
      <c r="K258" s="90"/>
      <c r="L258" s="90"/>
      <c r="M258" s="146"/>
      <c r="N258" s="147"/>
      <c r="O258" s="147"/>
      <c r="P258" s="148"/>
      <c r="Q258" s="90"/>
      <c r="R258" s="91"/>
    </row>
    <row r="259" ht="15.75" customHeight="1">
      <c r="A259" s="90"/>
      <c r="B259" s="90"/>
      <c r="C259" s="144"/>
      <c r="D259" s="145"/>
      <c r="E259" s="90"/>
      <c r="F259" s="90"/>
      <c r="G259" s="90"/>
      <c r="H259" s="90"/>
      <c r="I259" s="90"/>
      <c r="J259" s="90"/>
      <c r="K259" s="90"/>
      <c r="L259" s="90"/>
      <c r="M259" s="146"/>
      <c r="N259" s="147"/>
      <c r="O259" s="147"/>
      <c r="P259" s="148"/>
      <c r="Q259" s="90"/>
      <c r="R259" s="91"/>
    </row>
    <row r="260" ht="15.75" customHeight="1">
      <c r="A260" s="90"/>
      <c r="B260" s="90"/>
      <c r="C260" s="144"/>
      <c r="D260" s="145"/>
      <c r="E260" s="90"/>
      <c r="F260" s="90"/>
      <c r="G260" s="90"/>
      <c r="H260" s="90"/>
      <c r="I260" s="90"/>
      <c r="J260" s="90"/>
      <c r="K260" s="90"/>
      <c r="L260" s="90"/>
      <c r="M260" s="146"/>
      <c r="N260" s="147"/>
      <c r="O260" s="147"/>
      <c r="P260" s="148"/>
      <c r="Q260" s="90"/>
      <c r="R260" s="91"/>
    </row>
    <row r="261" ht="15.75" customHeight="1">
      <c r="A261" s="90"/>
      <c r="B261" s="90"/>
      <c r="C261" s="144"/>
      <c r="D261" s="145"/>
      <c r="E261" s="90"/>
      <c r="F261" s="90"/>
      <c r="G261" s="90"/>
      <c r="H261" s="90"/>
      <c r="I261" s="90"/>
      <c r="J261" s="90"/>
      <c r="K261" s="90"/>
      <c r="L261" s="90"/>
      <c r="M261" s="146"/>
      <c r="N261" s="147"/>
      <c r="O261" s="147"/>
      <c r="P261" s="148"/>
      <c r="Q261" s="90"/>
      <c r="R261" s="91"/>
    </row>
    <row r="262" ht="15.75" customHeight="1">
      <c r="A262" s="90"/>
      <c r="B262" s="90"/>
      <c r="C262" s="144"/>
      <c r="D262" s="145"/>
      <c r="E262" s="90"/>
      <c r="F262" s="90"/>
      <c r="G262" s="90"/>
      <c r="H262" s="90"/>
      <c r="I262" s="90"/>
      <c r="J262" s="90"/>
      <c r="K262" s="90"/>
      <c r="L262" s="90"/>
      <c r="M262" s="146"/>
      <c r="N262" s="147"/>
      <c r="O262" s="147"/>
      <c r="P262" s="148"/>
      <c r="Q262" s="90"/>
      <c r="R262" s="91"/>
    </row>
    <row r="263" ht="15.75" customHeight="1">
      <c r="A263" s="90"/>
      <c r="B263" s="90"/>
      <c r="C263" s="144"/>
      <c r="D263" s="145"/>
      <c r="E263" s="90"/>
      <c r="F263" s="90"/>
      <c r="G263" s="90"/>
      <c r="H263" s="90"/>
      <c r="I263" s="90"/>
      <c r="J263" s="90"/>
      <c r="K263" s="90"/>
      <c r="L263" s="90"/>
      <c r="M263" s="146"/>
      <c r="N263" s="147"/>
      <c r="O263" s="147"/>
      <c r="P263" s="148"/>
      <c r="Q263" s="90"/>
      <c r="R263" s="91"/>
    </row>
    <row r="264" ht="15.75" customHeight="1">
      <c r="A264" s="90"/>
      <c r="B264" s="90"/>
      <c r="C264" s="144"/>
      <c r="D264" s="145"/>
      <c r="E264" s="90"/>
      <c r="F264" s="90"/>
      <c r="G264" s="90"/>
      <c r="H264" s="90"/>
      <c r="I264" s="90"/>
      <c r="J264" s="90"/>
      <c r="K264" s="90"/>
      <c r="L264" s="90"/>
      <c r="M264" s="146"/>
      <c r="N264" s="147"/>
      <c r="O264" s="147"/>
      <c r="P264" s="148"/>
      <c r="Q264" s="90"/>
      <c r="R264" s="91"/>
    </row>
    <row r="265" ht="15.75" customHeight="1">
      <c r="A265" s="90"/>
      <c r="B265" s="90"/>
      <c r="C265" s="144"/>
      <c r="D265" s="145"/>
      <c r="E265" s="90"/>
      <c r="F265" s="90"/>
      <c r="G265" s="90"/>
      <c r="H265" s="90"/>
      <c r="I265" s="90"/>
      <c r="J265" s="90"/>
      <c r="K265" s="90"/>
      <c r="L265" s="90"/>
      <c r="M265" s="146"/>
      <c r="N265" s="147"/>
      <c r="O265" s="147"/>
      <c r="P265" s="148"/>
      <c r="Q265" s="90"/>
      <c r="R265" s="91"/>
    </row>
    <row r="266" ht="15.75" customHeight="1">
      <c r="A266" s="90"/>
      <c r="B266" s="90"/>
      <c r="C266" s="144"/>
      <c r="D266" s="145"/>
      <c r="E266" s="90"/>
      <c r="F266" s="90"/>
      <c r="G266" s="90"/>
      <c r="H266" s="90"/>
      <c r="I266" s="90"/>
      <c r="J266" s="90"/>
      <c r="K266" s="90"/>
      <c r="L266" s="90"/>
      <c r="M266" s="146"/>
      <c r="N266" s="147"/>
      <c r="O266" s="147"/>
      <c r="P266" s="148"/>
      <c r="Q266" s="90"/>
      <c r="R266" s="91"/>
    </row>
    <row r="267" ht="15.75" customHeight="1">
      <c r="A267" s="90"/>
      <c r="B267" s="90"/>
      <c r="C267" s="144"/>
      <c r="D267" s="145"/>
      <c r="E267" s="90"/>
      <c r="F267" s="90"/>
      <c r="G267" s="90"/>
      <c r="H267" s="90"/>
      <c r="I267" s="90"/>
      <c r="J267" s="90"/>
      <c r="K267" s="90"/>
      <c r="L267" s="90"/>
      <c r="M267" s="146"/>
      <c r="N267" s="147"/>
      <c r="O267" s="147"/>
      <c r="P267" s="148"/>
      <c r="Q267" s="90"/>
      <c r="R267" s="91"/>
    </row>
    <row r="268" ht="15.75" customHeight="1">
      <c r="A268" s="90"/>
      <c r="B268" s="90"/>
      <c r="C268" s="144"/>
      <c r="D268" s="145"/>
      <c r="E268" s="90"/>
      <c r="F268" s="90"/>
      <c r="G268" s="90"/>
      <c r="H268" s="90"/>
      <c r="I268" s="90"/>
      <c r="J268" s="90"/>
      <c r="K268" s="90"/>
      <c r="L268" s="90"/>
      <c r="M268" s="146"/>
      <c r="N268" s="147"/>
      <c r="O268" s="147"/>
      <c r="P268" s="148"/>
      <c r="Q268" s="90"/>
      <c r="R268" s="91"/>
    </row>
    <row r="269" ht="15.75" customHeight="1">
      <c r="A269" s="90"/>
      <c r="B269" s="90"/>
      <c r="C269" s="144"/>
      <c r="D269" s="145"/>
      <c r="E269" s="90"/>
      <c r="F269" s="90"/>
      <c r="G269" s="90"/>
      <c r="H269" s="90"/>
      <c r="I269" s="90"/>
      <c r="J269" s="90"/>
      <c r="K269" s="90"/>
      <c r="L269" s="90"/>
      <c r="M269" s="146"/>
      <c r="N269" s="147"/>
      <c r="O269" s="147"/>
      <c r="P269" s="148"/>
      <c r="Q269" s="90"/>
      <c r="R269" s="91"/>
    </row>
    <row r="270" ht="15.75" customHeight="1">
      <c r="A270" s="90"/>
      <c r="B270" s="90"/>
      <c r="C270" s="144"/>
      <c r="D270" s="145"/>
      <c r="E270" s="90"/>
      <c r="F270" s="90"/>
      <c r="G270" s="90"/>
      <c r="H270" s="90"/>
      <c r="I270" s="90"/>
      <c r="J270" s="90"/>
      <c r="K270" s="90"/>
      <c r="L270" s="90"/>
      <c r="M270" s="146"/>
      <c r="N270" s="147"/>
      <c r="O270" s="147"/>
      <c r="P270" s="148"/>
      <c r="Q270" s="90"/>
      <c r="R270" s="91"/>
    </row>
    <row r="271" ht="15.75" customHeight="1">
      <c r="A271" s="90"/>
      <c r="B271" s="90"/>
      <c r="C271" s="144"/>
      <c r="D271" s="145"/>
      <c r="E271" s="90"/>
      <c r="F271" s="90"/>
      <c r="G271" s="90"/>
      <c r="H271" s="90"/>
      <c r="I271" s="90"/>
      <c r="J271" s="90"/>
      <c r="K271" s="90"/>
      <c r="L271" s="90"/>
      <c r="M271" s="146"/>
      <c r="N271" s="147"/>
      <c r="O271" s="147"/>
      <c r="P271" s="148"/>
      <c r="Q271" s="90"/>
      <c r="R271" s="91"/>
    </row>
    <row r="272" ht="15.75" customHeight="1">
      <c r="A272" s="90"/>
      <c r="B272" s="90"/>
      <c r="C272" s="144"/>
      <c r="D272" s="145"/>
      <c r="E272" s="90"/>
      <c r="F272" s="90"/>
      <c r="G272" s="90"/>
      <c r="H272" s="90"/>
      <c r="I272" s="90"/>
      <c r="J272" s="90"/>
      <c r="K272" s="90"/>
      <c r="L272" s="90"/>
      <c r="M272" s="146"/>
      <c r="N272" s="147"/>
      <c r="O272" s="147"/>
      <c r="P272" s="148"/>
      <c r="Q272" s="90"/>
      <c r="R272" s="91"/>
    </row>
    <row r="273" ht="15.75" customHeight="1">
      <c r="A273" s="90"/>
      <c r="B273" s="90"/>
      <c r="C273" s="144"/>
      <c r="D273" s="145"/>
      <c r="E273" s="90"/>
      <c r="F273" s="90"/>
      <c r="G273" s="90"/>
      <c r="H273" s="90"/>
      <c r="I273" s="90"/>
      <c r="J273" s="90"/>
      <c r="K273" s="90"/>
      <c r="L273" s="90"/>
      <c r="M273" s="146"/>
      <c r="N273" s="147"/>
      <c r="O273" s="147"/>
      <c r="P273" s="148"/>
      <c r="Q273" s="90"/>
      <c r="R273" s="91"/>
    </row>
    <row r="274" ht="15.75" customHeight="1">
      <c r="A274" s="90"/>
      <c r="B274" s="90"/>
      <c r="C274" s="144"/>
      <c r="D274" s="145"/>
      <c r="E274" s="90"/>
      <c r="F274" s="90"/>
      <c r="G274" s="90"/>
      <c r="H274" s="90"/>
      <c r="I274" s="90"/>
      <c r="J274" s="90"/>
      <c r="K274" s="90"/>
      <c r="L274" s="90"/>
      <c r="M274" s="146"/>
      <c r="N274" s="147"/>
      <c r="O274" s="147"/>
      <c r="P274" s="148"/>
      <c r="Q274" s="90"/>
      <c r="R274" s="91"/>
    </row>
    <row r="275" ht="15.75" customHeight="1">
      <c r="A275" s="90"/>
      <c r="B275" s="90"/>
      <c r="C275" s="144"/>
      <c r="D275" s="145"/>
      <c r="E275" s="90"/>
      <c r="F275" s="90"/>
      <c r="G275" s="90"/>
      <c r="H275" s="90"/>
      <c r="I275" s="90"/>
      <c r="J275" s="90"/>
      <c r="K275" s="90"/>
      <c r="L275" s="90"/>
      <c r="M275" s="146"/>
      <c r="N275" s="147"/>
      <c r="O275" s="147"/>
      <c r="P275" s="148"/>
      <c r="Q275" s="90"/>
      <c r="R275" s="91"/>
    </row>
    <row r="276" ht="15.75" customHeight="1">
      <c r="A276" s="90"/>
      <c r="B276" s="90"/>
      <c r="C276" s="144"/>
      <c r="D276" s="145"/>
      <c r="E276" s="90"/>
      <c r="F276" s="90"/>
      <c r="G276" s="90"/>
      <c r="H276" s="90"/>
      <c r="I276" s="90"/>
      <c r="J276" s="90"/>
      <c r="K276" s="90"/>
      <c r="L276" s="90"/>
      <c r="M276" s="146"/>
      <c r="N276" s="147"/>
      <c r="O276" s="147"/>
      <c r="P276" s="148"/>
      <c r="Q276" s="90"/>
      <c r="R276" s="91"/>
    </row>
    <row r="277" ht="15.75" customHeight="1">
      <c r="A277" s="90"/>
      <c r="B277" s="90"/>
      <c r="C277" s="144"/>
      <c r="D277" s="145"/>
      <c r="E277" s="90"/>
      <c r="F277" s="90"/>
      <c r="G277" s="90"/>
      <c r="H277" s="90"/>
      <c r="I277" s="90"/>
      <c r="J277" s="90"/>
      <c r="K277" s="90"/>
      <c r="L277" s="90"/>
      <c r="M277" s="146"/>
      <c r="N277" s="147"/>
      <c r="O277" s="147"/>
      <c r="P277" s="148"/>
      <c r="Q277" s="90"/>
      <c r="R277" s="91"/>
    </row>
    <row r="278" ht="15.75" customHeight="1">
      <c r="A278" s="90"/>
      <c r="B278" s="90"/>
      <c r="C278" s="144"/>
      <c r="D278" s="145"/>
      <c r="E278" s="90"/>
      <c r="F278" s="90"/>
      <c r="G278" s="90"/>
      <c r="H278" s="90"/>
      <c r="I278" s="90"/>
      <c r="J278" s="90"/>
      <c r="K278" s="90"/>
      <c r="L278" s="90"/>
      <c r="M278" s="146"/>
      <c r="N278" s="147"/>
      <c r="O278" s="147"/>
      <c r="P278" s="148"/>
      <c r="Q278" s="90"/>
      <c r="R278" s="91"/>
    </row>
    <row r="279" ht="15.75" customHeight="1">
      <c r="A279" s="90"/>
      <c r="B279" s="90"/>
      <c r="C279" s="144"/>
      <c r="D279" s="145"/>
      <c r="E279" s="90"/>
      <c r="F279" s="90"/>
      <c r="G279" s="90"/>
      <c r="H279" s="90"/>
      <c r="I279" s="90"/>
      <c r="J279" s="90"/>
      <c r="K279" s="90"/>
      <c r="L279" s="90"/>
      <c r="M279" s="146"/>
      <c r="N279" s="147"/>
      <c r="O279" s="147"/>
      <c r="P279" s="148"/>
      <c r="Q279" s="90"/>
      <c r="R279" s="91"/>
    </row>
    <row r="280" ht="15.75" customHeight="1">
      <c r="A280" s="90"/>
      <c r="B280" s="90"/>
      <c r="C280" s="144"/>
      <c r="D280" s="145"/>
      <c r="E280" s="90"/>
      <c r="F280" s="90"/>
      <c r="G280" s="90"/>
      <c r="H280" s="90"/>
      <c r="I280" s="90"/>
      <c r="J280" s="90"/>
      <c r="K280" s="90"/>
      <c r="L280" s="90"/>
      <c r="M280" s="146"/>
      <c r="N280" s="147"/>
      <c r="O280" s="147"/>
      <c r="P280" s="148"/>
      <c r="Q280" s="90"/>
      <c r="R280" s="91"/>
    </row>
    <row r="281" ht="15.75" customHeight="1">
      <c r="A281" s="90"/>
      <c r="B281" s="90"/>
      <c r="C281" s="144"/>
      <c r="D281" s="145"/>
      <c r="E281" s="90"/>
      <c r="F281" s="90"/>
      <c r="G281" s="90"/>
      <c r="H281" s="90"/>
      <c r="I281" s="90"/>
      <c r="J281" s="90"/>
      <c r="K281" s="90"/>
      <c r="L281" s="90"/>
      <c r="M281" s="146"/>
      <c r="N281" s="147"/>
      <c r="O281" s="147"/>
      <c r="P281" s="148"/>
      <c r="Q281" s="90"/>
      <c r="R281" s="91"/>
    </row>
    <row r="282" ht="15.75" customHeight="1">
      <c r="A282" s="90"/>
      <c r="B282" s="90"/>
      <c r="C282" s="144"/>
      <c r="D282" s="145"/>
      <c r="E282" s="90"/>
      <c r="F282" s="90"/>
      <c r="G282" s="90"/>
      <c r="H282" s="90"/>
      <c r="I282" s="90"/>
      <c r="J282" s="90"/>
      <c r="K282" s="90"/>
      <c r="L282" s="90"/>
      <c r="M282" s="146"/>
      <c r="N282" s="147"/>
      <c r="O282" s="147"/>
      <c r="P282" s="148"/>
      <c r="Q282" s="90"/>
      <c r="R282" s="91"/>
    </row>
    <row r="283" ht="15.75" customHeight="1">
      <c r="A283" s="90"/>
      <c r="B283" s="90"/>
      <c r="C283" s="144"/>
      <c r="D283" s="145"/>
      <c r="E283" s="90"/>
      <c r="F283" s="90"/>
      <c r="G283" s="90"/>
      <c r="H283" s="90"/>
      <c r="I283" s="90"/>
      <c r="J283" s="90"/>
      <c r="K283" s="90"/>
      <c r="L283" s="90"/>
      <c r="M283" s="146"/>
      <c r="N283" s="147"/>
      <c r="O283" s="147"/>
      <c r="P283" s="148"/>
      <c r="Q283" s="90"/>
      <c r="R283" s="91"/>
    </row>
    <row r="284" ht="15.75" customHeight="1">
      <c r="A284" s="90"/>
      <c r="B284" s="90"/>
      <c r="C284" s="144"/>
      <c r="D284" s="145"/>
      <c r="E284" s="90"/>
      <c r="F284" s="90"/>
      <c r="G284" s="90"/>
      <c r="H284" s="90"/>
      <c r="I284" s="90"/>
      <c r="J284" s="90"/>
      <c r="K284" s="90"/>
      <c r="L284" s="90"/>
      <c r="M284" s="146"/>
      <c r="N284" s="147"/>
      <c r="O284" s="147"/>
      <c r="P284" s="148"/>
      <c r="Q284" s="90"/>
      <c r="R284" s="91"/>
    </row>
    <row r="285" ht="15.75" customHeight="1">
      <c r="A285" s="90"/>
      <c r="B285" s="90"/>
      <c r="C285" s="144"/>
      <c r="D285" s="145"/>
      <c r="E285" s="90"/>
      <c r="F285" s="90"/>
      <c r="G285" s="90"/>
      <c r="H285" s="90"/>
      <c r="I285" s="90"/>
      <c r="J285" s="90"/>
      <c r="K285" s="90"/>
      <c r="L285" s="90"/>
      <c r="M285" s="146"/>
      <c r="N285" s="147"/>
      <c r="O285" s="147"/>
      <c r="P285" s="148"/>
      <c r="Q285" s="90"/>
      <c r="R285" s="91"/>
    </row>
    <row r="286" ht="15.75" customHeight="1">
      <c r="A286" s="90"/>
      <c r="B286" s="90"/>
      <c r="C286" s="144"/>
      <c r="D286" s="145"/>
      <c r="E286" s="90"/>
      <c r="F286" s="90"/>
      <c r="G286" s="90"/>
      <c r="H286" s="90"/>
      <c r="I286" s="90"/>
      <c r="J286" s="90"/>
      <c r="K286" s="90"/>
      <c r="L286" s="90"/>
      <c r="M286" s="146"/>
      <c r="N286" s="147"/>
      <c r="O286" s="147"/>
      <c r="P286" s="148"/>
      <c r="Q286" s="90"/>
      <c r="R286" s="91"/>
    </row>
    <row r="287" ht="15.75" customHeight="1">
      <c r="A287" s="90"/>
      <c r="B287" s="90"/>
      <c r="C287" s="144"/>
      <c r="D287" s="145"/>
      <c r="E287" s="90"/>
      <c r="F287" s="90"/>
      <c r="G287" s="90"/>
      <c r="H287" s="90"/>
      <c r="I287" s="90"/>
      <c r="J287" s="90"/>
      <c r="K287" s="90"/>
      <c r="L287" s="90"/>
      <c r="M287" s="146"/>
      <c r="N287" s="147"/>
      <c r="O287" s="147"/>
      <c r="P287" s="148"/>
      <c r="Q287" s="90"/>
      <c r="R287" s="91"/>
    </row>
    <row r="288" ht="15.75" customHeight="1">
      <c r="A288" s="90"/>
      <c r="B288" s="90"/>
      <c r="C288" s="144"/>
      <c r="D288" s="145"/>
      <c r="E288" s="90"/>
      <c r="F288" s="90"/>
      <c r="G288" s="90"/>
      <c r="H288" s="90"/>
      <c r="I288" s="90"/>
      <c r="J288" s="90"/>
      <c r="K288" s="90"/>
      <c r="L288" s="90"/>
      <c r="M288" s="146"/>
      <c r="N288" s="147"/>
      <c r="O288" s="147"/>
      <c r="P288" s="148"/>
      <c r="Q288" s="90"/>
      <c r="R288" s="91"/>
    </row>
    <row r="289" ht="15.75" customHeight="1">
      <c r="A289" s="90"/>
      <c r="B289" s="90"/>
      <c r="C289" s="144"/>
      <c r="D289" s="145"/>
      <c r="E289" s="90"/>
      <c r="F289" s="90"/>
      <c r="G289" s="90"/>
      <c r="H289" s="90"/>
      <c r="I289" s="90"/>
      <c r="J289" s="90"/>
      <c r="K289" s="90"/>
      <c r="L289" s="90"/>
      <c r="M289" s="146"/>
      <c r="N289" s="147"/>
      <c r="O289" s="147"/>
      <c r="P289" s="148"/>
      <c r="Q289" s="90"/>
      <c r="R289" s="91"/>
    </row>
    <row r="290" ht="15.75" customHeight="1">
      <c r="A290" s="90"/>
      <c r="B290" s="90"/>
      <c r="C290" s="144"/>
      <c r="D290" s="145"/>
      <c r="E290" s="90"/>
      <c r="F290" s="90"/>
      <c r="G290" s="90"/>
      <c r="H290" s="90"/>
      <c r="I290" s="90"/>
      <c r="J290" s="90"/>
      <c r="K290" s="90"/>
      <c r="L290" s="90"/>
      <c r="M290" s="146"/>
      <c r="N290" s="147"/>
      <c r="O290" s="147"/>
      <c r="P290" s="148"/>
      <c r="Q290" s="90"/>
      <c r="R290" s="91"/>
    </row>
    <row r="291" ht="15.75" customHeight="1">
      <c r="A291" s="90"/>
      <c r="B291" s="90"/>
      <c r="C291" s="144"/>
      <c r="D291" s="145"/>
      <c r="E291" s="90"/>
      <c r="F291" s="90"/>
      <c r="G291" s="90"/>
      <c r="H291" s="90"/>
      <c r="I291" s="90"/>
      <c r="J291" s="90"/>
      <c r="K291" s="90"/>
      <c r="L291" s="90"/>
      <c r="M291" s="146"/>
      <c r="N291" s="147"/>
      <c r="O291" s="147"/>
      <c r="P291" s="148"/>
      <c r="Q291" s="90"/>
      <c r="R291" s="91"/>
    </row>
    <row r="292" ht="15.75" customHeight="1">
      <c r="A292" s="90"/>
      <c r="B292" s="90"/>
      <c r="C292" s="144"/>
      <c r="D292" s="145"/>
      <c r="E292" s="90"/>
      <c r="F292" s="90"/>
      <c r="G292" s="90"/>
      <c r="H292" s="90"/>
      <c r="I292" s="90"/>
      <c r="J292" s="90"/>
      <c r="K292" s="90"/>
      <c r="L292" s="90"/>
      <c r="M292" s="146"/>
      <c r="N292" s="147"/>
      <c r="O292" s="147"/>
      <c r="P292" s="148"/>
      <c r="Q292" s="90"/>
      <c r="R292" s="91"/>
    </row>
    <row r="293" ht="15.75" customHeight="1">
      <c r="A293" s="90"/>
      <c r="B293" s="90"/>
      <c r="C293" s="144"/>
      <c r="D293" s="145"/>
      <c r="E293" s="90"/>
      <c r="F293" s="90"/>
      <c r="G293" s="90"/>
      <c r="H293" s="90"/>
      <c r="I293" s="90"/>
      <c r="J293" s="90"/>
      <c r="K293" s="90"/>
      <c r="L293" s="90"/>
      <c r="M293" s="146"/>
      <c r="N293" s="147"/>
      <c r="O293" s="147"/>
      <c r="P293" s="148"/>
      <c r="Q293" s="90"/>
      <c r="R293" s="91"/>
    </row>
    <row r="294" ht="15.75" customHeight="1">
      <c r="A294" s="90"/>
      <c r="B294" s="90"/>
      <c r="C294" s="144"/>
      <c r="D294" s="145"/>
      <c r="E294" s="90"/>
      <c r="F294" s="90"/>
      <c r="G294" s="90"/>
      <c r="H294" s="90"/>
      <c r="I294" s="90"/>
      <c r="J294" s="90"/>
      <c r="K294" s="90"/>
      <c r="L294" s="90"/>
      <c r="M294" s="146"/>
      <c r="N294" s="147"/>
      <c r="O294" s="147"/>
      <c r="P294" s="148"/>
      <c r="Q294" s="90"/>
      <c r="R294" s="91"/>
    </row>
    <row r="295" ht="15.75" customHeight="1">
      <c r="A295" s="90"/>
      <c r="B295" s="90"/>
      <c r="C295" s="144"/>
      <c r="D295" s="145"/>
      <c r="E295" s="90"/>
      <c r="F295" s="90"/>
      <c r="G295" s="90"/>
      <c r="H295" s="90"/>
      <c r="I295" s="90"/>
      <c r="J295" s="90"/>
      <c r="K295" s="90"/>
      <c r="L295" s="90"/>
      <c r="M295" s="146"/>
      <c r="N295" s="147"/>
      <c r="O295" s="147"/>
      <c r="P295" s="148"/>
      <c r="Q295" s="90"/>
      <c r="R295" s="91"/>
    </row>
    <row r="296" ht="15.75" customHeight="1">
      <c r="A296" s="90"/>
      <c r="B296" s="90"/>
      <c r="C296" s="144"/>
      <c r="D296" s="145"/>
      <c r="E296" s="90"/>
      <c r="F296" s="90"/>
      <c r="G296" s="90"/>
      <c r="H296" s="90"/>
      <c r="I296" s="90"/>
      <c r="J296" s="90"/>
      <c r="K296" s="90"/>
      <c r="L296" s="90"/>
      <c r="M296" s="146"/>
      <c r="N296" s="147"/>
      <c r="O296" s="147"/>
      <c r="P296" s="148"/>
      <c r="Q296" s="90"/>
      <c r="R296" s="91"/>
    </row>
    <row r="297" ht="15.75" customHeight="1">
      <c r="A297" s="90"/>
      <c r="B297" s="90"/>
      <c r="C297" s="144"/>
      <c r="D297" s="145"/>
      <c r="E297" s="90"/>
      <c r="F297" s="90"/>
      <c r="G297" s="90"/>
      <c r="H297" s="90"/>
      <c r="I297" s="90"/>
      <c r="J297" s="90"/>
      <c r="K297" s="90"/>
      <c r="L297" s="90"/>
      <c r="M297" s="146"/>
      <c r="N297" s="147"/>
      <c r="O297" s="147"/>
      <c r="P297" s="148"/>
      <c r="Q297" s="90"/>
      <c r="R297" s="91"/>
    </row>
    <row r="298" ht="15.75" customHeight="1">
      <c r="A298" s="90"/>
      <c r="B298" s="90"/>
      <c r="C298" s="144"/>
      <c r="D298" s="145"/>
      <c r="E298" s="90"/>
      <c r="F298" s="90"/>
      <c r="G298" s="90"/>
      <c r="H298" s="90"/>
      <c r="I298" s="90"/>
      <c r="J298" s="90"/>
      <c r="K298" s="90"/>
      <c r="L298" s="90"/>
      <c r="M298" s="146"/>
      <c r="N298" s="147"/>
      <c r="O298" s="147"/>
      <c r="P298" s="148"/>
      <c r="Q298" s="90"/>
      <c r="R298" s="91"/>
    </row>
    <row r="299" ht="15.75" customHeight="1">
      <c r="A299" s="90"/>
      <c r="B299" s="90"/>
      <c r="C299" s="144"/>
      <c r="D299" s="145"/>
      <c r="E299" s="90"/>
      <c r="F299" s="90"/>
      <c r="G299" s="90"/>
      <c r="H299" s="90"/>
      <c r="I299" s="90"/>
      <c r="J299" s="90"/>
      <c r="K299" s="90"/>
      <c r="L299" s="90"/>
      <c r="M299" s="146"/>
      <c r="N299" s="147"/>
      <c r="O299" s="147"/>
      <c r="P299" s="148"/>
      <c r="Q299" s="90"/>
      <c r="R299" s="91"/>
    </row>
    <row r="300" ht="15.75" customHeight="1">
      <c r="A300" s="90"/>
      <c r="B300" s="90"/>
      <c r="C300" s="144"/>
      <c r="D300" s="145"/>
      <c r="E300" s="90"/>
      <c r="F300" s="90"/>
      <c r="G300" s="90"/>
      <c r="H300" s="90"/>
      <c r="I300" s="90"/>
      <c r="J300" s="90"/>
      <c r="K300" s="90"/>
      <c r="L300" s="90"/>
      <c r="M300" s="146"/>
      <c r="N300" s="147"/>
      <c r="O300" s="147"/>
      <c r="P300" s="148"/>
      <c r="Q300" s="90"/>
      <c r="R300" s="91"/>
    </row>
    <row r="301" ht="15.75" customHeight="1">
      <c r="A301" s="90"/>
      <c r="B301" s="90"/>
      <c r="C301" s="144"/>
      <c r="D301" s="145"/>
      <c r="E301" s="90"/>
      <c r="F301" s="90"/>
      <c r="G301" s="90"/>
      <c r="H301" s="90"/>
      <c r="I301" s="90"/>
      <c r="J301" s="90"/>
      <c r="K301" s="90"/>
      <c r="L301" s="90"/>
      <c r="M301" s="146"/>
      <c r="N301" s="147"/>
      <c r="O301" s="147"/>
      <c r="P301" s="148"/>
      <c r="Q301" s="90"/>
      <c r="R301" s="91"/>
    </row>
    <row r="302" ht="15.75" customHeight="1">
      <c r="A302" s="90"/>
      <c r="B302" s="90"/>
      <c r="C302" s="144"/>
      <c r="D302" s="145"/>
      <c r="E302" s="90"/>
      <c r="F302" s="90"/>
      <c r="G302" s="90"/>
      <c r="H302" s="90"/>
      <c r="I302" s="90"/>
      <c r="J302" s="90"/>
      <c r="K302" s="90"/>
      <c r="L302" s="90"/>
      <c r="M302" s="146"/>
      <c r="N302" s="147"/>
      <c r="O302" s="147"/>
      <c r="P302" s="148"/>
      <c r="Q302" s="90"/>
      <c r="R302" s="91"/>
    </row>
    <row r="303" ht="15.75" customHeight="1">
      <c r="A303" s="90"/>
      <c r="B303" s="90"/>
      <c r="C303" s="144"/>
      <c r="D303" s="145"/>
      <c r="E303" s="90"/>
      <c r="F303" s="90"/>
      <c r="G303" s="90"/>
      <c r="H303" s="90"/>
      <c r="I303" s="90"/>
      <c r="J303" s="90"/>
      <c r="K303" s="90"/>
      <c r="L303" s="90"/>
      <c r="M303" s="146"/>
      <c r="N303" s="147"/>
      <c r="O303" s="147"/>
      <c r="P303" s="148"/>
      <c r="Q303" s="90"/>
      <c r="R303" s="91"/>
    </row>
    <row r="304" ht="15.75" customHeight="1">
      <c r="A304" s="90"/>
      <c r="B304" s="90"/>
      <c r="C304" s="144"/>
      <c r="D304" s="145"/>
      <c r="E304" s="90"/>
      <c r="F304" s="90"/>
      <c r="G304" s="90"/>
      <c r="H304" s="90"/>
      <c r="I304" s="90"/>
      <c r="J304" s="90"/>
      <c r="K304" s="90"/>
      <c r="L304" s="90"/>
      <c r="M304" s="146"/>
      <c r="N304" s="147"/>
      <c r="O304" s="147"/>
      <c r="P304" s="148"/>
      <c r="Q304" s="90"/>
      <c r="R304" s="91"/>
    </row>
    <row r="305" ht="15.75" customHeight="1">
      <c r="A305" s="90"/>
      <c r="B305" s="90"/>
      <c r="C305" s="144"/>
      <c r="D305" s="145"/>
      <c r="E305" s="90"/>
      <c r="F305" s="90"/>
      <c r="G305" s="90"/>
      <c r="H305" s="90"/>
      <c r="I305" s="90"/>
      <c r="J305" s="90"/>
      <c r="K305" s="90"/>
      <c r="L305" s="90"/>
      <c r="M305" s="146"/>
      <c r="N305" s="147"/>
      <c r="O305" s="147"/>
      <c r="P305" s="148"/>
      <c r="Q305" s="90"/>
      <c r="R305" s="91"/>
    </row>
    <row r="306" ht="15.75" customHeight="1">
      <c r="A306" s="90"/>
      <c r="B306" s="90"/>
      <c r="C306" s="144"/>
      <c r="D306" s="145"/>
      <c r="E306" s="90"/>
      <c r="F306" s="90"/>
      <c r="G306" s="90"/>
      <c r="H306" s="90"/>
      <c r="I306" s="90"/>
      <c r="J306" s="90"/>
      <c r="K306" s="90"/>
      <c r="L306" s="90"/>
      <c r="M306" s="146"/>
      <c r="N306" s="147"/>
      <c r="O306" s="147"/>
      <c r="P306" s="148"/>
      <c r="Q306" s="90"/>
      <c r="R306" s="91"/>
    </row>
    <row r="307" ht="15.75" customHeight="1">
      <c r="A307" s="90"/>
      <c r="B307" s="90"/>
      <c r="C307" s="144"/>
      <c r="D307" s="145"/>
      <c r="E307" s="90"/>
      <c r="F307" s="90"/>
      <c r="G307" s="90"/>
      <c r="H307" s="90"/>
      <c r="I307" s="90"/>
      <c r="J307" s="90"/>
      <c r="K307" s="90"/>
      <c r="L307" s="90"/>
      <c r="M307" s="146"/>
      <c r="N307" s="147"/>
      <c r="O307" s="147"/>
      <c r="P307" s="148"/>
      <c r="Q307" s="90"/>
      <c r="R307" s="91"/>
    </row>
    <row r="308" ht="15.75" customHeight="1">
      <c r="A308" s="90"/>
      <c r="B308" s="90"/>
      <c r="C308" s="144"/>
      <c r="D308" s="145"/>
      <c r="E308" s="90"/>
      <c r="F308" s="90"/>
      <c r="G308" s="90"/>
      <c r="H308" s="90"/>
      <c r="I308" s="90"/>
      <c r="J308" s="90"/>
      <c r="K308" s="90"/>
      <c r="L308" s="90"/>
      <c r="M308" s="146"/>
      <c r="N308" s="147"/>
      <c r="O308" s="147"/>
      <c r="P308" s="148"/>
      <c r="Q308" s="90"/>
      <c r="R308" s="91"/>
    </row>
    <row r="309" ht="15.75" customHeight="1">
      <c r="A309" s="90"/>
      <c r="B309" s="90"/>
      <c r="C309" s="144"/>
      <c r="D309" s="145"/>
      <c r="E309" s="90"/>
      <c r="F309" s="90"/>
      <c r="G309" s="90"/>
      <c r="H309" s="90"/>
      <c r="I309" s="90"/>
      <c r="J309" s="90"/>
      <c r="K309" s="90"/>
      <c r="L309" s="90"/>
      <c r="M309" s="146"/>
      <c r="N309" s="147"/>
      <c r="O309" s="147"/>
      <c r="P309" s="148"/>
      <c r="Q309" s="90"/>
      <c r="R309" s="91"/>
    </row>
    <row r="310" ht="15.75" customHeight="1">
      <c r="A310" s="90"/>
      <c r="B310" s="90"/>
      <c r="C310" s="144"/>
      <c r="D310" s="145"/>
      <c r="E310" s="90"/>
      <c r="F310" s="90"/>
      <c r="G310" s="90"/>
      <c r="H310" s="90"/>
      <c r="I310" s="90"/>
      <c r="J310" s="90"/>
      <c r="K310" s="90"/>
      <c r="L310" s="90"/>
      <c r="M310" s="146"/>
      <c r="N310" s="147"/>
      <c r="O310" s="147"/>
      <c r="P310" s="148"/>
      <c r="Q310" s="90"/>
      <c r="R310" s="91"/>
    </row>
    <row r="311" ht="15.75" customHeight="1">
      <c r="A311" s="90"/>
      <c r="B311" s="90"/>
      <c r="C311" s="144"/>
      <c r="D311" s="145"/>
      <c r="E311" s="90"/>
      <c r="F311" s="90"/>
      <c r="G311" s="90"/>
      <c r="H311" s="90"/>
      <c r="I311" s="90"/>
      <c r="J311" s="90"/>
      <c r="K311" s="90"/>
      <c r="L311" s="90"/>
      <c r="M311" s="146"/>
      <c r="N311" s="147"/>
      <c r="O311" s="147"/>
      <c r="P311" s="148"/>
      <c r="Q311" s="90"/>
      <c r="R311" s="91"/>
    </row>
    <row r="312" ht="15.75" customHeight="1">
      <c r="A312" s="90"/>
      <c r="B312" s="90"/>
      <c r="C312" s="144"/>
      <c r="D312" s="145"/>
      <c r="E312" s="90"/>
      <c r="F312" s="90"/>
      <c r="G312" s="90"/>
      <c r="H312" s="90"/>
      <c r="I312" s="90"/>
      <c r="J312" s="90"/>
      <c r="K312" s="90"/>
      <c r="L312" s="90"/>
      <c r="M312" s="146"/>
      <c r="N312" s="147"/>
      <c r="O312" s="147"/>
      <c r="P312" s="148"/>
      <c r="Q312" s="90"/>
      <c r="R312" s="91"/>
    </row>
    <row r="313" ht="15.75" customHeight="1">
      <c r="A313" s="90"/>
      <c r="B313" s="90"/>
      <c r="C313" s="144"/>
      <c r="D313" s="145"/>
      <c r="E313" s="90"/>
      <c r="F313" s="90"/>
      <c r="G313" s="90"/>
      <c r="H313" s="90"/>
      <c r="I313" s="90"/>
      <c r="J313" s="90"/>
      <c r="K313" s="90"/>
      <c r="L313" s="90"/>
      <c r="M313" s="146"/>
      <c r="N313" s="147"/>
      <c r="O313" s="147"/>
      <c r="P313" s="148"/>
      <c r="Q313" s="90"/>
      <c r="R313" s="91"/>
    </row>
    <row r="314" ht="15.75" customHeight="1">
      <c r="A314" s="90"/>
      <c r="B314" s="90"/>
      <c r="C314" s="144"/>
      <c r="D314" s="145"/>
      <c r="E314" s="90"/>
      <c r="F314" s="90"/>
      <c r="G314" s="90"/>
      <c r="H314" s="90"/>
      <c r="I314" s="90"/>
      <c r="J314" s="90"/>
      <c r="K314" s="90"/>
      <c r="L314" s="90"/>
      <c r="M314" s="146"/>
      <c r="N314" s="147"/>
      <c r="O314" s="147"/>
      <c r="P314" s="148"/>
      <c r="Q314" s="90"/>
      <c r="R314" s="91"/>
    </row>
    <row r="315" ht="15.75" customHeight="1">
      <c r="A315" s="90"/>
      <c r="B315" s="90"/>
      <c r="C315" s="144"/>
      <c r="D315" s="145"/>
      <c r="E315" s="90"/>
      <c r="F315" s="90"/>
      <c r="G315" s="90"/>
      <c r="H315" s="90"/>
      <c r="I315" s="90"/>
      <c r="J315" s="90"/>
      <c r="K315" s="90"/>
      <c r="L315" s="90"/>
      <c r="M315" s="146"/>
      <c r="N315" s="147"/>
      <c r="O315" s="147"/>
      <c r="P315" s="148"/>
      <c r="Q315" s="90"/>
      <c r="R315" s="91"/>
    </row>
    <row r="316" ht="15.75" customHeight="1">
      <c r="A316" s="90"/>
      <c r="B316" s="90"/>
      <c r="C316" s="144"/>
      <c r="D316" s="145"/>
      <c r="E316" s="90"/>
      <c r="F316" s="90"/>
      <c r="G316" s="90"/>
      <c r="H316" s="90"/>
      <c r="I316" s="90"/>
      <c r="J316" s="90"/>
      <c r="K316" s="90"/>
      <c r="L316" s="90"/>
      <c r="M316" s="146"/>
      <c r="N316" s="147"/>
      <c r="O316" s="147"/>
      <c r="P316" s="148"/>
      <c r="Q316" s="90"/>
      <c r="R316" s="91"/>
    </row>
    <row r="317" ht="15.75" customHeight="1">
      <c r="A317" s="90"/>
      <c r="B317" s="90"/>
      <c r="C317" s="144"/>
      <c r="D317" s="145"/>
      <c r="E317" s="90"/>
      <c r="F317" s="90"/>
      <c r="G317" s="90"/>
      <c r="H317" s="90"/>
      <c r="I317" s="90"/>
      <c r="J317" s="90"/>
      <c r="K317" s="90"/>
      <c r="L317" s="90"/>
      <c r="M317" s="146"/>
      <c r="N317" s="147"/>
      <c r="O317" s="147"/>
      <c r="P317" s="148"/>
      <c r="Q317" s="90"/>
      <c r="R317" s="91"/>
    </row>
    <row r="318" ht="15.75" customHeight="1">
      <c r="A318" s="90"/>
      <c r="B318" s="90"/>
      <c r="C318" s="144"/>
      <c r="D318" s="145"/>
      <c r="E318" s="90"/>
      <c r="F318" s="90"/>
      <c r="G318" s="90"/>
      <c r="H318" s="90"/>
      <c r="I318" s="90"/>
      <c r="J318" s="90"/>
      <c r="K318" s="90"/>
      <c r="L318" s="90"/>
      <c r="M318" s="146"/>
      <c r="N318" s="147"/>
      <c r="O318" s="147"/>
      <c r="P318" s="148"/>
      <c r="Q318" s="90"/>
      <c r="R318" s="91"/>
    </row>
    <row r="319" ht="15.75" customHeight="1">
      <c r="A319" s="90"/>
      <c r="B319" s="90"/>
      <c r="C319" s="144"/>
      <c r="D319" s="145"/>
      <c r="E319" s="90"/>
      <c r="F319" s="90"/>
      <c r="G319" s="90"/>
      <c r="H319" s="90"/>
      <c r="I319" s="90"/>
      <c r="J319" s="90"/>
      <c r="K319" s="90"/>
      <c r="L319" s="90"/>
      <c r="M319" s="146"/>
      <c r="N319" s="147"/>
      <c r="O319" s="147"/>
      <c r="P319" s="148"/>
      <c r="Q319" s="90"/>
      <c r="R319" s="91"/>
    </row>
    <row r="320" ht="15.75" customHeight="1">
      <c r="A320" s="90"/>
      <c r="B320" s="90"/>
      <c r="C320" s="144"/>
      <c r="D320" s="145"/>
      <c r="E320" s="90"/>
      <c r="F320" s="90"/>
      <c r="G320" s="90"/>
      <c r="H320" s="90"/>
      <c r="I320" s="90"/>
      <c r="J320" s="90"/>
      <c r="K320" s="90"/>
      <c r="L320" s="90"/>
      <c r="M320" s="146"/>
      <c r="N320" s="147"/>
      <c r="O320" s="147"/>
      <c r="P320" s="148"/>
      <c r="Q320" s="90"/>
      <c r="R320" s="91"/>
    </row>
    <row r="321" ht="15.75" customHeight="1">
      <c r="A321" s="90"/>
      <c r="B321" s="90"/>
      <c r="C321" s="144"/>
      <c r="D321" s="145"/>
      <c r="E321" s="90"/>
      <c r="F321" s="90"/>
      <c r="G321" s="90"/>
      <c r="H321" s="90"/>
      <c r="I321" s="90"/>
      <c r="J321" s="90"/>
      <c r="K321" s="90"/>
      <c r="L321" s="90"/>
      <c r="M321" s="146"/>
      <c r="N321" s="147"/>
      <c r="O321" s="147"/>
      <c r="P321" s="148"/>
      <c r="Q321" s="90"/>
      <c r="R321" s="91"/>
    </row>
    <row r="322" ht="15.75" customHeight="1">
      <c r="A322" s="90"/>
      <c r="B322" s="90"/>
      <c r="C322" s="144"/>
      <c r="D322" s="145"/>
      <c r="E322" s="90"/>
      <c r="F322" s="90"/>
      <c r="G322" s="90"/>
      <c r="H322" s="90"/>
      <c r="I322" s="90"/>
      <c r="J322" s="90"/>
      <c r="K322" s="90"/>
      <c r="L322" s="90"/>
      <c r="M322" s="146"/>
      <c r="N322" s="147"/>
      <c r="O322" s="147"/>
      <c r="P322" s="148"/>
      <c r="Q322" s="90"/>
      <c r="R322" s="91"/>
    </row>
    <row r="323" ht="15.75" customHeight="1">
      <c r="A323" s="90"/>
      <c r="B323" s="90"/>
      <c r="C323" s="144"/>
      <c r="D323" s="145"/>
      <c r="E323" s="90"/>
      <c r="F323" s="90"/>
      <c r="G323" s="90"/>
      <c r="H323" s="90"/>
      <c r="I323" s="90"/>
      <c r="J323" s="90"/>
      <c r="K323" s="90"/>
      <c r="L323" s="90"/>
      <c r="M323" s="146"/>
      <c r="N323" s="147"/>
      <c r="O323" s="147"/>
      <c r="P323" s="148"/>
      <c r="Q323" s="90"/>
      <c r="R323" s="91"/>
    </row>
    <row r="324" ht="15.75" customHeight="1">
      <c r="A324" s="90"/>
      <c r="B324" s="90"/>
      <c r="C324" s="144"/>
      <c r="D324" s="145"/>
      <c r="E324" s="90"/>
      <c r="F324" s="90"/>
      <c r="G324" s="90"/>
      <c r="H324" s="90"/>
      <c r="I324" s="90"/>
      <c r="J324" s="90"/>
      <c r="K324" s="90"/>
      <c r="L324" s="90"/>
      <c r="M324" s="146"/>
      <c r="N324" s="147"/>
      <c r="O324" s="147"/>
      <c r="P324" s="148"/>
      <c r="Q324" s="90"/>
      <c r="R324" s="91"/>
    </row>
    <row r="325" ht="15.75" customHeight="1">
      <c r="A325" s="90"/>
      <c r="B325" s="90"/>
      <c r="C325" s="144"/>
      <c r="D325" s="145"/>
      <c r="E325" s="90"/>
      <c r="F325" s="90"/>
      <c r="G325" s="90"/>
      <c r="H325" s="90"/>
      <c r="I325" s="90"/>
      <c r="J325" s="90"/>
      <c r="K325" s="90"/>
      <c r="L325" s="90"/>
      <c r="M325" s="146"/>
      <c r="N325" s="147"/>
      <c r="O325" s="147"/>
      <c r="P325" s="148"/>
      <c r="Q325" s="90"/>
      <c r="R325" s="91"/>
    </row>
    <row r="326" ht="15.75" customHeight="1">
      <c r="A326" s="90"/>
      <c r="B326" s="90"/>
      <c r="C326" s="144"/>
      <c r="D326" s="145"/>
      <c r="E326" s="90"/>
      <c r="F326" s="90"/>
      <c r="G326" s="90"/>
      <c r="H326" s="90"/>
      <c r="I326" s="90"/>
      <c r="J326" s="90"/>
      <c r="K326" s="90"/>
      <c r="L326" s="90"/>
      <c r="M326" s="146"/>
      <c r="N326" s="147"/>
      <c r="O326" s="147"/>
      <c r="P326" s="148"/>
      <c r="Q326" s="90"/>
      <c r="R326" s="91"/>
    </row>
    <row r="327" ht="15.75" customHeight="1">
      <c r="A327" s="90"/>
      <c r="B327" s="90"/>
      <c r="C327" s="144"/>
      <c r="D327" s="145"/>
      <c r="E327" s="90"/>
      <c r="F327" s="90"/>
      <c r="G327" s="90"/>
      <c r="H327" s="90"/>
      <c r="I327" s="90"/>
      <c r="J327" s="90"/>
      <c r="K327" s="90"/>
      <c r="L327" s="90"/>
      <c r="M327" s="146"/>
      <c r="N327" s="147"/>
      <c r="O327" s="147"/>
      <c r="P327" s="148"/>
      <c r="Q327" s="90"/>
      <c r="R327" s="91"/>
    </row>
    <row r="328" ht="15.75" customHeight="1">
      <c r="A328" s="90"/>
      <c r="B328" s="90"/>
      <c r="C328" s="144"/>
      <c r="D328" s="145"/>
      <c r="E328" s="90"/>
      <c r="F328" s="90"/>
      <c r="G328" s="90"/>
      <c r="H328" s="90"/>
      <c r="I328" s="90"/>
      <c r="J328" s="90"/>
      <c r="K328" s="90"/>
      <c r="L328" s="90"/>
      <c r="M328" s="146"/>
      <c r="N328" s="147"/>
      <c r="O328" s="147"/>
      <c r="P328" s="148"/>
      <c r="Q328" s="90"/>
      <c r="R328" s="91"/>
    </row>
    <row r="329" ht="15.75" customHeight="1">
      <c r="A329" s="90"/>
      <c r="B329" s="90"/>
      <c r="C329" s="144"/>
      <c r="D329" s="145"/>
      <c r="E329" s="90"/>
      <c r="F329" s="90"/>
      <c r="G329" s="90"/>
      <c r="H329" s="90"/>
      <c r="I329" s="90"/>
      <c r="J329" s="90"/>
      <c r="K329" s="90"/>
      <c r="L329" s="90"/>
      <c r="M329" s="146"/>
      <c r="N329" s="147"/>
      <c r="O329" s="147"/>
      <c r="P329" s="148"/>
      <c r="Q329" s="90"/>
      <c r="R329" s="91"/>
    </row>
    <row r="330" ht="15.75" customHeight="1">
      <c r="A330" s="90"/>
      <c r="B330" s="90"/>
      <c r="C330" s="144"/>
      <c r="D330" s="145"/>
      <c r="E330" s="90"/>
      <c r="F330" s="90"/>
      <c r="G330" s="90"/>
      <c r="H330" s="90"/>
      <c r="I330" s="90"/>
      <c r="J330" s="90"/>
      <c r="K330" s="90"/>
      <c r="L330" s="90"/>
      <c r="M330" s="146"/>
      <c r="N330" s="147"/>
      <c r="O330" s="147"/>
      <c r="P330" s="148"/>
      <c r="Q330" s="90"/>
      <c r="R330" s="91"/>
    </row>
    <row r="331" ht="15.75" customHeight="1">
      <c r="A331" s="90"/>
      <c r="B331" s="90"/>
      <c r="C331" s="144"/>
      <c r="D331" s="145"/>
      <c r="E331" s="90"/>
      <c r="F331" s="90"/>
      <c r="G331" s="90"/>
      <c r="H331" s="90"/>
      <c r="I331" s="90"/>
      <c r="J331" s="90"/>
      <c r="K331" s="90"/>
      <c r="L331" s="90"/>
      <c r="M331" s="146"/>
      <c r="N331" s="147"/>
      <c r="O331" s="147"/>
      <c r="P331" s="148"/>
      <c r="Q331" s="90"/>
      <c r="R331" s="91"/>
    </row>
    <row r="332" ht="15.75" customHeight="1">
      <c r="A332" s="90"/>
      <c r="B332" s="90"/>
      <c r="C332" s="144"/>
      <c r="D332" s="145"/>
      <c r="E332" s="90"/>
      <c r="F332" s="90"/>
      <c r="G332" s="90"/>
      <c r="H332" s="90"/>
      <c r="I332" s="90"/>
      <c r="J332" s="90"/>
      <c r="K332" s="90"/>
      <c r="L332" s="90"/>
      <c r="M332" s="146"/>
      <c r="N332" s="147"/>
      <c r="O332" s="147"/>
      <c r="P332" s="148"/>
      <c r="Q332" s="90"/>
      <c r="R332" s="91"/>
    </row>
    <row r="333" ht="15.75" customHeight="1">
      <c r="A333" s="90"/>
      <c r="B333" s="90"/>
      <c r="C333" s="144"/>
      <c r="D333" s="145"/>
      <c r="E333" s="90"/>
      <c r="F333" s="90"/>
      <c r="G333" s="90"/>
      <c r="H333" s="90"/>
      <c r="I333" s="90"/>
      <c r="J333" s="90"/>
      <c r="K333" s="90"/>
      <c r="L333" s="90"/>
      <c r="M333" s="146"/>
      <c r="N333" s="147"/>
      <c r="O333" s="147"/>
      <c r="P333" s="148"/>
      <c r="Q333" s="90"/>
      <c r="R333" s="91"/>
    </row>
    <row r="334" ht="15.75" customHeight="1">
      <c r="A334" s="90"/>
      <c r="B334" s="90"/>
      <c r="C334" s="144"/>
      <c r="D334" s="145"/>
      <c r="E334" s="90"/>
      <c r="F334" s="90"/>
      <c r="G334" s="90"/>
      <c r="H334" s="90"/>
      <c r="I334" s="90"/>
      <c r="J334" s="90"/>
      <c r="K334" s="90"/>
      <c r="L334" s="90"/>
      <c r="M334" s="146"/>
      <c r="N334" s="147"/>
      <c r="O334" s="147"/>
      <c r="P334" s="148"/>
      <c r="Q334" s="90"/>
      <c r="R334" s="91"/>
    </row>
    <row r="335" ht="15.75" customHeight="1">
      <c r="A335" s="90"/>
      <c r="B335" s="90"/>
      <c r="C335" s="144"/>
      <c r="D335" s="145"/>
      <c r="E335" s="90"/>
      <c r="F335" s="90"/>
      <c r="G335" s="90"/>
      <c r="H335" s="90"/>
      <c r="I335" s="90"/>
      <c r="J335" s="90"/>
      <c r="K335" s="90"/>
      <c r="L335" s="90"/>
      <c r="M335" s="146"/>
      <c r="N335" s="147"/>
      <c r="O335" s="147"/>
      <c r="P335" s="148"/>
      <c r="Q335" s="90"/>
      <c r="R335" s="91"/>
    </row>
    <row r="336" ht="15.75" customHeight="1">
      <c r="A336" s="90"/>
      <c r="B336" s="90"/>
      <c r="C336" s="144"/>
      <c r="D336" s="145"/>
      <c r="E336" s="90"/>
      <c r="F336" s="90"/>
      <c r="G336" s="90"/>
      <c r="H336" s="90"/>
      <c r="I336" s="90"/>
      <c r="J336" s="90"/>
      <c r="K336" s="90"/>
      <c r="L336" s="90"/>
      <c r="M336" s="146"/>
      <c r="N336" s="147"/>
      <c r="O336" s="147"/>
      <c r="P336" s="148"/>
      <c r="Q336" s="90"/>
      <c r="R336" s="91"/>
    </row>
    <row r="337" ht="15.75" customHeight="1">
      <c r="A337" s="90"/>
      <c r="B337" s="90"/>
      <c r="C337" s="144"/>
      <c r="D337" s="145"/>
      <c r="E337" s="90"/>
      <c r="F337" s="90"/>
      <c r="G337" s="90"/>
      <c r="H337" s="90"/>
      <c r="I337" s="90"/>
      <c r="J337" s="90"/>
      <c r="K337" s="90"/>
      <c r="L337" s="90"/>
      <c r="M337" s="146"/>
      <c r="N337" s="147"/>
      <c r="O337" s="147"/>
      <c r="P337" s="148"/>
      <c r="Q337" s="90"/>
      <c r="R337" s="91"/>
    </row>
    <row r="338" ht="15.75" customHeight="1">
      <c r="A338" s="90"/>
      <c r="B338" s="90"/>
      <c r="C338" s="144"/>
      <c r="D338" s="145"/>
      <c r="E338" s="90"/>
      <c r="F338" s="90"/>
      <c r="G338" s="90"/>
      <c r="H338" s="90"/>
      <c r="I338" s="90"/>
      <c r="J338" s="90"/>
      <c r="K338" s="90"/>
      <c r="L338" s="90"/>
      <c r="M338" s="146"/>
      <c r="N338" s="147"/>
      <c r="O338" s="147"/>
      <c r="P338" s="148"/>
      <c r="Q338" s="90"/>
      <c r="R338" s="91"/>
    </row>
    <row r="339" ht="15.75" customHeight="1">
      <c r="A339" s="90"/>
      <c r="B339" s="90"/>
      <c r="C339" s="144"/>
      <c r="D339" s="145"/>
      <c r="E339" s="90"/>
      <c r="F339" s="90"/>
      <c r="G339" s="90"/>
      <c r="H339" s="90"/>
      <c r="I339" s="90"/>
      <c r="J339" s="90"/>
      <c r="K339" s="90"/>
      <c r="L339" s="90"/>
      <c r="M339" s="146"/>
      <c r="N339" s="147"/>
      <c r="O339" s="147"/>
      <c r="P339" s="148"/>
      <c r="Q339" s="90"/>
      <c r="R339" s="91"/>
    </row>
    <row r="340" ht="15.75" customHeight="1">
      <c r="A340" s="90"/>
      <c r="B340" s="90"/>
      <c r="C340" s="144"/>
      <c r="D340" s="145"/>
      <c r="E340" s="90"/>
      <c r="F340" s="90"/>
      <c r="G340" s="90"/>
      <c r="H340" s="90"/>
      <c r="I340" s="90"/>
      <c r="J340" s="90"/>
      <c r="K340" s="90"/>
      <c r="L340" s="90"/>
      <c r="M340" s="146"/>
      <c r="N340" s="147"/>
      <c r="O340" s="147"/>
      <c r="P340" s="148"/>
      <c r="Q340" s="90"/>
      <c r="R340" s="91"/>
    </row>
    <row r="341" ht="15.75" customHeight="1">
      <c r="A341" s="90"/>
      <c r="B341" s="90"/>
      <c r="C341" s="144"/>
      <c r="D341" s="145"/>
      <c r="E341" s="90"/>
      <c r="F341" s="90"/>
      <c r="G341" s="90"/>
      <c r="H341" s="90"/>
      <c r="I341" s="90"/>
      <c r="J341" s="90"/>
      <c r="K341" s="90"/>
      <c r="L341" s="90"/>
      <c r="M341" s="146"/>
      <c r="N341" s="147"/>
      <c r="O341" s="147"/>
      <c r="P341" s="148"/>
      <c r="Q341" s="90"/>
      <c r="R341" s="91"/>
    </row>
    <row r="342" ht="15.75" customHeight="1">
      <c r="A342" s="90"/>
      <c r="B342" s="90"/>
      <c r="C342" s="144"/>
      <c r="D342" s="145"/>
      <c r="E342" s="90"/>
      <c r="F342" s="90"/>
      <c r="G342" s="90"/>
      <c r="H342" s="90"/>
      <c r="I342" s="90"/>
      <c r="J342" s="90"/>
      <c r="K342" s="90"/>
      <c r="L342" s="90"/>
      <c r="M342" s="146"/>
      <c r="N342" s="147"/>
      <c r="O342" s="147"/>
      <c r="P342" s="148"/>
      <c r="Q342" s="90"/>
      <c r="R342" s="91"/>
    </row>
    <row r="343" ht="15.75" customHeight="1">
      <c r="A343" s="90"/>
      <c r="B343" s="90"/>
      <c r="C343" s="144"/>
      <c r="D343" s="145"/>
      <c r="E343" s="90"/>
      <c r="F343" s="90"/>
      <c r="G343" s="90"/>
      <c r="H343" s="90"/>
      <c r="I343" s="90"/>
      <c r="J343" s="90"/>
      <c r="K343" s="90"/>
      <c r="L343" s="90"/>
      <c r="M343" s="146"/>
      <c r="N343" s="147"/>
      <c r="O343" s="147"/>
      <c r="P343" s="148"/>
      <c r="Q343" s="90"/>
      <c r="R343" s="91"/>
    </row>
    <row r="344" ht="15.75" customHeight="1">
      <c r="A344" s="90"/>
      <c r="B344" s="90"/>
      <c r="C344" s="144"/>
      <c r="D344" s="145"/>
      <c r="E344" s="90"/>
      <c r="F344" s="90"/>
      <c r="G344" s="90"/>
      <c r="H344" s="90"/>
      <c r="I344" s="90"/>
      <c r="J344" s="90"/>
      <c r="K344" s="90"/>
      <c r="L344" s="90"/>
      <c r="M344" s="146"/>
      <c r="N344" s="147"/>
      <c r="O344" s="147"/>
      <c r="P344" s="148"/>
      <c r="Q344" s="90"/>
      <c r="R344" s="91"/>
    </row>
    <row r="345" ht="15.75" customHeight="1">
      <c r="A345" s="90"/>
      <c r="B345" s="90"/>
      <c r="C345" s="144"/>
      <c r="D345" s="145"/>
      <c r="E345" s="90"/>
      <c r="F345" s="90"/>
      <c r="G345" s="90"/>
      <c r="H345" s="90"/>
      <c r="I345" s="90"/>
      <c r="J345" s="90"/>
      <c r="K345" s="90"/>
      <c r="L345" s="90"/>
      <c r="M345" s="146"/>
      <c r="N345" s="147"/>
      <c r="O345" s="147"/>
      <c r="P345" s="148"/>
      <c r="Q345" s="90"/>
      <c r="R345" s="91"/>
    </row>
    <row r="346" ht="15.75" customHeight="1">
      <c r="A346" s="90"/>
      <c r="B346" s="90"/>
      <c r="C346" s="144"/>
      <c r="D346" s="145"/>
      <c r="E346" s="90"/>
      <c r="F346" s="90"/>
      <c r="G346" s="90"/>
      <c r="H346" s="90"/>
      <c r="I346" s="90"/>
      <c r="J346" s="90"/>
      <c r="K346" s="90"/>
      <c r="L346" s="90"/>
      <c r="M346" s="146"/>
      <c r="N346" s="147"/>
      <c r="O346" s="147"/>
      <c r="P346" s="148"/>
      <c r="Q346" s="90"/>
      <c r="R346" s="91"/>
    </row>
    <row r="347" ht="15.75" customHeight="1">
      <c r="A347" s="90"/>
      <c r="B347" s="90"/>
      <c r="C347" s="144"/>
      <c r="D347" s="145"/>
      <c r="E347" s="90"/>
      <c r="F347" s="90"/>
      <c r="G347" s="90"/>
      <c r="H347" s="90"/>
      <c r="I347" s="90"/>
      <c r="J347" s="90"/>
      <c r="K347" s="90"/>
      <c r="L347" s="90"/>
      <c r="M347" s="146"/>
      <c r="N347" s="147"/>
      <c r="O347" s="147"/>
      <c r="P347" s="148"/>
      <c r="Q347" s="90"/>
      <c r="R347" s="91"/>
    </row>
    <row r="348" ht="15.75" customHeight="1">
      <c r="A348" s="90"/>
      <c r="B348" s="90"/>
      <c r="C348" s="144"/>
      <c r="D348" s="145"/>
      <c r="E348" s="90"/>
      <c r="F348" s="90"/>
      <c r="G348" s="90"/>
      <c r="H348" s="90"/>
      <c r="I348" s="90"/>
      <c r="J348" s="90"/>
      <c r="K348" s="90"/>
      <c r="L348" s="90"/>
      <c r="M348" s="146"/>
      <c r="N348" s="147"/>
      <c r="O348" s="147"/>
      <c r="P348" s="148"/>
      <c r="Q348" s="90"/>
      <c r="R348" s="91"/>
    </row>
    <row r="349" ht="15.75" customHeight="1">
      <c r="A349" s="90"/>
      <c r="B349" s="90"/>
      <c r="C349" s="144"/>
      <c r="D349" s="145"/>
      <c r="E349" s="90"/>
      <c r="F349" s="90"/>
      <c r="G349" s="90"/>
      <c r="H349" s="90"/>
      <c r="I349" s="90"/>
      <c r="J349" s="90"/>
      <c r="K349" s="90"/>
      <c r="L349" s="90"/>
      <c r="M349" s="146"/>
      <c r="N349" s="147"/>
      <c r="O349" s="147"/>
      <c r="P349" s="148"/>
      <c r="Q349" s="90"/>
      <c r="R349" s="91"/>
    </row>
    <row r="350" ht="15.75" customHeight="1">
      <c r="A350" s="90"/>
      <c r="B350" s="90"/>
      <c r="C350" s="144"/>
      <c r="D350" s="145"/>
      <c r="E350" s="90"/>
      <c r="F350" s="90"/>
      <c r="G350" s="90"/>
      <c r="H350" s="90"/>
      <c r="I350" s="90"/>
      <c r="J350" s="90"/>
      <c r="K350" s="90"/>
      <c r="L350" s="90"/>
      <c r="M350" s="146"/>
      <c r="N350" s="147"/>
      <c r="O350" s="147"/>
      <c r="P350" s="148"/>
      <c r="Q350" s="90"/>
      <c r="R350" s="91"/>
    </row>
    <row r="351" ht="15.75" customHeight="1">
      <c r="A351" s="90"/>
      <c r="B351" s="90"/>
      <c r="C351" s="144"/>
      <c r="D351" s="145"/>
      <c r="E351" s="90"/>
      <c r="F351" s="90"/>
      <c r="G351" s="90"/>
      <c r="H351" s="90"/>
      <c r="I351" s="90"/>
      <c r="J351" s="90"/>
      <c r="K351" s="90"/>
      <c r="L351" s="90"/>
      <c r="M351" s="146"/>
      <c r="N351" s="147"/>
      <c r="O351" s="147"/>
      <c r="P351" s="148"/>
      <c r="Q351" s="90"/>
      <c r="R351" s="91"/>
    </row>
    <row r="352" ht="15.75" customHeight="1">
      <c r="A352" s="90"/>
      <c r="B352" s="90"/>
      <c r="C352" s="144"/>
      <c r="D352" s="145"/>
      <c r="E352" s="90"/>
      <c r="F352" s="90"/>
      <c r="G352" s="90"/>
      <c r="H352" s="90"/>
      <c r="I352" s="90"/>
      <c r="J352" s="90"/>
      <c r="K352" s="90"/>
      <c r="L352" s="90"/>
      <c r="M352" s="146"/>
      <c r="N352" s="147"/>
      <c r="O352" s="147"/>
      <c r="P352" s="148"/>
      <c r="Q352" s="90"/>
      <c r="R352" s="91"/>
    </row>
    <row r="353" ht="15.75" customHeight="1">
      <c r="A353" s="90"/>
      <c r="B353" s="90"/>
      <c r="C353" s="144"/>
      <c r="D353" s="145"/>
      <c r="E353" s="90"/>
      <c r="F353" s="90"/>
      <c r="G353" s="90"/>
      <c r="H353" s="90"/>
      <c r="I353" s="90"/>
      <c r="J353" s="90"/>
      <c r="K353" s="90"/>
      <c r="L353" s="90"/>
      <c r="M353" s="146"/>
      <c r="N353" s="147"/>
      <c r="O353" s="147"/>
      <c r="P353" s="148"/>
      <c r="Q353" s="90"/>
      <c r="R353" s="91"/>
    </row>
    <row r="354" ht="15.75" customHeight="1">
      <c r="A354" s="90"/>
      <c r="B354" s="90"/>
      <c r="C354" s="144"/>
      <c r="D354" s="145"/>
      <c r="E354" s="90"/>
      <c r="F354" s="90"/>
      <c r="G354" s="90"/>
      <c r="H354" s="90"/>
      <c r="I354" s="90"/>
      <c r="J354" s="90"/>
      <c r="K354" s="90"/>
      <c r="L354" s="90"/>
      <c r="M354" s="146"/>
      <c r="N354" s="147"/>
      <c r="O354" s="147"/>
      <c r="P354" s="148"/>
      <c r="Q354" s="90"/>
      <c r="R354" s="91"/>
    </row>
    <row r="355" ht="15.75" customHeight="1">
      <c r="A355" s="90"/>
      <c r="B355" s="90"/>
      <c r="C355" s="144"/>
      <c r="D355" s="145"/>
      <c r="E355" s="90"/>
      <c r="F355" s="90"/>
      <c r="G355" s="90"/>
      <c r="H355" s="90"/>
      <c r="I355" s="90"/>
      <c r="J355" s="90"/>
      <c r="K355" s="90"/>
      <c r="L355" s="90"/>
      <c r="M355" s="146"/>
      <c r="N355" s="147"/>
      <c r="O355" s="147"/>
      <c r="P355" s="148"/>
      <c r="Q355" s="90"/>
      <c r="R355" s="91"/>
    </row>
    <row r="356" ht="15.75" customHeight="1">
      <c r="A356" s="90"/>
      <c r="B356" s="90"/>
      <c r="C356" s="144"/>
      <c r="D356" s="145"/>
      <c r="E356" s="90"/>
      <c r="F356" s="90"/>
      <c r="G356" s="90"/>
      <c r="H356" s="90"/>
      <c r="I356" s="90"/>
      <c r="J356" s="90"/>
      <c r="K356" s="90"/>
      <c r="L356" s="90"/>
      <c r="M356" s="146"/>
      <c r="N356" s="147"/>
      <c r="O356" s="147"/>
      <c r="P356" s="148"/>
      <c r="Q356" s="90"/>
      <c r="R356" s="91"/>
    </row>
    <row r="357" ht="15.75" customHeight="1">
      <c r="A357" s="90"/>
      <c r="B357" s="90"/>
      <c r="C357" s="144"/>
      <c r="D357" s="145"/>
      <c r="E357" s="90"/>
      <c r="F357" s="90"/>
      <c r="G357" s="90"/>
      <c r="H357" s="90"/>
      <c r="I357" s="90"/>
      <c r="J357" s="90"/>
      <c r="K357" s="90"/>
      <c r="L357" s="90"/>
      <c r="M357" s="146"/>
      <c r="N357" s="147"/>
      <c r="O357" s="147"/>
      <c r="P357" s="148"/>
      <c r="Q357" s="90"/>
      <c r="R357" s="91"/>
    </row>
    <row r="358" ht="15.75" customHeight="1">
      <c r="A358" s="90"/>
      <c r="B358" s="90"/>
      <c r="C358" s="144"/>
      <c r="D358" s="145"/>
      <c r="E358" s="90"/>
      <c r="F358" s="90"/>
      <c r="G358" s="90"/>
      <c r="H358" s="90"/>
      <c r="I358" s="90"/>
      <c r="J358" s="90"/>
      <c r="K358" s="90"/>
      <c r="L358" s="90"/>
      <c r="M358" s="146"/>
      <c r="N358" s="147"/>
      <c r="O358" s="147"/>
      <c r="P358" s="148"/>
      <c r="Q358" s="90"/>
      <c r="R358" s="91"/>
    </row>
    <row r="359" ht="15.75" customHeight="1">
      <c r="A359" s="90"/>
      <c r="B359" s="90"/>
      <c r="C359" s="144"/>
      <c r="D359" s="145"/>
      <c r="E359" s="90"/>
      <c r="F359" s="90"/>
      <c r="G359" s="90"/>
      <c r="H359" s="90"/>
      <c r="I359" s="90"/>
      <c r="J359" s="90"/>
      <c r="K359" s="90"/>
      <c r="L359" s="90"/>
      <c r="M359" s="146"/>
      <c r="N359" s="147"/>
      <c r="O359" s="147"/>
      <c r="P359" s="148"/>
      <c r="Q359" s="90"/>
      <c r="R359" s="91"/>
    </row>
    <row r="360" ht="15.75" customHeight="1">
      <c r="A360" s="90"/>
      <c r="B360" s="90"/>
      <c r="C360" s="144"/>
      <c r="D360" s="145"/>
      <c r="E360" s="90"/>
      <c r="F360" s="90"/>
      <c r="G360" s="90"/>
      <c r="H360" s="90"/>
      <c r="I360" s="90"/>
      <c r="J360" s="90"/>
      <c r="K360" s="90"/>
      <c r="L360" s="90"/>
      <c r="M360" s="146"/>
      <c r="N360" s="147"/>
      <c r="O360" s="147"/>
      <c r="P360" s="148"/>
      <c r="Q360" s="90"/>
      <c r="R360" s="91"/>
    </row>
    <row r="361" ht="15.75" customHeight="1">
      <c r="A361" s="90"/>
      <c r="B361" s="90"/>
      <c r="C361" s="144"/>
      <c r="D361" s="145"/>
      <c r="E361" s="90"/>
      <c r="F361" s="90"/>
      <c r="G361" s="90"/>
      <c r="H361" s="90"/>
      <c r="I361" s="90"/>
      <c r="J361" s="90"/>
      <c r="K361" s="90"/>
      <c r="L361" s="90"/>
      <c r="M361" s="146"/>
      <c r="N361" s="147"/>
      <c r="O361" s="147"/>
      <c r="P361" s="148"/>
      <c r="Q361" s="90"/>
      <c r="R361" s="91"/>
    </row>
    <row r="362" ht="15.75" customHeight="1">
      <c r="A362" s="90"/>
      <c r="B362" s="90"/>
      <c r="C362" s="144"/>
      <c r="D362" s="145"/>
      <c r="E362" s="90"/>
      <c r="F362" s="90"/>
      <c r="G362" s="90"/>
      <c r="H362" s="90"/>
      <c r="I362" s="90"/>
      <c r="J362" s="90"/>
      <c r="K362" s="90"/>
      <c r="L362" s="90"/>
      <c r="M362" s="146"/>
      <c r="N362" s="147"/>
      <c r="O362" s="147"/>
      <c r="P362" s="148"/>
      <c r="Q362" s="90"/>
      <c r="R362" s="91"/>
    </row>
    <row r="363" ht="15.75" customHeight="1">
      <c r="A363" s="90"/>
      <c r="B363" s="90"/>
      <c r="C363" s="144"/>
      <c r="D363" s="145"/>
      <c r="E363" s="90"/>
      <c r="F363" s="90"/>
      <c r="G363" s="90"/>
      <c r="H363" s="90"/>
      <c r="I363" s="90"/>
      <c r="J363" s="90"/>
      <c r="K363" s="90"/>
      <c r="L363" s="90"/>
      <c r="M363" s="146"/>
      <c r="N363" s="147"/>
      <c r="O363" s="147"/>
      <c r="P363" s="148"/>
      <c r="Q363" s="90"/>
      <c r="R363" s="91"/>
    </row>
    <row r="364" ht="15.75" customHeight="1">
      <c r="A364" s="90"/>
      <c r="B364" s="90"/>
      <c r="C364" s="144"/>
      <c r="D364" s="145"/>
      <c r="E364" s="90"/>
      <c r="F364" s="90"/>
      <c r="G364" s="90"/>
      <c r="H364" s="90"/>
      <c r="I364" s="90"/>
      <c r="J364" s="90"/>
      <c r="K364" s="90"/>
      <c r="L364" s="90"/>
      <c r="M364" s="146"/>
      <c r="N364" s="147"/>
      <c r="O364" s="147"/>
      <c r="P364" s="148"/>
      <c r="Q364" s="90"/>
      <c r="R364" s="91"/>
    </row>
    <row r="365" ht="15.75" customHeight="1">
      <c r="A365" s="90"/>
      <c r="B365" s="90"/>
      <c r="C365" s="144"/>
      <c r="D365" s="145"/>
      <c r="E365" s="90"/>
      <c r="F365" s="90"/>
      <c r="G365" s="90"/>
      <c r="H365" s="90"/>
      <c r="I365" s="90"/>
      <c r="J365" s="90"/>
      <c r="K365" s="90"/>
      <c r="L365" s="90"/>
      <c r="M365" s="146"/>
      <c r="N365" s="147"/>
      <c r="O365" s="147"/>
      <c r="P365" s="148"/>
      <c r="Q365" s="90"/>
      <c r="R365" s="91"/>
    </row>
    <row r="366" ht="15.75" customHeight="1">
      <c r="A366" s="90"/>
      <c r="B366" s="90"/>
      <c r="C366" s="144"/>
      <c r="D366" s="145"/>
      <c r="E366" s="90"/>
      <c r="F366" s="90"/>
      <c r="G366" s="90"/>
      <c r="H366" s="90"/>
      <c r="I366" s="90"/>
      <c r="J366" s="90"/>
      <c r="K366" s="90"/>
      <c r="L366" s="90"/>
      <c r="M366" s="146"/>
      <c r="N366" s="147"/>
      <c r="O366" s="147"/>
      <c r="P366" s="148"/>
      <c r="Q366" s="90"/>
      <c r="R366" s="91"/>
    </row>
    <row r="367" ht="15.75" customHeight="1">
      <c r="A367" s="90"/>
      <c r="B367" s="90"/>
      <c r="C367" s="144"/>
      <c r="D367" s="145"/>
      <c r="E367" s="90"/>
      <c r="F367" s="90"/>
      <c r="G367" s="90"/>
      <c r="H367" s="90"/>
      <c r="I367" s="90"/>
      <c r="J367" s="90"/>
      <c r="K367" s="90"/>
      <c r="L367" s="90"/>
      <c r="M367" s="146"/>
      <c r="N367" s="147"/>
      <c r="O367" s="147"/>
      <c r="P367" s="148"/>
      <c r="Q367" s="90"/>
      <c r="R367" s="91"/>
    </row>
    <row r="368" ht="15.75" customHeight="1">
      <c r="A368" s="90"/>
      <c r="B368" s="90"/>
      <c r="C368" s="144"/>
      <c r="D368" s="145"/>
      <c r="E368" s="90"/>
      <c r="F368" s="90"/>
      <c r="G368" s="90"/>
      <c r="H368" s="90"/>
      <c r="I368" s="90"/>
      <c r="J368" s="90"/>
      <c r="K368" s="90"/>
      <c r="L368" s="90"/>
      <c r="M368" s="146"/>
      <c r="N368" s="147"/>
      <c r="O368" s="147"/>
      <c r="P368" s="148"/>
      <c r="Q368" s="90"/>
      <c r="R368" s="91"/>
    </row>
    <row r="369" ht="15.75" customHeight="1">
      <c r="A369" s="90"/>
      <c r="B369" s="90"/>
      <c r="C369" s="144"/>
      <c r="D369" s="145"/>
      <c r="E369" s="90"/>
      <c r="F369" s="90"/>
      <c r="G369" s="90"/>
      <c r="H369" s="90"/>
      <c r="I369" s="90"/>
      <c r="J369" s="90"/>
      <c r="K369" s="90"/>
      <c r="L369" s="90"/>
      <c r="M369" s="146"/>
      <c r="N369" s="147"/>
      <c r="O369" s="147"/>
      <c r="P369" s="148"/>
      <c r="Q369" s="90"/>
      <c r="R369" s="91"/>
    </row>
    <row r="370" ht="15.75" customHeight="1">
      <c r="A370" s="90"/>
      <c r="B370" s="90"/>
      <c r="C370" s="144"/>
      <c r="D370" s="145"/>
      <c r="E370" s="90"/>
      <c r="F370" s="90"/>
      <c r="G370" s="90"/>
      <c r="H370" s="90"/>
      <c r="I370" s="90"/>
      <c r="J370" s="90"/>
      <c r="K370" s="90"/>
      <c r="L370" s="90"/>
      <c r="M370" s="146"/>
      <c r="N370" s="147"/>
      <c r="O370" s="147"/>
      <c r="P370" s="148"/>
      <c r="Q370" s="90"/>
      <c r="R370" s="91"/>
    </row>
    <row r="371" ht="15.75" customHeight="1">
      <c r="A371" s="90"/>
      <c r="B371" s="90"/>
      <c r="C371" s="144"/>
      <c r="D371" s="145"/>
      <c r="E371" s="90"/>
      <c r="F371" s="90"/>
      <c r="G371" s="90"/>
      <c r="H371" s="90"/>
      <c r="I371" s="90"/>
      <c r="J371" s="90"/>
      <c r="K371" s="90"/>
      <c r="L371" s="90"/>
      <c r="M371" s="146"/>
      <c r="N371" s="147"/>
      <c r="O371" s="147"/>
      <c r="P371" s="148"/>
      <c r="Q371" s="90"/>
      <c r="R371" s="91"/>
    </row>
    <row r="372" ht="15.75" customHeight="1">
      <c r="A372" s="90"/>
      <c r="B372" s="90"/>
      <c r="C372" s="144"/>
      <c r="D372" s="145"/>
      <c r="E372" s="90"/>
      <c r="F372" s="90"/>
      <c r="G372" s="90"/>
      <c r="H372" s="90"/>
      <c r="I372" s="90"/>
      <c r="J372" s="90"/>
      <c r="K372" s="90"/>
      <c r="L372" s="90"/>
      <c r="M372" s="146"/>
      <c r="N372" s="147"/>
      <c r="O372" s="147"/>
      <c r="P372" s="148"/>
      <c r="Q372" s="90"/>
      <c r="R372" s="91"/>
    </row>
    <row r="373" ht="15.75" customHeight="1">
      <c r="A373" s="90"/>
      <c r="B373" s="90"/>
      <c r="C373" s="144"/>
      <c r="D373" s="145"/>
      <c r="E373" s="90"/>
      <c r="F373" s="90"/>
      <c r="G373" s="90"/>
      <c r="H373" s="90"/>
      <c r="I373" s="90"/>
      <c r="J373" s="90"/>
      <c r="K373" s="90"/>
      <c r="L373" s="90"/>
      <c r="M373" s="146"/>
      <c r="N373" s="147"/>
      <c r="O373" s="147"/>
      <c r="P373" s="148"/>
      <c r="Q373" s="90"/>
      <c r="R373" s="91"/>
    </row>
    <row r="374" ht="15.75" customHeight="1">
      <c r="A374" s="90"/>
      <c r="B374" s="90"/>
      <c r="C374" s="144"/>
      <c r="D374" s="145"/>
      <c r="E374" s="90"/>
      <c r="F374" s="90"/>
      <c r="G374" s="90"/>
      <c r="H374" s="90"/>
      <c r="I374" s="90"/>
      <c r="J374" s="90"/>
      <c r="K374" s="90"/>
      <c r="L374" s="90"/>
      <c r="M374" s="146"/>
      <c r="N374" s="147"/>
      <c r="O374" s="147"/>
      <c r="P374" s="148"/>
      <c r="Q374" s="90"/>
      <c r="R374" s="91"/>
    </row>
    <row r="375" ht="15.75" customHeight="1">
      <c r="A375" s="90"/>
      <c r="B375" s="90"/>
      <c r="C375" s="144"/>
      <c r="D375" s="145"/>
      <c r="E375" s="90"/>
      <c r="F375" s="90"/>
      <c r="G375" s="90"/>
      <c r="H375" s="90"/>
      <c r="I375" s="90"/>
      <c r="J375" s="90"/>
      <c r="K375" s="90"/>
      <c r="L375" s="90"/>
      <c r="M375" s="146"/>
      <c r="N375" s="147"/>
      <c r="O375" s="147"/>
      <c r="P375" s="148"/>
      <c r="Q375" s="90"/>
      <c r="R375" s="91"/>
    </row>
    <row r="376" ht="15.75" customHeight="1">
      <c r="A376" s="90"/>
      <c r="B376" s="90"/>
      <c r="C376" s="144"/>
      <c r="D376" s="145"/>
      <c r="E376" s="90"/>
      <c r="F376" s="90"/>
      <c r="G376" s="90"/>
      <c r="H376" s="90"/>
      <c r="I376" s="90"/>
      <c r="J376" s="90"/>
      <c r="K376" s="90"/>
      <c r="L376" s="90"/>
      <c r="M376" s="146"/>
      <c r="N376" s="147"/>
      <c r="O376" s="147"/>
      <c r="P376" s="148"/>
      <c r="Q376" s="90"/>
      <c r="R376" s="91"/>
    </row>
    <row r="377" ht="15.75" customHeight="1">
      <c r="A377" s="90"/>
      <c r="B377" s="90"/>
      <c r="C377" s="144"/>
      <c r="D377" s="145"/>
      <c r="E377" s="90"/>
      <c r="F377" s="90"/>
      <c r="G377" s="90"/>
      <c r="H377" s="90"/>
      <c r="I377" s="90"/>
      <c r="J377" s="90"/>
      <c r="K377" s="90"/>
      <c r="L377" s="90"/>
      <c r="M377" s="146"/>
      <c r="N377" s="147"/>
      <c r="O377" s="147"/>
      <c r="P377" s="148"/>
      <c r="Q377" s="90"/>
      <c r="R377" s="91"/>
    </row>
    <row r="378" ht="15.75" customHeight="1">
      <c r="A378" s="90"/>
      <c r="B378" s="90"/>
      <c r="C378" s="144"/>
      <c r="D378" s="145"/>
      <c r="E378" s="90"/>
      <c r="F378" s="90"/>
      <c r="G378" s="90"/>
      <c r="H378" s="90"/>
      <c r="I378" s="90"/>
      <c r="J378" s="90"/>
      <c r="K378" s="90"/>
      <c r="L378" s="90"/>
      <c r="M378" s="146"/>
      <c r="N378" s="147"/>
      <c r="O378" s="147"/>
      <c r="P378" s="148"/>
      <c r="Q378" s="90"/>
      <c r="R378" s="91"/>
    </row>
    <row r="379" ht="15.75" customHeight="1">
      <c r="A379" s="90"/>
      <c r="B379" s="90"/>
      <c r="C379" s="144"/>
      <c r="D379" s="145"/>
      <c r="E379" s="90"/>
      <c r="F379" s="90"/>
      <c r="G379" s="90"/>
      <c r="H379" s="90"/>
      <c r="I379" s="90"/>
      <c r="J379" s="90"/>
      <c r="K379" s="90"/>
      <c r="L379" s="90"/>
      <c r="M379" s="146"/>
      <c r="N379" s="147"/>
      <c r="O379" s="147"/>
      <c r="P379" s="148"/>
      <c r="Q379" s="90"/>
      <c r="R379" s="91"/>
    </row>
    <row r="380" ht="15.75" customHeight="1">
      <c r="A380" s="90"/>
      <c r="B380" s="90"/>
      <c r="C380" s="144"/>
      <c r="D380" s="145"/>
      <c r="E380" s="90"/>
      <c r="F380" s="90"/>
      <c r="G380" s="90"/>
      <c r="H380" s="90"/>
      <c r="I380" s="90"/>
      <c r="J380" s="90"/>
      <c r="K380" s="90"/>
      <c r="L380" s="90"/>
      <c r="M380" s="146"/>
      <c r="N380" s="147"/>
      <c r="O380" s="147"/>
      <c r="P380" s="148"/>
      <c r="Q380" s="90"/>
      <c r="R380" s="91"/>
    </row>
    <row r="381" ht="15.75" customHeight="1">
      <c r="A381" s="90"/>
      <c r="B381" s="90"/>
      <c r="C381" s="144"/>
      <c r="D381" s="145"/>
      <c r="E381" s="90"/>
      <c r="F381" s="90"/>
      <c r="G381" s="90"/>
      <c r="H381" s="90"/>
      <c r="I381" s="90"/>
      <c r="J381" s="90"/>
      <c r="K381" s="90"/>
      <c r="L381" s="90"/>
      <c r="M381" s="146"/>
      <c r="N381" s="147"/>
      <c r="O381" s="147"/>
      <c r="P381" s="148"/>
      <c r="Q381" s="90"/>
      <c r="R381" s="91"/>
    </row>
    <row r="382" ht="15.75" customHeight="1">
      <c r="A382" s="90"/>
      <c r="B382" s="90"/>
      <c r="C382" s="144"/>
      <c r="D382" s="145"/>
      <c r="E382" s="90"/>
      <c r="F382" s="90"/>
      <c r="G382" s="90"/>
      <c r="H382" s="90"/>
      <c r="I382" s="90"/>
      <c r="J382" s="90"/>
      <c r="K382" s="90"/>
      <c r="L382" s="90"/>
      <c r="M382" s="146"/>
      <c r="N382" s="147"/>
      <c r="O382" s="147"/>
      <c r="P382" s="148"/>
      <c r="Q382" s="90"/>
      <c r="R382" s="91"/>
    </row>
    <row r="383" ht="15.75" customHeight="1">
      <c r="A383" s="90"/>
      <c r="B383" s="90"/>
      <c r="C383" s="144"/>
      <c r="D383" s="145"/>
      <c r="E383" s="90"/>
      <c r="F383" s="90"/>
      <c r="G383" s="90"/>
      <c r="H383" s="90"/>
      <c r="I383" s="90"/>
      <c r="J383" s="90"/>
      <c r="K383" s="90"/>
      <c r="L383" s="90"/>
      <c r="M383" s="146"/>
      <c r="N383" s="147"/>
      <c r="O383" s="147"/>
      <c r="P383" s="148"/>
      <c r="Q383" s="90"/>
      <c r="R383" s="91"/>
    </row>
    <row r="384" ht="15.75" customHeight="1">
      <c r="A384" s="90"/>
      <c r="B384" s="90"/>
      <c r="C384" s="144"/>
      <c r="D384" s="145"/>
      <c r="E384" s="90"/>
      <c r="F384" s="90"/>
      <c r="G384" s="90"/>
      <c r="H384" s="90"/>
      <c r="I384" s="90"/>
      <c r="J384" s="90"/>
      <c r="K384" s="90"/>
      <c r="L384" s="90"/>
      <c r="M384" s="146"/>
      <c r="N384" s="147"/>
      <c r="O384" s="147"/>
      <c r="P384" s="148"/>
      <c r="Q384" s="90"/>
      <c r="R384" s="91"/>
    </row>
    <row r="385" ht="15.75" customHeight="1">
      <c r="A385" s="90"/>
      <c r="B385" s="90"/>
      <c r="C385" s="144"/>
      <c r="D385" s="145"/>
      <c r="E385" s="90"/>
      <c r="F385" s="90"/>
      <c r="G385" s="90"/>
      <c r="H385" s="90"/>
      <c r="I385" s="90"/>
      <c r="J385" s="90"/>
      <c r="K385" s="90"/>
      <c r="L385" s="90"/>
      <c r="M385" s="146"/>
      <c r="N385" s="147"/>
      <c r="O385" s="147"/>
      <c r="P385" s="148"/>
      <c r="Q385" s="90"/>
      <c r="R385" s="91"/>
    </row>
    <row r="386" ht="15.75" customHeight="1">
      <c r="A386" s="90"/>
      <c r="B386" s="90"/>
      <c r="C386" s="144"/>
      <c r="D386" s="145"/>
      <c r="E386" s="90"/>
      <c r="F386" s="90"/>
      <c r="G386" s="90"/>
      <c r="H386" s="90"/>
      <c r="I386" s="90"/>
      <c r="J386" s="90"/>
      <c r="K386" s="90"/>
      <c r="L386" s="90"/>
      <c r="M386" s="146"/>
      <c r="N386" s="147"/>
      <c r="O386" s="147"/>
      <c r="P386" s="148"/>
      <c r="Q386" s="90"/>
      <c r="R386" s="91"/>
    </row>
    <row r="387" ht="15.75" customHeight="1">
      <c r="A387" s="90"/>
      <c r="B387" s="90"/>
      <c r="C387" s="144"/>
      <c r="D387" s="145"/>
      <c r="E387" s="90"/>
      <c r="F387" s="90"/>
      <c r="G387" s="90"/>
      <c r="H387" s="90"/>
      <c r="I387" s="90"/>
      <c r="J387" s="90"/>
      <c r="K387" s="90"/>
      <c r="L387" s="90"/>
      <c r="M387" s="146"/>
      <c r="N387" s="147"/>
      <c r="O387" s="147"/>
      <c r="P387" s="148"/>
      <c r="Q387" s="90"/>
      <c r="R387" s="91"/>
    </row>
    <row r="388" ht="15.75" customHeight="1">
      <c r="A388" s="90"/>
      <c r="B388" s="90"/>
      <c r="C388" s="144"/>
      <c r="D388" s="145"/>
      <c r="E388" s="90"/>
      <c r="F388" s="90"/>
      <c r="G388" s="90"/>
      <c r="H388" s="90"/>
      <c r="I388" s="90"/>
      <c r="J388" s="90"/>
      <c r="K388" s="90"/>
      <c r="L388" s="90"/>
      <c r="M388" s="146"/>
      <c r="N388" s="147"/>
      <c r="O388" s="147"/>
      <c r="P388" s="148"/>
      <c r="Q388" s="90"/>
      <c r="R388" s="91"/>
    </row>
    <row r="389" ht="15.75" customHeight="1">
      <c r="A389" s="90"/>
      <c r="B389" s="90"/>
      <c r="C389" s="144"/>
      <c r="D389" s="145"/>
      <c r="E389" s="90"/>
      <c r="F389" s="90"/>
      <c r="G389" s="90"/>
      <c r="H389" s="90"/>
      <c r="I389" s="90"/>
      <c r="J389" s="90"/>
      <c r="K389" s="90"/>
      <c r="L389" s="90"/>
      <c r="M389" s="146"/>
      <c r="N389" s="147"/>
      <c r="O389" s="147"/>
      <c r="P389" s="148"/>
      <c r="Q389" s="90"/>
      <c r="R389" s="91"/>
    </row>
    <row r="390" ht="15.75" customHeight="1">
      <c r="A390" s="90"/>
      <c r="B390" s="90"/>
      <c r="C390" s="144"/>
      <c r="D390" s="145"/>
      <c r="E390" s="90"/>
      <c r="F390" s="90"/>
      <c r="G390" s="90"/>
      <c r="H390" s="90"/>
      <c r="I390" s="90"/>
      <c r="J390" s="90"/>
      <c r="K390" s="90"/>
      <c r="L390" s="90"/>
      <c r="M390" s="146"/>
      <c r="N390" s="147"/>
      <c r="O390" s="147"/>
      <c r="P390" s="148"/>
      <c r="Q390" s="90"/>
      <c r="R390" s="91"/>
    </row>
    <row r="391" ht="15.75" customHeight="1">
      <c r="A391" s="90"/>
      <c r="B391" s="90"/>
      <c r="C391" s="144"/>
      <c r="D391" s="145"/>
      <c r="E391" s="90"/>
      <c r="F391" s="90"/>
      <c r="G391" s="90"/>
      <c r="H391" s="90"/>
      <c r="I391" s="90"/>
      <c r="J391" s="90"/>
      <c r="K391" s="90"/>
      <c r="L391" s="90"/>
      <c r="M391" s="146"/>
      <c r="N391" s="147"/>
      <c r="O391" s="147"/>
      <c r="P391" s="148"/>
      <c r="Q391" s="90"/>
      <c r="R391" s="91"/>
    </row>
    <row r="392" ht="15.75" customHeight="1">
      <c r="A392" s="90"/>
      <c r="B392" s="90"/>
      <c r="C392" s="144"/>
      <c r="D392" s="145"/>
      <c r="E392" s="90"/>
      <c r="F392" s="90"/>
      <c r="G392" s="90"/>
      <c r="H392" s="90"/>
      <c r="I392" s="90"/>
      <c r="J392" s="90"/>
      <c r="K392" s="90"/>
      <c r="L392" s="90"/>
      <c r="M392" s="146"/>
      <c r="N392" s="147"/>
      <c r="O392" s="147"/>
      <c r="P392" s="148"/>
      <c r="Q392" s="90"/>
      <c r="R392" s="91"/>
    </row>
    <row r="393" ht="15.75" customHeight="1">
      <c r="A393" s="90"/>
      <c r="B393" s="90"/>
      <c r="C393" s="144"/>
      <c r="D393" s="145"/>
      <c r="E393" s="90"/>
      <c r="F393" s="90"/>
      <c r="G393" s="90"/>
      <c r="H393" s="90"/>
      <c r="I393" s="90"/>
      <c r="J393" s="90"/>
      <c r="K393" s="90"/>
      <c r="L393" s="90"/>
      <c r="M393" s="146"/>
      <c r="N393" s="147"/>
      <c r="O393" s="147"/>
      <c r="P393" s="148"/>
      <c r="Q393" s="90"/>
      <c r="R393" s="91"/>
    </row>
    <row r="394" ht="15.75" customHeight="1">
      <c r="A394" s="90"/>
      <c r="B394" s="90"/>
      <c r="C394" s="144"/>
      <c r="D394" s="145"/>
      <c r="E394" s="90"/>
      <c r="F394" s="90"/>
      <c r="G394" s="90"/>
      <c r="H394" s="90"/>
      <c r="I394" s="90"/>
      <c r="J394" s="90"/>
      <c r="K394" s="90"/>
      <c r="L394" s="90"/>
      <c r="M394" s="146"/>
      <c r="N394" s="147"/>
      <c r="O394" s="147"/>
      <c r="P394" s="148"/>
      <c r="Q394" s="90"/>
      <c r="R394" s="91"/>
    </row>
    <row r="395" ht="15.75" customHeight="1">
      <c r="A395" s="90"/>
      <c r="B395" s="90"/>
      <c r="C395" s="144"/>
      <c r="D395" s="145"/>
      <c r="E395" s="90"/>
      <c r="F395" s="90"/>
      <c r="G395" s="90"/>
      <c r="H395" s="90"/>
      <c r="I395" s="90"/>
      <c r="J395" s="90"/>
      <c r="K395" s="90"/>
      <c r="L395" s="90"/>
      <c r="M395" s="146"/>
      <c r="N395" s="147"/>
      <c r="O395" s="147"/>
      <c r="P395" s="148"/>
      <c r="Q395" s="90"/>
      <c r="R395" s="91"/>
    </row>
    <row r="396" ht="15.75" customHeight="1">
      <c r="A396" s="90"/>
      <c r="B396" s="90"/>
      <c r="C396" s="144"/>
      <c r="D396" s="145"/>
      <c r="E396" s="90"/>
      <c r="F396" s="90"/>
      <c r="G396" s="90"/>
      <c r="H396" s="90"/>
      <c r="I396" s="90"/>
      <c r="J396" s="90"/>
      <c r="K396" s="90"/>
      <c r="L396" s="90"/>
      <c r="M396" s="146"/>
      <c r="N396" s="147"/>
      <c r="O396" s="147"/>
      <c r="P396" s="148"/>
      <c r="Q396" s="90"/>
      <c r="R396" s="91"/>
    </row>
    <row r="397" ht="15.75" customHeight="1">
      <c r="A397" s="90"/>
      <c r="B397" s="90"/>
      <c r="C397" s="144"/>
      <c r="D397" s="145"/>
      <c r="E397" s="90"/>
      <c r="F397" s="90"/>
      <c r="G397" s="90"/>
      <c r="H397" s="90"/>
      <c r="I397" s="90"/>
      <c r="J397" s="90"/>
      <c r="K397" s="90"/>
      <c r="L397" s="90"/>
      <c r="M397" s="146"/>
      <c r="N397" s="147"/>
      <c r="O397" s="147"/>
      <c r="P397" s="148"/>
      <c r="Q397" s="90"/>
      <c r="R397" s="91"/>
    </row>
    <row r="398" ht="15.75" customHeight="1">
      <c r="A398" s="90"/>
      <c r="B398" s="90"/>
      <c r="C398" s="144"/>
      <c r="D398" s="145"/>
      <c r="E398" s="90"/>
      <c r="F398" s="90"/>
      <c r="G398" s="90"/>
      <c r="H398" s="90"/>
      <c r="I398" s="90"/>
      <c r="J398" s="90"/>
      <c r="K398" s="90"/>
      <c r="L398" s="90"/>
      <c r="M398" s="146"/>
      <c r="N398" s="147"/>
      <c r="O398" s="147"/>
      <c r="P398" s="148"/>
      <c r="Q398" s="90"/>
      <c r="R398" s="91"/>
    </row>
    <row r="399" ht="15.75" customHeight="1">
      <c r="A399" s="90"/>
      <c r="B399" s="90"/>
      <c r="C399" s="144"/>
      <c r="D399" s="145"/>
      <c r="E399" s="90"/>
      <c r="F399" s="90"/>
      <c r="G399" s="90"/>
      <c r="H399" s="90"/>
      <c r="I399" s="90"/>
      <c r="J399" s="90"/>
      <c r="K399" s="90"/>
      <c r="L399" s="90"/>
      <c r="M399" s="146"/>
      <c r="N399" s="147"/>
      <c r="O399" s="147"/>
      <c r="P399" s="148"/>
      <c r="Q399" s="90"/>
      <c r="R399" s="91"/>
    </row>
    <row r="400" ht="15.75" customHeight="1">
      <c r="A400" s="90"/>
      <c r="B400" s="90"/>
      <c r="C400" s="144"/>
      <c r="D400" s="145"/>
      <c r="E400" s="90"/>
      <c r="F400" s="90"/>
      <c r="G400" s="90"/>
      <c r="H400" s="90"/>
      <c r="I400" s="90"/>
      <c r="J400" s="90"/>
      <c r="K400" s="90"/>
      <c r="L400" s="90"/>
      <c r="M400" s="146"/>
      <c r="N400" s="147"/>
      <c r="O400" s="147"/>
      <c r="P400" s="148"/>
      <c r="Q400" s="90"/>
      <c r="R400" s="91"/>
    </row>
    <row r="401" ht="15.75" customHeight="1">
      <c r="A401" s="90"/>
      <c r="B401" s="90"/>
      <c r="C401" s="144"/>
      <c r="D401" s="145"/>
      <c r="E401" s="90"/>
      <c r="F401" s="90"/>
      <c r="G401" s="90"/>
      <c r="H401" s="90"/>
      <c r="I401" s="90"/>
      <c r="J401" s="90"/>
      <c r="K401" s="90"/>
      <c r="L401" s="90"/>
      <c r="M401" s="146"/>
      <c r="N401" s="147"/>
      <c r="O401" s="147"/>
      <c r="P401" s="148"/>
      <c r="Q401" s="90"/>
      <c r="R401" s="91"/>
    </row>
    <row r="402" ht="15.75" customHeight="1">
      <c r="A402" s="90"/>
      <c r="B402" s="90"/>
      <c r="C402" s="144"/>
      <c r="D402" s="145"/>
      <c r="E402" s="90"/>
      <c r="F402" s="90"/>
      <c r="G402" s="90"/>
      <c r="H402" s="90"/>
      <c r="I402" s="90"/>
      <c r="J402" s="90"/>
      <c r="K402" s="90"/>
      <c r="L402" s="90"/>
      <c r="M402" s="146"/>
      <c r="N402" s="147"/>
      <c r="O402" s="147"/>
      <c r="P402" s="148"/>
      <c r="Q402" s="90"/>
      <c r="R402" s="91"/>
    </row>
    <row r="403" ht="15.75" customHeight="1">
      <c r="A403" s="90"/>
      <c r="B403" s="90"/>
      <c r="C403" s="144"/>
      <c r="D403" s="145"/>
      <c r="E403" s="90"/>
      <c r="F403" s="90"/>
      <c r="G403" s="90"/>
      <c r="H403" s="90"/>
      <c r="I403" s="90"/>
      <c r="J403" s="90"/>
      <c r="K403" s="90"/>
      <c r="L403" s="90"/>
      <c r="M403" s="146"/>
      <c r="N403" s="147"/>
      <c r="O403" s="147"/>
      <c r="P403" s="148"/>
      <c r="Q403" s="90"/>
      <c r="R403" s="91"/>
    </row>
    <row r="404" ht="15.75" customHeight="1">
      <c r="A404" s="90"/>
      <c r="B404" s="90"/>
      <c r="C404" s="144"/>
      <c r="D404" s="145"/>
      <c r="E404" s="90"/>
      <c r="F404" s="90"/>
      <c r="G404" s="90"/>
      <c r="H404" s="90"/>
      <c r="I404" s="90"/>
      <c r="J404" s="90"/>
      <c r="K404" s="90"/>
      <c r="L404" s="90"/>
      <c r="M404" s="146"/>
      <c r="N404" s="147"/>
      <c r="O404" s="147"/>
      <c r="P404" s="148"/>
      <c r="Q404" s="90"/>
      <c r="R404" s="91"/>
    </row>
    <row r="405" ht="15.75" customHeight="1">
      <c r="A405" s="90"/>
      <c r="B405" s="90"/>
      <c r="C405" s="144"/>
      <c r="D405" s="145"/>
      <c r="E405" s="90"/>
      <c r="F405" s="90"/>
      <c r="G405" s="90"/>
      <c r="H405" s="90"/>
      <c r="I405" s="90"/>
      <c r="J405" s="90"/>
      <c r="K405" s="90"/>
      <c r="L405" s="90"/>
      <c r="M405" s="146"/>
      <c r="N405" s="147"/>
      <c r="O405" s="147"/>
      <c r="P405" s="148"/>
      <c r="Q405" s="90"/>
      <c r="R405" s="91"/>
    </row>
    <row r="406" ht="15.75" customHeight="1">
      <c r="A406" s="90"/>
      <c r="B406" s="90"/>
      <c r="C406" s="144"/>
      <c r="D406" s="145"/>
      <c r="E406" s="90"/>
      <c r="F406" s="90"/>
      <c r="G406" s="90"/>
      <c r="H406" s="90"/>
      <c r="I406" s="90"/>
      <c r="J406" s="90"/>
      <c r="K406" s="90"/>
      <c r="L406" s="90"/>
      <c r="M406" s="146"/>
      <c r="N406" s="147"/>
      <c r="O406" s="147"/>
      <c r="P406" s="148"/>
      <c r="Q406" s="90"/>
      <c r="R406" s="91"/>
    </row>
    <row r="407" ht="15.75" customHeight="1">
      <c r="A407" s="90"/>
      <c r="B407" s="90"/>
      <c r="C407" s="144"/>
      <c r="D407" s="145"/>
      <c r="E407" s="90"/>
      <c r="F407" s="90"/>
      <c r="G407" s="90"/>
      <c r="H407" s="90"/>
      <c r="I407" s="90"/>
      <c r="J407" s="90"/>
      <c r="K407" s="90"/>
      <c r="L407" s="90"/>
      <c r="M407" s="146"/>
      <c r="N407" s="147"/>
      <c r="O407" s="147"/>
      <c r="P407" s="148"/>
      <c r="Q407" s="90"/>
      <c r="R407" s="91"/>
    </row>
    <row r="408" ht="15.75" customHeight="1">
      <c r="A408" s="90"/>
      <c r="B408" s="90"/>
      <c r="C408" s="144"/>
      <c r="D408" s="145"/>
      <c r="E408" s="90"/>
      <c r="F408" s="90"/>
      <c r="G408" s="90"/>
      <c r="H408" s="90"/>
      <c r="I408" s="90"/>
      <c r="J408" s="90"/>
      <c r="K408" s="90"/>
      <c r="L408" s="90"/>
      <c r="M408" s="146"/>
      <c r="N408" s="147"/>
      <c r="O408" s="147"/>
      <c r="P408" s="148"/>
      <c r="Q408" s="90"/>
      <c r="R408" s="91"/>
    </row>
    <row r="409" ht="15.75" customHeight="1">
      <c r="A409" s="90"/>
      <c r="B409" s="90"/>
      <c r="C409" s="144"/>
      <c r="D409" s="145"/>
      <c r="E409" s="90"/>
      <c r="F409" s="90"/>
      <c r="G409" s="90"/>
      <c r="H409" s="90"/>
      <c r="I409" s="90"/>
      <c r="J409" s="90"/>
      <c r="K409" s="90"/>
      <c r="L409" s="90"/>
      <c r="M409" s="146"/>
      <c r="N409" s="147"/>
      <c r="O409" s="147"/>
      <c r="P409" s="148"/>
      <c r="Q409" s="90"/>
      <c r="R409" s="91"/>
    </row>
    <row r="410" ht="15.75" customHeight="1">
      <c r="A410" s="90"/>
      <c r="B410" s="90"/>
      <c r="C410" s="144"/>
      <c r="D410" s="145"/>
      <c r="E410" s="90"/>
      <c r="F410" s="90"/>
      <c r="G410" s="90"/>
      <c r="H410" s="90"/>
      <c r="I410" s="90"/>
      <c r="J410" s="90"/>
      <c r="K410" s="90"/>
      <c r="L410" s="90"/>
      <c r="M410" s="146"/>
      <c r="N410" s="147"/>
      <c r="O410" s="147"/>
      <c r="P410" s="148"/>
      <c r="Q410" s="90"/>
      <c r="R410" s="91"/>
    </row>
    <row r="411" ht="15.75" customHeight="1">
      <c r="A411" s="90"/>
      <c r="B411" s="90"/>
      <c r="C411" s="144"/>
      <c r="D411" s="145"/>
      <c r="E411" s="90"/>
      <c r="F411" s="90"/>
      <c r="G411" s="90"/>
      <c r="H411" s="90"/>
      <c r="I411" s="90"/>
      <c r="J411" s="90"/>
      <c r="K411" s="90"/>
      <c r="L411" s="90"/>
      <c r="M411" s="146"/>
      <c r="N411" s="147"/>
      <c r="O411" s="147"/>
      <c r="P411" s="148"/>
      <c r="Q411" s="90"/>
      <c r="R411" s="91"/>
    </row>
    <row r="412" ht="15.75" customHeight="1">
      <c r="A412" s="90"/>
      <c r="B412" s="90"/>
      <c r="C412" s="144"/>
      <c r="D412" s="145"/>
      <c r="E412" s="90"/>
      <c r="F412" s="90"/>
      <c r="G412" s="90"/>
      <c r="H412" s="90"/>
      <c r="I412" s="90"/>
      <c r="J412" s="90"/>
      <c r="K412" s="90"/>
      <c r="L412" s="90"/>
      <c r="M412" s="146"/>
      <c r="N412" s="147"/>
      <c r="O412" s="147"/>
      <c r="P412" s="148"/>
      <c r="Q412" s="90"/>
      <c r="R412" s="91"/>
    </row>
    <row r="413" ht="15.75" customHeight="1">
      <c r="A413" s="90"/>
      <c r="B413" s="90"/>
      <c r="C413" s="144"/>
      <c r="D413" s="145"/>
      <c r="E413" s="90"/>
      <c r="F413" s="90"/>
      <c r="G413" s="90"/>
      <c r="H413" s="90"/>
      <c r="I413" s="90"/>
      <c r="J413" s="90"/>
      <c r="K413" s="90"/>
      <c r="L413" s="90"/>
      <c r="M413" s="146"/>
      <c r="N413" s="147"/>
      <c r="O413" s="147"/>
      <c r="P413" s="148"/>
      <c r="Q413" s="90"/>
      <c r="R413" s="91"/>
    </row>
    <row r="414" ht="15.75" customHeight="1">
      <c r="A414" s="90"/>
      <c r="B414" s="90"/>
      <c r="C414" s="144"/>
      <c r="D414" s="145"/>
      <c r="E414" s="90"/>
      <c r="F414" s="90"/>
      <c r="G414" s="90"/>
      <c r="H414" s="90"/>
      <c r="I414" s="90"/>
      <c r="J414" s="90"/>
      <c r="K414" s="90"/>
      <c r="L414" s="90"/>
      <c r="M414" s="146"/>
      <c r="N414" s="147"/>
      <c r="O414" s="147"/>
      <c r="P414" s="148"/>
      <c r="Q414" s="90"/>
      <c r="R414" s="91"/>
    </row>
    <row r="415" ht="15.75" customHeight="1">
      <c r="A415" s="90"/>
      <c r="B415" s="90"/>
      <c r="C415" s="144"/>
      <c r="D415" s="145"/>
      <c r="E415" s="90"/>
      <c r="F415" s="90"/>
      <c r="G415" s="90"/>
      <c r="H415" s="90"/>
      <c r="I415" s="90"/>
      <c r="J415" s="90"/>
      <c r="K415" s="90"/>
      <c r="L415" s="90"/>
      <c r="M415" s="146"/>
      <c r="N415" s="147"/>
      <c r="O415" s="147"/>
      <c r="P415" s="148"/>
      <c r="Q415" s="90"/>
      <c r="R415" s="91"/>
    </row>
    <row r="416" ht="15.75" customHeight="1">
      <c r="A416" s="90"/>
      <c r="B416" s="90"/>
      <c r="C416" s="144"/>
      <c r="D416" s="145"/>
      <c r="E416" s="90"/>
      <c r="F416" s="90"/>
      <c r="G416" s="90"/>
      <c r="H416" s="90"/>
      <c r="I416" s="90"/>
      <c r="J416" s="90"/>
      <c r="K416" s="90"/>
      <c r="L416" s="90"/>
      <c r="M416" s="146"/>
      <c r="N416" s="147"/>
      <c r="O416" s="147"/>
      <c r="P416" s="148"/>
      <c r="Q416" s="90"/>
      <c r="R416" s="91"/>
    </row>
    <row r="417" ht="15.75" customHeight="1">
      <c r="A417" s="90"/>
      <c r="B417" s="90"/>
      <c r="C417" s="144"/>
      <c r="D417" s="145"/>
      <c r="E417" s="90"/>
      <c r="F417" s="90"/>
      <c r="G417" s="90"/>
      <c r="H417" s="90"/>
      <c r="I417" s="90"/>
      <c r="J417" s="90"/>
      <c r="K417" s="90"/>
      <c r="L417" s="90"/>
      <c r="M417" s="146"/>
      <c r="N417" s="147"/>
      <c r="O417" s="147"/>
      <c r="P417" s="148"/>
      <c r="Q417" s="90"/>
      <c r="R417" s="91"/>
    </row>
    <row r="418" ht="15.75" customHeight="1">
      <c r="A418" s="90"/>
      <c r="B418" s="90"/>
      <c r="C418" s="144"/>
      <c r="D418" s="145"/>
      <c r="E418" s="90"/>
      <c r="F418" s="90"/>
      <c r="G418" s="90"/>
      <c r="H418" s="90"/>
      <c r="I418" s="90"/>
      <c r="J418" s="90"/>
      <c r="K418" s="90"/>
      <c r="L418" s="90"/>
      <c r="M418" s="146"/>
      <c r="N418" s="147"/>
      <c r="O418" s="147"/>
      <c r="P418" s="148"/>
      <c r="Q418" s="90"/>
      <c r="R418" s="91"/>
    </row>
    <row r="419" ht="15.75" customHeight="1">
      <c r="A419" s="90"/>
      <c r="B419" s="90"/>
      <c r="C419" s="144"/>
      <c r="D419" s="145"/>
      <c r="E419" s="90"/>
      <c r="F419" s="90"/>
      <c r="G419" s="90"/>
      <c r="H419" s="90"/>
      <c r="I419" s="90"/>
      <c r="J419" s="90"/>
      <c r="K419" s="90"/>
      <c r="L419" s="90"/>
      <c r="M419" s="146"/>
      <c r="N419" s="147"/>
      <c r="O419" s="147"/>
      <c r="P419" s="148"/>
      <c r="Q419" s="90"/>
      <c r="R419" s="91"/>
    </row>
    <row r="420" ht="15.75" customHeight="1">
      <c r="A420" s="90"/>
      <c r="B420" s="90"/>
      <c r="C420" s="144"/>
      <c r="D420" s="145"/>
      <c r="E420" s="90"/>
      <c r="F420" s="90"/>
      <c r="G420" s="90"/>
      <c r="H420" s="90"/>
      <c r="I420" s="90"/>
      <c r="J420" s="90"/>
      <c r="K420" s="90"/>
      <c r="L420" s="90"/>
      <c r="M420" s="146"/>
      <c r="N420" s="147"/>
      <c r="O420" s="147"/>
      <c r="P420" s="148"/>
      <c r="Q420" s="90"/>
      <c r="R420" s="91"/>
    </row>
    <row r="421" ht="15.75" customHeight="1">
      <c r="A421" s="90"/>
      <c r="B421" s="90"/>
      <c r="C421" s="144"/>
      <c r="D421" s="145"/>
      <c r="E421" s="90"/>
      <c r="F421" s="90"/>
      <c r="G421" s="90"/>
      <c r="H421" s="90"/>
      <c r="I421" s="90"/>
      <c r="J421" s="90"/>
      <c r="K421" s="90"/>
      <c r="L421" s="90"/>
      <c r="M421" s="146"/>
      <c r="N421" s="147"/>
      <c r="O421" s="147"/>
      <c r="P421" s="148"/>
      <c r="Q421" s="90"/>
      <c r="R421" s="91"/>
    </row>
    <row r="422" ht="15.75" customHeight="1">
      <c r="A422" s="90"/>
      <c r="B422" s="90"/>
      <c r="C422" s="144"/>
      <c r="D422" s="145"/>
      <c r="E422" s="90"/>
      <c r="F422" s="90"/>
      <c r="G422" s="90"/>
      <c r="H422" s="90"/>
      <c r="I422" s="90"/>
      <c r="J422" s="90"/>
      <c r="K422" s="90"/>
      <c r="L422" s="90"/>
      <c r="M422" s="146"/>
      <c r="N422" s="147"/>
      <c r="O422" s="147"/>
      <c r="P422" s="148"/>
      <c r="Q422" s="90"/>
      <c r="R422" s="91"/>
    </row>
    <row r="423" ht="15.75" customHeight="1">
      <c r="A423" s="90"/>
      <c r="B423" s="90"/>
      <c r="C423" s="144"/>
      <c r="D423" s="145"/>
      <c r="E423" s="90"/>
      <c r="F423" s="90"/>
      <c r="G423" s="90"/>
      <c r="H423" s="90"/>
      <c r="I423" s="90"/>
      <c r="J423" s="90"/>
      <c r="K423" s="90"/>
      <c r="L423" s="90"/>
      <c r="M423" s="146"/>
      <c r="N423" s="147"/>
      <c r="O423" s="147"/>
      <c r="P423" s="148"/>
      <c r="Q423" s="90"/>
      <c r="R423" s="91"/>
    </row>
    <row r="424" ht="15.75" customHeight="1">
      <c r="A424" s="90"/>
      <c r="B424" s="90"/>
      <c r="C424" s="144"/>
      <c r="D424" s="145"/>
      <c r="E424" s="90"/>
      <c r="F424" s="90"/>
      <c r="G424" s="90"/>
      <c r="H424" s="90"/>
      <c r="I424" s="90"/>
      <c r="J424" s="90"/>
      <c r="K424" s="90"/>
      <c r="L424" s="90"/>
      <c r="M424" s="146"/>
      <c r="N424" s="147"/>
      <c r="O424" s="147"/>
      <c r="P424" s="148"/>
      <c r="Q424" s="90"/>
      <c r="R424" s="91"/>
    </row>
    <row r="425" ht="15.75" customHeight="1">
      <c r="A425" s="90"/>
      <c r="B425" s="90"/>
      <c r="C425" s="144"/>
      <c r="D425" s="145"/>
      <c r="E425" s="90"/>
      <c r="F425" s="90"/>
      <c r="G425" s="90"/>
      <c r="H425" s="90"/>
      <c r="I425" s="90"/>
      <c r="J425" s="90"/>
      <c r="K425" s="90"/>
      <c r="L425" s="90"/>
      <c r="M425" s="146"/>
      <c r="N425" s="147"/>
      <c r="O425" s="147"/>
      <c r="P425" s="148"/>
      <c r="Q425" s="90"/>
      <c r="R425" s="91"/>
    </row>
    <row r="426" ht="15.75" customHeight="1">
      <c r="A426" s="90"/>
      <c r="B426" s="90"/>
      <c r="C426" s="144"/>
      <c r="D426" s="145"/>
      <c r="E426" s="90"/>
      <c r="F426" s="90"/>
      <c r="G426" s="90"/>
      <c r="H426" s="90"/>
      <c r="I426" s="90"/>
      <c r="J426" s="90"/>
      <c r="K426" s="90"/>
      <c r="L426" s="90"/>
      <c r="M426" s="146"/>
      <c r="N426" s="147"/>
      <c r="O426" s="147"/>
      <c r="P426" s="148"/>
      <c r="Q426" s="90"/>
      <c r="R426" s="91"/>
    </row>
    <row r="427" ht="15.75" customHeight="1">
      <c r="A427" s="90"/>
      <c r="B427" s="90"/>
      <c r="C427" s="144"/>
      <c r="D427" s="145"/>
      <c r="E427" s="90"/>
      <c r="F427" s="90"/>
      <c r="G427" s="90"/>
      <c r="H427" s="90"/>
      <c r="I427" s="90"/>
      <c r="J427" s="90"/>
      <c r="K427" s="90"/>
      <c r="L427" s="90"/>
      <c r="M427" s="146"/>
      <c r="N427" s="147"/>
      <c r="O427" s="147"/>
      <c r="P427" s="148"/>
      <c r="Q427" s="90"/>
      <c r="R427" s="91"/>
    </row>
    <row r="428" ht="15.75" customHeight="1">
      <c r="A428" s="90"/>
      <c r="B428" s="90"/>
      <c r="C428" s="144"/>
      <c r="D428" s="145"/>
      <c r="E428" s="90"/>
      <c r="F428" s="90"/>
      <c r="G428" s="90"/>
      <c r="H428" s="90"/>
      <c r="I428" s="90"/>
      <c r="J428" s="90"/>
      <c r="K428" s="90"/>
      <c r="L428" s="90"/>
      <c r="M428" s="146"/>
      <c r="N428" s="147"/>
      <c r="O428" s="147"/>
      <c r="P428" s="148"/>
      <c r="Q428" s="90"/>
      <c r="R428" s="91"/>
    </row>
    <row r="429" ht="15.75" customHeight="1">
      <c r="A429" s="90"/>
      <c r="B429" s="90"/>
      <c r="C429" s="144"/>
      <c r="D429" s="145"/>
      <c r="E429" s="90"/>
      <c r="F429" s="90"/>
      <c r="G429" s="90"/>
      <c r="H429" s="90"/>
      <c r="I429" s="90"/>
      <c r="J429" s="90"/>
      <c r="K429" s="90"/>
      <c r="L429" s="90"/>
      <c r="M429" s="146"/>
      <c r="N429" s="147"/>
      <c r="O429" s="147"/>
      <c r="P429" s="148"/>
      <c r="Q429" s="90"/>
      <c r="R429" s="91"/>
    </row>
    <row r="430" ht="15.75" customHeight="1">
      <c r="A430" s="90"/>
      <c r="B430" s="90"/>
      <c r="C430" s="144"/>
      <c r="D430" s="145"/>
      <c r="E430" s="90"/>
      <c r="F430" s="90"/>
      <c r="G430" s="90"/>
      <c r="H430" s="90"/>
      <c r="I430" s="90"/>
      <c r="J430" s="90"/>
      <c r="K430" s="90"/>
      <c r="L430" s="90"/>
      <c r="M430" s="146"/>
      <c r="N430" s="147"/>
      <c r="O430" s="147"/>
      <c r="P430" s="148"/>
      <c r="Q430" s="90"/>
      <c r="R430" s="91"/>
    </row>
    <row r="431" ht="15.75" customHeight="1">
      <c r="A431" s="90"/>
      <c r="B431" s="90"/>
      <c r="C431" s="144"/>
      <c r="D431" s="145"/>
      <c r="E431" s="90"/>
      <c r="F431" s="90"/>
      <c r="G431" s="90"/>
      <c r="H431" s="90"/>
      <c r="I431" s="90"/>
      <c r="J431" s="90"/>
      <c r="K431" s="90"/>
      <c r="L431" s="90"/>
      <c r="M431" s="146"/>
      <c r="N431" s="147"/>
      <c r="O431" s="147"/>
      <c r="P431" s="148"/>
      <c r="Q431" s="90"/>
      <c r="R431" s="91"/>
    </row>
    <row r="432" ht="15.75" customHeight="1">
      <c r="A432" s="90"/>
      <c r="B432" s="90"/>
      <c r="C432" s="144"/>
      <c r="D432" s="145"/>
      <c r="E432" s="90"/>
      <c r="F432" s="90"/>
      <c r="G432" s="90"/>
      <c r="H432" s="90"/>
      <c r="I432" s="90"/>
      <c r="J432" s="90"/>
      <c r="K432" s="90"/>
      <c r="L432" s="90"/>
      <c r="M432" s="146"/>
      <c r="N432" s="147"/>
      <c r="O432" s="147"/>
      <c r="P432" s="148"/>
      <c r="Q432" s="90"/>
      <c r="R432" s="91"/>
    </row>
    <row r="433" ht="15.75" customHeight="1">
      <c r="A433" s="90"/>
      <c r="B433" s="90"/>
      <c r="C433" s="144"/>
      <c r="D433" s="145"/>
      <c r="E433" s="90"/>
      <c r="F433" s="90"/>
      <c r="G433" s="90"/>
      <c r="H433" s="90"/>
      <c r="I433" s="90"/>
      <c r="J433" s="90"/>
      <c r="K433" s="90"/>
      <c r="L433" s="90"/>
      <c r="M433" s="146"/>
      <c r="N433" s="147"/>
      <c r="O433" s="147"/>
      <c r="P433" s="148"/>
      <c r="Q433" s="90"/>
      <c r="R433" s="91"/>
    </row>
    <row r="434" ht="15.75" customHeight="1">
      <c r="A434" s="90"/>
      <c r="B434" s="90"/>
      <c r="C434" s="144"/>
      <c r="D434" s="145"/>
      <c r="E434" s="90"/>
      <c r="F434" s="90"/>
      <c r="G434" s="90"/>
      <c r="H434" s="90"/>
      <c r="I434" s="90"/>
      <c r="J434" s="90"/>
      <c r="K434" s="90"/>
      <c r="L434" s="90"/>
      <c r="M434" s="146"/>
      <c r="N434" s="147"/>
      <c r="O434" s="147"/>
      <c r="P434" s="148"/>
      <c r="Q434" s="90"/>
      <c r="R434" s="91"/>
    </row>
    <row r="435" ht="15.75" customHeight="1">
      <c r="A435" s="90"/>
      <c r="B435" s="90"/>
      <c r="C435" s="144"/>
      <c r="D435" s="145"/>
      <c r="E435" s="90"/>
      <c r="F435" s="90"/>
      <c r="G435" s="90"/>
      <c r="H435" s="90"/>
      <c r="I435" s="90"/>
      <c r="J435" s="90"/>
      <c r="K435" s="90"/>
      <c r="L435" s="90"/>
      <c r="M435" s="146"/>
      <c r="N435" s="147"/>
      <c r="O435" s="147"/>
      <c r="P435" s="148"/>
      <c r="Q435" s="90"/>
      <c r="R435" s="91"/>
    </row>
    <row r="436" ht="15.75" customHeight="1">
      <c r="A436" s="90"/>
      <c r="B436" s="90"/>
      <c r="C436" s="144"/>
      <c r="D436" s="145"/>
      <c r="E436" s="90"/>
      <c r="F436" s="90"/>
      <c r="G436" s="90"/>
      <c r="H436" s="90"/>
      <c r="I436" s="90"/>
      <c r="J436" s="90"/>
      <c r="K436" s="90"/>
      <c r="L436" s="90"/>
      <c r="M436" s="146"/>
      <c r="N436" s="147"/>
      <c r="O436" s="147"/>
      <c r="P436" s="148"/>
      <c r="Q436" s="90"/>
      <c r="R436" s="91"/>
    </row>
    <row r="437" ht="15.75" customHeight="1">
      <c r="A437" s="90"/>
      <c r="B437" s="90"/>
      <c r="C437" s="144"/>
      <c r="D437" s="145"/>
      <c r="E437" s="90"/>
      <c r="F437" s="90"/>
      <c r="G437" s="90"/>
      <c r="H437" s="90"/>
      <c r="I437" s="90"/>
      <c r="J437" s="90"/>
      <c r="K437" s="90"/>
      <c r="L437" s="90"/>
      <c r="M437" s="146"/>
      <c r="N437" s="147"/>
      <c r="O437" s="147"/>
      <c r="P437" s="148"/>
      <c r="Q437" s="90"/>
      <c r="R437" s="91"/>
    </row>
    <row r="438" ht="15.75" customHeight="1">
      <c r="A438" s="90"/>
      <c r="B438" s="90"/>
      <c r="C438" s="144"/>
      <c r="D438" s="145"/>
      <c r="E438" s="90"/>
      <c r="F438" s="90"/>
      <c r="G438" s="90"/>
      <c r="H438" s="90"/>
      <c r="I438" s="90"/>
      <c r="J438" s="90"/>
      <c r="K438" s="90"/>
      <c r="L438" s="90"/>
      <c r="M438" s="146"/>
      <c r="N438" s="147"/>
      <c r="O438" s="147"/>
      <c r="P438" s="148"/>
      <c r="Q438" s="90"/>
      <c r="R438" s="91"/>
    </row>
    <row r="439" ht="15.75" customHeight="1">
      <c r="A439" s="90"/>
      <c r="B439" s="90"/>
      <c r="C439" s="144"/>
      <c r="D439" s="145"/>
      <c r="E439" s="90"/>
      <c r="F439" s="90"/>
      <c r="G439" s="90"/>
      <c r="H439" s="90"/>
      <c r="I439" s="90"/>
      <c r="J439" s="90"/>
      <c r="K439" s="90"/>
      <c r="L439" s="90"/>
      <c r="M439" s="146"/>
      <c r="N439" s="147"/>
      <c r="O439" s="147"/>
      <c r="P439" s="148"/>
      <c r="Q439" s="90"/>
      <c r="R439" s="91"/>
    </row>
    <row r="440" ht="15.75" customHeight="1">
      <c r="A440" s="90"/>
      <c r="B440" s="90"/>
      <c r="C440" s="144"/>
      <c r="D440" s="145"/>
      <c r="E440" s="90"/>
      <c r="F440" s="90"/>
      <c r="G440" s="90"/>
      <c r="H440" s="90"/>
      <c r="I440" s="90"/>
      <c r="J440" s="90"/>
      <c r="K440" s="90"/>
      <c r="L440" s="90"/>
      <c r="M440" s="146"/>
      <c r="N440" s="147"/>
      <c r="O440" s="147"/>
      <c r="P440" s="148"/>
      <c r="Q440" s="90"/>
      <c r="R440" s="91"/>
    </row>
    <row r="441" ht="15.75" customHeight="1">
      <c r="A441" s="90"/>
      <c r="B441" s="90"/>
      <c r="C441" s="144"/>
      <c r="D441" s="145"/>
      <c r="E441" s="90"/>
      <c r="F441" s="90"/>
      <c r="G441" s="90"/>
      <c r="H441" s="90"/>
      <c r="I441" s="90"/>
      <c r="J441" s="90"/>
      <c r="K441" s="90"/>
      <c r="L441" s="90"/>
      <c r="M441" s="146"/>
      <c r="N441" s="147"/>
      <c r="O441" s="147"/>
      <c r="P441" s="148"/>
      <c r="Q441" s="90"/>
      <c r="R441" s="91"/>
    </row>
    <row r="442" ht="15.75" customHeight="1">
      <c r="A442" s="90"/>
      <c r="B442" s="90"/>
      <c r="C442" s="144"/>
      <c r="D442" s="145"/>
      <c r="E442" s="90"/>
      <c r="F442" s="90"/>
      <c r="G442" s="90"/>
      <c r="H442" s="90"/>
      <c r="I442" s="90"/>
      <c r="J442" s="90"/>
      <c r="K442" s="90"/>
      <c r="L442" s="90"/>
      <c r="M442" s="146"/>
      <c r="N442" s="147"/>
      <c r="O442" s="147"/>
      <c r="P442" s="148"/>
      <c r="Q442" s="90"/>
      <c r="R442" s="91"/>
    </row>
    <row r="443" ht="15.75" customHeight="1">
      <c r="A443" s="90"/>
      <c r="B443" s="90"/>
      <c r="C443" s="144"/>
      <c r="D443" s="145"/>
      <c r="E443" s="90"/>
      <c r="F443" s="90"/>
      <c r="G443" s="90"/>
      <c r="H443" s="90"/>
      <c r="I443" s="90"/>
      <c r="J443" s="90"/>
      <c r="K443" s="90"/>
      <c r="L443" s="90"/>
      <c r="M443" s="146"/>
      <c r="N443" s="147"/>
      <c r="O443" s="147"/>
      <c r="P443" s="148"/>
      <c r="Q443" s="90"/>
      <c r="R443" s="91"/>
    </row>
    <row r="444" ht="15.75" customHeight="1">
      <c r="A444" s="90"/>
      <c r="B444" s="90"/>
      <c r="C444" s="144"/>
      <c r="D444" s="145"/>
      <c r="E444" s="90"/>
      <c r="F444" s="90"/>
      <c r="G444" s="90"/>
      <c r="H444" s="90"/>
      <c r="I444" s="90"/>
      <c r="J444" s="90"/>
      <c r="K444" s="90"/>
      <c r="L444" s="90"/>
      <c r="M444" s="146"/>
      <c r="N444" s="147"/>
      <c r="O444" s="147"/>
      <c r="P444" s="148"/>
      <c r="Q444" s="90"/>
      <c r="R444" s="91"/>
    </row>
    <row r="445" ht="15.75" customHeight="1">
      <c r="A445" s="90"/>
      <c r="B445" s="90"/>
      <c r="C445" s="144"/>
      <c r="D445" s="145"/>
      <c r="E445" s="90"/>
      <c r="F445" s="90"/>
      <c r="G445" s="90"/>
      <c r="H445" s="90"/>
      <c r="I445" s="90"/>
      <c r="J445" s="90"/>
      <c r="K445" s="90"/>
      <c r="L445" s="90"/>
      <c r="M445" s="146"/>
      <c r="N445" s="147"/>
      <c r="O445" s="147"/>
      <c r="P445" s="148"/>
      <c r="Q445" s="90"/>
      <c r="R445" s="91"/>
    </row>
    <row r="446" ht="15.75" customHeight="1">
      <c r="A446" s="90"/>
      <c r="B446" s="90"/>
      <c r="C446" s="144"/>
      <c r="D446" s="145"/>
      <c r="E446" s="90"/>
      <c r="F446" s="90"/>
      <c r="G446" s="90"/>
      <c r="H446" s="90"/>
      <c r="I446" s="90"/>
      <c r="J446" s="90"/>
      <c r="K446" s="90"/>
      <c r="L446" s="90"/>
      <c r="M446" s="146"/>
      <c r="N446" s="147"/>
      <c r="O446" s="147"/>
      <c r="P446" s="148"/>
      <c r="Q446" s="90"/>
      <c r="R446" s="91"/>
    </row>
    <row r="447" ht="15.75" customHeight="1">
      <c r="A447" s="90"/>
      <c r="B447" s="90"/>
      <c r="C447" s="144"/>
      <c r="D447" s="145"/>
      <c r="E447" s="90"/>
      <c r="F447" s="90"/>
      <c r="G447" s="90"/>
      <c r="H447" s="90"/>
      <c r="I447" s="90"/>
      <c r="J447" s="90"/>
      <c r="K447" s="90"/>
      <c r="L447" s="90"/>
      <c r="M447" s="146"/>
      <c r="N447" s="147"/>
      <c r="O447" s="147"/>
      <c r="P447" s="148"/>
      <c r="Q447" s="90"/>
      <c r="R447" s="91"/>
    </row>
    <row r="448" ht="15.75" customHeight="1">
      <c r="A448" s="90"/>
      <c r="B448" s="90"/>
      <c r="C448" s="144"/>
      <c r="D448" s="145"/>
      <c r="E448" s="90"/>
      <c r="F448" s="90"/>
      <c r="G448" s="90"/>
      <c r="H448" s="90"/>
      <c r="I448" s="90"/>
      <c r="J448" s="90"/>
      <c r="K448" s="90"/>
      <c r="L448" s="90"/>
      <c r="M448" s="146"/>
      <c r="N448" s="147"/>
      <c r="O448" s="147"/>
      <c r="P448" s="148"/>
      <c r="Q448" s="90"/>
      <c r="R448" s="91"/>
    </row>
    <row r="449" ht="15.75" customHeight="1">
      <c r="A449" s="90"/>
      <c r="B449" s="90"/>
      <c r="C449" s="144"/>
      <c r="D449" s="145"/>
      <c r="E449" s="90"/>
      <c r="F449" s="90"/>
      <c r="G449" s="90"/>
      <c r="H449" s="90"/>
      <c r="I449" s="90"/>
      <c r="J449" s="90"/>
      <c r="K449" s="90"/>
      <c r="L449" s="90"/>
      <c r="M449" s="146"/>
      <c r="N449" s="147"/>
      <c r="O449" s="147"/>
      <c r="P449" s="148"/>
      <c r="Q449" s="90"/>
      <c r="R449" s="91"/>
    </row>
    <row r="450" ht="15.75" customHeight="1">
      <c r="A450" s="90"/>
      <c r="B450" s="90"/>
      <c r="C450" s="144"/>
      <c r="D450" s="145"/>
      <c r="E450" s="90"/>
      <c r="F450" s="90"/>
      <c r="G450" s="90"/>
      <c r="H450" s="90"/>
      <c r="I450" s="90"/>
      <c r="J450" s="90"/>
      <c r="K450" s="90"/>
      <c r="L450" s="90"/>
      <c r="M450" s="146"/>
      <c r="N450" s="147"/>
      <c r="O450" s="147"/>
      <c r="P450" s="148"/>
      <c r="Q450" s="90"/>
      <c r="R450" s="91"/>
    </row>
    <row r="451" ht="15.75" customHeight="1">
      <c r="A451" s="90"/>
      <c r="B451" s="90"/>
      <c r="C451" s="144"/>
      <c r="D451" s="145"/>
      <c r="E451" s="90"/>
      <c r="F451" s="90"/>
      <c r="G451" s="90"/>
      <c r="H451" s="90"/>
      <c r="I451" s="90"/>
      <c r="J451" s="90"/>
      <c r="K451" s="90"/>
      <c r="L451" s="90"/>
      <c r="M451" s="146"/>
      <c r="N451" s="147"/>
      <c r="O451" s="147"/>
      <c r="P451" s="148"/>
      <c r="Q451" s="90"/>
      <c r="R451" s="91"/>
    </row>
    <row r="452" ht="15.75" customHeight="1">
      <c r="A452" s="90"/>
      <c r="B452" s="90"/>
      <c r="C452" s="144"/>
      <c r="D452" s="145"/>
      <c r="E452" s="90"/>
      <c r="F452" s="90"/>
      <c r="G452" s="90"/>
      <c r="H452" s="90"/>
      <c r="I452" s="90"/>
      <c r="J452" s="90"/>
      <c r="K452" s="90"/>
      <c r="L452" s="90"/>
      <c r="M452" s="146"/>
      <c r="N452" s="147"/>
      <c r="O452" s="147"/>
      <c r="P452" s="148"/>
      <c r="Q452" s="90"/>
      <c r="R452" s="91"/>
    </row>
    <row r="453" ht="15.75" customHeight="1">
      <c r="A453" s="90"/>
      <c r="B453" s="90"/>
      <c r="C453" s="144"/>
      <c r="D453" s="145"/>
      <c r="E453" s="90"/>
      <c r="F453" s="90"/>
      <c r="G453" s="90"/>
      <c r="H453" s="90"/>
      <c r="I453" s="90"/>
      <c r="J453" s="90"/>
      <c r="K453" s="90"/>
      <c r="L453" s="90"/>
      <c r="M453" s="146"/>
      <c r="N453" s="147"/>
      <c r="O453" s="147"/>
      <c r="P453" s="148"/>
      <c r="Q453" s="90"/>
      <c r="R453" s="91"/>
    </row>
    <row r="454" ht="15.75" customHeight="1">
      <c r="A454" s="90"/>
      <c r="B454" s="90"/>
      <c r="C454" s="144"/>
      <c r="D454" s="145"/>
      <c r="E454" s="90"/>
      <c r="F454" s="90"/>
      <c r="G454" s="90"/>
      <c r="H454" s="90"/>
      <c r="I454" s="90"/>
      <c r="J454" s="90"/>
      <c r="K454" s="90"/>
      <c r="L454" s="90"/>
      <c r="M454" s="146"/>
      <c r="N454" s="147"/>
      <c r="O454" s="147"/>
      <c r="P454" s="148"/>
      <c r="Q454" s="90"/>
      <c r="R454" s="91"/>
    </row>
    <row r="455" ht="15.75" customHeight="1">
      <c r="A455" s="90"/>
      <c r="B455" s="90"/>
      <c r="C455" s="144"/>
      <c r="D455" s="145"/>
      <c r="E455" s="90"/>
      <c r="F455" s="90"/>
      <c r="G455" s="90"/>
      <c r="H455" s="90"/>
      <c r="I455" s="90"/>
      <c r="J455" s="90"/>
      <c r="K455" s="90"/>
      <c r="L455" s="90"/>
      <c r="M455" s="146"/>
      <c r="N455" s="147"/>
      <c r="O455" s="147"/>
      <c r="P455" s="148"/>
      <c r="Q455" s="90"/>
      <c r="R455" s="91"/>
    </row>
    <row r="456" ht="15.75" customHeight="1">
      <c r="A456" s="90"/>
      <c r="B456" s="90"/>
      <c r="C456" s="144"/>
      <c r="D456" s="145"/>
      <c r="E456" s="90"/>
      <c r="F456" s="90"/>
      <c r="G456" s="90"/>
      <c r="H456" s="90"/>
      <c r="I456" s="90"/>
      <c r="J456" s="90"/>
      <c r="K456" s="90"/>
      <c r="L456" s="90"/>
      <c r="M456" s="146"/>
      <c r="N456" s="147"/>
      <c r="O456" s="147"/>
      <c r="P456" s="148"/>
      <c r="Q456" s="90"/>
      <c r="R456" s="91"/>
    </row>
    <row r="457" ht="15.75" customHeight="1">
      <c r="A457" s="90"/>
      <c r="B457" s="90"/>
      <c r="C457" s="144"/>
      <c r="D457" s="145"/>
      <c r="E457" s="90"/>
      <c r="F457" s="90"/>
      <c r="G457" s="90"/>
      <c r="H457" s="90"/>
      <c r="I457" s="90"/>
      <c r="J457" s="90"/>
      <c r="K457" s="90"/>
      <c r="L457" s="90"/>
      <c r="M457" s="146"/>
      <c r="N457" s="147"/>
      <c r="O457" s="147"/>
      <c r="P457" s="148"/>
      <c r="Q457" s="90"/>
      <c r="R457" s="91"/>
    </row>
    <row r="458" ht="15.75" customHeight="1">
      <c r="A458" s="90"/>
      <c r="B458" s="90"/>
      <c r="C458" s="144"/>
      <c r="D458" s="145"/>
      <c r="E458" s="90"/>
      <c r="F458" s="90"/>
      <c r="G458" s="90"/>
      <c r="H458" s="90"/>
      <c r="I458" s="90"/>
      <c r="J458" s="90"/>
      <c r="K458" s="90"/>
      <c r="L458" s="90"/>
      <c r="M458" s="146"/>
      <c r="N458" s="147"/>
      <c r="O458" s="147"/>
      <c r="P458" s="148"/>
      <c r="Q458" s="90"/>
      <c r="R458" s="91"/>
    </row>
    <row r="459" ht="15.75" customHeight="1">
      <c r="A459" s="90"/>
      <c r="B459" s="90"/>
      <c r="C459" s="144"/>
      <c r="D459" s="145"/>
      <c r="E459" s="90"/>
      <c r="F459" s="90"/>
      <c r="G459" s="90"/>
      <c r="H459" s="90"/>
      <c r="I459" s="90"/>
      <c r="J459" s="90"/>
      <c r="K459" s="90"/>
      <c r="L459" s="90"/>
      <c r="M459" s="146"/>
      <c r="N459" s="147"/>
      <c r="O459" s="147"/>
      <c r="P459" s="148"/>
      <c r="Q459" s="90"/>
      <c r="R459" s="91"/>
    </row>
    <row r="460" ht="15.75" customHeight="1">
      <c r="A460" s="90"/>
      <c r="B460" s="90"/>
      <c r="C460" s="144"/>
      <c r="D460" s="145"/>
      <c r="E460" s="90"/>
      <c r="F460" s="90"/>
      <c r="G460" s="90"/>
      <c r="H460" s="90"/>
      <c r="I460" s="90"/>
      <c r="J460" s="90"/>
      <c r="K460" s="90"/>
      <c r="L460" s="90"/>
      <c r="M460" s="146"/>
      <c r="N460" s="147"/>
      <c r="O460" s="147"/>
      <c r="P460" s="148"/>
      <c r="Q460" s="90"/>
      <c r="R460" s="91"/>
    </row>
    <row r="461" ht="15.75" customHeight="1">
      <c r="A461" s="90"/>
      <c r="B461" s="90"/>
      <c r="C461" s="144"/>
      <c r="D461" s="145"/>
      <c r="E461" s="90"/>
      <c r="F461" s="90"/>
      <c r="G461" s="90"/>
      <c r="H461" s="90"/>
      <c r="I461" s="90"/>
      <c r="J461" s="90"/>
      <c r="K461" s="90"/>
      <c r="L461" s="90"/>
      <c r="M461" s="146"/>
      <c r="N461" s="147"/>
      <c r="O461" s="147"/>
      <c r="P461" s="148"/>
      <c r="Q461" s="90"/>
      <c r="R461" s="91"/>
    </row>
    <row r="462" ht="15.75" customHeight="1">
      <c r="A462" s="90"/>
      <c r="B462" s="90"/>
      <c r="C462" s="144"/>
      <c r="D462" s="145"/>
      <c r="E462" s="90"/>
      <c r="F462" s="90"/>
      <c r="G462" s="90"/>
      <c r="H462" s="90"/>
      <c r="I462" s="90"/>
      <c r="J462" s="90"/>
      <c r="K462" s="90"/>
      <c r="L462" s="90"/>
      <c r="M462" s="146"/>
      <c r="N462" s="147"/>
      <c r="O462" s="147"/>
      <c r="P462" s="148"/>
      <c r="Q462" s="90"/>
      <c r="R462" s="91"/>
    </row>
    <row r="463" ht="15.75" customHeight="1">
      <c r="A463" s="90"/>
      <c r="B463" s="90"/>
      <c r="C463" s="144"/>
      <c r="D463" s="145"/>
      <c r="E463" s="90"/>
      <c r="F463" s="90"/>
      <c r="G463" s="90"/>
      <c r="H463" s="90"/>
      <c r="I463" s="90"/>
      <c r="J463" s="90"/>
      <c r="K463" s="90"/>
      <c r="L463" s="90"/>
      <c r="M463" s="146"/>
      <c r="N463" s="147"/>
      <c r="O463" s="147"/>
      <c r="P463" s="148"/>
      <c r="Q463" s="90"/>
      <c r="R463" s="91"/>
    </row>
    <row r="464" ht="15.75" customHeight="1">
      <c r="A464" s="90"/>
      <c r="B464" s="90"/>
      <c r="C464" s="144"/>
      <c r="D464" s="145"/>
      <c r="E464" s="90"/>
      <c r="F464" s="90"/>
      <c r="G464" s="90"/>
      <c r="H464" s="90"/>
      <c r="I464" s="90"/>
      <c r="J464" s="90"/>
      <c r="K464" s="90"/>
      <c r="L464" s="90"/>
      <c r="M464" s="146"/>
      <c r="N464" s="147"/>
      <c r="O464" s="147"/>
      <c r="P464" s="148"/>
      <c r="Q464" s="90"/>
      <c r="R464" s="91"/>
    </row>
    <row r="465" ht="15.75" customHeight="1">
      <c r="A465" s="90"/>
      <c r="B465" s="90"/>
      <c r="C465" s="144"/>
      <c r="D465" s="145"/>
      <c r="E465" s="90"/>
      <c r="F465" s="90"/>
      <c r="G465" s="90"/>
      <c r="H465" s="90"/>
      <c r="I465" s="90"/>
      <c r="J465" s="90"/>
      <c r="K465" s="90"/>
      <c r="L465" s="90"/>
      <c r="M465" s="146"/>
      <c r="N465" s="147"/>
      <c r="O465" s="147"/>
      <c r="P465" s="148"/>
      <c r="Q465" s="90"/>
      <c r="R465" s="91"/>
    </row>
    <row r="466" ht="15.75" customHeight="1">
      <c r="A466" s="90"/>
      <c r="B466" s="90"/>
      <c r="C466" s="144"/>
      <c r="D466" s="145"/>
      <c r="E466" s="90"/>
      <c r="F466" s="90"/>
      <c r="G466" s="90"/>
      <c r="H466" s="90"/>
      <c r="I466" s="90"/>
      <c r="J466" s="90"/>
      <c r="K466" s="90"/>
      <c r="L466" s="90"/>
      <c r="M466" s="146"/>
      <c r="N466" s="147"/>
      <c r="O466" s="147"/>
      <c r="P466" s="148"/>
      <c r="Q466" s="90"/>
      <c r="R466" s="91"/>
    </row>
    <row r="467" ht="15.75" customHeight="1">
      <c r="A467" s="90"/>
      <c r="B467" s="90"/>
      <c r="C467" s="144"/>
      <c r="D467" s="145"/>
      <c r="E467" s="90"/>
      <c r="F467" s="90"/>
      <c r="G467" s="90"/>
      <c r="H467" s="90"/>
      <c r="I467" s="90"/>
      <c r="J467" s="90"/>
      <c r="K467" s="90"/>
      <c r="L467" s="90"/>
      <c r="M467" s="146"/>
      <c r="N467" s="147"/>
      <c r="O467" s="147"/>
      <c r="P467" s="148"/>
      <c r="Q467" s="90"/>
      <c r="R467" s="91"/>
    </row>
    <row r="468" ht="15.75" customHeight="1">
      <c r="A468" s="90"/>
      <c r="B468" s="90"/>
      <c r="C468" s="144"/>
      <c r="D468" s="145"/>
      <c r="E468" s="90"/>
      <c r="F468" s="90"/>
      <c r="G468" s="90"/>
      <c r="H468" s="90"/>
      <c r="I468" s="90"/>
      <c r="J468" s="90"/>
      <c r="K468" s="90"/>
      <c r="L468" s="90"/>
      <c r="M468" s="146"/>
      <c r="N468" s="147"/>
      <c r="O468" s="147"/>
      <c r="P468" s="148"/>
      <c r="Q468" s="90"/>
      <c r="R468" s="91"/>
    </row>
    <row r="469" ht="15.75" customHeight="1">
      <c r="A469" s="90"/>
      <c r="B469" s="90"/>
      <c r="C469" s="144"/>
      <c r="D469" s="145"/>
      <c r="E469" s="90"/>
      <c r="F469" s="90"/>
      <c r="G469" s="90"/>
      <c r="H469" s="90"/>
      <c r="I469" s="90"/>
      <c r="J469" s="90"/>
      <c r="K469" s="90"/>
      <c r="L469" s="90"/>
      <c r="M469" s="146"/>
      <c r="N469" s="147"/>
      <c r="O469" s="147"/>
      <c r="P469" s="148"/>
      <c r="Q469" s="90"/>
      <c r="R469" s="91"/>
    </row>
    <row r="470" ht="15.75" customHeight="1">
      <c r="A470" s="90"/>
      <c r="B470" s="90"/>
      <c r="C470" s="144"/>
      <c r="D470" s="145"/>
      <c r="E470" s="90"/>
      <c r="F470" s="90"/>
      <c r="G470" s="90"/>
      <c r="H470" s="90"/>
      <c r="I470" s="90"/>
      <c r="J470" s="90"/>
      <c r="K470" s="90"/>
      <c r="L470" s="90"/>
      <c r="M470" s="146"/>
      <c r="N470" s="147"/>
      <c r="O470" s="147"/>
      <c r="P470" s="148"/>
      <c r="Q470" s="90"/>
      <c r="R470" s="91"/>
    </row>
    <row r="471" ht="15.75" customHeight="1">
      <c r="A471" s="90"/>
      <c r="B471" s="90"/>
      <c r="C471" s="144"/>
      <c r="D471" s="145"/>
      <c r="E471" s="90"/>
      <c r="F471" s="90"/>
      <c r="G471" s="90"/>
      <c r="H471" s="90"/>
      <c r="I471" s="90"/>
      <c r="J471" s="90"/>
      <c r="K471" s="90"/>
      <c r="L471" s="90"/>
      <c r="M471" s="146"/>
      <c r="N471" s="147"/>
      <c r="O471" s="147"/>
      <c r="P471" s="148"/>
      <c r="Q471" s="90"/>
      <c r="R471" s="91"/>
    </row>
    <row r="472" ht="15.75" customHeight="1">
      <c r="A472" s="90"/>
      <c r="B472" s="90"/>
      <c r="C472" s="144"/>
      <c r="D472" s="145"/>
      <c r="E472" s="90"/>
      <c r="F472" s="90"/>
      <c r="G472" s="90"/>
      <c r="H472" s="90"/>
      <c r="I472" s="90"/>
      <c r="J472" s="90"/>
      <c r="K472" s="90"/>
      <c r="L472" s="90"/>
      <c r="M472" s="146"/>
      <c r="N472" s="147"/>
      <c r="O472" s="147"/>
      <c r="P472" s="148"/>
      <c r="Q472" s="90"/>
      <c r="R472" s="91"/>
    </row>
    <row r="473" ht="15.75" customHeight="1">
      <c r="A473" s="90"/>
      <c r="B473" s="90"/>
      <c r="C473" s="144"/>
      <c r="D473" s="145"/>
      <c r="E473" s="90"/>
      <c r="F473" s="90"/>
      <c r="G473" s="90"/>
      <c r="H473" s="90"/>
      <c r="I473" s="90"/>
      <c r="J473" s="90"/>
      <c r="K473" s="90"/>
      <c r="L473" s="90"/>
      <c r="M473" s="146"/>
      <c r="N473" s="147"/>
      <c r="O473" s="147"/>
      <c r="P473" s="148"/>
      <c r="Q473" s="90"/>
      <c r="R473" s="91"/>
    </row>
    <row r="474" ht="15.75" customHeight="1">
      <c r="A474" s="90"/>
      <c r="B474" s="90"/>
      <c r="C474" s="144"/>
      <c r="D474" s="145"/>
      <c r="E474" s="90"/>
      <c r="F474" s="90"/>
      <c r="G474" s="90"/>
      <c r="H474" s="90"/>
      <c r="I474" s="90"/>
      <c r="J474" s="90"/>
      <c r="K474" s="90"/>
      <c r="L474" s="90"/>
      <c r="M474" s="146"/>
      <c r="N474" s="147"/>
      <c r="O474" s="147"/>
      <c r="P474" s="148"/>
      <c r="Q474" s="90"/>
      <c r="R474" s="91"/>
    </row>
    <row r="475" ht="15.75" customHeight="1">
      <c r="A475" s="90"/>
      <c r="B475" s="90"/>
      <c r="C475" s="144"/>
      <c r="D475" s="145"/>
      <c r="E475" s="90"/>
      <c r="F475" s="90"/>
      <c r="G475" s="90"/>
      <c r="H475" s="90"/>
      <c r="I475" s="90"/>
      <c r="J475" s="90"/>
      <c r="K475" s="90"/>
      <c r="L475" s="90"/>
      <c r="M475" s="146"/>
      <c r="N475" s="147"/>
      <c r="O475" s="147"/>
      <c r="P475" s="148"/>
      <c r="Q475" s="90"/>
      <c r="R475" s="91"/>
    </row>
    <row r="476" ht="15.75" customHeight="1">
      <c r="A476" s="90"/>
      <c r="B476" s="90"/>
      <c r="C476" s="144"/>
      <c r="D476" s="145"/>
      <c r="E476" s="90"/>
      <c r="F476" s="90"/>
      <c r="G476" s="90"/>
      <c r="H476" s="90"/>
      <c r="I476" s="90"/>
      <c r="J476" s="90"/>
      <c r="K476" s="90"/>
      <c r="L476" s="90"/>
      <c r="M476" s="146"/>
      <c r="N476" s="147"/>
      <c r="O476" s="147"/>
      <c r="P476" s="148"/>
      <c r="Q476" s="90"/>
      <c r="R476" s="91"/>
    </row>
    <row r="477" ht="15.75" customHeight="1">
      <c r="A477" s="90"/>
      <c r="B477" s="90"/>
      <c r="C477" s="144"/>
      <c r="D477" s="145"/>
      <c r="E477" s="90"/>
      <c r="F477" s="90"/>
      <c r="G477" s="90"/>
      <c r="H477" s="90"/>
      <c r="I477" s="90"/>
      <c r="J477" s="90"/>
      <c r="K477" s="90"/>
      <c r="L477" s="90"/>
      <c r="M477" s="146"/>
      <c r="N477" s="147"/>
      <c r="O477" s="147"/>
      <c r="P477" s="148"/>
      <c r="Q477" s="90"/>
      <c r="R477" s="91"/>
    </row>
    <row r="478" ht="15.75" customHeight="1">
      <c r="A478" s="90"/>
      <c r="B478" s="90"/>
      <c r="C478" s="144"/>
      <c r="D478" s="145"/>
      <c r="E478" s="90"/>
      <c r="F478" s="90"/>
      <c r="G478" s="90"/>
      <c r="H478" s="90"/>
      <c r="I478" s="90"/>
      <c r="J478" s="90"/>
      <c r="K478" s="90"/>
      <c r="L478" s="90"/>
      <c r="M478" s="146"/>
      <c r="N478" s="147"/>
      <c r="O478" s="147"/>
      <c r="P478" s="148"/>
      <c r="Q478" s="90"/>
      <c r="R478" s="91"/>
    </row>
    <row r="479" ht="15.75" customHeight="1">
      <c r="A479" s="90"/>
      <c r="B479" s="90"/>
      <c r="C479" s="144"/>
      <c r="D479" s="145"/>
      <c r="E479" s="90"/>
      <c r="F479" s="90"/>
      <c r="G479" s="90"/>
      <c r="H479" s="90"/>
      <c r="I479" s="90"/>
      <c r="J479" s="90"/>
      <c r="K479" s="90"/>
      <c r="L479" s="90"/>
      <c r="M479" s="146"/>
      <c r="N479" s="147"/>
      <c r="O479" s="147"/>
      <c r="P479" s="148"/>
      <c r="Q479" s="90"/>
      <c r="R479" s="91"/>
    </row>
    <row r="480" ht="15.75" customHeight="1">
      <c r="A480" s="90"/>
      <c r="B480" s="90"/>
      <c r="C480" s="144"/>
      <c r="D480" s="145"/>
      <c r="E480" s="90"/>
      <c r="F480" s="90"/>
      <c r="G480" s="90"/>
      <c r="H480" s="90"/>
      <c r="I480" s="90"/>
      <c r="J480" s="90"/>
      <c r="K480" s="90"/>
      <c r="L480" s="90"/>
      <c r="M480" s="146"/>
      <c r="N480" s="147"/>
      <c r="O480" s="147"/>
      <c r="P480" s="148"/>
      <c r="Q480" s="90"/>
      <c r="R480" s="91"/>
    </row>
    <row r="481" ht="15.75" customHeight="1">
      <c r="A481" s="90"/>
      <c r="B481" s="90"/>
      <c r="C481" s="144"/>
      <c r="D481" s="145"/>
      <c r="E481" s="90"/>
      <c r="F481" s="90"/>
      <c r="G481" s="90"/>
      <c r="H481" s="90"/>
      <c r="I481" s="90"/>
      <c r="J481" s="90"/>
      <c r="K481" s="90"/>
      <c r="L481" s="90"/>
      <c r="M481" s="146"/>
      <c r="N481" s="147"/>
      <c r="O481" s="147"/>
      <c r="P481" s="148"/>
      <c r="Q481" s="90"/>
      <c r="R481" s="91"/>
    </row>
    <row r="482" ht="15.75" customHeight="1">
      <c r="A482" s="90"/>
      <c r="B482" s="90"/>
      <c r="C482" s="144"/>
      <c r="D482" s="145"/>
      <c r="E482" s="90"/>
      <c r="F482" s="90"/>
      <c r="G482" s="90"/>
      <c r="H482" s="90"/>
      <c r="I482" s="90"/>
      <c r="J482" s="90"/>
      <c r="K482" s="90"/>
      <c r="L482" s="90"/>
      <c r="M482" s="146"/>
      <c r="N482" s="147"/>
      <c r="O482" s="147"/>
      <c r="P482" s="148"/>
      <c r="Q482" s="90"/>
      <c r="R482" s="91"/>
    </row>
    <row r="483" ht="15.75" customHeight="1">
      <c r="A483" s="90"/>
      <c r="B483" s="90"/>
      <c r="C483" s="144"/>
      <c r="D483" s="145"/>
      <c r="E483" s="90"/>
      <c r="F483" s="90"/>
      <c r="G483" s="90"/>
      <c r="H483" s="90"/>
      <c r="I483" s="90"/>
      <c r="J483" s="90"/>
      <c r="K483" s="90"/>
      <c r="L483" s="90"/>
      <c r="M483" s="146"/>
      <c r="N483" s="147"/>
      <c r="O483" s="147"/>
      <c r="P483" s="148"/>
      <c r="Q483" s="90"/>
      <c r="R483" s="91"/>
    </row>
    <row r="484" ht="15.75" customHeight="1">
      <c r="A484" s="90"/>
      <c r="B484" s="90"/>
      <c r="C484" s="144"/>
      <c r="D484" s="145"/>
      <c r="E484" s="90"/>
      <c r="F484" s="90"/>
      <c r="G484" s="90"/>
      <c r="H484" s="90"/>
      <c r="I484" s="90"/>
      <c r="J484" s="90"/>
      <c r="K484" s="90"/>
      <c r="L484" s="90"/>
      <c r="M484" s="146"/>
      <c r="N484" s="147"/>
      <c r="O484" s="147"/>
      <c r="P484" s="148"/>
      <c r="Q484" s="90"/>
      <c r="R484" s="91"/>
    </row>
    <row r="485" ht="15.75" customHeight="1">
      <c r="A485" s="90"/>
      <c r="B485" s="90"/>
      <c r="C485" s="144"/>
      <c r="D485" s="145"/>
      <c r="E485" s="90"/>
      <c r="F485" s="90"/>
      <c r="G485" s="90"/>
      <c r="H485" s="90"/>
      <c r="I485" s="90"/>
      <c r="J485" s="90"/>
      <c r="K485" s="90"/>
      <c r="L485" s="90"/>
      <c r="M485" s="146"/>
      <c r="N485" s="147"/>
      <c r="O485" s="147"/>
      <c r="P485" s="148"/>
      <c r="Q485" s="90"/>
      <c r="R485" s="91"/>
    </row>
    <row r="486" ht="15.75" customHeight="1">
      <c r="A486" s="90"/>
      <c r="B486" s="90"/>
      <c r="C486" s="144"/>
      <c r="D486" s="145"/>
      <c r="E486" s="90"/>
      <c r="F486" s="90"/>
      <c r="G486" s="90"/>
      <c r="H486" s="90"/>
      <c r="I486" s="90"/>
      <c r="J486" s="90"/>
      <c r="K486" s="90"/>
      <c r="L486" s="90"/>
      <c r="M486" s="146"/>
      <c r="N486" s="147"/>
      <c r="O486" s="147"/>
      <c r="P486" s="148"/>
      <c r="Q486" s="90"/>
      <c r="R486" s="91"/>
    </row>
    <row r="487" ht="15.75" customHeight="1">
      <c r="A487" s="90"/>
      <c r="B487" s="90"/>
      <c r="C487" s="144"/>
      <c r="D487" s="145"/>
      <c r="E487" s="90"/>
      <c r="F487" s="90"/>
      <c r="G487" s="90"/>
      <c r="H487" s="90"/>
      <c r="I487" s="90"/>
      <c r="J487" s="90"/>
      <c r="K487" s="90"/>
      <c r="L487" s="90"/>
      <c r="M487" s="146"/>
      <c r="N487" s="147"/>
      <c r="O487" s="147"/>
      <c r="P487" s="148"/>
      <c r="Q487" s="90"/>
      <c r="R487" s="91"/>
    </row>
    <row r="488" ht="15.75" customHeight="1">
      <c r="A488" s="90"/>
      <c r="B488" s="90"/>
      <c r="C488" s="144"/>
      <c r="D488" s="145"/>
      <c r="E488" s="90"/>
      <c r="F488" s="90"/>
      <c r="G488" s="90"/>
      <c r="H488" s="90"/>
      <c r="I488" s="90"/>
      <c r="J488" s="90"/>
      <c r="K488" s="90"/>
      <c r="L488" s="90"/>
      <c r="M488" s="146"/>
      <c r="N488" s="147"/>
      <c r="O488" s="147"/>
      <c r="P488" s="148"/>
      <c r="Q488" s="90"/>
      <c r="R488" s="91"/>
    </row>
    <row r="489" ht="15.75" customHeight="1">
      <c r="A489" s="90"/>
      <c r="B489" s="90"/>
      <c r="C489" s="144"/>
      <c r="D489" s="145"/>
      <c r="E489" s="90"/>
      <c r="F489" s="90"/>
      <c r="G489" s="90"/>
      <c r="H489" s="90"/>
      <c r="I489" s="90"/>
      <c r="J489" s="90"/>
      <c r="K489" s="90"/>
      <c r="L489" s="90"/>
      <c r="M489" s="146"/>
      <c r="N489" s="147"/>
      <c r="O489" s="147"/>
      <c r="P489" s="148"/>
      <c r="Q489" s="90"/>
      <c r="R489" s="91"/>
    </row>
    <row r="490" ht="15.75" customHeight="1">
      <c r="A490" s="90"/>
      <c r="B490" s="90"/>
      <c r="C490" s="144"/>
      <c r="D490" s="145"/>
      <c r="E490" s="90"/>
      <c r="F490" s="90"/>
      <c r="G490" s="90"/>
      <c r="H490" s="90"/>
      <c r="I490" s="90"/>
      <c r="J490" s="90"/>
      <c r="K490" s="90"/>
      <c r="L490" s="90"/>
      <c r="M490" s="146"/>
      <c r="N490" s="147"/>
      <c r="O490" s="147"/>
      <c r="P490" s="148"/>
      <c r="Q490" s="90"/>
      <c r="R490" s="91"/>
    </row>
    <row r="491" ht="15.75" customHeight="1">
      <c r="A491" s="90"/>
      <c r="B491" s="90"/>
      <c r="C491" s="144"/>
      <c r="D491" s="145"/>
      <c r="E491" s="90"/>
      <c r="F491" s="90"/>
      <c r="G491" s="90"/>
      <c r="H491" s="90"/>
      <c r="I491" s="90"/>
      <c r="J491" s="90"/>
      <c r="K491" s="90"/>
      <c r="L491" s="90"/>
      <c r="M491" s="146"/>
      <c r="N491" s="147"/>
      <c r="O491" s="147"/>
      <c r="P491" s="148"/>
      <c r="Q491" s="90"/>
      <c r="R491" s="91"/>
    </row>
    <row r="492" ht="15.75" customHeight="1">
      <c r="A492" s="90"/>
      <c r="B492" s="90"/>
      <c r="C492" s="144"/>
      <c r="D492" s="145"/>
      <c r="E492" s="90"/>
      <c r="F492" s="90"/>
      <c r="G492" s="90"/>
      <c r="H492" s="90"/>
      <c r="I492" s="90"/>
      <c r="J492" s="90"/>
      <c r="K492" s="90"/>
      <c r="L492" s="90"/>
      <c r="M492" s="146"/>
      <c r="N492" s="147"/>
      <c r="O492" s="147"/>
      <c r="P492" s="148"/>
      <c r="Q492" s="90"/>
      <c r="R492" s="91"/>
    </row>
    <row r="493" ht="15.75" customHeight="1">
      <c r="A493" s="90"/>
      <c r="B493" s="90"/>
      <c r="C493" s="144"/>
      <c r="D493" s="145"/>
      <c r="E493" s="90"/>
      <c r="F493" s="90"/>
      <c r="G493" s="90"/>
      <c r="H493" s="90"/>
      <c r="I493" s="90"/>
      <c r="J493" s="90"/>
      <c r="K493" s="90"/>
      <c r="L493" s="90"/>
      <c r="M493" s="146"/>
      <c r="N493" s="147"/>
      <c r="O493" s="147"/>
      <c r="P493" s="148"/>
      <c r="Q493" s="90"/>
      <c r="R493" s="91"/>
    </row>
    <row r="494" ht="15.75" customHeight="1">
      <c r="A494" s="90"/>
      <c r="B494" s="90"/>
      <c r="C494" s="144"/>
      <c r="D494" s="145"/>
      <c r="E494" s="90"/>
      <c r="F494" s="90"/>
      <c r="G494" s="90"/>
      <c r="H494" s="90"/>
      <c r="I494" s="90"/>
      <c r="J494" s="90"/>
      <c r="K494" s="90"/>
      <c r="L494" s="90"/>
      <c r="M494" s="146"/>
      <c r="N494" s="147"/>
      <c r="O494" s="147"/>
      <c r="P494" s="148"/>
      <c r="Q494" s="90"/>
      <c r="R494" s="91"/>
    </row>
    <row r="495" ht="15.75" customHeight="1">
      <c r="A495" s="90"/>
      <c r="B495" s="90"/>
      <c r="C495" s="144"/>
      <c r="D495" s="145"/>
      <c r="E495" s="90"/>
      <c r="F495" s="90"/>
      <c r="G495" s="90"/>
      <c r="H495" s="90"/>
      <c r="I495" s="90"/>
      <c r="J495" s="90"/>
      <c r="K495" s="90"/>
      <c r="L495" s="90"/>
      <c r="M495" s="146"/>
      <c r="N495" s="147"/>
      <c r="O495" s="147"/>
      <c r="P495" s="148"/>
      <c r="Q495" s="90"/>
      <c r="R495" s="91"/>
    </row>
    <row r="496" ht="15.75" customHeight="1">
      <c r="A496" s="90"/>
      <c r="B496" s="90"/>
      <c r="C496" s="144"/>
      <c r="D496" s="145"/>
      <c r="E496" s="90"/>
      <c r="F496" s="90"/>
      <c r="G496" s="90"/>
      <c r="H496" s="90"/>
      <c r="I496" s="90"/>
      <c r="J496" s="90"/>
      <c r="K496" s="90"/>
      <c r="L496" s="90"/>
      <c r="M496" s="146"/>
      <c r="N496" s="147"/>
      <c r="O496" s="147"/>
      <c r="P496" s="148"/>
      <c r="Q496" s="90"/>
      <c r="R496" s="91"/>
    </row>
    <row r="497" ht="15.75" customHeight="1">
      <c r="A497" s="90"/>
      <c r="B497" s="90"/>
      <c r="C497" s="144"/>
      <c r="D497" s="145"/>
      <c r="E497" s="90"/>
      <c r="F497" s="90"/>
      <c r="G497" s="90"/>
      <c r="H497" s="90"/>
      <c r="I497" s="90"/>
      <c r="J497" s="90"/>
      <c r="K497" s="90"/>
      <c r="L497" s="90"/>
      <c r="M497" s="146"/>
      <c r="N497" s="147"/>
      <c r="O497" s="147"/>
      <c r="P497" s="148"/>
      <c r="Q497" s="90"/>
      <c r="R497" s="91"/>
    </row>
    <row r="498" ht="15.75" customHeight="1">
      <c r="A498" s="90"/>
      <c r="B498" s="90"/>
      <c r="C498" s="144"/>
      <c r="D498" s="145"/>
      <c r="E498" s="90"/>
      <c r="F498" s="90"/>
      <c r="G498" s="90"/>
      <c r="H498" s="90"/>
      <c r="I498" s="90"/>
      <c r="J498" s="90"/>
      <c r="K498" s="90"/>
      <c r="L498" s="90"/>
      <c r="M498" s="146"/>
      <c r="N498" s="147"/>
      <c r="O498" s="147"/>
      <c r="P498" s="148"/>
      <c r="Q498" s="90"/>
      <c r="R498" s="91"/>
    </row>
    <row r="499" ht="15.75" customHeight="1">
      <c r="A499" s="90"/>
      <c r="B499" s="90"/>
      <c r="C499" s="144"/>
      <c r="D499" s="145"/>
      <c r="E499" s="90"/>
      <c r="F499" s="90"/>
      <c r="G499" s="90"/>
      <c r="H499" s="90"/>
      <c r="I499" s="90"/>
      <c r="J499" s="90"/>
      <c r="K499" s="90"/>
      <c r="L499" s="90"/>
      <c r="M499" s="146"/>
      <c r="N499" s="147"/>
      <c r="O499" s="147"/>
      <c r="P499" s="148"/>
      <c r="Q499" s="90"/>
      <c r="R499" s="91"/>
    </row>
    <row r="500" ht="15.75" customHeight="1">
      <c r="A500" s="90"/>
      <c r="B500" s="90"/>
      <c r="C500" s="144"/>
      <c r="D500" s="145"/>
      <c r="E500" s="90"/>
      <c r="F500" s="90"/>
      <c r="G500" s="90"/>
      <c r="H500" s="90"/>
      <c r="I500" s="90"/>
      <c r="J500" s="90"/>
      <c r="K500" s="90"/>
      <c r="L500" s="90"/>
      <c r="M500" s="146"/>
      <c r="N500" s="147"/>
      <c r="O500" s="147"/>
      <c r="P500" s="148"/>
      <c r="Q500" s="90"/>
      <c r="R500" s="91"/>
    </row>
    <row r="501" ht="15.75" customHeight="1">
      <c r="A501" s="90"/>
      <c r="B501" s="90"/>
      <c r="C501" s="144"/>
      <c r="D501" s="145"/>
      <c r="E501" s="90"/>
      <c r="F501" s="90"/>
      <c r="G501" s="90"/>
      <c r="H501" s="90"/>
      <c r="I501" s="90"/>
      <c r="J501" s="90"/>
      <c r="K501" s="90"/>
      <c r="L501" s="90"/>
      <c r="M501" s="146"/>
      <c r="N501" s="147"/>
      <c r="O501" s="147"/>
      <c r="P501" s="148"/>
      <c r="Q501" s="90"/>
      <c r="R501" s="91"/>
    </row>
    <row r="502" ht="15.75" customHeight="1">
      <c r="A502" s="90"/>
      <c r="B502" s="90"/>
      <c r="C502" s="144"/>
      <c r="D502" s="145"/>
      <c r="E502" s="90"/>
      <c r="F502" s="90"/>
      <c r="G502" s="90"/>
      <c r="H502" s="90"/>
      <c r="I502" s="90"/>
      <c r="J502" s="90"/>
      <c r="K502" s="90"/>
      <c r="L502" s="90"/>
      <c r="M502" s="146"/>
      <c r="N502" s="147"/>
      <c r="O502" s="147"/>
      <c r="P502" s="148"/>
      <c r="Q502" s="90"/>
      <c r="R502" s="91"/>
    </row>
    <row r="503" ht="15.75" customHeight="1">
      <c r="A503" s="90"/>
      <c r="B503" s="90"/>
      <c r="C503" s="144"/>
      <c r="D503" s="145"/>
      <c r="E503" s="90"/>
      <c r="F503" s="90"/>
      <c r="G503" s="90"/>
      <c r="H503" s="90"/>
      <c r="I503" s="90"/>
      <c r="J503" s="90"/>
      <c r="K503" s="90"/>
      <c r="L503" s="90"/>
      <c r="M503" s="146"/>
      <c r="N503" s="147"/>
      <c r="O503" s="147"/>
      <c r="P503" s="148"/>
      <c r="Q503" s="90"/>
      <c r="R503" s="91"/>
    </row>
    <row r="504" ht="15.75" customHeight="1">
      <c r="A504" s="90"/>
      <c r="B504" s="90"/>
      <c r="C504" s="144"/>
      <c r="D504" s="145"/>
      <c r="E504" s="90"/>
      <c r="F504" s="90"/>
      <c r="G504" s="90"/>
      <c r="H504" s="90"/>
      <c r="I504" s="90"/>
      <c r="J504" s="90"/>
      <c r="K504" s="90"/>
      <c r="L504" s="90"/>
      <c r="M504" s="146"/>
      <c r="N504" s="147"/>
      <c r="O504" s="147"/>
      <c r="P504" s="148"/>
      <c r="Q504" s="90"/>
      <c r="R504" s="91"/>
    </row>
    <row r="505" ht="15.75" customHeight="1">
      <c r="A505" s="90"/>
      <c r="B505" s="90"/>
      <c r="C505" s="144"/>
      <c r="D505" s="145"/>
      <c r="E505" s="90"/>
      <c r="F505" s="90"/>
      <c r="G505" s="90"/>
      <c r="H505" s="90"/>
      <c r="I505" s="90"/>
      <c r="J505" s="90"/>
      <c r="K505" s="90"/>
      <c r="L505" s="90"/>
      <c r="M505" s="146"/>
      <c r="N505" s="147"/>
      <c r="O505" s="147"/>
      <c r="P505" s="148"/>
      <c r="Q505" s="90"/>
      <c r="R505" s="91"/>
    </row>
    <row r="506" ht="15.75" customHeight="1">
      <c r="A506" s="90"/>
      <c r="B506" s="90"/>
      <c r="C506" s="144"/>
      <c r="D506" s="145"/>
      <c r="E506" s="90"/>
      <c r="F506" s="90"/>
      <c r="G506" s="90"/>
      <c r="H506" s="90"/>
      <c r="I506" s="90"/>
      <c r="J506" s="90"/>
      <c r="K506" s="90"/>
      <c r="L506" s="90"/>
      <c r="M506" s="146"/>
      <c r="N506" s="147"/>
      <c r="O506" s="147"/>
      <c r="P506" s="148"/>
      <c r="Q506" s="90"/>
      <c r="R506" s="91"/>
    </row>
    <row r="507" ht="15.75" customHeight="1">
      <c r="A507" s="90"/>
      <c r="B507" s="90"/>
      <c r="C507" s="144"/>
      <c r="D507" s="145"/>
      <c r="E507" s="90"/>
      <c r="F507" s="90"/>
      <c r="G507" s="90"/>
      <c r="H507" s="90"/>
      <c r="I507" s="90"/>
      <c r="J507" s="90"/>
      <c r="K507" s="90"/>
      <c r="L507" s="90"/>
      <c r="M507" s="146"/>
      <c r="N507" s="147"/>
      <c r="O507" s="147"/>
      <c r="P507" s="148"/>
      <c r="Q507" s="90"/>
      <c r="R507" s="91"/>
    </row>
    <row r="508" ht="15.75" customHeight="1">
      <c r="A508" s="90"/>
      <c r="B508" s="90"/>
      <c r="C508" s="144"/>
      <c r="D508" s="145"/>
      <c r="E508" s="90"/>
      <c r="F508" s="90"/>
      <c r="G508" s="90"/>
      <c r="H508" s="90"/>
      <c r="I508" s="90"/>
      <c r="J508" s="90"/>
      <c r="K508" s="90"/>
      <c r="L508" s="90"/>
      <c r="M508" s="146"/>
      <c r="N508" s="147"/>
      <c r="O508" s="147"/>
      <c r="P508" s="148"/>
      <c r="Q508" s="90"/>
      <c r="R508" s="91"/>
    </row>
    <row r="509" ht="15.75" customHeight="1">
      <c r="A509" s="90"/>
      <c r="B509" s="90"/>
      <c r="C509" s="144"/>
      <c r="D509" s="145"/>
      <c r="E509" s="90"/>
      <c r="F509" s="90"/>
      <c r="G509" s="90"/>
      <c r="H509" s="90"/>
      <c r="I509" s="90"/>
      <c r="J509" s="90"/>
      <c r="K509" s="90"/>
      <c r="L509" s="90"/>
      <c r="M509" s="146"/>
      <c r="N509" s="147"/>
      <c r="O509" s="147"/>
      <c r="P509" s="148"/>
      <c r="Q509" s="90"/>
      <c r="R509" s="91"/>
    </row>
    <row r="510" ht="15.75" customHeight="1">
      <c r="A510" s="90"/>
      <c r="B510" s="90"/>
      <c r="C510" s="144"/>
      <c r="D510" s="145"/>
      <c r="E510" s="90"/>
      <c r="F510" s="90"/>
      <c r="G510" s="90"/>
      <c r="H510" s="90"/>
      <c r="I510" s="90"/>
      <c r="J510" s="90"/>
      <c r="K510" s="90"/>
      <c r="L510" s="90"/>
      <c r="M510" s="146"/>
      <c r="N510" s="147"/>
      <c r="O510" s="147"/>
      <c r="P510" s="148"/>
      <c r="Q510" s="90"/>
      <c r="R510" s="91"/>
    </row>
    <row r="511" ht="15.75" customHeight="1">
      <c r="A511" s="90"/>
      <c r="B511" s="90"/>
      <c r="C511" s="144"/>
      <c r="D511" s="145"/>
      <c r="E511" s="90"/>
      <c r="F511" s="90"/>
      <c r="G511" s="90"/>
      <c r="H511" s="90"/>
      <c r="I511" s="90"/>
      <c r="J511" s="90"/>
      <c r="K511" s="90"/>
      <c r="L511" s="90"/>
      <c r="M511" s="146"/>
      <c r="N511" s="147"/>
      <c r="O511" s="147"/>
      <c r="P511" s="148"/>
      <c r="Q511" s="90"/>
      <c r="R511" s="91"/>
    </row>
    <row r="512" ht="15.75" customHeight="1">
      <c r="A512" s="90"/>
      <c r="B512" s="90"/>
      <c r="C512" s="144"/>
      <c r="D512" s="145"/>
      <c r="E512" s="90"/>
      <c r="F512" s="90"/>
      <c r="G512" s="90"/>
      <c r="H512" s="90"/>
      <c r="I512" s="90"/>
      <c r="J512" s="90"/>
      <c r="K512" s="90"/>
      <c r="L512" s="90"/>
      <c r="M512" s="146"/>
      <c r="N512" s="147"/>
      <c r="O512" s="147"/>
      <c r="P512" s="148"/>
      <c r="Q512" s="90"/>
      <c r="R512" s="91"/>
    </row>
    <row r="513" ht="15.75" customHeight="1">
      <c r="A513" s="90"/>
      <c r="B513" s="90"/>
      <c r="C513" s="144"/>
      <c r="D513" s="145"/>
      <c r="E513" s="90"/>
      <c r="F513" s="90"/>
      <c r="G513" s="90"/>
      <c r="H513" s="90"/>
      <c r="I513" s="90"/>
      <c r="J513" s="90"/>
      <c r="K513" s="90"/>
      <c r="L513" s="90"/>
      <c r="M513" s="146"/>
      <c r="N513" s="147"/>
      <c r="O513" s="147"/>
      <c r="P513" s="148"/>
      <c r="Q513" s="90"/>
      <c r="R513" s="91"/>
    </row>
    <row r="514" ht="15.75" customHeight="1">
      <c r="A514" s="90"/>
      <c r="B514" s="90"/>
      <c r="C514" s="144"/>
      <c r="D514" s="145"/>
      <c r="E514" s="90"/>
      <c r="F514" s="90"/>
      <c r="G514" s="90"/>
      <c r="H514" s="90"/>
      <c r="I514" s="90"/>
      <c r="J514" s="90"/>
      <c r="K514" s="90"/>
      <c r="L514" s="90"/>
      <c r="M514" s="146"/>
      <c r="N514" s="147"/>
      <c r="O514" s="147"/>
      <c r="P514" s="148"/>
      <c r="Q514" s="90"/>
      <c r="R514" s="91"/>
    </row>
    <row r="515" ht="15.75" customHeight="1">
      <c r="A515" s="90"/>
      <c r="B515" s="90"/>
      <c r="C515" s="144"/>
      <c r="D515" s="145"/>
      <c r="E515" s="90"/>
      <c r="F515" s="90"/>
      <c r="G515" s="90"/>
      <c r="H515" s="90"/>
      <c r="I515" s="90"/>
      <c r="J515" s="90"/>
      <c r="K515" s="90"/>
      <c r="L515" s="90"/>
      <c r="M515" s="146"/>
      <c r="N515" s="147"/>
      <c r="O515" s="147"/>
      <c r="P515" s="148"/>
      <c r="Q515" s="90"/>
      <c r="R515" s="91"/>
    </row>
    <row r="516" ht="15.75" customHeight="1">
      <c r="A516" s="90"/>
      <c r="B516" s="90"/>
      <c r="C516" s="144"/>
      <c r="D516" s="145"/>
      <c r="E516" s="90"/>
      <c r="F516" s="90"/>
      <c r="G516" s="90"/>
      <c r="H516" s="90"/>
      <c r="I516" s="90"/>
      <c r="J516" s="90"/>
      <c r="K516" s="90"/>
      <c r="L516" s="90"/>
      <c r="M516" s="146"/>
      <c r="N516" s="147"/>
      <c r="O516" s="147"/>
      <c r="P516" s="148"/>
      <c r="Q516" s="90"/>
      <c r="R516" s="91"/>
    </row>
    <row r="517" ht="15.75" customHeight="1">
      <c r="A517" s="90"/>
      <c r="B517" s="90"/>
      <c r="C517" s="144"/>
      <c r="D517" s="145"/>
      <c r="E517" s="90"/>
      <c r="F517" s="90"/>
      <c r="G517" s="90"/>
      <c r="H517" s="90"/>
      <c r="I517" s="90"/>
      <c r="J517" s="90"/>
      <c r="K517" s="90"/>
      <c r="L517" s="90"/>
      <c r="M517" s="146"/>
      <c r="N517" s="147"/>
      <c r="O517" s="147"/>
      <c r="P517" s="148"/>
      <c r="Q517" s="90"/>
      <c r="R517" s="91"/>
    </row>
    <row r="518" ht="15.75" customHeight="1">
      <c r="A518" s="90"/>
      <c r="B518" s="90"/>
      <c r="C518" s="144"/>
      <c r="D518" s="145"/>
      <c r="E518" s="90"/>
      <c r="F518" s="90"/>
      <c r="G518" s="90"/>
      <c r="H518" s="90"/>
      <c r="I518" s="90"/>
      <c r="J518" s="90"/>
      <c r="K518" s="90"/>
      <c r="L518" s="90"/>
      <c r="M518" s="146"/>
      <c r="N518" s="147"/>
      <c r="O518" s="147"/>
      <c r="P518" s="148"/>
      <c r="Q518" s="90"/>
      <c r="R518" s="91"/>
    </row>
    <row r="519" ht="15.75" customHeight="1">
      <c r="A519" s="90"/>
      <c r="B519" s="90"/>
      <c r="C519" s="144"/>
      <c r="D519" s="145"/>
      <c r="E519" s="90"/>
      <c r="F519" s="90"/>
      <c r="G519" s="90"/>
      <c r="H519" s="90"/>
      <c r="I519" s="90"/>
      <c r="J519" s="90"/>
      <c r="K519" s="90"/>
      <c r="L519" s="90"/>
      <c r="M519" s="146"/>
      <c r="N519" s="147"/>
      <c r="O519" s="147"/>
      <c r="P519" s="148"/>
      <c r="Q519" s="90"/>
      <c r="R519" s="91"/>
    </row>
    <row r="520" ht="15.75" customHeight="1">
      <c r="A520" s="90"/>
      <c r="B520" s="90"/>
      <c r="C520" s="144"/>
      <c r="D520" s="145"/>
      <c r="E520" s="90"/>
      <c r="F520" s="90"/>
      <c r="G520" s="90"/>
      <c r="H520" s="90"/>
      <c r="I520" s="90"/>
      <c r="J520" s="90"/>
      <c r="K520" s="90"/>
      <c r="L520" s="90"/>
      <c r="M520" s="146"/>
      <c r="N520" s="147"/>
      <c r="O520" s="147"/>
      <c r="P520" s="148"/>
      <c r="Q520" s="90"/>
      <c r="R520" s="91"/>
    </row>
    <row r="521" ht="15.75" customHeight="1">
      <c r="A521" s="90"/>
      <c r="B521" s="90"/>
      <c r="C521" s="144"/>
      <c r="D521" s="145"/>
      <c r="E521" s="90"/>
      <c r="F521" s="90"/>
      <c r="G521" s="90"/>
      <c r="H521" s="90"/>
      <c r="I521" s="90"/>
      <c r="J521" s="90"/>
      <c r="K521" s="90"/>
      <c r="L521" s="90"/>
      <c r="M521" s="146"/>
      <c r="N521" s="147"/>
      <c r="O521" s="147"/>
      <c r="P521" s="148"/>
      <c r="Q521" s="90"/>
      <c r="R521" s="91"/>
    </row>
    <row r="522" ht="15.75" customHeight="1">
      <c r="A522" s="90"/>
      <c r="B522" s="90"/>
      <c r="C522" s="144"/>
      <c r="D522" s="145"/>
      <c r="E522" s="90"/>
      <c r="F522" s="90"/>
      <c r="G522" s="90"/>
      <c r="H522" s="90"/>
      <c r="I522" s="90"/>
      <c r="J522" s="90"/>
      <c r="K522" s="90"/>
      <c r="L522" s="90"/>
      <c r="M522" s="146"/>
      <c r="N522" s="147"/>
      <c r="O522" s="147"/>
      <c r="P522" s="148"/>
      <c r="Q522" s="90"/>
      <c r="R522" s="91"/>
    </row>
    <row r="523" ht="15.75" customHeight="1">
      <c r="A523" s="90"/>
      <c r="B523" s="90"/>
      <c r="C523" s="144"/>
      <c r="D523" s="145"/>
      <c r="E523" s="90"/>
      <c r="F523" s="90"/>
      <c r="G523" s="90"/>
      <c r="H523" s="90"/>
      <c r="I523" s="90"/>
      <c r="J523" s="90"/>
      <c r="K523" s="90"/>
      <c r="L523" s="90"/>
      <c r="M523" s="146"/>
      <c r="N523" s="147"/>
      <c r="O523" s="147"/>
      <c r="P523" s="148"/>
      <c r="Q523" s="90"/>
      <c r="R523" s="91"/>
    </row>
    <row r="524" ht="15.75" customHeight="1">
      <c r="A524" s="90"/>
      <c r="B524" s="90"/>
      <c r="C524" s="144"/>
      <c r="D524" s="145"/>
      <c r="E524" s="90"/>
      <c r="F524" s="90"/>
      <c r="G524" s="90"/>
      <c r="H524" s="90"/>
      <c r="I524" s="90"/>
      <c r="J524" s="90"/>
      <c r="K524" s="90"/>
      <c r="L524" s="90"/>
      <c r="M524" s="146"/>
      <c r="N524" s="147"/>
      <c r="O524" s="147"/>
      <c r="P524" s="148"/>
      <c r="Q524" s="90"/>
      <c r="R524" s="91"/>
    </row>
    <row r="525" ht="15.75" customHeight="1">
      <c r="A525" s="90"/>
      <c r="B525" s="90"/>
      <c r="C525" s="144"/>
      <c r="D525" s="145"/>
      <c r="E525" s="90"/>
      <c r="F525" s="90"/>
      <c r="G525" s="90"/>
      <c r="H525" s="90"/>
      <c r="I525" s="90"/>
      <c r="J525" s="90"/>
      <c r="K525" s="90"/>
      <c r="L525" s="90"/>
      <c r="M525" s="146"/>
      <c r="N525" s="147"/>
      <c r="O525" s="147"/>
      <c r="P525" s="148"/>
      <c r="Q525" s="90"/>
      <c r="R525" s="91"/>
    </row>
    <row r="526" ht="15.75" customHeight="1">
      <c r="A526" s="90"/>
      <c r="B526" s="90"/>
      <c r="C526" s="144"/>
      <c r="D526" s="145"/>
      <c r="E526" s="90"/>
      <c r="F526" s="90"/>
      <c r="G526" s="90"/>
      <c r="H526" s="90"/>
      <c r="I526" s="90"/>
      <c r="J526" s="90"/>
      <c r="K526" s="90"/>
      <c r="L526" s="90"/>
      <c r="M526" s="146"/>
      <c r="N526" s="147"/>
      <c r="O526" s="147"/>
      <c r="P526" s="148"/>
      <c r="Q526" s="90"/>
      <c r="R526" s="91"/>
    </row>
    <row r="527" ht="15.75" customHeight="1">
      <c r="A527" s="90"/>
      <c r="B527" s="90"/>
      <c r="C527" s="144"/>
      <c r="D527" s="145"/>
      <c r="E527" s="90"/>
      <c r="F527" s="90"/>
      <c r="G527" s="90"/>
      <c r="H527" s="90"/>
      <c r="I527" s="90"/>
      <c r="J527" s="90"/>
      <c r="K527" s="90"/>
      <c r="L527" s="90"/>
      <c r="M527" s="146"/>
      <c r="N527" s="147"/>
      <c r="O527" s="147"/>
      <c r="P527" s="148"/>
      <c r="Q527" s="90"/>
      <c r="R527" s="91"/>
    </row>
    <row r="528" ht="15.75" customHeight="1">
      <c r="A528" s="90"/>
      <c r="B528" s="90"/>
      <c r="C528" s="144"/>
      <c r="D528" s="145"/>
      <c r="E528" s="90"/>
      <c r="F528" s="90"/>
      <c r="G528" s="90"/>
      <c r="H528" s="90"/>
      <c r="I528" s="90"/>
      <c r="J528" s="90"/>
      <c r="K528" s="90"/>
      <c r="L528" s="90"/>
      <c r="M528" s="146"/>
      <c r="N528" s="147"/>
      <c r="O528" s="147"/>
      <c r="P528" s="148"/>
      <c r="Q528" s="90"/>
      <c r="R528" s="91"/>
    </row>
    <row r="529" ht="15.75" customHeight="1">
      <c r="A529" s="90"/>
      <c r="B529" s="90"/>
      <c r="C529" s="144"/>
      <c r="D529" s="145"/>
      <c r="E529" s="90"/>
      <c r="F529" s="90"/>
      <c r="G529" s="90"/>
      <c r="H529" s="90"/>
      <c r="I529" s="90"/>
      <c r="J529" s="90"/>
      <c r="K529" s="90"/>
      <c r="L529" s="90"/>
      <c r="M529" s="146"/>
      <c r="N529" s="147"/>
      <c r="O529" s="147"/>
      <c r="P529" s="148"/>
      <c r="Q529" s="90"/>
      <c r="R529" s="91"/>
    </row>
    <row r="530" ht="15.75" customHeight="1">
      <c r="A530" s="90"/>
      <c r="B530" s="90"/>
      <c r="C530" s="144"/>
      <c r="D530" s="145"/>
      <c r="E530" s="90"/>
      <c r="F530" s="90"/>
      <c r="G530" s="90"/>
      <c r="H530" s="90"/>
      <c r="I530" s="90"/>
      <c r="J530" s="90"/>
      <c r="K530" s="90"/>
      <c r="L530" s="90"/>
      <c r="M530" s="146"/>
      <c r="N530" s="147"/>
      <c r="O530" s="147"/>
      <c r="P530" s="148"/>
      <c r="Q530" s="90"/>
      <c r="R530" s="91"/>
    </row>
    <row r="531" ht="15.75" customHeight="1">
      <c r="A531" s="90"/>
      <c r="B531" s="90"/>
      <c r="C531" s="144"/>
      <c r="D531" s="145"/>
      <c r="E531" s="90"/>
      <c r="F531" s="90"/>
      <c r="G531" s="90"/>
      <c r="H531" s="90"/>
      <c r="I531" s="90"/>
      <c r="J531" s="90"/>
      <c r="K531" s="90"/>
      <c r="L531" s="90"/>
      <c r="M531" s="146"/>
      <c r="N531" s="147"/>
      <c r="O531" s="147"/>
      <c r="P531" s="148"/>
      <c r="Q531" s="90"/>
      <c r="R531" s="91"/>
    </row>
    <row r="532" ht="15.75" customHeight="1">
      <c r="A532" s="90"/>
      <c r="B532" s="90"/>
      <c r="C532" s="144"/>
      <c r="D532" s="145"/>
      <c r="E532" s="90"/>
      <c r="F532" s="90"/>
      <c r="G532" s="90"/>
      <c r="H532" s="90"/>
      <c r="I532" s="90"/>
      <c r="J532" s="90"/>
      <c r="K532" s="90"/>
      <c r="L532" s="90"/>
      <c r="M532" s="146"/>
      <c r="N532" s="147"/>
      <c r="O532" s="147"/>
      <c r="P532" s="148"/>
      <c r="Q532" s="90"/>
      <c r="R532" s="91"/>
    </row>
    <row r="533" ht="15.75" customHeight="1">
      <c r="A533" s="90"/>
      <c r="B533" s="90"/>
      <c r="C533" s="144"/>
      <c r="D533" s="145"/>
      <c r="E533" s="90"/>
      <c r="F533" s="90"/>
      <c r="G533" s="90"/>
      <c r="H533" s="90"/>
      <c r="I533" s="90"/>
      <c r="J533" s="90"/>
      <c r="K533" s="90"/>
      <c r="L533" s="90"/>
      <c r="M533" s="146"/>
      <c r="N533" s="147"/>
      <c r="O533" s="147"/>
      <c r="P533" s="148"/>
      <c r="Q533" s="90"/>
      <c r="R533" s="91"/>
    </row>
    <row r="534" ht="15.75" customHeight="1">
      <c r="A534" s="90"/>
      <c r="B534" s="90"/>
      <c r="C534" s="144"/>
      <c r="D534" s="145"/>
      <c r="E534" s="90"/>
      <c r="F534" s="90"/>
      <c r="G534" s="90"/>
      <c r="H534" s="90"/>
      <c r="I534" s="90"/>
      <c r="J534" s="90"/>
      <c r="K534" s="90"/>
      <c r="L534" s="90"/>
      <c r="M534" s="146"/>
      <c r="N534" s="147"/>
      <c r="O534" s="147"/>
      <c r="P534" s="148"/>
      <c r="Q534" s="90"/>
      <c r="R534" s="91"/>
    </row>
    <row r="535" ht="15.75" customHeight="1">
      <c r="A535" s="90"/>
      <c r="B535" s="90"/>
      <c r="C535" s="144"/>
      <c r="D535" s="145"/>
      <c r="E535" s="90"/>
      <c r="F535" s="90"/>
      <c r="G535" s="90"/>
      <c r="H535" s="90"/>
      <c r="I535" s="90"/>
      <c r="J535" s="90"/>
      <c r="K535" s="90"/>
      <c r="L535" s="90"/>
      <c r="M535" s="146"/>
      <c r="N535" s="147"/>
      <c r="O535" s="147"/>
      <c r="P535" s="148"/>
      <c r="Q535" s="90"/>
      <c r="R535" s="91"/>
    </row>
    <row r="536" ht="15.75" customHeight="1">
      <c r="A536" s="90"/>
      <c r="B536" s="90"/>
      <c r="C536" s="144"/>
      <c r="D536" s="145"/>
      <c r="E536" s="90"/>
      <c r="F536" s="90"/>
      <c r="G536" s="90"/>
      <c r="H536" s="90"/>
      <c r="I536" s="90"/>
      <c r="J536" s="90"/>
      <c r="K536" s="90"/>
      <c r="L536" s="90"/>
      <c r="M536" s="146"/>
      <c r="N536" s="147"/>
      <c r="O536" s="147"/>
      <c r="P536" s="148"/>
      <c r="Q536" s="90"/>
      <c r="R536" s="91"/>
    </row>
    <row r="537" ht="15.75" customHeight="1">
      <c r="A537" s="90"/>
      <c r="B537" s="90"/>
      <c r="C537" s="144"/>
      <c r="D537" s="145"/>
      <c r="E537" s="90"/>
      <c r="F537" s="90"/>
      <c r="G537" s="90"/>
      <c r="H537" s="90"/>
      <c r="I537" s="90"/>
      <c r="J537" s="90"/>
      <c r="K537" s="90"/>
      <c r="L537" s="90"/>
      <c r="M537" s="146"/>
      <c r="N537" s="147"/>
      <c r="O537" s="147"/>
      <c r="P537" s="148"/>
      <c r="Q537" s="90"/>
      <c r="R537" s="91"/>
    </row>
    <row r="538" ht="15.75" customHeight="1">
      <c r="A538" s="90"/>
      <c r="B538" s="90"/>
      <c r="C538" s="144"/>
      <c r="D538" s="145"/>
      <c r="E538" s="90"/>
      <c r="F538" s="90"/>
      <c r="G538" s="90"/>
      <c r="H538" s="90"/>
      <c r="I538" s="90"/>
      <c r="J538" s="90"/>
      <c r="K538" s="90"/>
      <c r="L538" s="90"/>
      <c r="M538" s="146"/>
      <c r="N538" s="147"/>
      <c r="O538" s="147"/>
      <c r="P538" s="148"/>
      <c r="Q538" s="90"/>
      <c r="R538" s="91"/>
    </row>
    <row r="539" ht="15.75" customHeight="1">
      <c r="A539" s="90"/>
      <c r="B539" s="90"/>
      <c r="C539" s="144"/>
      <c r="D539" s="145"/>
      <c r="E539" s="90"/>
      <c r="F539" s="90"/>
      <c r="G539" s="90"/>
      <c r="H539" s="90"/>
      <c r="I539" s="90"/>
      <c r="J539" s="90"/>
      <c r="K539" s="90"/>
      <c r="L539" s="90"/>
      <c r="M539" s="146"/>
      <c r="N539" s="147"/>
      <c r="O539" s="147"/>
      <c r="P539" s="148"/>
      <c r="Q539" s="90"/>
      <c r="R539" s="91"/>
    </row>
    <row r="540" ht="15.75" customHeight="1">
      <c r="A540" s="90"/>
      <c r="B540" s="90"/>
      <c r="C540" s="144"/>
      <c r="D540" s="145"/>
      <c r="E540" s="90"/>
      <c r="F540" s="90"/>
      <c r="G540" s="90"/>
      <c r="H540" s="90"/>
      <c r="I540" s="90"/>
      <c r="J540" s="90"/>
      <c r="K540" s="90"/>
      <c r="L540" s="90"/>
      <c r="M540" s="146"/>
      <c r="N540" s="147"/>
      <c r="O540" s="147"/>
      <c r="P540" s="148"/>
      <c r="Q540" s="90"/>
      <c r="R540" s="91"/>
    </row>
    <row r="541" ht="15.75" customHeight="1">
      <c r="A541" s="90"/>
      <c r="B541" s="90"/>
      <c r="C541" s="144"/>
      <c r="D541" s="145"/>
      <c r="E541" s="90"/>
      <c r="F541" s="90"/>
      <c r="G541" s="90"/>
      <c r="H541" s="90"/>
      <c r="I541" s="90"/>
      <c r="J541" s="90"/>
      <c r="K541" s="90"/>
      <c r="L541" s="90"/>
      <c r="M541" s="146"/>
      <c r="N541" s="147"/>
      <c r="O541" s="147"/>
      <c r="P541" s="148"/>
      <c r="Q541" s="90"/>
      <c r="R541" s="91"/>
    </row>
    <row r="542" ht="15.75" customHeight="1">
      <c r="A542" s="90"/>
      <c r="B542" s="90"/>
      <c r="C542" s="144"/>
      <c r="D542" s="145"/>
      <c r="E542" s="90"/>
      <c r="F542" s="90"/>
      <c r="G542" s="90"/>
      <c r="H542" s="90"/>
      <c r="I542" s="90"/>
      <c r="J542" s="90"/>
      <c r="K542" s="90"/>
      <c r="L542" s="90"/>
      <c r="M542" s="146"/>
      <c r="N542" s="147"/>
      <c r="O542" s="147"/>
      <c r="P542" s="148"/>
      <c r="Q542" s="90"/>
      <c r="R542" s="91"/>
    </row>
    <row r="543" ht="15.75" customHeight="1">
      <c r="A543" s="90"/>
      <c r="B543" s="90"/>
      <c r="C543" s="144"/>
      <c r="D543" s="145"/>
      <c r="E543" s="90"/>
      <c r="F543" s="90"/>
      <c r="G543" s="90"/>
      <c r="H543" s="90"/>
      <c r="I543" s="90"/>
      <c r="J543" s="90"/>
      <c r="K543" s="90"/>
      <c r="L543" s="90"/>
      <c r="M543" s="146"/>
      <c r="N543" s="147"/>
      <c r="O543" s="147"/>
      <c r="P543" s="148"/>
      <c r="Q543" s="90"/>
      <c r="R543" s="91"/>
    </row>
    <row r="544" ht="15.75" customHeight="1">
      <c r="A544" s="90"/>
      <c r="B544" s="90"/>
      <c r="C544" s="144"/>
      <c r="D544" s="145"/>
      <c r="E544" s="90"/>
      <c r="F544" s="90"/>
      <c r="G544" s="90"/>
      <c r="H544" s="90"/>
      <c r="I544" s="90"/>
      <c r="J544" s="90"/>
      <c r="K544" s="90"/>
      <c r="L544" s="90"/>
      <c r="M544" s="146"/>
      <c r="N544" s="147"/>
      <c r="O544" s="147"/>
      <c r="P544" s="148"/>
      <c r="Q544" s="90"/>
      <c r="R544" s="91"/>
    </row>
    <row r="545" ht="15.75" customHeight="1">
      <c r="A545" s="90"/>
      <c r="B545" s="90"/>
      <c r="C545" s="144"/>
      <c r="D545" s="145"/>
      <c r="E545" s="90"/>
      <c r="F545" s="90"/>
      <c r="G545" s="90"/>
      <c r="H545" s="90"/>
      <c r="I545" s="90"/>
      <c r="J545" s="90"/>
      <c r="K545" s="90"/>
      <c r="L545" s="90"/>
      <c r="M545" s="146"/>
      <c r="N545" s="147"/>
      <c r="O545" s="147"/>
      <c r="P545" s="148"/>
      <c r="Q545" s="90"/>
      <c r="R545" s="91"/>
    </row>
    <row r="546" ht="15.75" customHeight="1">
      <c r="A546" s="90"/>
      <c r="B546" s="90"/>
      <c r="C546" s="144"/>
      <c r="D546" s="145"/>
      <c r="E546" s="90"/>
      <c r="F546" s="90"/>
      <c r="G546" s="90"/>
      <c r="H546" s="90"/>
      <c r="I546" s="90"/>
      <c r="J546" s="90"/>
      <c r="K546" s="90"/>
      <c r="L546" s="90"/>
      <c r="M546" s="146"/>
      <c r="N546" s="147"/>
      <c r="O546" s="147"/>
      <c r="P546" s="148"/>
      <c r="Q546" s="90"/>
      <c r="R546" s="91"/>
    </row>
    <row r="547" ht="15.75" customHeight="1">
      <c r="A547" s="90"/>
      <c r="B547" s="90"/>
      <c r="C547" s="144"/>
      <c r="D547" s="145"/>
      <c r="E547" s="90"/>
      <c r="F547" s="90"/>
      <c r="G547" s="90"/>
      <c r="H547" s="90"/>
      <c r="I547" s="90"/>
      <c r="J547" s="90"/>
      <c r="K547" s="90"/>
      <c r="L547" s="90"/>
      <c r="M547" s="146"/>
      <c r="N547" s="147"/>
      <c r="O547" s="147"/>
      <c r="P547" s="148"/>
      <c r="Q547" s="90"/>
      <c r="R547" s="91"/>
    </row>
    <row r="548" ht="15.75" customHeight="1">
      <c r="A548" s="90"/>
      <c r="B548" s="90"/>
      <c r="C548" s="144"/>
      <c r="D548" s="145"/>
      <c r="E548" s="90"/>
      <c r="F548" s="90"/>
      <c r="G548" s="90"/>
      <c r="H548" s="90"/>
      <c r="I548" s="90"/>
      <c r="J548" s="90"/>
      <c r="K548" s="90"/>
      <c r="L548" s="90"/>
      <c r="M548" s="146"/>
      <c r="N548" s="147"/>
      <c r="O548" s="147"/>
      <c r="P548" s="148"/>
      <c r="Q548" s="90"/>
      <c r="R548" s="91"/>
    </row>
    <row r="549" ht="15.75" customHeight="1">
      <c r="A549" s="90"/>
      <c r="B549" s="90"/>
      <c r="C549" s="144"/>
      <c r="D549" s="145"/>
      <c r="E549" s="90"/>
      <c r="F549" s="90"/>
      <c r="G549" s="90"/>
      <c r="H549" s="90"/>
      <c r="I549" s="90"/>
      <c r="J549" s="90"/>
      <c r="K549" s="90"/>
      <c r="L549" s="90"/>
      <c r="M549" s="146"/>
      <c r="N549" s="147"/>
      <c r="O549" s="147"/>
      <c r="P549" s="148"/>
      <c r="Q549" s="90"/>
      <c r="R549" s="91"/>
    </row>
    <row r="550" ht="15.75" customHeight="1">
      <c r="A550" s="90"/>
      <c r="B550" s="90"/>
      <c r="C550" s="144"/>
      <c r="D550" s="145"/>
      <c r="E550" s="90"/>
      <c r="F550" s="90"/>
      <c r="G550" s="90"/>
      <c r="H550" s="90"/>
      <c r="I550" s="90"/>
      <c r="J550" s="90"/>
      <c r="K550" s="90"/>
      <c r="L550" s="90"/>
      <c r="M550" s="146"/>
      <c r="N550" s="147"/>
      <c r="O550" s="147"/>
      <c r="P550" s="148"/>
      <c r="Q550" s="90"/>
      <c r="R550" s="91"/>
    </row>
    <row r="551" ht="15.75" customHeight="1">
      <c r="A551" s="90"/>
      <c r="B551" s="90"/>
      <c r="C551" s="144"/>
      <c r="D551" s="145"/>
      <c r="E551" s="90"/>
      <c r="F551" s="90"/>
      <c r="G551" s="90"/>
      <c r="H551" s="90"/>
      <c r="I551" s="90"/>
      <c r="J551" s="90"/>
      <c r="K551" s="90"/>
      <c r="L551" s="90"/>
      <c r="M551" s="146"/>
      <c r="N551" s="147"/>
      <c r="O551" s="147"/>
      <c r="P551" s="148"/>
      <c r="Q551" s="90"/>
      <c r="R551" s="91"/>
    </row>
    <row r="552" ht="15.75" customHeight="1">
      <c r="A552" s="90"/>
      <c r="B552" s="90"/>
      <c r="C552" s="144"/>
      <c r="D552" s="145"/>
      <c r="E552" s="90"/>
      <c r="F552" s="90"/>
      <c r="G552" s="90"/>
      <c r="H552" s="90"/>
      <c r="I552" s="90"/>
      <c r="J552" s="90"/>
      <c r="K552" s="90"/>
      <c r="L552" s="90"/>
      <c r="M552" s="146"/>
      <c r="N552" s="147"/>
      <c r="O552" s="147"/>
      <c r="P552" s="148"/>
      <c r="Q552" s="90"/>
      <c r="R552" s="91"/>
    </row>
    <row r="553" ht="15.75" customHeight="1">
      <c r="A553" s="90"/>
      <c r="B553" s="90"/>
      <c r="C553" s="144"/>
      <c r="D553" s="145"/>
      <c r="E553" s="90"/>
      <c r="F553" s="90"/>
      <c r="G553" s="90"/>
      <c r="H553" s="90"/>
      <c r="I553" s="90"/>
      <c r="J553" s="90"/>
      <c r="K553" s="90"/>
      <c r="L553" s="90"/>
      <c r="M553" s="146"/>
      <c r="N553" s="147"/>
      <c r="O553" s="147"/>
      <c r="P553" s="148"/>
      <c r="Q553" s="90"/>
      <c r="R553" s="91"/>
    </row>
    <row r="554" ht="15.75" customHeight="1">
      <c r="A554" s="90"/>
      <c r="B554" s="90"/>
      <c r="C554" s="144"/>
      <c r="D554" s="145"/>
      <c r="E554" s="90"/>
      <c r="F554" s="90"/>
      <c r="G554" s="90"/>
      <c r="H554" s="90"/>
      <c r="I554" s="90"/>
      <c r="J554" s="90"/>
      <c r="K554" s="90"/>
      <c r="L554" s="90"/>
      <c r="M554" s="146"/>
      <c r="N554" s="147"/>
      <c r="O554" s="147"/>
      <c r="P554" s="148"/>
      <c r="Q554" s="90"/>
      <c r="R554" s="91"/>
    </row>
    <row r="555" ht="15.75" customHeight="1">
      <c r="A555" s="90"/>
      <c r="B555" s="90"/>
      <c r="C555" s="144"/>
      <c r="D555" s="145"/>
      <c r="E555" s="90"/>
      <c r="F555" s="90"/>
      <c r="G555" s="90"/>
      <c r="H555" s="90"/>
      <c r="I555" s="90"/>
      <c r="J555" s="90"/>
      <c r="K555" s="90"/>
      <c r="L555" s="90"/>
      <c r="M555" s="146"/>
      <c r="N555" s="147"/>
      <c r="O555" s="147"/>
      <c r="P555" s="148"/>
      <c r="Q555" s="90"/>
      <c r="R555" s="91"/>
    </row>
    <row r="556" ht="15.75" customHeight="1">
      <c r="A556" s="90"/>
      <c r="B556" s="90"/>
      <c r="C556" s="144"/>
      <c r="D556" s="145"/>
      <c r="E556" s="90"/>
      <c r="F556" s="90"/>
      <c r="G556" s="90"/>
      <c r="H556" s="90"/>
      <c r="I556" s="90"/>
      <c r="J556" s="90"/>
      <c r="K556" s="90"/>
      <c r="L556" s="90"/>
      <c r="M556" s="146"/>
      <c r="N556" s="147"/>
      <c r="O556" s="147"/>
      <c r="P556" s="148"/>
      <c r="Q556" s="90"/>
      <c r="R556" s="91"/>
    </row>
    <row r="557" ht="15.75" customHeight="1">
      <c r="A557" s="90"/>
      <c r="B557" s="90"/>
      <c r="C557" s="144"/>
      <c r="D557" s="145"/>
      <c r="E557" s="90"/>
      <c r="F557" s="90"/>
      <c r="G557" s="90"/>
      <c r="H557" s="90"/>
      <c r="I557" s="90"/>
      <c r="J557" s="90"/>
      <c r="K557" s="90"/>
      <c r="L557" s="90"/>
      <c r="M557" s="146"/>
      <c r="N557" s="147"/>
      <c r="O557" s="147"/>
      <c r="P557" s="148"/>
      <c r="Q557" s="90"/>
      <c r="R557" s="91"/>
    </row>
    <row r="558" ht="15.75" customHeight="1">
      <c r="A558" s="90"/>
      <c r="B558" s="90"/>
      <c r="C558" s="144"/>
      <c r="D558" s="145"/>
      <c r="E558" s="90"/>
      <c r="F558" s="90"/>
      <c r="G558" s="90"/>
      <c r="H558" s="90"/>
      <c r="I558" s="90"/>
      <c r="J558" s="90"/>
      <c r="K558" s="90"/>
      <c r="L558" s="90"/>
      <c r="M558" s="146"/>
      <c r="N558" s="147"/>
      <c r="O558" s="147"/>
      <c r="P558" s="148"/>
      <c r="Q558" s="90"/>
      <c r="R558" s="91"/>
    </row>
    <row r="559" ht="15.75" customHeight="1">
      <c r="A559" s="90"/>
      <c r="B559" s="90"/>
      <c r="C559" s="144"/>
      <c r="D559" s="145"/>
      <c r="E559" s="90"/>
      <c r="F559" s="90"/>
      <c r="G559" s="90"/>
      <c r="H559" s="90"/>
      <c r="I559" s="90"/>
      <c r="J559" s="90"/>
      <c r="K559" s="90"/>
      <c r="L559" s="90"/>
      <c r="M559" s="146"/>
      <c r="N559" s="147"/>
      <c r="O559" s="147"/>
      <c r="P559" s="148"/>
      <c r="Q559" s="90"/>
      <c r="R559" s="91"/>
    </row>
    <row r="560" ht="15.75" customHeight="1">
      <c r="A560" s="90"/>
      <c r="B560" s="90"/>
      <c r="C560" s="144"/>
      <c r="D560" s="145"/>
      <c r="E560" s="90"/>
      <c r="F560" s="90"/>
      <c r="G560" s="90"/>
      <c r="H560" s="90"/>
      <c r="I560" s="90"/>
      <c r="J560" s="90"/>
      <c r="K560" s="90"/>
      <c r="L560" s="90"/>
      <c r="M560" s="146"/>
      <c r="N560" s="147"/>
      <c r="O560" s="147"/>
      <c r="P560" s="148"/>
      <c r="Q560" s="90"/>
      <c r="R560" s="91"/>
    </row>
    <row r="561" ht="15.75" customHeight="1">
      <c r="A561" s="90"/>
      <c r="B561" s="90"/>
      <c r="C561" s="144"/>
      <c r="D561" s="145"/>
      <c r="E561" s="90"/>
      <c r="F561" s="90"/>
      <c r="G561" s="90"/>
      <c r="H561" s="90"/>
      <c r="I561" s="90"/>
      <c r="J561" s="90"/>
      <c r="K561" s="90"/>
      <c r="L561" s="90"/>
      <c r="M561" s="146"/>
      <c r="N561" s="147"/>
      <c r="O561" s="147"/>
      <c r="P561" s="148"/>
      <c r="Q561" s="90"/>
      <c r="R561" s="91"/>
    </row>
    <row r="562" ht="15.75" customHeight="1">
      <c r="A562" s="90"/>
      <c r="B562" s="90"/>
      <c r="C562" s="144"/>
      <c r="D562" s="145"/>
      <c r="E562" s="90"/>
      <c r="F562" s="90"/>
      <c r="G562" s="90"/>
      <c r="H562" s="90"/>
      <c r="I562" s="90"/>
      <c r="J562" s="90"/>
      <c r="K562" s="90"/>
      <c r="L562" s="90"/>
      <c r="M562" s="146"/>
      <c r="N562" s="147"/>
      <c r="O562" s="147"/>
      <c r="P562" s="148"/>
      <c r="Q562" s="90"/>
      <c r="R562" s="91"/>
    </row>
    <row r="563" ht="15.75" customHeight="1">
      <c r="A563" s="90"/>
      <c r="B563" s="90"/>
      <c r="C563" s="144"/>
      <c r="D563" s="145"/>
      <c r="E563" s="90"/>
      <c r="F563" s="90"/>
      <c r="G563" s="90"/>
      <c r="H563" s="90"/>
      <c r="I563" s="90"/>
      <c r="J563" s="90"/>
      <c r="K563" s="90"/>
      <c r="L563" s="90"/>
      <c r="M563" s="146"/>
      <c r="N563" s="147"/>
      <c r="O563" s="147"/>
      <c r="P563" s="148"/>
      <c r="Q563" s="90"/>
      <c r="R563" s="91"/>
    </row>
    <row r="564" ht="15.75" customHeight="1">
      <c r="A564" s="90"/>
      <c r="B564" s="90"/>
      <c r="C564" s="144"/>
      <c r="D564" s="145"/>
      <c r="E564" s="90"/>
      <c r="F564" s="90"/>
      <c r="G564" s="90"/>
      <c r="H564" s="90"/>
      <c r="I564" s="90"/>
      <c r="J564" s="90"/>
      <c r="K564" s="90"/>
      <c r="L564" s="90"/>
      <c r="M564" s="146"/>
      <c r="N564" s="147"/>
      <c r="O564" s="147"/>
      <c r="P564" s="148"/>
      <c r="Q564" s="90"/>
      <c r="R564" s="91"/>
    </row>
    <row r="565" ht="15.75" customHeight="1">
      <c r="A565" s="90"/>
      <c r="B565" s="90"/>
      <c r="C565" s="144"/>
      <c r="D565" s="145"/>
      <c r="E565" s="90"/>
      <c r="F565" s="90"/>
      <c r="G565" s="90"/>
      <c r="H565" s="90"/>
      <c r="I565" s="90"/>
      <c r="J565" s="90"/>
      <c r="K565" s="90"/>
      <c r="L565" s="90"/>
      <c r="M565" s="146"/>
      <c r="N565" s="147"/>
      <c r="O565" s="147"/>
      <c r="P565" s="148"/>
      <c r="Q565" s="90"/>
      <c r="R565" s="91"/>
    </row>
    <row r="566" ht="15.75" customHeight="1">
      <c r="A566" s="90"/>
      <c r="B566" s="90"/>
      <c r="C566" s="144"/>
      <c r="D566" s="145"/>
      <c r="E566" s="90"/>
      <c r="F566" s="90"/>
      <c r="G566" s="90"/>
      <c r="H566" s="90"/>
      <c r="I566" s="90"/>
      <c r="J566" s="90"/>
      <c r="K566" s="90"/>
      <c r="L566" s="90"/>
      <c r="M566" s="146"/>
      <c r="N566" s="147"/>
      <c r="O566" s="147"/>
      <c r="P566" s="148"/>
      <c r="Q566" s="90"/>
      <c r="R566" s="91"/>
    </row>
    <row r="567" ht="15.75" customHeight="1">
      <c r="A567" s="90"/>
      <c r="B567" s="90"/>
      <c r="C567" s="144"/>
      <c r="D567" s="145"/>
      <c r="E567" s="90"/>
      <c r="F567" s="90"/>
      <c r="G567" s="90"/>
      <c r="H567" s="90"/>
      <c r="I567" s="90"/>
      <c r="J567" s="90"/>
      <c r="K567" s="90"/>
      <c r="L567" s="90"/>
      <c r="M567" s="146"/>
      <c r="N567" s="147"/>
      <c r="O567" s="147"/>
      <c r="P567" s="148"/>
      <c r="Q567" s="90"/>
      <c r="R567" s="91"/>
    </row>
    <row r="568" ht="15.75" customHeight="1">
      <c r="A568" s="90"/>
      <c r="B568" s="90"/>
      <c r="C568" s="144"/>
      <c r="D568" s="145"/>
      <c r="E568" s="90"/>
      <c r="F568" s="90"/>
      <c r="G568" s="90"/>
      <c r="H568" s="90"/>
      <c r="I568" s="90"/>
      <c r="J568" s="90"/>
      <c r="K568" s="90"/>
      <c r="L568" s="90"/>
      <c r="M568" s="146"/>
      <c r="N568" s="147"/>
      <c r="O568" s="147"/>
      <c r="P568" s="148"/>
      <c r="Q568" s="90"/>
      <c r="R568" s="91"/>
    </row>
    <row r="569" ht="15.75" customHeight="1">
      <c r="A569" s="90"/>
      <c r="B569" s="90"/>
      <c r="C569" s="144"/>
      <c r="D569" s="145"/>
      <c r="E569" s="90"/>
      <c r="F569" s="90"/>
      <c r="G569" s="90"/>
      <c r="H569" s="90"/>
      <c r="I569" s="90"/>
      <c r="J569" s="90"/>
      <c r="K569" s="90"/>
      <c r="L569" s="90"/>
      <c r="M569" s="146"/>
      <c r="N569" s="147"/>
      <c r="O569" s="147"/>
      <c r="P569" s="148"/>
      <c r="Q569" s="90"/>
      <c r="R569" s="91"/>
    </row>
    <row r="570" ht="15.75" customHeight="1">
      <c r="A570" s="90"/>
      <c r="B570" s="90"/>
      <c r="C570" s="144"/>
      <c r="D570" s="145"/>
      <c r="E570" s="90"/>
      <c r="F570" s="90"/>
      <c r="G570" s="90"/>
      <c r="H570" s="90"/>
      <c r="I570" s="90"/>
      <c r="J570" s="90"/>
      <c r="K570" s="90"/>
      <c r="L570" s="90"/>
      <c r="M570" s="146"/>
      <c r="N570" s="147"/>
      <c r="O570" s="147"/>
      <c r="P570" s="148"/>
      <c r="Q570" s="90"/>
      <c r="R570" s="91"/>
    </row>
    <row r="571" ht="15.75" customHeight="1">
      <c r="A571" s="90"/>
      <c r="B571" s="90"/>
      <c r="C571" s="144"/>
      <c r="D571" s="145"/>
      <c r="E571" s="90"/>
      <c r="F571" s="90"/>
      <c r="G571" s="90"/>
      <c r="H571" s="90"/>
      <c r="I571" s="90"/>
      <c r="J571" s="90"/>
      <c r="K571" s="90"/>
      <c r="L571" s="90"/>
      <c r="M571" s="146"/>
      <c r="N571" s="147"/>
      <c r="O571" s="147"/>
      <c r="P571" s="148"/>
      <c r="Q571" s="90"/>
      <c r="R571" s="91"/>
    </row>
    <row r="572" ht="15.75" customHeight="1">
      <c r="A572" s="90"/>
      <c r="B572" s="90"/>
      <c r="C572" s="144"/>
      <c r="D572" s="145"/>
      <c r="E572" s="90"/>
      <c r="F572" s="90"/>
      <c r="G572" s="90"/>
      <c r="H572" s="90"/>
      <c r="I572" s="90"/>
      <c r="J572" s="90"/>
      <c r="K572" s="90"/>
      <c r="L572" s="90"/>
      <c r="M572" s="146"/>
      <c r="N572" s="147"/>
      <c r="O572" s="147"/>
      <c r="P572" s="148"/>
      <c r="Q572" s="90"/>
      <c r="R572" s="91"/>
    </row>
    <row r="573" ht="15.75" customHeight="1">
      <c r="A573" s="90"/>
      <c r="B573" s="90"/>
      <c r="C573" s="144"/>
      <c r="D573" s="145"/>
      <c r="E573" s="90"/>
      <c r="F573" s="90"/>
      <c r="G573" s="90"/>
      <c r="H573" s="90"/>
      <c r="I573" s="90"/>
      <c r="J573" s="90"/>
      <c r="K573" s="90"/>
      <c r="L573" s="90"/>
      <c r="M573" s="146"/>
      <c r="N573" s="147"/>
      <c r="O573" s="147"/>
      <c r="P573" s="148"/>
      <c r="Q573" s="90"/>
      <c r="R573" s="91"/>
    </row>
    <row r="574" ht="15.75" customHeight="1">
      <c r="A574" s="90"/>
      <c r="B574" s="90"/>
      <c r="C574" s="144"/>
      <c r="D574" s="145"/>
      <c r="E574" s="90"/>
      <c r="F574" s="90"/>
      <c r="G574" s="90"/>
      <c r="H574" s="90"/>
      <c r="I574" s="90"/>
      <c r="J574" s="90"/>
      <c r="K574" s="90"/>
      <c r="L574" s="90"/>
      <c r="M574" s="146"/>
      <c r="N574" s="147"/>
      <c r="O574" s="147"/>
      <c r="P574" s="148"/>
      <c r="Q574" s="90"/>
      <c r="R574" s="91"/>
    </row>
    <row r="575" ht="15.75" customHeight="1">
      <c r="A575" s="90"/>
      <c r="B575" s="90"/>
      <c r="C575" s="144"/>
      <c r="D575" s="145"/>
      <c r="E575" s="90"/>
      <c r="F575" s="90"/>
      <c r="G575" s="90"/>
      <c r="H575" s="90"/>
      <c r="I575" s="90"/>
      <c r="J575" s="90"/>
      <c r="K575" s="90"/>
      <c r="L575" s="90"/>
      <c r="M575" s="146"/>
      <c r="N575" s="147"/>
      <c r="O575" s="147"/>
      <c r="P575" s="148"/>
      <c r="Q575" s="90"/>
      <c r="R575" s="91"/>
    </row>
    <row r="576" ht="15.75" customHeight="1">
      <c r="A576" s="90"/>
      <c r="B576" s="90"/>
      <c r="C576" s="144"/>
      <c r="D576" s="145"/>
      <c r="E576" s="90"/>
      <c r="F576" s="90"/>
      <c r="G576" s="90"/>
      <c r="H576" s="90"/>
      <c r="I576" s="90"/>
      <c r="J576" s="90"/>
      <c r="K576" s="90"/>
      <c r="L576" s="90"/>
      <c r="M576" s="146"/>
      <c r="N576" s="147"/>
      <c r="O576" s="147"/>
      <c r="P576" s="148"/>
      <c r="Q576" s="90"/>
      <c r="R576" s="91"/>
    </row>
    <row r="577" ht="15.75" customHeight="1">
      <c r="A577" s="90"/>
      <c r="B577" s="90"/>
      <c r="C577" s="144"/>
      <c r="D577" s="145"/>
      <c r="E577" s="90"/>
      <c r="F577" s="90"/>
      <c r="G577" s="90"/>
      <c r="H577" s="90"/>
      <c r="I577" s="90"/>
      <c r="J577" s="90"/>
      <c r="K577" s="90"/>
      <c r="L577" s="90"/>
      <c r="M577" s="146"/>
      <c r="N577" s="147"/>
      <c r="O577" s="147"/>
      <c r="P577" s="148"/>
      <c r="Q577" s="90"/>
      <c r="R577" s="91"/>
    </row>
    <row r="578" ht="15.75" customHeight="1">
      <c r="A578" s="90"/>
      <c r="B578" s="90"/>
      <c r="C578" s="144"/>
      <c r="D578" s="145"/>
      <c r="E578" s="90"/>
      <c r="F578" s="90"/>
      <c r="G578" s="90"/>
      <c r="H578" s="90"/>
      <c r="I578" s="90"/>
      <c r="J578" s="90"/>
      <c r="K578" s="90"/>
      <c r="L578" s="90"/>
      <c r="M578" s="146"/>
      <c r="N578" s="147"/>
      <c r="O578" s="147"/>
      <c r="P578" s="148"/>
      <c r="Q578" s="90"/>
      <c r="R578" s="91"/>
    </row>
    <row r="579" ht="15.75" customHeight="1">
      <c r="A579" s="90"/>
      <c r="B579" s="90"/>
      <c r="C579" s="144"/>
      <c r="D579" s="145"/>
      <c r="E579" s="90"/>
      <c r="F579" s="90"/>
      <c r="G579" s="90"/>
      <c r="H579" s="90"/>
      <c r="I579" s="90"/>
      <c r="J579" s="90"/>
      <c r="K579" s="90"/>
      <c r="L579" s="90"/>
      <c r="M579" s="146"/>
      <c r="N579" s="147"/>
      <c r="O579" s="147"/>
      <c r="P579" s="148"/>
      <c r="Q579" s="90"/>
      <c r="R579" s="91"/>
    </row>
    <row r="580" ht="15.75" customHeight="1">
      <c r="A580" s="90"/>
      <c r="B580" s="90"/>
      <c r="C580" s="144"/>
      <c r="D580" s="145"/>
      <c r="E580" s="90"/>
      <c r="F580" s="90"/>
      <c r="G580" s="90"/>
      <c r="H580" s="90"/>
      <c r="I580" s="90"/>
      <c r="J580" s="90"/>
      <c r="K580" s="90"/>
      <c r="L580" s="90"/>
      <c r="M580" s="146"/>
      <c r="N580" s="147"/>
      <c r="O580" s="147"/>
      <c r="P580" s="148"/>
      <c r="Q580" s="90"/>
      <c r="R580" s="91"/>
    </row>
    <row r="581" ht="15.75" customHeight="1">
      <c r="A581" s="90"/>
      <c r="B581" s="90"/>
      <c r="C581" s="144"/>
      <c r="D581" s="145"/>
      <c r="E581" s="90"/>
      <c r="F581" s="90"/>
      <c r="G581" s="90"/>
      <c r="H581" s="90"/>
      <c r="I581" s="90"/>
      <c r="J581" s="90"/>
      <c r="K581" s="90"/>
      <c r="L581" s="90"/>
      <c r="M581" s="146"/>
      <c r="N581" s="147"/>
      <c r="O581" s="147"/>
      <c r="P581" s="148"/>
      <c r="Q581" s="90"/>
      <c r="R581" s="91"/>
    </row>
    <row r="582" ht="15.75" customHeight="1">
      <c r="A582" s="90"/>
      <c r="B582" s="90"/>
      <c r="C582" s="144"/>
      <c r="D582" s="145"/>
      <c r="E582" s="90"/>
      <c r="F582" s="90"/>
      <c r="G582" s="90"/>
      <c r="H582" s="90"/>
      <c r="I582" s="90"/>
      <c r="J582" s="90"/>
      <c r="K582" s="90"/>
      <c r="L582" s="90"/>
      <c r="M582" s="146"/>
      <c r="N582" s="147"/>
      <c r="O582" s="147"/>
      <c r="P582" s="148"/>
      <c r="Q582" s="90"/>
      <c r="R582" s="91"/>
    </row>
    <row r="583" ht="15.75" customHeight="1">
      <c r="A583" s="90"/>
      <c r="B583" s="90"/>
      <c r="C583" s="144"/>
      <c r="D583" s="145"/>
      <c r="E583" s="90"/>
      <c r="F583" s="90"/>
      <c r="G583" s="90"/>
      <c r="H583" s="90"/>
      <c r="I583" s="90"/>
      <c r="J583" s="90"/>
      <c r="K583" s="90"/>
      <c r="L583" s="90"/>
      <c r="M583" s="146"/>
      <c r="N583" s="147"/>
      <c r="O583" s="147"/>
      <c r="P583" s="148"/>
      <c r="Q583" s="90"/>
      <c r="R583" s="91"/>
    </row>
    <row r="584" ht="15.75" customHeight="1">
      <c r="A584" s="90"/>
      <c r="B584" s="90"/>
      <c r="C584" s="144"/>
      <c r="D584" s="145"/>
      <c r="E584" s="90"/>
      <c r="F584" s="90"/>
      <c r="G584" s="90"/>
      <c r="H584" s="90"/>
      <c r="I584" s="90"/>
      <c r="J584" s="90"/>
      <c r="K584" s="90"/>
      <c r="L584" s="90"/>
      <c r="M584" s="146"/>
      <c r="N584" s="147"/>
      <c r="O584" s="147"/>
      <c r="P584" s="148"/>
      <c r="Q584" s="90"/>
      <c r="R584" s="91"/>
    </row>
    <row r="585" ht="15.75" customHeight="1">
      <c r="A585" s="90"/>
      <c r="B585" s="90"/>
      <c r="C585" s="144"/>
      <c r="D585" s="145"/>
      <c r="E585" s="90"/>
      <c r="F585" s="90"/>
      <c r="G585" s="90"/>
      <c r="H585" s="90"/>
      <c r="I585" s="90"/>
      <c r="J585" s="90"/>
      <c r="K585" s="90"/>
      <c r="L585" s="90"/>
      <c r="M585" s="146"/>
      <c r="N585" s="147"/>
      <c r="O585" s="147"/>
      <c r="P585" s="148"/>
      <c r="Q585" s="90"/>
      <c r="R585" s="91"/>
    </row>
    <row r="586" ht="15.75" customHeight="1">
      <c r="A586" s="90"/>
      <c r="B586" s="90"/>
      <c r="C586" s="144"/>
      <c r="D586" s="145"/>
      <c r="E586" s="90"/>
      <c r="F586" s="90"/>
      <c r="G586" s="90"/>
      <c r="H586" s="90"/>
      <c r="I586" s="90"/>
      <c r="J586" s="90"/>
      <c r="K586" s="90"/>
      <c r="L586" s="90"/>
      <c r="M586" s="146"/>
      <c r="N586" s="147"/>
      <c r="O586" s="147"/>
      <c r="P586" s="148"/>
      <c r="Q586" s="90"/>
      <c r="R586" s="91"/>
    </row>
    <row r="587" ht="15.75" customHeight="1">
      <c r="A587" s="90"/>
      <c r="B587" s="90"/>
      <c r="C587" s="144"/>
      <c r="D587" s="145"/>
      <c r="E587" s="90"/>
      <c r="F587" s="90"/>
      <c r="G587" s="90"/>
      <c r="H587" s="90"/>
      <c r="I587" s="90"/>
      <c r="J587" s="90"/>
      <c r="K587" s="90"/>
      <c r="L587" s="90"/>
      <c r="M587" s="146"/>
      <c r="N587" s="147"/>
      <c r="O587" s="147"/>
      <c r="P587" s="148"/>
      <c r="Q587" s="90"/>
      <c r="R587" s="91"/>
    </row>
    <row r="588" ht="15.75" customHeight="1">
      <c r="A588" s="90"/>
      <c r="B588" s="90"/>
      <c r="C588" s="144"/>
      <c r="D588" s="145"/>
      <c r="E588" s="90"/>
      <c r="F588" s="90"/>
      <c r="G588" s="90"/>
      <c r="H588" s="90"/>
      <c r="I588" s="90"/>
      <c r="J588" s="90"/>
      <c r="K588" s="90"/>
      <c r="L588" s="90"/>
      <c r="M588" s="146"/>
      <c r="N588" s="147"/>
      <c r="O588" s="147"/>
      <c r="P588" s="148"/>
      <c r="Q588" s="90"/>
      <c r="R588" s="91"/>
    </row>
    <row r="589" ht="15.75" customHeight="1">
      <c r="A589" s="90"/>
      <c r="B589" s="90"/>
      <c r="C589" s="144"/>
      <c r="D589" s="145"/>
      <c r="E589" s="90"/>
      <c r="F589" s="90"/>
      <c r="G589" s="90"/>
      <c r="H589" s="90"/>
      <c r="I589" s="90"/>
      <c r="J589" s="90"/>
      <c r="K589" s="90"/>
      <c r="L589" s="90"/>
      <c r="M589" s="146"/>
      <c r="N589" s="147"/>
      <c r="O589" s="147"/>
      <c r="P589" s="148"/>
      <c r="Q589" s="90"/>
      <c r="R589" s="91"/>
    </row>
    <row r="590" ht="15.75" customHeight="1">
      <c r="A590" s="90"/>
      <c r="B590" s="90"/>
      <c r="C590" s="144"/>
      <c r="D590" s="145"/>
      <c r="E590" s="90"/>
      <c r="F590" s="90"/>
      <c r="G590" s="90"/>
      <c r="H590" s="90"/>
      <c r="I590" s="90"/>
      <c r="J590" s="90"/>
      <c r="K590" s="90"/>
      <c r="L590" s="90"/>
      <c r="M590" s="146"/>
      <c r="N590" s="147"/>
      <c r="O590" s="147"/>
      <c r="P590" s="148"/>
      <c r="Q590" s="90"/>
      <c r="R590" s="91"/>
    </row>
    <row r="591" ht="15.75" customHeight="1">
      <c r="A591" s="90"/>
      <c r="B591" s="90"/>
      <c r="C591" s="144"/>
      <c r="D591" s="145"/>
      <c r="E591" s="90"/>
      <c r="F591" s="90"/>
      <c r="G591" s="90"/>
      <c r="H591" s="90"/>
      <c r="I591" s="90"/>
      <c r="J591" s="90"/>
      <c r="K591" s="90"/>
      <c r="L591" s="90"/>
      <c r="M591" s="146"/>
      <c r="N591" s="147"/>
      <c r="O591" s="147"/>
      <c r="P591" s="148"/>
      <c r="Q591" s="90"/>
      <c r="R591" s="91"/>
    </row>
    <row r="592" ht="15.75" customHeight="1">
      <c r="A592" s="90"/>
      <c r="B592" s="90"/>
      <c r="C592" s="144"/>
      <c r="D592" s="145"/>
      <c r="E592" s="90"/>
      <c r="F592" s="90"/>
      <c r="G592" s="90"/>
      <c r="H592" s="90"/>
      <c r="I592" s="90"/>
      <c r="J592" s="90"/>
      <c r="K592" s="90"/>
      <c r="L592" s="90"/>
      <c r="M592" s="146"/>
      <c r="N592" s="147"/>
      <c r="O592" s="147"/>
      <c r="P592" s="148"/>
      <c r="Q592" s="90"/>
      <c r="R592" s="91"/>
    </row>
    <row r="593" ht="15.75" customHeight="1">
      <c r="A593" s="90"/>
      <c r="B593" s="90"/>
      <c r="C593" s="144"/>
      <c r="D593" s="145"/>
      <c r="E593" s="90"/>
      <c r="F593" s="90"/>
      <c r="G593" s="90"/>
      <c r="H593" s="90"/>
      <c r="I593" s="90"/>
      <c r="J593" s="90"/>
      <c r="K593" s="90"/>
      <c r="L593" s="90"/>
      <c r="M593" s="146"/>
      <c r="N593" s="147"/>
      <c r="O593" s="147"/>
      <c r="P593" s="148"/>
      <c r="Q593" s="90"/>
      <c r="R593" s="91"/>
    </row>
    <row r="594" ht="15.75" customHeight="1">
      <c r="A594" s="90"/>
      <c r="B594" s="90"/>
      <c r="C594" s="144"/>
      <c r="D594" s="145"/>
      <c r="E594" s="90"/>
      <c r="F594" s="90"/>
      <c r="G594" s="90"/>
      <c r="H594" s="90"/>
      <c r="I594" s="90"/>
      <c r="J594" s="90"/>
      <c r="K594" s="90"/>
      <c r="L594" s="90"/>
      <c r="M594" s="146"/>
      <c r="N594" s="147"/>
      <c r="O594" s="147"/>
      <c r="P594" s="148"/>
      <c r="Q594" s="90"/>
      <c r="R594" s="91"/>
    </row>
    <row r="595" ht="15.75" customHeight="1">
      <c r="A595" s="90"/>
      <c r="B595" s="90"/>
      <c r="C595" s="144"/>
      <c r="D595" s="145"/>
      <c r="E595" s="90"/>
      <c r="F595" s="90"/>
      <c r="G595" s="90"/>
      <c r="H595" s="90"/>
      <c r="I595" s="90"/>
      <c r="J595" s="90"/>
      <c r="K595" s="90"/>
      <c r="L595" s="90"/>
      <c r="M595" s="146"/>
      <c r="N595" s="147"/>
      <c r="O595" s="147"/>
      <c r="P595" s="148"/>
      <c r="Q595" s="90"/>
      <c r="R595" s="91"/>
    </row>
    <row r="596" ht="15.75" customHeight="1">
      <c r="A596" s="90"/>
      <c r="B596" s="90"/>
      <c r="C596" s="144"/>
      <c r="D596" s="145"/>
      <c r="E596" s="90"/>
      <c r="F596" s="90"/>
      <c r="G596" s="90"/>
      <c r="H596" s="90"/>
      <c r="I596" s="90"/>
      <c r="J596" s="90"/>
      <c r="K596" s="90"/>
      <c r="L596" s="90"/>
      <c r="M596" s="146"/>
      <c r="N596" s="147"/>
      <c r="O596" s="147"/>
      <c r="P596" s="148"/>
      <c r="Q596" s="90"/>
      <c r="R596" s="91"/>
    </row>
    <row r="597" ht="15.75" customHeight="1">
      <c r="A597" s="90"/>
      <c r="B597" s="90"/>
      <c r="C597" s="144"/>
      <c r="D597" s="145"/>
      <c r="E597" s="90"/>
      <c r="F597" s="90"/>
      <c r="G597" s="90"/>
      <c r="H597" s="90"/>
      <c r="I597" s="90"/>
      <c r="J597" s="90"/>
      <c r="K597" s="90"/>
      <c r="L597" s="90"/>
      <c r="M597" s="146"/>
      <c r="N597" s="147"/>
      <c r="O597" s="147"/>
      <c r="P597" s="148"/>
      <c r="Q597" s="90"/>
      <c r="R597" s="91"/>
    </row>
    <row r="598" ht="15.75" customHeight="1">
      <c r="A598" s="90"/>
      <c r="B598" s="90"/>
      <c r="C598" s="144"/>
      <c r="D598" s="145"/>
      <c r="E598" s="90"/>
      <c r="F598" s="90"/>
      <c r="G598" s="90"/>
      <c r="H598" s="90"/>
      <c r="I598" s="90"/>
      <c r="J598" s="90"/>
      <c r="K598" s="90"/>
      <c r="L598" s="90"/>
      <c r="M598" s="146"/>
      <c r="N598" s="147"/>
      <c r="O598" s="147"/>
      <c r="P598" s="148"/>
      <c r="Q598" s="90"/>
      <c r="R598" s="91"/>
    </row>
    <row r="599" ht="15.75" customHeight="1">
      <c r="A599" s="90"/>
      <c r="B599" s="90"/>
      <c r="C599" s="144"/>
      <c r="D599" s="145"/>
      <c r="E599" s="90"/>
      <c r="F599" s="90"/>
      <c r="G599" s="90"/>
      <c r="H599" s="90"/>
      <c r="I599" s="90"/>
      <c r="J599" s="90"/>
      <c r="K599" s="90"/>
      <c r="L599" s="90"/>
      <c r="M599" s="146"/>
      <c r="N599" s="147"/>
      <c r="O599" s="147"/>
      <c r="P599" s="148"/>
      <c r="Q599" s="90"/>
      <c r="R599" s="91"/>
    </row>
    <row r="600" ht="15.75" customHeight="1">
      <c r="A600" s="90"/>
      <c r="B600" s="90"/>
      <c r="C600" s="144"/>
      <c r="D600" s="145"/>
      <c r="E600" s="90"/>
      <c r="F600" s="90"/>
      <c r="G600" s="90"/>
      <c r="H600" s="90"/>
      <c r="I600" s="90"/>
      <c r="J600" s="90"/>
      <c r="K600" s="90"/>
      <c r="L600" s="90"/>
      <c r="M600" s="146"/>
      <c r="N600" s="147"/>
      <c r="O600" s="147"/>
      <c r="P600" s="148"/>
      <c r="Q600" s="90"/>
      <c r="R600" s="91"/>
    </row>
    <row r="601" ht="15.75" customHeight="1">
      <c r="A601" s="90"/>
      <c r="B601" s="90"/>
      <c r="C601" s="144"/>
      <c r="D601" s="145"/>
      <c r="E601" s="90"/>
      <c r="F601" s="90"/>
      <c r="G601" s="90"/>
      <c r="H601" s="90"/>
      <c r="I601" s="90"/>
      <c r="J601" s="90"/>
      <c r="K601" s="90"/>
      <c r="L601" s="90"/>
      <c r="M601" s="146"/>
      <c r="N601" s="147"/>
      <c r="O601" s="147"/>
      <c r="P601" s="148"/>
      <c r="Q601" s="90"/>
      <c r="R601" s="91"/>
    </row>
    <row r="602" ht="15.75" customHeight="1">
      <c r="A602" s="90"/>
      <c r="B602" s="90"/>
      <c r="C602" s="144"/>
      <c r="D602" s="145"/>
      <c r="E602" s="90"/>
      <c r="F602" s="90"/>
      <c r="G602" s="90"/>
      <c r="H602" s="90"/>
      <c r="I602" s="90"/>
      <c r="J602" s="90"/>
      <c r="K602" s="90"/>
      <c r="L602" s="90"/>
      <c r="M602" s="146"/>
      <c r="N602" s="147"/>
      <c r="O602" s="147"/>
      <c r="P602" s="148"/>
      <c r="Q602" s="90"/>
      <c r="R602" s="91"/>
    </row>
    <row r="603" ht="15.75" customHeight="1">
      <c r="A603" s="90"/>
      <c r="B603" s="90"/>
      <c r="C603" s="144"/>
      <c r="D603" s="145"/>
      <c r="E603" s="90"/>
      <c r="F603" s="90"/>
      <c r="G603" s="90"/>
      <c r="H603" s="90"/>
      <c r="I603" s="90"/>
      <c r="J603" s="90"/>
      <c r="K603" s="90"/>
      <c r="L603" s="90"/>
      <c r="M603" s="146"/>
      <c r="N603" s="147"/>
      <c r="O603" s="147"/>
      <c r="P603" s="148"/>
      <c r="Q603" s="90"/>
      <c r="R603" s="91"/>
    </row>
    <row r="604" ht="15.75" customHeight="1">
      <c r="A604" s="90"/>
      <c r="B604" s="90"/>
      <c r="C604" s="144"/>
      <c r="D604" s="145"/>
      <c r="E604" s="90"/>
      <c r="F604" s="90"/>
      <c r="G604" s="90"/>
      <c r="H604" s="90"/>
      <c r="I604" s="90"/>
      <c r="J604" s="90"/>
      <c r="K604" s="90"/>
      <c r="L604" s="90"/>
      <c r="M604" s="146"/>
      <c r="N604" s="147"/>
      <c r="O604" s="147"/>
      <c r="P604" s="148"/>
      <c r="Q604" s="90"/>
      <c r="R604" s="91"/>
    </row>
    <row r="605" ht="15.75" customHeight="1">
      <c r="A605" s="90"/>
      <c r="B605" s="90"/>
      <c r="C605" s="144"/>
      <c r="D605" s="145"/>
      <c r="E605" s="90"/>
      <c r="F605" s="90"/>
      <c r="G605" s="90"/>
      <c r="H605" s="90"/>
      <c r="I605" s="90"/>
      <c r="J605" s="90"/>
      <c r="K605" s="90"/>
      <c r="L605" s="90"/>
      <c r="M605" s="146"/>
      <c r="N605" s="147"/>
      <c r="O605" s="147"/>
      <c r="P605" s="148"/>
      <c r="Q605" s="90"/>
      <c r="R605" s="91"/>
    </row>
    <row r="606" ht="15.75" customHeight="1">
      <c r="A606" s="90"/>
      <c r="B606" s="90"/>
      <c r="C606" s="144"/>
      <c r="D606" s="145"/>
      <c r="E606" s="90"/>
      <c r="F606" s="90"/>
      <c r="G606" s="90"/>
      <c r="H606" s="90"/>
      <c r="I606" s="90"/>
      <c r="J606" s="90"/>
      <c r="K606" s="90"/>
      <c r="L606" s="90"/>
      <c r="M606" s="146"/>
      <c r="N606" s="147"/>
      <c r="O606" s="147"/>
      <c r="P606" s="148"/>
      <c r="Q606" s="90"/>
      <c r="R606" s="91"/>
    </row>
    <row r="607" ht="15.75" customHeight="1">
      <c r="A607" s="90"/>
      <c r="B607" s="90"/>
      <c r="C607" s="144"/>
      <c r="D607" s="145"/>
      <c r="E607" s="90"/>
      <c r="F607" s="90"/>
      <c r="G607" s="90"/>
      <c r="H607" s="90"/>
      <c r="I607" s="90"/>
      <c r="J607" s="90"/>
      <c r="K607" s="90"/>
      <c r="L607" s="90"/>
      <c r="M607" s="146"/>
      <c r="N607" s="147"/>
      <c r="O607" s="147"/>
      <c r="P607" s="148"/>
      <c r="Q607" s="90"/>
      <c r="R607" s="91"/>
    </row>
    <row r="608" ht="15.75" customHeight="1">
      <c r="A608" s="90"/>
      <c r="B608" s="90"/>
      <c r="C608" s="144"/>
      <c r="D608" s="145"/>
      <c r="E608" s="90"/>
      <c r="F608" s="90"/>
      <c r="G608" s="90"/>
      <c r="H608" s="90"/>
      <c r="I608" s="90"/>
      <c r="J608" s="90"/>
      <c r="K608" s="90"/>
      <c r="L608" s="90"/>
      <c r="M608" s="146"/>
      <c r="N608" s="147"/>
      <c r="O608" s="147"/>
      <c r="P608" s="148"/>
      <c r="Q608" s="90"/>
      <c r="R608" s="91"/>
    </row>
    <row r="609" ht="15.75" customHeight="1">
      <c r="A609" s="90"/>
      <c r="B609" s="90"/>
      <c r="C609" s="144"/>
      <c r="D609" s="145"/>
      <c r="E609" s="90"/>
      <c r="F609" s="90"/>
      <c r="G609" s="90"/>
      <c r="H609" s="90"/>
      <c r="I609" s="90"/>
      <c r="J609" s="90"/>
      <c r="K609" s="90"/>
      <c r="L609" s="90"/>
      <c r="M609" s="146"/>
      <c r="N609" s="147"/>
      <c r="O609" s="147"/>
      <c r="P609" s="148"/>
      <c r="Q609" s="90"/>
      <c r="R609" s="91"/>
    </row>
    <row r="610" ht="15.75" customHeight="1">
      <c r="A610" s="90"/>
      <c r="B610" s="90"/>
      <c r="C610" s="144"/>
      <c r="D610" s="145"/>
      <c r="E610" s="90"/>
      <c r="F610" s="90"/>
      <c r="G610" s="90"/>
      <c r="H610" s="90"/>
      <c r="I610" s="90"/>
      <c r="J610" s="90"/>
      <c r="K610" s="90"/>
      <c r="L610" s="90"/>
      <c r="M610" s="146"/>
      <c r="N610" s="147"/>
      <c r="O610" s="147"/>
      <c r="P610" s="148"/>
      <c r="Q610" s="90"/>
      <c r="R610" s="91"/>
    </row>
    <row r="611" ht="15.75" customHeight="1">
      <c r="A611" s="90"/>
      <c r="B611" s="90"/>
      <c r="C611" s="144"/>
      <c r="D611" s="145"/>
      <c r="E611" s="90"/>
      <c r="F611" s="90"/>
      <c r="G611" s="90"/>
      <c r="H611" s="90"/>
      <c r="I611" s="90"/>
      <c r="J611" s="90"/>
      <c r="K611" s="90"/>
      <c r="L611" s="90"/>
      <c r="M611" s="146"/>
      <c r="N611" s="147"/>
      <c r="O611" s="147"/>
      <c r="P611" s="148"/>
      <c r="Q611" s="90"/>
      <c r="R611" s="91"/>
    </row>
    <row r="612" ht="15.75" customHeight="1">
      <c r="A612" s="90"/>
      <c r="B612" s="90"/>
      <c r="C612" s="144"/>
      <c r="D612" s="145"/>
      <c r="E612" s="90"/>
      <c r="F612" s="90"/>
      <c r="G612" s="90"/>
      <c r="H612" s="90"/>
      <c r="I612" s="90"/>
      <c r="J612" s="90"/>
      <c r="K612" s="90"/>
      <c r="L612" s="90"/>
      <c r="M612" s="146"/>
      <c r="N612" s="147"/>
      <c r="O612" s="147"/>
      <c r="P612" s="148"/>
      <c r="Q612" s="90"/>
      <c r="R612" s="91"/>
    </row>
    <row r="613" ht="15.75" customHeight="1">
      <c r="A613" s="90"/>
      <c r="B613" s="90"/>
      <c r="C613" s="144"/>
      <c r="D613" s="145"/>
      <c r="E613" s="90"/>
      <c r="F613" s="90"/>
      <c r="G613" s="90"/>
      <c r="H613" s="90"/>
      <c r="I613" s="90"/>
      <c r="J613" s="90"/>
      <c r="K613" s="90"/>
      <c r="L613" s="90"/>
      <c r="M613" s="146"/>
      <c r="N613" s="147"/>
      <c r="O613" s="147"/>
      <c r="P613" s="148"/>
      <c r="Q613" s="90"/>
      <c r="R613" s="91"/>
    </row>
    <row r="614" ht="15.75" customHeight="1">
      <c r="A614" s="90"/>
      <c r="B614" s="90"/>
      <c r="C614" s="144"/>
      <c r="D614" s="145"/>
      <c r="E614" s="90"/>
      <c r="F614" s="90"/>
      <c r="G614" s="90"/>
      <c r="H614" s="90"/>
      <c r="I614" s="90"/>
      <c r="J614" s="90"/>
      <c r="K614" s="90"/>
      <c r="L614" s="90"/>
      <c r="M614" s="146"/>
      <c r="N614" s="147"/>
      <c r="O614" s="147"/>
      <c r="P614" s="148"/>
      <c r="Q614" s="90"/>
      <c r="R614" s="91"/>
    </row>
    <row r="615" ht="15.75" customHeight="1">
      <c r="A615" s="90"/>
      <c r="B615" s="90"/>
      <c r="C615" s="144"/>
      <c r="D615" s="145"/>
      <c r="E615" s="90"/>
      <c r="F615" s="90"/>
      <c r="G615" s="90"/>
      <c r="H615" s="90"/>
      <c r="I615" s="90"/>
      <c r="J615" s="90"/>
      <c r="K615" s="90"/>
      <c r="L615" s="90"/>
      <c r="M615" s="146"/>
      <c r="N615" s="147"/>
      <c r="O615" s="147"/>
      <c r="P615" s="148"/>
      <c r="Q615" s="90"/>
      <c r="R615" s="91"/>
    </row>
    <row r="616" ht="15.75" customHeight="1">
      <c r="A616" s="90"/>
      <c r="B616" s="90"/>
      <c r="C616" s="144"/>
      <c r="D616" s="145"/>
      <c r="E616" s="90"/>
      <c r="F616" s="90"/>
      <c r="G616" s="90"/>
      <c r="H616" s="90"/>
      <c r="I616" s="90"/>
      <c r="J616" s="90"/>
      <c r="K616" s="90"/>
      <c r="L616" s="90"/>
      <c r="M616" s="146"/>
      <c r="N616" s="147"/>
      <c r="O616" s="147"/>
      <c r="P616" s="148"/>
      <c r="Q616" s="90"/>
      <c r="R616" s="91"/>
    </row>
    <row r="617" ht="15.75" customHeight="1">
      <c r="A617" s="90"/>
      <c r="B617" s="90"/>
      <c r="C617" s="144"/>
      <c r="D617" s="145"/>
      <c r="E617" s="90"/>
      <c r="F617" s="90"/>
      <c r="G617" s="90"/>
      <c r="H617" s="90"/>
      <c r="I617" s="90"/>
      <c r="J617" s="90"/>
      <c r="K617" s="90"/>
      <c r="L617" s="90"/>
      <c r="M617" s="146"/>
      <c r="N617" s="147"/>
      <c r="O617" s="147"/>
      <c r="P617" s="148"/>
      <c r="Q617" s="90"/>
      <c r="R617" s="91"/>
    </row>
    <row r="618" ht="15.75" customHeight="1">
      <c r="A618" s="90"/>
      <c r="B618" s="90"/>
      <c r="C618" s="144"/>
      <c r="D618" s="145"/>
      <c r="E618" s="90"/>
      <c r="F618" s="90"/>
      <c r="G618" s="90"/>
      <c r="H618" s="90"/>
      <c r="I618" s="90"/>
      <c r="J618" s="90"/>
      <c r="K618" s="90"/>
      <c r="L618" s="90"/>
      <c r="M618" s="146"/>
      <c r="N618" s="147"/>
      <c r="O618" s="147"/>
      <c r="P618" s="148"/>
      <c r="Q618" s="90"/>
      <c r="R618" s="91"/>
    </row>
    <row r="619" ht="15.75" customHeight="1">
      <c r="A619" s="90"/>
      <c r="B619" s="90"/>
      <c r="C619" s="144"/>
      <c r="D619" s="145"/>
      <c r="E619" s="90"/>
      <c r="F619" s="90"/>
      <c r="G619" s="90"/>
      <c r="H619" s="90"/>
      <c r="I619" s="90"/>
      <c r="J619" s="90"/>
      <c r="K619" s="90"/>
      <c r="L619" s="90"/>
      <c r="M619" s="146"/>
      <c r="N619" s="147"/>
      <c r="O619" s="147"/>
      <c r="P619" s="148"/>
      <c r="Q619" s="90"/>
      <c r="R619" s="91"/>
    </row>
    <row r="620" ht="15.75" customHeight="1">
      <c r="A620" s="90"/>
      <c r="B620" s="90"/>
      <c r="C620" s="144"/>
      <c r="D620" s="145"/>
      <c r="E620" s="90"/>
      <c r="F620" s="90"/>
      <c r="G620" s="90"/>
      <c r="H620" s="90"/>
      <c r="I620" s="90"/>
      <c r="J620" s="90"/>
      <c r="K620" s="90"/>
      <c r="L620" s="90"/>
      <c r="M620" s="146"/>
      <c r="N620" s="147"/>
      <c r="O620" s="147"/>
      <c r="P620" s="148"/>
      <c r="Q620" s="90"/>
      <c r="R620" s="91"/>
    </row>
    <row r="621" ht="15.75" customHeight="1">
      <c r="A621" s="90"/>
      <c r="B621" s="90"/>
      <c r="C621" s="144"/>
      <c r="D621" s="145"/>
      <c r="E621" s="90"/>
      <c r="F621" s="90"/>
      <c r="G621" s="90"/>
      <c r="H621" s="90"/>
      <c r="I621" s="90"/>
      <c r="J621" s="90"/>
      <c r="K621" s="90"/>
      <c r="L621" s="90"/>
      <c r="M621" s="146"/>
      <c r="N621" s="147"/>
      <c r="O621" s="147"/>
      <c r="P621" s="148"/>
      <c r="Q621" s="90"/>
      <c r="R621" s="91"/>
    </row>
    <row r="622" ht="15.75" customHeight="1">
      <c r="A622" s="90"/>
      <c r="B622" s="90"/>
      <c r="C622" s="144"/>
      <c r="D622" s="145"/>
      <c r="E622" s="90"/>
      <c r="F622" s="90"/>
      <c r="G622" s="90"/>
      <c r="H622" s="90"/>
      <c r="I622" s="90"/>
      <c r="J622" s="90"/>
      <c r="K622" s="90"/>
      <c r="L622" s="90"/>
      <c r="M622" s="146"/>
      <c r="N622" s="147"/>
      <c r="O622" s="147"/>
      <c r="P622" s="148"/>
      <c r="Q622" s="90"/>
      <c r="R622" s="91"/>
    </row>
    <row r="623" ht="15.75" customHeight="1">
      <c r="A623" s="90"/>
      <c r="B623" s="90"/>
      <c r="C623" s="144"/>
      <c r="D623" s="145"/>
      <c r="E623" s="90"/>
      <c r="F623" s="90"/>
      <c r="G623" s="90"/>
      <c r="H623" s="90"/>
      <c r="I623" s="90"/>
      <c r="J623" s="90"/>
      <c r="K623" s="90"/>
      <c r="L623" s="90"/>
      <c r="M623" s="146"/>
      <c r="N623" s="147"/>
      <c r="O623" s="147"/>
      <c r="P623" s="148"/>
      <c r="Q623" s="90"/>
      <c r="R623" s="91"/>
    </row>
    <row r="624" ht="15.75" customHeight="1">
      <c r="A624" s="90"/>
      <c r="B624" s="90"/>
      <c r="C624" s="144"/>
      <c r="D624" s="145"/>
      <c r="E624" s="90"/>
      <c r="F624" s="90"/>
      <c r="G624" s="90"/>
      <c r="H624" s="90"/>
      <c r="I624" s="90"/>
      <c r="J624" s="90"/>
      <c r="K624" s="90"/>
      <c r="L624" s="90"/>
      <c r="M624" s="146"/>
      <c r="N624" s="147"/>
      <c r="O624" s="147"/>
      <c r="P624" s="148"/>
      <c r="Q624" s="90"/>
      <c r="R624" s="91"/>
    </row>
    <row r="625" ht="15.75" customHeight="1">
      <c r="A625" s="90"/>
      <c r="B625" s="90"/>
      <c r="C625" s="144"/>
      <c r="D625" s="145"/>
      <c r="E625" s="90"/>
      <c r="F625" s="90"/>
      <c r="G625" s="90"/>
      <c r="H625" s="90"/>
      <c r="I625" s="90"/>
      <c r="J625" s="90"/>
      <c r="K625" s="90"/>
      <c r="L625" s="90"/>
      <c r="M625" s="146"/>
      <c r="N625" s="147"/>
      <c r="O625" s="147"/>
      <c r="P625" s="148"/>
      <c r="Q625" s="90"/>
      <c r="R625" s="91"/>
    </row>
    <row r="626" ht="15.75" customHeight="1">
      <c r="A626" s="90"/>
      <c r="B626" s="90"/>
      <c r="C626" s="144"/>
      <c r="D626" s="145"/>
      <c r="E626" s="90"/>
      <c r="F626" s="90"/>
      <c r="G626" s="90"/>
      <c r="H626" s="90"/>
      <c r="I626" s="90"/>
      <c r="J626" s="90"/>
      <c r="K626" s="90"/>
      <c r="L626" s="90"/>
      <c r="M626" s="146"/>
      <c r="N626" s="147"/>
      <c r="O626" s="147"/>
      <c r="P626" s="148"/>
      <c r="Q626" s="90"/>
      <c r="R626" s="91"/>
    </row>
    <row r="627" ht="15.75" customHeight="1">
      <c r="A627" s="90"/>
      <c r="B627" s="90"/>
      <c r="C627" s="144"/>
      <c r="D627" s="145"/>
      <c r="E627" s="90"/>
      <c r="F627" s="90"/>
      <c r="G627" s="90"/>
      <c r="H627" s="90"/>
      <c r="I627" s="90"/>
      <c r="J627" s="90"/>
      <c r="K627" s="90"/>
      <c r="L627" s="90"/>
      <c r="M627" s="146"/>
      <c r="N627" s="147"/>
      <c r="O627" s="147"/>
      <c r="P627" s="148"/>
      <c r="Q627" s="90"/>
      <c r="R627" s="91"/>
    </row>
    <row r="628" ht="15.75" customHeight="1">
      <c r="A628" s="90"/>
      <c r="B628" s="90"/>
      <c r="C628" s="144"/>
      <c r="D628" s="145"/>
      <c r="E628" s="90"/>
      <c r="F628" s="90"/>
      <c r="G628" s="90"/>
      <c r="H628" s="90"/>
      <c r="I628" s="90"/>
      <c r="J628" s="90"/>
      <c r="K628" s="90"/>
      <c r="L628" s="90"/>
      <c r="M628" s="146"/>
      <c r="N628" s="147"/>
      <c r="O628" s="147"/>
      <c r="P628" s="148"/>
      <c r="Q628" s="90"/>
      <c r="R628" s="91"/>
    </row>
    <row r="629" ht="15.75" customHeight="1">
      <c r="A629" s="90"/>
      <c r="B629" s="90"/>
      <c r="C629" s="144"/>
      <c r="D629" s="145"/>
      <c r="E629" s="90"/>
      <c r="F629" s="90"/>
      <c r="G629" s="90"/>
      <c r="H629" s="90"/>
      <c r="I629" s="90"/>
      <c r="J629" s="90"/>
      <c r="K629" s="90"/>
      <c r="L629" s="90"/>
      <c r="M629" s="146"/>
      <c r="N629" s="147"/>
      <c r="O629" s="147"/>
      <c r="P629" s="148"/>
      <c r="Q629" s="90"/>
      <c r="R629" s="91"/>
    </row>
    <row r="630" ht="15.75" customHeight="1">
      <c r="A630" s="90"/>
      <c r="B630" s="90"/>
      <c r="C630" s="144"/>
      <c r="D630" s="145"/>
      <c r="E630" s="90"/>
      <c r="F630" s="90"/>
      <c r="G630" s="90"/>
      <c r="H630" s="90"/>
      <c r="I630" s="90"/>
      <c r="J630" s="90"/>
      <c r="K630" s="90"/>
      <c r="L630" s="90"/>
      <c r="M630" s="146"/>
      <c r="N630" s="147"/>
      <c r="O630" s="147"/>
      <c r="P630" s="148"/>
      <c r="Q630" s="90"/>
      <c r="R630" s="91"/>
    </row>
    <row r="631" ht="15.75" customHeight="1">
      <c r="A631" s="90"/>
      <c r="B631" s="90"/>
      <c r="C631" s="144"/>
      <c r="D631" s="145"/>
      <c r="E631" s="90"/>
      <c r="F631" s="90"/>
      <c r="G631" s="90"/>
      <c r="H631" s="90"/>
      <c r="I631" s="90"/>
      <c r="J631" s="90"/>
      <c r="K631" s="90"/>
      <c r="L631" s="90"/>
      <c r="M631" s="146"/>
      <c r="N631" s="147"/>
      <c r="O631" s="147"/>
      <c r="P631" s="148"/>
      <c r="Q631" s="90"/>
      <c r="R631" s="91"/>
    </row>
    <row r="632" ht="15.75" customHeight="1">
      <c r="A632" s="90"/>
      <c r="B632" s="90"/>
      <c r="C632" s="144"/>
      <c r="D632" s="145"/>
      <c r="E632" s="90"/>
      <c r="F632" s="90"/>
      <c r="G632" s="90"/>
      <c r="H632" s="90"/>
      <c r="I632" s="90"/>
      <c r="J632" s="90"/>
      <c r="K632" s="90"/>
      <c r="L632" s="90"/>
      <c r="M632" s="146"/>
      <c r="N632" s="147"/>
      <c r="O632" s="147"/>
      <c r="P632" s="148"/>
      <c r="Q632" s="90"/>
      <c r="R632" s="91"/>
    </row>
    <row r="633" ht="15.75" customHeight="1">
      <c r="A633" s="90"/>
      <c r="B633" s="90"/>
      <c r="C633" s="144"/>
      <c r="D633" s="145"/>
      <c r="E633" s="90"/>
      <c r="F633" s="90"/>
      <c r="G633" s="90"/>
      <c r="H633" s="90"/>
      <c r="I633" s="90"/>
      <c r="J633" s="90"/>
      <c r="K633" s="90"/>
      <c r="L633" s="90"/>
      <c r="M633" s="146"/>
      <c r="N633" s="147"/>
      <c r="O633" s="147"/>
      <c r="P633" s="148"/>
      <c r="Q633" s="90"/>
      <c r="R633" s="91"/>
    </row>
    <row r="634" ht="15.75" customHeight="1">
      <c r="A634" s="90"/>
      <c r="B634" s="90"/>
      <c r="C634" s="144"/>
      <c r="D634" s="145"/>
      <c r="E634" s="90"/>
      <c r="F634" s="90"/>
      <c r="G634" s="90"/>
      <c r="H634" s="90"/>
      <c r="I634" s="90"/>
      <c r="J634" s="90"/>
      <c r="K634" s="90"/>
      <c r="L634" s="90"/>
      <c r="M634" s="146"/>
      <c r="N634" s="147"/>
      <c r="O634" s="147"/>
      <c r="P634" s="148"/>
      <c r="Q634" s="90"/>
      <c r="R634" s="91"/>
    </row>
    <row r="635" ht="15.75" customHeight="1">
      <c r="A635" s="90"/>
      <c r="B635" s="90"/>
      <c r="C635" s="144"/>
      <c r="D635" s="145"/>
      <c r="E635" s="90"/>
      <c r="F635" s="90"/>
      <c r="G635" s="90"/>
      <c r="H635" s="90"/>
      <c r="I635" s="90"/>
      <c r="J635" s="90"/>
      <c r="K635" s="90"/>
      <c r="L635" s="90"/>
      <c r="M635" s="146"/>
      <c r="N635" s="147"/>
      <c r="O635" s="147"/>
      <c r="P635" s="148"/>
      <c r="Q635" s="90"/>
      <c r="R635" s="91"/>
    </row>
    <row r="636" ht="15.75" customHeight="1">
      <c r="A636" s="90"/>
      <c r="B636" s="90"/>
      <c r="C636" s="144"/>
      <c r="D636" s="145"/>
      <c r="E636" s="90"/>
      <c r="F636" s="90"/>
      <c r="G636" s="90"/>
      <c r="H636" s="90"/>
      <c r="I636" s="90"/>
      <c r="J636" s="90"/>
      <c r="K636" s="90"/>
      <c r="L636" s="90"/>
      <c r="M636" s="146"/>
      <c r="N636" s="147"/>
      <c r="O636" s="147"/>
      <c r="P636" s="148"/>
      <c r="Q636" s="90"/>
      <c r="R636" s="91"/>
    </row>
    <row r="637" ht="15.75" customHeight="1">
      <c r="A637" s="90"/>
      <c r="B637" s="90"/>
      <c r="C637" s="144"/>
      <c r="D637" s="145"/>
      <c r="E637" s="90"/>
      <c r="F637" s="90"/>
      <c r="G637" s="90"/>
      <c r="H637" s="90"/>
      <c r="I637" s="90"/>
      <c r="J637" s="90"/>
      <c r="K637" s="90"/>
      <c r="L637" s="90"/>
      <c r="M637" s="146"/>
      <c r="N637" s="147"/>
      <c r="O637" s="147"/>
      <c r="P637" s="148"/>
      <c r="Q637" s="90"/>
      <c r="R637" s="91"/>
    </row>
    <row r="638" ht="15.75" customHeight="1">
      <c r="A638" s="90"/>
      <c r="B638" s="90"/>
      <c r="C638" s="144"/>
      <c r="D638" s="145"/>
      <c r="E638" s="90"/>
      <c r="F638" s="90"/>
      <c r="G638" s="90"/>
      <c r="H638" s="90"/>
      <c r="I638" s="90"/>
      <c r="J638" s="90"/>
      <c r="K638" s="90"/>
      <c r="L638" s="90"/>
      <c r="M638" s="146"/>
      <c r="N638" s="147"/>
      <c r="O638" s="147"/>
      <c r="P638" s="148"/>
      <c r="Q638" s="90"/>
      <c r="R638" s="91"/>
    </row>
    <row r="639" ht="15.75" customHeight="1">
      <c r="A639" s="90"/>
      <c r="B639" s="90"/>
      <c r="C639" s="144"/>
      <c r="D639" s="145"/>
      <c r="E639" s="90"/>
      <c r="F639" s="90"/>
      <c r="G639" s="90"/>
      <c r="H639" s="90"/>
      <c r="I639" s="90"/>
      <c r="J639" s="90"/>
      <c r="K639" s="90"/>
      <c r="L639" s="90"/>
      <c r="M639" s="146"/>
      <c r="N639" s="147"/>
      <c r="O639" s="147"/>
      <c r="P639" s="148"/>
      <c r="Q639" s="90"/>
      <c r="R639" s="91"/>
    </row>
    <row r="640" ht="15.75" customHeight="1">
      <c r="A640" s="90"/>
      <c r="B640" s="90"/>
      <c r="C640" s="144"/>
      <c r="D640" s="145"/>
      <c r="E640" s="90"/>
      <c r="F640" s="90"/>
      <c r="G640" s="90"/>
      <c r="H640" s="90"/>
      <c r="I640" s="90"/>
      <c r="J640" s="90"/>
      <c r="K640" s="90"/>
      <c r="L640" s="90"/>
      <c r="M640" s="146"/>
      <c r="N640" s="147"/>
      <c r="O640" s="147"/>
      <c r="P640" s="148"/>
      <c r="Q640" s="90"/>
      <c r="R640" s="91"/>
    </row>
    <row r="641" ht="15.75" customHeight="1">
      <c r="A641" s="90"/>
      <c r="B641" s="90"/>
      <c r="C641" s="144"/>
      <c r="D641" s="145"/>
      <c r="E641" s="90"/>
      <c r="F641" s="90"/>
      <c r="G641" s="90"/>
      <c r="H641" s="90"/>
      <c r="I641" s="90"/>
      <c r="J641" s="90"/>
      <c r="K641" s="90"/>
      <c r="L641" s="90"/>
      <c r="M641" s="146"/>
      <c r="N641" s="147"/>
      <c r="O641" s="147"/>
      <c r="P641" s="148"/>
      <c r="Q641" s="90"/>
      <c r="R641" s="91"/>
    </row>
    <row r="642" ht="15.75" customHeight="1">
      <c r="A642" s="90"/>
      <c r="B642" s="90"/>
      <c r="C642" s="144"/>
      <c r="D642" s="145"/>
      <c r="E642" s="90"/>
      <c r="F642" s="90"/>
      <c r="G642" s="90"/>
      <c r="H642" s="90"/>
      <c r="I642" s="90"/>
      <c r="J642" s="90"/>
      <c r="K642" s="90"/>
      <c r="L642" s="90"/>
      <c r="M642" s="146"/>
      <c r="N642" s="147"/>
      <c r="O642" s="147"/>
      <c r="P642" s="148"/>
      <c r="Q642" s="90"/>
      <c r="R642" s="91"/>
    </row>
    <row r="643" ht="15.75" customHeight="1">
      <c r="A643" s="90"/>
      <c r="B643" s="90"/>
      <c r="C643" s="144"/>
      <c r="D643" s="145"/>
      <c r="E643" s="90"/>
      <c r="F643" s="90"/>
      <c r="G643" s="90"/>
      <c r="H643" s="90"/>
      <c r="I643" s="90"/>
      <c r="J643" s="90"/>
      <c r="K643" s="90"/>
      <c r="L643" s="90"/>
      <c r="M643" s="146"/>
      <c r="N643" s="147"/>
      <c r="O643" s="147"/>
      <c r="P643" s="148"/>
      <c r="Q643" s="90"/>
      <c r="R643" s="91"/>
    </row>
    <row r="644" ht="15.75" customHeight="1">
      <c r="A644" s="90"/>
      <c r="B644" s="90"/>
      <c r="C644" s="144"/>
      <c r="D644" s="145"/>
      <c r="E644" s="90"/>
      <c r="F644" s="90"/>
      <c r="G644" s="90"/>
      <c r="H644" s="90"/>
      <c r="I644" s="90"/>
      <c r="J644" s="90"/>
      <c r="K644" s="90"/>
      <c r="L644" s="90"/>
      <c r="M644" s="146"/>
      <c r="N644" s="147"/>
      <c r="O644" s="147"/>
      <c r="P644" s="148"/>
      <c r="Q644" s="90"/>
      <c r="R644" s="91"/>
    </row>
    <row r="645" ht="15.75" customHeight="1">
      <c r="A645" s="90"/>
      <c r="B645" s="90"/>
      <c r="C645" s="144"/>
      <c r="D645" s="145"/>
      <c r="E645" s="90"/>
      <c r="F645" s="90"/>
      <c r="G645" s="90"/>
      <c r="H645" s="90"/>
      <c r="I645" s="90"/>
      <c r="J645" s="90"/>
      <c r="K645" s="90"/>
      <c r="L645" s="90"/>
      <c r="M645" s="146"/>
      <c r="N645" s="147"/>
      <c r="O645" s="147"/>
      <c r="P645" s="148"/>
      <c r="Q645" s="90"/>
      <c r="R645" s="91"/>
    </row>
    <row r="646" ht="15.75" customHeight="1">
      <c r="A646" s="90"/>
      <c r="B646" s="90"/>
      <c r="C646" s="144"/>
      <c r="D646" s="145"/>
      <c r="E646" s="90"/>
      <c r="F646" s="90"/>
      <c r="G646" s="90"/>
      <c r="H646" s="90"/>
      <c r="I646" s="90"/>
      <c r="J646" s="90"/>
      <c r="K646" s="90"/>
      <c r="L646" s="90"/>
      <c r="M646" s="146"/>
      <c r="N646" s="147"/>
      <c r="O646" s="147"/>
      <c r="P646" s="148"/>
      <c r="Q646" s="90"/>
      <c r="R646" s="91"/>
    </row>
    <row r="647" ht="15.75" customHeight="1">
      <c r="A647" s="90"/>
      <c r="B647" s="90"/>
      <c r="C647" s="144"/>
      <c r="D647" s="145"/>
      <c r="E647" s="90"/>
      <c r="F647" s="90"/>
      <c r="G647" s="90"/>
      <c r="H647" s="90"/>
      <c r="I647" s="90"/>
      <c r="J647" s="90"/>
      <c r="K647" s="90"/>
      <c r="L647" s="90"/>
      <c r="M647" s="146"/>
      <c r="N647" s="147"/>
      <c r="O647" s="147"/>
      <c r="P647" s="148"/>
      <c r="Q647" s="90"/>
      <c r="R647" s="91"/>
    </row>
    <row r="648" ht="15.75" customHeight="1">
      <c r="A648" s="90"/>
      <c r="B648" s="90"/>
      <c r="C648" s="144"/>
      <c r="D648" s="145"/>
      <c r="E648" s="90"/>
      <c r="F648" s="90"/>
      <c r="G648" s="90"/>
      <c r="H648" s="90"/>
      <c r="I648" s="90"/>
      <c r="J648" s="90"/>
      <c r="K648" s="90"/>
      <c r="L648" s="90"/>
      <c r="M648" s="146"/>
      <c r="N648" s="147"/>
      <c r="O648" s="147"/>
      <c r="P648" s="148"/>
      <c r="Q648" s="90"/>
      <c r="R648" s="91"/>
    </row>
    <row r="649" ht="15.75" customHeight="1">
      <c r="A649" s="90"/>
      <c r="B649" s="90"/>
      <c r="C649" s="144"/>
      <c r="D649" s="145"/>
      <c r="E649" s="90"/>
      <c r="F649" s="90"/>
      <c r="G649" s="90"/>
      <c r="H649" s="90"/>
      <c r="I649" s="90"/>
      <c r="J649" s="90"/>
      <c r="K649" s="90"/>
      <c r="L649" s="90"/>
      <c r="M649" s="146"/>
      <c r="N649" s="147"/>
      <c r="O649" s="147"/>
      <c r="P649" s="148"/>
      <c r="Q649" s="90"/>
      <c r="R649" s="91"/>
    </row>
    <row r="650" ht="15.75" customHeight="1">
      <c r="A650" s="90"/>
      <c r="B650" s="90"/>
      <c r="C650" s="144"/>
      <c r="D650" s="145"/>
      <c r="E650" s="90"/>
      <c r="F650" s="90"/>
      <c r="G650" s="90"/>
      <c r="H650" s="90"/>
      <c r="I650" s="90"/>
      <c r="J650" s="90"/>
      <c r="K650" s="90"/>
      <c r="L650" s="90"/>
      <c r="M650" s="146"/>
      <c r="N650" s="147"/>
      <c r="O650" s="147"/>
      <c r="P650" s="148"/>
      <c r="Q650" s="90"/>
      <c r="R650" s="91"/>
    </row>
    <row r="651" ht="15.75" customHeight="1">
      <c r="A651" s="90"/>
      <c r="B651" s="90"/>
      <c r="C651" s="144"/>
      <c r="D651" s="145"/>
      <c r="E651" s="90"/>
      <c r="F651" s="90"/>
      <c r="G651" s="90"/>
      <c r="H651" s="90"/>
      <c r="I651" s="90"/>
      <c r="J651" s="90"/>
      <c r="K651" s="90"/>
      <c r="L651" s="90"/>
      <c r="M651" s="146"/>
      <c r="N651" s="147"/>
      <c r="O651" s="147"/>
      <c r="P651" s="148"/>
      <c r="Q651" s="90"/>
      <c r="R651" s="91"/>
    </row>
    <row r="652" ht="15.75" customHeight="1">
      <c r="A652" s="90"/>
      <c r="B652" s="90"/>
      <c r="C652" s="144"/>
      <c r="D652" s="145"/>
      <c r="E652" s="90"/>
      <c r="F652" s="90"/>
      <c r="G652" s="90"/>
      <c r="H652" s="90"/>
      <c r="I652" s="90"/>
      <c r="J652" s="90"/>
      <c r="K652" s="90"/>
      <c r="L652" s="90"/>
      <c r="M652" s="146"/>
      <c r="N652" s="147"/>
      <c r="O652" s="147"/>
      <c r="P652" s="148"/>
      <c r="Q652" s="90"/>
      <c r="R652" s="91"/>
    </row>
    <row r="653" ht="15.75" customHeight="1">
      <c r="A653" s="90"/>
      <c r="B653" s="90"/>
      <c r="C653" s="144"/>
      <c r="D653" s="145"/>
      <c r="E653" s="90"/>
      <c r="F653" s="90"/>
      <c r="G653" s="90"/>
      <c r="H653" s="90"/>
      <c r="I653" s="90"/>
      <c r="J653" s="90"/>
      <c r="K653" s="90"/>
      <c r="L653" s="90"/>
      <c r="M653" s="146"/>
      <c r="N653" s="147"/>
      <c r="O653" s="147"/>
      <c r="P653" s="148"/>
      <c r="Q653" s="90"/>
      <c r="R653" s="91"/>
    </row>
    <row r="654" ht="15.75" customHeight="1">
      <c r="A654" s="90"/>
      <c r="B654" s="90"/>
      <c r="C654" s="144"/>
      <c r="D654" s="145"/>
      <c r="E654" s="90"/>
      <c r="F654" s="90"/>
      <c r="G654" s="90"/>
      <c r="H654" s="90"/>
      <c r="I654" s="90"/>
      <c r="J654" s="90"/>
      <c r="K654" s="90"/>
      <c r="L654" s="90"/>
      <c r="M654" s="146"/>
      <c r="N654" s="147"/>
      <c r="O654" s="147"/>
      <c r="P654" s="148"/>
      <c r="Q654" s="90"/>
      <c r="R654" s="91"/>
    </row>
    <row r="655" ht="15.75" customHeight="1">
      <c r="A655" s="90"/>
      <c r="B655" s="90"/>
      <c r="C655" s="144"/>
      <c r="D655" s="145"/>
      <c r="E655" s="90"/>
      <c r="F655" s="90"/>
      <c r="G655" s="90"/>
      <c r="H655" s="90"/>
      <c r="I655" s="90"/>
      <c r="J655" s="90"/>
      <c r="K655" s="90"/>
      <c r="L655" s="90"/>
      <c r="M655" s="146"/>
      <c r="N655" s="147"/>
      <c r="O655" s="147"/>
      <c r="P655" s="148"/>
      <c r="Q655" s="90"/>
      <c r="R655" s="91"/>
    </row>
    <row r="656" ht="15.75" customHeight="1">
      <c r="A656" s="90"/>
      <c r="B656" s="90"/>
      <c r="C656" s="144"/>
      <c r="D656" s="145"/>
      <c r="E656" s="90"/>
      <c r="F656" s="90"/>
      <c r="G656" s="90"/>
      <c r="H656" s="90"/>
      <c r="I656" s="90"/>
      <c r="J656" s="90"/>
      <c r="K656" s="90"/>
      <c r="L656" s="90"/>
      <c r="M656" s="146"/>
      <c r="N656" s="147"/>
      <c r="O656" s="147"/>
      <c r="P656" s="148"/>
      <c r="Q656" s="90"/>
      <c r="R656" s="91"/>
    </row>
    <row r="657" ht="15.75" customHeight="1">
      <c r="A657" s="90"/>
      <c r="B657" s="90"/>
      <c r="C657" s="144"/>
      <c r="D657" s="145"/>
      <c r="E657" s="90"/>
      <c r="F657" s="90"/>
      <c r="G657" s="90"/>
      <c r="H657" s="90"/>
      <c r="I657" s="90"/>
      <c r="J657" s="90"/>
      <c r="K657" s="90"/>
      <c r="L657" s="90"/>
      <c r="M657" s="146"/>
      <c r="N657" s="147"/>
      <c r="O657" s="147"/>
      <c r="P657" s="148"/>
      <c r="Q657" s="90"/>
      <c r="R657" s="91"/>
    </row>
    <row r="658" ht="15.75" customHeight="1">
      <c r="A658" s="90"/>
      <c r="B658" s="90"/>
      <c r="C658" s="144"/>
      <c r="D658" s="145"/>
      <c r="E658" s="90"/>
      <c r="F658" s="90"/>
      <c r="G658" s="90"/>
      <c r="H658" s="90"/>
      <c r="I658" s="90"/>
      <c r="J658" s="90"/>
      <c r="K658" s="90"/>
      <c r="L658" s="90"/>
      <c r="M658" s="146"/>
      <c r="N658" s="147"/>
      <c r="O658" s="147"/>
      <c r="P658" s="148"/>
      <c r="Q658" s="90"/>
      <c r="R658" s="91"/>
    </row>
    <row r="659" ht="15.75" customHeight="1">
      <c r="A659" s="90"/>
      <c r="B659" s="90"/>
      <c r="C659" s="144"/>
      <c r="D659" s="145"/>
      <c r="E659" s="90"/>
      <c r="F659" s="90"/>
      <c r="G659" s="90"/>
      <c r="H659" s="90"/>
      <c r="I659" s="90"/>
      <c r="J659" s="90"/>
      <c r="K659" s="90"/>
      <c r="L659" s="90"/>
      <c r="M659" s="146"/>
      <c r="N659" s="147"/>
      <c r="O659" s="147"/>
      <c r="P659" s="148"/>
      <c r="Q659" s="90"/>
      <c r="R659" s="91"/>
    </row>
    <row r="660" ht="15.75" customHeight="1">
      <c r="A660" s="90"/>
      <c r="B660" s="90"/>
      <c r="C660" s="144"/>
      <c r="D660" s="145"/>
      <c r="E660" s="90"/>
      <c r="F660" s="90"/>
      <c r="G660" s="90"/>
      <c r="H660" s="90"/>
      <c r="I660" s="90"/>
      <c r="J660" s="90"/>
      <c r="K660" s="90"/>
      <c r="L660" s="90"/>
      <c r="M660" s="146"/>
      <c r="N660" s="147"/>
      <c r="O660" s="147"/>
      <c r="P660" s="148"/>
      <c r="Q660" s="90"/>
      <c r="R660" s="91"/>
    </row>
    <row r="661" ht="15.75" customHeight="1">
      <c r="A661" s="90"/>
      <c r="B661" s="90"/>
      <c r="C661" s="144"/>
      <c r="D661" s="145"/>
      <c r="E661" s="90"/>
      <c r="F661" s="90"/>
      <c r="G661" s="90"/>
      <c r="H661" s="90"/>
      <c r="I661" s="90"/>
      <c r="J661" s="90"/>
      <c r="K661" s="90"/>
      <c r="L661" s="90"/>
      <c r="M661" s="146"/>
      <c r="N661" s="147"/>
      <c r="O661" s="147"/>
      <c r="P661" s="148"/>
      <c r="Q661" s="90"/>
      <c r="R661" s="91"/>
    </row>
    <row r="662" ht="15.75" customHeight="1">
      <c r="A662" s="90"/>
      <c r="B662" s="90"/>
      <c r="C662" s="144"/>
      <c r="D662" s="145"/>
      <c r="E662" s="90"/>
      <c r="F662" s="90"/>
      <c r="G662" s="90"/>
      <c r="H662" s="90"/>
      <c r="I662" s="90"/>
      <c r="J662" s="90"/>
      <c r="K662" s="90"/>
      <c r="L662" s="90"/>
      <c r="M662" s="146"/>
      <c r="N662" s="147"/>
      <c r="O662" s="147"/>
      <c r="P662" s="148"/>
      <c r="Q662" s="90"/>
      <c r="R662" s="91"/>
    </row>
    <row r="663" ht="15.75" customHeight="1">
      <c r="A663" s="90"/>
      <c r="B663" s="90"/>
      <c r="C663" s="144"/>
      <c r="D663" s="145"/>
      <c r="E663" s="90"/>
      <c r="F663" s="90"/>
      <c r="G663" s="90"/>
      <c r="H663" s="90"/>
      <c r="I663" s="90"/>
      <c r="J663" s="90"/>
      <c r="K663" s="90"/>
      <c r="L663" s="90"/>
      <c r="M663" s="146"/>
      <c r="N663" s="147"/>
      <c r="O663" s="147"/>
      <c r="P663" s="148"/>
      <c r="Q663" s="90"/>
      <c r="R663" s="91"/>
    </row>
    <row r="664" ht="15.75" customHeight="1">
      <c r="A664" s="90"/>
      <c r="B664" s="90"/>
      <c r="C664" s="144"/>
      <c r="D664" s="145"/>
      <c r="E664" s="90"/>
      <c r="F664" s="90"/>
      <c r="G664" s="90"/>
      <c r="H664" s="90"/>
      <c r="I664" s="90"/>
      <c r="J664" s="90"/>
      <c r="K664" s="90"/>
      <c r="L664" s="90"/>
      <c r="M664" s="146"/>
      <c r="N664" s="147"/>
      <c r="O664" s="147"/>
      <c r="P664" s="148"/>
      <c r="Q664" s="90"/>
      <c r="R664" s="91"/>
    </row>
    <row r="665" ht="15.75" customHeight="1">
      <c r="A665" s="90"/>
      <c r="B665" s="90"/>
      <c r="C665" s="144"/>
      <c r="D665" s="145"/>
      <c r="E665" s="90"/>
      <c r="F665" s="90"/>
      <c r="G665" s="90"/>
      <c r="H665" s="90"/>
      <c r="I665" s="90"/>
      <c r="J665" s="90"/>
      <c r="K665" s="90"/>
      <c r="L665" s="90"/>
      <c r="M665" s="146"/>
      <c r="N665" s="147"/>
      <c r="O665" s="147"/>
      <c r="P665" s="148"/>
      <c r="Q665" s="90"/>
      <c r="R665" s="91"/>
    </row>
    <row r="666" ht="15.75" customHeight="1">
      <c r="A666" s="90"/>
      <c r="B666" s="90"/>
      <c r="C666" s="144"/>
      <c r="D666" s="145"/>
      <c r="E666" s="90"/>
      <c r="F666" s="90"/>
      <c r="G666" s="90"/>
      <c r="H666" s="90"/>
      <c r="I666" s="90"/>
      <c r="J666" s="90"/>
      <c r="K666" s="90"/>
      <c r="L666" s="90"/>
      <c r="M666" s="146"/>
      <c r="N666" s="147"/>
      <c r="O666" s="147"/>
      <c r="P666" s="148"/>
      <c r="Q666" s="90"/>
      <c r="R666" s="91"/>
    </row>
    <row r="667" ht="15.75" customHeight="1">
      <c r="A667" s="90"/>
      <c r="B667" s="90"/>
      <c r="C667" s="144"/>
      <c r="D667" s="145"/>
      <c r="E667" s="90"/>
      <c r="F667" s="90"/>
      <c r="G667" s="90"/>
      <c r="H667" s="90"/>
      <c r="I667" s="90"/>
      <c r="J667" s="90"/>
      <c r="K667" s="90"/>
      <c r="L667" s="90"/>
      <c r="M667" s="146"/>
      <c r="N667" s="147"/>
      <c r="O667" s="147"/>
      <c r="P667" s="148"/>
      <c r="Q667" s="90"/>
      <c r="R667" s="91"/>
    </row>
    <row r="668" ht="15.75" customHeight="1">
      <c r="A668" s="90"/>
      <c r="B668" s="90"/>
      <c r="C668" s="144"/>
      <c r="D668" s="145"/>
      <c r="E668" s="90"/>
      <c r="F668" s="90"/>
      <c r="G668" s="90"/>
      <c r="H668" s="90"/>
      <c r="I668" s="90"/>
      <c r="J668" s="90"/>
      <c r="K668" s="90"/>
      <c r="L668" s="90"/>
      <c r="M668" s="146"/>
      <c r="N668" s="147"/>
      <c r="O668" s="147"/>
      <c r="P668" s="148"/>
      <c r="Q668" s="90"/>
      <c r="R668" s="91"/>
    </row>
    <row r="669" ht="15.75" customHeight="1">
      <c r="A669" s="90"/>
      <c r="B669" s="90"/>
      <c r="C669" s="144"/>
      <c r="D669" s="145"/>
      <c r="E669" s="90"/>
      <c r="F669" s="90"/>
      <c r="G669" s="90"/>
      <c r="H669" s="90"/>
      <c r="I669" s="90"/>
      <c r="J669" s="90"/>
      <c r="K669" s="90"/>
      <c r="L669" s="90"/>
      <c r="M669" s="146"/>
      <c r="N669" s="147"/>
      <c r="O669" s="147"/>
      <c r="P669" s="148"/>
      <c r="Q669" s="90"/>
      <c r="R669" s="91"/>
    </row>
    <row r="670" ht="15.75" customHeight="1">
      <c r="A670" s="90"/>
      <c r="B670" s="90"/>
      <c r="C670" s="144"/>
      <c r="D670" s="145"/>
      <c r="E670" s="90"/>
      <c r="F670" s="90"/>
      <c r="G670" s="90"/>
      <c r="H670" s="90"/>
      <c r="I670" s="90"/>
      <c r="J670" s="90"/>
      <c r="K670" s="90"/>
      <c r="L670" s="90"/>
      <c r="M670" s="146"/>
      <c r="N670" s="147"/>
      <c r="O670" s="147"/>
      <c r="P670" s="148"/>
      <c r="Q670" s="90"/>
      <c r="R670" s="91"/>
    </row>
    <row r="671" ht="15.75" customHeight="1">
      <c r="A671" s="90"/>
      <c r="B671" s="90"/>
      <c r="C671" s="144"/>
      <c r="D671" s="145"/>
      <c r="E671" s="90"/>
      <c r="F671" s="90"/>
      <c r="G671" s="90"/>
      <c r="H671" s="90"/>
      <c r="I671" s="90"/>
      <c r="J671" s="90"/>
      <c r="K671" s="90"/>
      <c r="L671" s="90"/>
      <c r="M671" s="146"/>
      <c r="N671" s="147"/>
      <c r="O671" s="147"/>
      <c r="P671" s="148"/>
      <c r="Q671" s="90"/>
      <c r="R671" s="91"/>
    </row>
    <row r="672" ht="15.75" customHeight="1">
      <c r="A672" s="90"/>
      <c r="B672" s="90"/>
      <c r="C672" s="144"/>
      <c r="D672" s="145"/>
      <c r="E672" s="90"/>
      <c r="F672" s="90"/>
      <c r="G672" s="90"/>
      <c r="H672" s="90"/>
      <c r="I672" s="90"/>
      <c r="J672" s="90"/>
      <c r="K672" s="90"/>
      <c r="L672" s="90"/>
      <c r="M672" s="146"/>
      <c r="N672" s="147"/>
      <c r="O672" s="147"/>
      <c r="P672" s="148"/>
      <c r="Q672" s="90"/>
      <c r="R672" s="91"/>
    </row>
    <row r="673" ht="15.75" customHeight="1">
      <c r="A673" s="90"/>
      <c r="B673" s="90"/>
      <c r="C673" s="144"/>
      <c r="D673" s="145"/>
      <c r="E673" s="90"/>
      <c r="F673" s="90"/>
      <c r="G673" s="90"/>
      <c r="H673" s="90"/>
      <c r="I673" s="90"/>
      <c r="J673" s="90"/>
      <c r="K673" s="90"/>
      <c r="L673" s="90"/>
      <c r="M673" s="146"/>
      <c r="N673" s="147"/>
      <c r="O673" s="147"/>
      <c r="P673" s="148"/>
      <c r="Q673" s="90"/>
      <c r="R673" s="91"/>
    </row>
    <row r="674" ht="15.75" customHeight="1">
      <c r="A674" s="90"/>
      <c r="B674" s="90"/>
      <c r="C674" s="144"/>
      <c r="D674" s="145"/>
      <c r="E674" s="90"/>
      <c r="F674" s="90"/>
      <c r="G674" s="90"/>
      <c r="H674" s="90"/>
      <c r="I674" s="90"/>
      <c r="J674" s="90"/>
      <c r="K674" s="90"/>
      <c r="L674" s="90"/>
      <c r="M674" s="146"/>
      <c r="N674" s="147"/>
      <c r="O674" s="147"/>
      <c r="P674" s="148"/>
      <c r="Q674" s="90"/>
      <c r="R674" s="91"/>
    </row>
    <row r="675" ht="15.75" customHeight="1">
      <c r="A675" s="90"/>
      <c r="B675" s="90"/>
      <c r="C675" s="144"/>
      <c r="D675" s="145"/>
      <c r="E675" s="90"/>
      <c r="F675" s="90"/>
      <c r="G675" s="90"/>
      <c r="H675" s="90"/>
      <c r="I675" s="90"/>
      <c r="J675" s="90"/>
      <c r="K675" s="90"/>
      <c r="L675" s="90"/>
      <c r="M675" s="146"/>
      <c r="N675" s="147"/>
      <c r="O675" s="147"/>
      <c r="P675" s="148"/>
      <c r="Q675" s="90"/>
      <c r="R675" s="91"/>
    </row>
    <row r="676" ht="15.75" customHeight="1">
      <c r="A676" s="90"/>
      <c r="B676" s="90"/>
      <c r="C676" s="144"/>
      <c r="D676" s="145"/>
      <c r="E676" s="90"/>
      <c r="F676" s="90"/>
      <c r="G676" s="90"/>
      <c r="H676" s="90"/>
      <c r="I676" s="90"/>
      <c r="J676" s="90"/>
      <c r="K676" s="90"/>
      <c r="L676" s="90"/>
      <c r="M676" s="146"/>
      <c r="N676" s="147"/>
      <c r="O676" s="147"/>
      <c r="P676" s="148"/>
      <c r="Q676" s="90"/>
      <c r="R676" s="91"/>
    </row>
    <row r="677" ht="15.75" customHeight="1">
      <c r="A677" s="90"/>
      <c r="B677" s="90"/>
      <c r="C677" s="144"/>
      <c r="D677" s="145"/>
      <c r="E677" s="90"/>
      <c r="F677" s="90"/>
      <c r="G677" s="90"/>
      <c r="H677" s="90"/>
      <c r="I677" s="90"/>
      <c r="J677" s="90"/>
      <c r="K677" s="90"/>
      <c r="L677" s="90"/>
      <c r="M677" s="146"/>
      <c r="N677" s="147"/>
      <c r="O677" s="147"/>
      <c r="P677" s="148"/>
      <c r="Q677" s="90"/>
      <c r="R677" s="91"/>
    </row>
    <row r="678" ht="15.75" customHeight="1">
      <c r="A678" s="90"/>
      <c r="B678" s="90"/>
      <c r="C678" s="144"/>
      <c r="D678" s="145"/>
      <c r="E678" s="90"/>
      <c r="F678" s="90"/>
      <c r="G678" s="90"/>
      <c r="H678" s="90"/>
      <c r="I678" s="90"/>
      <c r="J678" s="90"/>
      <c r="K678" s="90"/>
      <c r="L678" s="90"/>
      <c r="M678" s="146"/>
      <c r="N678" s="147"/>
      <c r="O678" s="147"/>
      <c r="P678" s="148"/>
      <c r="Q678" s="90"/>
      <c r="R678" s="91"/>
    </row>
    <row r="679" ht="15.75" customHeight="1">
      <c r="A679" s="90"/>
      <c r="B679" s="90"/>
      <c r="C679" s="144"/>
      <c r="D679" s="145"/>
      <c r="E679" s="90"/>
      <c r="F679" s="90"/>
      <c r="G679" s="90"/>
      <c r="H679" s="90"/>
      <c r="I679" s="90"/>
      <c r="J679" s="90"/>
      <c r="K679" s="90"/>
      <c r="L679" s="90"/>
      <c r="M679" s="146"/>
      <c r="N679" s="147"/>
      <c r="O679" s="147"/>
      <c r="P679" s="148"/>
      <c r="Q679" s="90"/>
      <c r="R679" s="91"/>
    </row>
    <row r="680" ht="15.75" customHeight="1">
      <c r="A680" s="90"/>
      <c r="B680" s="90"/>
      <c r="C680" s="144"/>
      <c r="D680" s="145"/>
      <c r="E680" s="90"/>
      <c r="F680" s="90"/>
      <c r="G680" s="90"/>
      <c r="H680" s="90"/>
      <c r="I680" s="90"/>
      <c r="J680" s="90"/>
      <c r="K680" s="90"/>
      <c r="L680" s="90"/>
      <c r="M680" s="146"/>
      <c r="N680" s="147"/>
      <c r="O680" s="147"/>
      <c r="P680" s="148"/>
      <c r="Q680" s="90"/>
      <c r="R680" s="91"/>
    </row>
    <row r="681" ht="15.75" customHeight="1">
      <c r="A681" s="90"/>
      <c r="B681" s="90"/>
      <c r="C681" s="144"/>
      <c r="D681" s="145"/>
      <c r="E681" s="90"/>
      <c r="F681" s="90"/>
      <c r="G681" s="90"/>
      <c r="H681" s="90"/>
      <c r="I681" s="90"/>
      <c r="J681" s="90"/>
      <c r="K681" s="90"/>
      <c r="L681" s="90"/>
      <c r="M681" s="146"/>
      <c r="N681" s="147"/>
      <c r="O681" s="147"/>
      <c r="P681" s="148"/>
      <c r="Q681" s="90"/>
      <c r="R681" s="91"/>
    </row>
    <row r="682" ht="15.75" customHeight="1">
      <c r="A682" s="90"/>
      <c r="B682" s="90"/>
      <c r="C682" s="144"/>
      <c r="D682" s="145"/>
      <c r="E682" s="90"/>
      <c r="F682" s="90"/>
      <c r="G682" s="90"/>
      <c r="H682" s="90"/>
      <c r="I682" s="90"/>
      <c r="J682" s="90"/>
      <c r="K682" s="90"/>
      <c r="L682" s="90"/>
      <c r="M682" s="146"/>
      <c r="N682" s="147"/>
      <c r="O682" s="147"/>
      <c r="P682" s="148"/>
      <c r="Q682" s="90"/>
      <c r="R682" s="91"/>
    </row>
    <row r="683" ht="15.75" customHeight="1">
      <c r="A683" s="90"/>
      <c r="B683" s="90"/>
      <c r="C683" s="144"/>
      <c r="D683" s="145"/>
      <c r="E683" s="90"/>
      <c r="F683" s="90"/>
      <c r="G683" s="90"/>
      <c r="H683" s="90"/>
      <c r="I683" s="90"/>
      <c r="J683" s="90"/>
      <c r="K683" s="90"/>
      <c r="L683" s="90"/>
      <c r="M683" s="146"/>
      <c r="N683" s="147"/>
      <c r="O683" s="147"/>
      <c r="P683" s="148"/>
      <c r="Q683" s="90"/>
      <c r="R683" s="91"/>
    </row>
    <row r="684" ht="15.75" customHeight="1">
      <c r="A684" s="90"/>
      <c r="B684" s="90"/>
      <c r="C684" s="144"/>
      <c r="D684" s="145"/>
      <c r="E684" s="90"/>
      <c r="F684" s="90"/>
      <c r="G684" s="90"/>
      <c r="H684" s="90"/>
      <c r="I684" s="90"/>
      <c r="J684" s="90"/>
      <c r="K684" s="90"/>
      <c r="L684" s="90"/>
      <c r="M684" s="146"/>
      <c r="N684" s="147"/>
      <c r="O684" s="147"/>
      <c r="P684" s="148"/>
      <c r="Q684" s="90"/>
      <c r="R684" s="91"/>
    </row>
    <row r="685" ht="15.75" customHeight="1">
      <c r="A685" s="90"/>
      <c r="B685" s="90"/>
      <c r="C685" s="144"/>
      <c r="D685" s="145"/>
      <c r="E685" s="90"/>
      <c r="F685" s="90"/>
      <c r="G685" s="90"/>
      <c r="H685" s="90"/>
      <c r="I685" s="90"/>
      <c r="J685" s="90"/>
      <c r="K685" s="90"/>
      <c r="L685" s="90"/>
      <c r="M685" s="146"/>
      <c r="N685" s="147"/>
      <c r="O685" s="147"/>
      <c r="P685" s="148"/>
      <c r="Q685" s="90"/>
      <c r="R685" s="91"/>
    </row>
    <row r="686" ht="15.75" customHeight="1">
      <c r="A686" s="90"/>
      <c r="B686" s="90"/>
      <c r="C686" s="144"/>
      <c r="D686" s="145"/>
      <c r="E686" s="90"/>
      <c r="F686" s="90"/>
      <c r="G686" s="90"/>
      <c r="H686" s="90"/>
      <c r="I686" s="90"/>
      <c r="J686" s="90"/>
      <c r="K686" s="90"/>
      <c r="L686" s="90"/>
      <c r="M686" s="146"/>
      <c r="N686" s="147"/>
      <c r="O686" s="147"/>
      <c r="P686" s="148"/>
      <c r="Q686" s="90"/>
      <c r="R686" s="91"/>
    </row>
    <row r="687" ht="15.75" customHeight="1">
      <c r="A687" s="90"/>
      <c r="B687" s="90"/>
      <c r="C687" s="144"/>
      <c r="D687" s="145"/>
      <c r="E687" s="90"/>
      <c r="F687" s="90"/>
      <c r="G687" s="90"/>
      <c r="H687" s="90"/>
      <c r="I687" s="90"/>
      <c r="J687" s="90"/>
      <c r="K687" s="90"/>
      <c r="L687" s="90"/>
      <c r="M687" s="146"/>
      <c r="N687" s="147"/>
      <c r="O687" s="147"/>
      <c r="P687" s="148"/>
      <c r="Q687" s="90"/>
      <c r="R687" s="91"/>
    </row>
    <row r="688" ht="15.75" customHeight="1">
      <c r="A688" s="90"/>
      <c r="B688" s="90"/>
      <c r="C688" s="144"/>
      <c r="D688" s="145"/>
      <c r="E688" s="90"/>
      <c r="F688" s="90"/>
      <c r="G688" s="90"/>
      <c r="H688" s="90"/>
      <c r="I688" s="90"/>
      <c r="J688" s="90"/>
      <c r="K688" s="90"/>
      <c r="L688" s="90"/>
      <c r="M688" s="146"/>
      <c r="N688" s="147"/>
      <c r="O688" s="147"/>
      <c r="P688" s="148"/>
      <c r="Q688" s="90"/>
      <c r="R688" s="91"/>
    </row>
    <row r="689" ht="15.75" customHeight="1">
      <c r="A689" s="90"/>
      <c r="B689" s="90"/>
      <c r="C689" s="144"/>
      <c r="D689" s="145"/>
      <c r="E689" s="90"/>
      <c r="F689" s="90"/>
      <c r="G689" s="90"/>
      <c r="H689" s="90"/>
      <c r="I689" s="90"/>
      <c r="J689" s="90"/>
      <c r="K689" s="90"/>
      <c r="L689" s="90"/>
      <c r="M689" s="146"/>
      <c r="N689" s="147"/>
      <c r="O689" s="147"/>
      <c r="P689" s="148"/>
      <c r="Q689" s="90"/>
      <c r="R689" s="91"/>
    </row>
    <row r="690" ht="15.75" customHeight="1">
      <c r="A690" s="90"/>
      <c r="B690" s="90"/>
      <c r="C690" s="144"/>
      <c r="D690" s="145"/>
      <c r="E690" s="90"/>
      <c r="F690" s="90"/>
      <c r="G690" s="90"/>
      <c r="H690" s="90"/>
      <c r="I690" s="90"/>
      <c r="J690" s="90"/>
      <c r="K690" s="90"/>
      <c r="L690" s="90"/>
      <c r="M690" s="146"/>
      <c r="N690" s="147"/>
      <c r="O690" s="147"/>
      <c r="P690" s="148"/>
      <c r="Q690" s="90"/>
      <c r="R690" s="91"/>
    </row>
    <row r="691" ht="15.75" customHeight="1">
      <c r="A691" s="90"/>
      <c r="B691" s="90"/>
      <c r="C691" s="144"/>
      <c r="D691" s="145"/>
      <c r="E691" s="90"/>
      <c r="F691" s="90"/>
      <c r="G691" s="90"/>
      <c r="H691" s="90"/>
      <c r="I691" s="90"/>
      <c r="J691" s="90"/>
      <c r="K691" s="90"/>
      <c r="L691" s="90"/>
      <c r="M691" s="146"/>
      <c r="N691" s="147"/>
      <c r="O691" s="147"/>
      <c r="P691" s="148"/>
      <c r="Q691" s="90"/>
      <c r="R691" s="91"/>
    </row>
    <row r="692" ht="15.75" customHeight="1">
      <c r="A692" s="90"/>
      <c r="B692" s="90"/>
      <c r="C692" s="144"/>
      <c r="D692" s="145"/>
      <c r="E692" s="90"/>
      <c r="F692" s="90"/>
      <c r="G692" s="90"/>
      <c r="H692" s="90"/>
      <c r="I692" s="90"/>
      <c r="J692" s="90"/>
      <c r="K692" s="90"/>
      <c r="L692" s="90"/>
      <c r="M692" s="146"/>
      <c r="N692" s="147"/>
      <c r="O692" s="147"/>
      <c r="P692" s="148"/>
      <c r="Q692" s="90"/>
      <c r="R692" s="91"/>
    </row>
    <row r="693" ht="15.75" customHeight="1">
      <c r="A693" s="90"/>
      <c r="B693" s="90"/>
      <c r="C693" s="144"/>
      <c r="D693" s="145"/>
      <c r="E693" s="90"/>
      <c r="F693" s="90"/>
      <c r="G693" s="90"/>
      <c r="H693" s="90"/>
      <c r="I693" s="90"/>
      <c r="J693" s="90"/>
      <c r="K693" s="90"/>
      <c r="L693" s="90"/>
      <c r="M693" s="146"/>
      <c r="N693" s="147"/>
      <c r="O693" s="147"/>
      <c r="P693" s="148"/>
      <c r="Q693" s="90"/>
      <c r="R693" s="91"/>
    </row>
    <row r="694" ht="15.75" customHeight="1">
      <c r="A694" s="90"/>
      <c r="B694" s="90"/>
      <c r="C694" s="144"/>
      <c r="D694" s="145"/>
      <c r="E694" s="90"/>
      <c r="F694" s="90"/>
      <c r="G694" s="90"/>
      <c r="H694" s="90"/>
      <c r="I694" s="90"/>
      <c r="J694" s="90"/>
      <c r="K694" s="90"/>
      <c r="L694" s="90"/>
      <c r="M694" s="146"/>
      <c r="N694" s="147"/>
      <c r="O694" s="147"/>
      <c r="P694" s="148"/>
      <c r="Q694" s="90"/>
      <c r="R694" s="91"/>
    </row>
    <row r="695" ht="15.75" customHeight="1">
      <c r="A695" s="90"/>
      <c r="B695" s="90"/>
      <c r="C695" s="144"/>
      <c r="D695" s="145"/>
      <c r="E695" s="90"/>
      <c r="F695" s="90"/>
      <c r="G695" s="90"/>
      <c r="H695" s="90"/>
      <c r="I695" s="90"/>
      <c r="J695" s="90"/>
      <c r="K695" s="90"/>
      <c r="L695" s="90"/>
      <c r="M695" s="146"/>
      <c r="N695" s="147"/>
      <c r="O695" s="147"/>
      <c r="P695" s="148"/>
      <c r="Q695" s="90"/>
      <c r="R695" s="91"/>
    </row>
    <row r="696" ht="15.75" customHeight="1">
      <c r="A696" s="90"/>
      <c r="B696" s="90"/>
      <c r="C696" s="144"/>
      <c r="D696" s="145"/>
      <c r="E696" s="90"/>
      <c r="F696" s="90"/>
      <c r="G696" s="90"/>
      <c r="H696" s="90"/>
      <c r="I696" s="90"/>
      <c r="J696" s="90"/>
      <c r="K696" s="90"/>
      <c r="L696" s="90"/>
      <c r="M696" s="146"/>
      <c r="N696" s="147"/>
      <c r="O696" s="147"/>
      <c r="P696" s="148"/>
      <c r="Q696" s="90"/>
      <c r="R696" s="91"/>
    </row>
    <row r="697" ht="15.75" customHeight="1">
      <c r="A697" s="90"/>
      <c r="B697" s="90"/>
      <c r="C697" s="144"/>
      <c r="D697" s="145"/>
      <c r="E697" s="90"/>
      <c r="F697" s="90"/>
      <c r="G697" s="90"/>
      <c r="H697" s="90"/>
      <c r="I697" s="90"/>
      <c r="J697" s="90"/>
      <c r="K697" s="90"/>
      <c r="L697" s="90"/>
      <c r="M697" s="146"/>
      <c r="N697" s="147"/>
      <c r="O697" s="147"/>
      <c r="P697" s="148"/>
      <c r="Q697" s="90"/>
      <c r="R697" s="91"/>
    </row>
    <row r="698" ht="15.75" customHeight="1">
      <c r="A698" s="90"/>
      <c r="B698" s="90"/>
      <c r="C698" s="144"/>
      <c r="D698" s="145"/>
      <c r="E698" s="90"/>
      <c r="F698" s="90"/>
      <c r="G698" s="90"/>
      <c r="H698" s="90"/>
      <c r="I698" s="90"/>
      <c r="J698" s="90"/>
      <c r="K698" s="90"/>
      <c r="L698" s="90"/>
      <c r="M698" s="146"/>
      <c r="N698" s="147"/>
      <c r="O698" s="147"/>
      <c r="P698" s="148"/>
      <c r="Q698" s="90"/>
      <c r="R698" s="91"/>
    </row>
    <row r="699" ht="15.75" customHeight="1">
      <c r="A699" s="90"/>
      <c r="B699" s="90"/>
      <c r="C699" s="144"/>
      <c r="D699" s="145"/>
      <c r="E699" s="90"/>
      <c r="F699" s="90"/>
      <c r="G699" s="90"/>
      <c r="H699" s="90"/>
      <c r="I699" s="90"/>
      <c r="J699" s="90"/>
      <c r="K699" s="90"/>
      <c r="L699" s="90"/>
      <c r="M699" s="146"/>
      <c r="N699" s="147"/>
      <c r="O699" s="147"/>
      <c r="P699" s="148"/>
      <c r="Q699" s="90"/>
      <c r="R699" s="91"/>
    </row>
    <row r="700" ht="15.75" customHeight="1">
      <c r="A700" s="90"/>
      <c r="B700" s="90"/>
      <c r="C700" s="144"/>
      <c r="D700" s="145"/>
      <c r="E700" s="90"/>
      <c r="F700" s="90"/>
      <c r="G700" s="90"/>
      <c r="H700" s="90"/>
      <c r="I700" s="90"/>
      <c r="J700" s="90"/>
      <c r="K700" s="90"/>
      <c r="L700" s="90"/>
      <c r="M700" s="146"/>
      <c r="N700" s="147"/>
      <c r="O700" s="147"/>
      <c r="P700" s="148"/>
      <c r="Q700" s="90"/>
      <c r="R700" s="91"/>
    </row>
    <row r="701" ht="15.75" customHeight="1">
      <c r="A701" s="90"/>
      <c r="B701" s="90"/>
      <c r="C701" s="144"/>
      <c r="D701" s="145"/>
      <c r="E701" s="90"/>
      <c r="F701" s="90"/>
      <c r="G701" s="90"/>
      <c r="H701" s="90"/>
      <c r="I701" s="90"/>
      <c r="J701" s="90"/>
      <c r="K701" s="90"/>
      <c r="L701" s="90"/>
      <c r="M701" s="146"/>
      <c r="N701" s="147"/>
      <c r="O701" s="147"/>
      <c r="P701" s="148"/>
      <c r="Q701" s="90"/>
      <c r="R701" s="91"/>
    </row>
    <row r="702" ht="15.75" customHeight="1">
      <c r="A702" s="90"/>
      <c r="B702" s="90"/>
      <c r="C702" s="144"/>
      <c r="D702" s="145"/>
      <c r="E702" s="90"/>
      <c r="F702" s="90"/>
      <c r="G702" s="90"/>
      <c r="H702" s="90"/>
      <c r="I702" s="90"/>
      <c r="J702" s="90"/>
      <c r="K702" s="90"/>
      <c r="L702" s="90"/>
      <c r="M702" s="146"/>
      <c r="N702" s="147"/>
      <c r="O702" s="147"/>
      <c r="P702" s="148"/>
      <c r="Q702" s="90"/>
      <c r="R702" s="91"/>
    </row>
    <row r="703" ht="15.75" customHeight="1">
      <c r="A703" s="90"/>
      <c r="B703" s="90"/>
      <c r="C703" s="144"/>
      <c r="D703" s="145"/>
      <c r="E703" s="90"/>
      <c r="F703" s="90"/>
      <c r="G703" s="90"/>
      <c r="H703" s="90"/>
      <c r="I703" s="90"/>
      <c r="J703" s="90"/>
      <c r="K703" s="90"/>
      <c r="L703" s="90"/>
      <c r="M703" s="146"/>
      <c r="N703" s="147"/>
      <c r="O703" s="147"/>
      <c r="P703" s="148"/>
      <c r="Q703" s="90"/>
      <c r="R703" s="91"/>
    </row>
    <row r="704" ht="15.75" customHeight="1">
      <c r="A704" s="90"/>
      <c r="B704" s="90"/>
      <c r="C704" s="144"/>
      <c r="D704" s="145"/>
      <c r="E704" s="90"/>
      <c r="F704" s="90"/>
      <c r="G704" s="90"/>
      <c r="H704" s="90"/>
      <c r="I704" s="90"/>
      <c r="J704" s="90"/>
      <c r="K704" s="90"/>
      <c r="L704" s="90"/>
      <c r="M704" s="146"/>
      <c r="N704" s="147"/>
      <c r="O704" s="147"/>
      <c r="P704" s="148"/>
      <c r="Q704" s="90"/>
      <c r="R704" s="91"/>
    </row>
    <row r="705" ht="15.75" customHeight="1">
      <c r="A705" s="90"/>
      <c r="B705" s="90"/>
      <c r="C705" s="144"/>
      <c r="D705" s="145"/>
      <c r="E705" s="90"/>
      <c r="F705" s="90"/>
      <c r="G705" s="90"/>
      <c r="H705" s="90"/>
      <c r="I705" s="90"/>
      <c r="J705" s="90"/>
      <c r="K705" s="90"/>
      <c r="L705" s="90"/>
      <c r="M705" s="146"/>
      <c r="N705" s="147"/>
      <c r="O705" s="147"/>
      <c r="P705" s="148"/>
      <c r="Q705" s="90"/>
      <c r="R705" s="91"/>
    </row>
    <row r="706" ht="15.75" customHeight="1">
      <c r="A706" s="90"/>
      <c r="B706" s="90"/>
      <c r="C706" s="144"/>
      <c r="D706" s="145"/>
      <c r="E706" s="90"/>
      <c r="F706" s="90"/>
      <c r="G706" s="90"/>
      <c r="H706" s="90"/>
      <c r="I706" s="90"/>
      <c r="J706" s="90"/>
      <c r="K706" s="90"/>
      <c r="L706" s="90"/>
      <c r="M706" s="146"/>
      <c r="N706" s="147"/>
      <c r="O706" s="147"/>
      <c r="P706" s="148"/>
      <c r="Q706" s="90"/>
      <c r="R706" s="91"/>
    </row>
    <row r="707" ht="15.75" customHeight="1">
      <c r="A707" s="90"/>
      <c r="B707" s="90"/>
      <c r="C707" s="144"/>
      <c r="D707" s="145"/>
      <c r="E707" s="90"/>
      <c r="F707" s="90"/>
      <c r="G707" s="90"/>
      <c r="H707" s="90"/>
      <c r="I707" s="90"/>
      <c r="J707" s="90"/>
      <c r="K707" s="90"/>
      <c r="L707" s="90"/>
      <c r="M707" s="146"/>
      <c r="N707" s="147"/>
      <c r="O707" s="147"/>
      <c r="P707" s="148"/>
      <c r="Q707" s="90"/>
      <c r="R707" s="91"/>
    </row>
    <row r="708" ht="15.75" customHeight="1">
      <c r="A708" s="90"/>
      <c r="B708" s="90"/>
      <c r="C708" s="144"/>
      <c r="D708" s="145"/>
      <c r="E708" s="90"/>
      <c r="F708" s="90"/>
      <c r="G708" s="90"/>
      <c r="H708" s="90"/>
      <c r="I708" s="90"/>
      <c r="J708" s="90"/>
      <c r="K708" s="90"/>
      <c r="L708" s="90"/>
      <c r="M708" s="146"/>
      <c r="N708" s="147"/>
      <c r="O708" s="147"/>
      <c r="P708" s="148"/>
      <c r="Q708" s="90"/>
      <c r="R708" s="91"/>
    </row>
    <row r="709" ht="15.75" customHeight="1">
      <c r="A709" s="90"/>
      <c r="B709" s="90"/>
      <c r="C709" s="144"/>
      <c r="D709" s="145"/>
      <c r="E709" s="90"/>
      <c r="F709" s="90"/>
      <c r="G709" s="90"/>
      <c r="H709" s="90"/>
      <c r="I709" s="90"/>
      <c r="J709" s="90"/>
      <c r="K709" s="90"/>
      <c r="L709" s="90"/>
      <c r="M709" s="146"/>
      <c r="N709" s="147"/>
      <c r="O709" s="147"/>
      <c r="P709" s="148"/>
      <c r="Q709" s="90"/>
      <c r="R709" s="91"/>
    </row>
    <row r="710" ht="15.75" customHeight="1">
      <c r="A710" s="90"/>
      <c r="B710" s="90"/>
      <c r="C710" s="144"/>
      <c r="D710" s="145"/>
      <c r="E710" s="90"/>
      <c r="F710" s="90"/>
      <c r="G710" s="90"/>
      <c r="H710" s="90"/>
      <c r="I710" s="90"/>
      <c r="J710" s="90"/>
      <c r="K710" s="90"/>
      <c r="L710" s="90"/>
      <c r="M710" s="146"/>
      <c r="N710" s="147"/>
      <c r="O710" s="147"/>
      <c r="P710" s="148"/>
      <c r="Q710" s="90"/>
      <c r="R710" s="91"/>
    </row>
    <row r="711" ht="15.75" customHeight="1">
      <c r="A711" s="90"/>
      <c r="B711" s="90"/>
      <c r="C711" s="144"/>
      <c r="D711" s="145"/>
      <c r="E711" s="90"/>
      <c r="F711" s="90"/>
      <c r="G711" s="90"/>
      <c r="H711" s="90"/>
      <c r="I711" s="90"/>
      <c r="J711" s="90"/>
      <c r="K711" s="90"/>
      <c r="L711" s="90"/>
      <c r="M711" s="146"/>
      <c r="N711" s="147"/>
      <c r="O711" s="147"/>
      <c r="P711" s="148"/>
      <c r="Q711" s="90"/>
      <c r="R711" s="91"/>
    </row>
    <row r="712" ht="15.75" customHeight="1">
      <c r="A712" s="90"/>
      <c r="B712" s="90"/>
      <c r="C712" s="144"/>
      <c r="D712" s="145"/>
      <c r="E712" s="90"/>
      <c r="F712" s="90"/>
      <c r="G712" s="90"/>
      <c r="H712" s="90"/>
      <c r="I712" s="90"/>
      <c r="J712" s="90"/>
      <c r="K712" s="90"/>
      <c r="L712" s="90"/>
      <c r="M712" s="146"/>
      <c r="N712" s="147"/>
      <c r="O712" s="147"/>
      <c r="P712" s="148"/>
      <c r="Q712" s="90"/>
      <c r="R712" s="91"/>
    </row>
    <row r="713" ht="15.75" customHeight="1">
      <c r="A713" s="90"/>
      <c r="B713" s="90"/>
      <c r="C713" s="144"/>
      <c r="D713" s="145"/>
      <c r="E713" s="90"/>
      <c r="F713" s="90"/>
      <c r="G713" s="90"/>
      <c r="H713" s="90"/>
      <c r="I713" s="90"/>
      <c r="J713" s="90"/>
      <c r="K713" s="90"/>
      <c r="L713" s="90"/>
      <c r="M713" s="146"/>
      <c r="N713" s="147"/>
      <c r="O713" s="147"/>
      <c r="P713" s="148"/>
      <c r="Q713" s="90"/>
      <c r="R713" s="91"/>
    </row>
    <row r="714" ht="15.75" customHeight="1">
      <c r="A714" s="90"/>
      <c r="B714" s="90"/>
      <c r="C714" s="144"/>
      <c r="D714" s="145"/>
      <c r="E714" s="90"/>
      <c r="F714" s="90"/>
      <c r="G714" s="90"/>
      <c r="H714" s="90"/>
      <c r="I714" s="90"/>
      <c r="J714" s="90"/>
      <c r="K714" s="90"/>
      <c r="L714" s="90"/>
      <c r="M714" s="146"/>
      <c r="N714" s="147"/>
      <c r="O714" s="147"/>
      <c r="P714" s="148"/>
      <c r="Q714" s="90"/>
      <c r="R714" s="91"/>
    </row>
    <row r="715" ht="15.75" customHeight="1">
      <c r="A715" s="90"/>
      <c r="B715" s="90"/>
      <c r="C715" s="144"/>
      <c r="D715" s="145"/>
      <c r="E715" s="90"/>
      <c r="F715" s="90"/>
      <c r="G715" s="90"/>
      <c r="H715" s="90"/>
      <c r="I715" s="90"/>
      <c r="J715" s="90"/>
      <c r="K715" s="90"/>
      <c r="L715" s="90"/>
      <c r="M715" s="146"/>
      <c r="N715" s="147"/>
      <c r="O715" s="147"/>
      <c r="P715" s="148"/>
      <c r="Q715" s="90"/>
      <c r="R715" s="91"/>
    </row>
    <row r="716" ht="15.75" customHeight="1">
      <c r="A716" s="90"/>
      <c r="B716" s="90"/>
      <c r="C716" s="144"/>
      <c r="D716" s="145"/>
      <c r="E716" s="90"/>
      <c r="F716" s="90"/>
      <c r="G716" s="90"/>
      <c r="H716" s="90"/>
      <c r="I716" s="90"/>
      <c r="J716" s="90"/>
      <c r="K716" s="90"/>
      <c r="L716" s="90"/>
      <c r="M716" s="146"/>
      <c r="N716" s="147"/>
      <c r="O716" s="147"/>
      <c r="P716" s="148"/>
      <c r="Q716" s="90"/>
      <c r="R716" s="91"/>
    </row>
    <row r="717" ht="15.75" customHeight="1">
      <c r="A717" s="90"/>
      <c r="B717" s="90"/>
      <c r="C717" s="144"/>
      <c r="D717" s="145"/>
      <c r="E717" s="90"/>
      <c r="F717" s="90"/>
      <c r="G717" s="90"/>
      <c r="H717" s="90"/>
      <c r="I717" s="90"/>
      <c r="J717" s="90"/>
      <c r="K717" s="90"/>
      <c r="L717" s="90"/>
      <c r="M717" s="146"/>
      <c r="N717" s="147"/>
      <c r="O717" s="147"/>
      <c r="P717" s="148"/>
      <c r="Q717" s="90"/>
      <c r="R717" s="91"/>
    </row>
    <row r="718" ht="15.75" customHeight="1">
      <c r="A718" s="90"/>
      <c r="B718" s="90"/>
      <c r="C718" s="144"/>
      <c r="D718" s="145"/>
      <c r="E718" s="90"/>
      <c r="F718" s="90"/>
      <c r="G718" s="90"/>
      <c r="H718" s="90"/>
      <c r="I718" s="90"/>
      <c r="J718" s="90"/>
      <c r="K718" s="90"/>
      <c r="L718" s="90"/>
      <c r="M718" s="146"/>
      <c r="N718" s="147"/>
      <c r="O718" s="147"/>
      <c r="P718" s="148"/>
      <c r="Q718" s="90"/>
      <c r="R718" s="91"/>
    </row>
    <row r="719" ht="15.75" customHeight="1">
      <c r="A719" s="90"/>
      <c r="B719" s="90"/>
      <c r="C719" s="144"/>
      <c r="D719" s="145"/>
      <c r="E719" s="90"/>
      <c r="F719" s="90"/>
      <c r="G719" s="90"/>
      <c r="H719" s="90"/>
      <c r="I719" s="90"/>
      <c r="J719" s="90"/>
      <c r="K719" s="90"/>
      <c r="L719" s="90"/>
      <c r="M719" s="146"/>
      <c r="N719" s="147"/>
      <c r="O719" s="147"/>
      <c r="P719" s="148"/>
      <c r="Q719" s="90"/>
      <c r="R719" s="91"/>
    </row>
    <row r="720" ht="15.75" customHeight="1">
      <c r="A720" s="90"/>
      <c r="B720" s="90"/>
      <c r="C720" s="144"/>
      <c r="D720" s="145"/>
      <c r="E720" s="90"/>
      <c r="F720" s="90"/>
      <c r="G720" s="90"/>
      <c r="H720" s="90"/>
      <c r="I720" s="90"/>
      <c r="J720" s="90"/>
      <c r="K720" s="90"/>
      <c r="L720" s="90"/>
      <c r="M720" s="146"/>
      <c r="N720" s="147"/>
      <c r="O720" s="147"/>
      <c r="P720" s="148"/>
      <c r="Q720" s="90"/>
      <c r="R720" s="91"/>
    </row>
    <row r="721" ht="15.75" customHeight="1">
      <c r="A721" s="90"/>
      <c r="B721" s="90"/>
      <c r="C721" s="144"/>
      <c r="D721" s="145"/>
      <c r="E721" s="90"/>
      <c r="F721" s="90"/>
      <c r="G721" s="90"/>
      <c r="H721" s="90"/>
      <c r="I721" s="90"/>
      <c r="J721" s="90"/>
      <c r="K721" s="90"/>
      <c r="L721" s="90"/>
      <c r="M721" s="146"/>
      <c r="N721" s="147"/>
      <c r="O721" s="147"/>
      <c r="P721" s="148"/>
      <c r="Q721" s="90"/>
      <c r="R721" s="91"/>
    </row>
    <row r="722" ht="15.75" customHeight="1">
      <c r="A722" s="90"/>
      <c r="B722" s="90"/>
      <c r="C722" s="144"/>
      <c r="D722" s="145"/>
      <c r="E722" s="90"/>
      <c r="F722" s="90"/>
      <c r="G722" s="90"/>
      <c r="H722" s="90"/>
      <c r="I722" s="90"/>
      <c r="J722" s="90"/>
      <c r="K722" s="90"/>
      <c r="L722" s="90"/>
      <c r="M722" s="146"/>
      <c r="N722" s="147"/>
      <c r="O722" s="147"/>
      <c r="P722" s="148"/>
      <c r="Q722" s="90"/>
      <c r="R722" s="91"/>
    </row>
    <row r="723" ht="15.75" customHeight="1">
      <c r="A723" s="90"/>
      <c r="B723" s="90"/>
      <c r="C723" s="144"/>
      <c r="D723" s="145"/>
      <c r="E723" s="90"/>
      <c r="F723" s="90"/>
      <c r="G723" s="90"/>
      <c r="H723" s="90"/>
      <c r="I723" s="90"/>
      <c r="J723" s="90"/>
      <c r="K723" s="90"/>
      <c r="L723" s="90"/>
      <c r="M723" s="146"/>
      <c r="N723" s="147"/>
      <c r="O723" s="147"/>
      <c r="P723" s="148"/>
      <c r="Q723" s="90"/>
      <c r="R723" s="91"/>
    </row>
    <row r="724" ht="15.75" customHeight="1">
      <c r="A724" s="90"/>
      <c r="B724" s="90"/>
      <c r="C724" s="144"/>
      <c r="D724" s="145"/>
      <c r="E724" s="90"/>
      <c r="F724" s="90"/>
      <c r="G724" s="90"/>
      <c r="H724" s="90"/>
      <c r="I724" s="90"/>
      <c r="J724" s="90"/>
      <c r="K724" s="90"/>
      <c r="L724" s="90"/>
      <c r="M724" s="146"/>
      <c r="N724" s="147"/>
      <c r="O724" s="147"/>
      <c r="P724" s="148"/>
      <c r="Q724" s="90"/>
      <c r="R724" s="91"/>
    </row>
    <row r="725" ht="15.75" customHeight="1">
      <c r="A725" s="90"/>
      <c r="B725" s="90"/>
      <c r="C725" s="144"/>
      <c r="D725" s="145"/>
      <c r="E725" s="90"/>
      <c r="F725" s="90"/>
      <c r="G725" s="90"/>
      <c r="H725" s="90"/>
      <c r="I725" s="90"/>
      <c r="J725" s="90"/>
      <c r="K725" s="90"/>
      <c r="L725" s="90"/>
      <c r="M725" s="146"/>
      <c r="N725" s="147"/>
      <c r="O725" s="147"/>
      <c r="P725" s="148"/>
      <c r="Q725" s="90"/>
      <c r="R725" s="91"/>
    </row>
    <row r="726" ht="15.75" customHeight="1">
      <c r="A726" s="90"/>
      <c r="B726" s="90"/>
      <c r="C726" s="144"/>
      <c r="D726" s="145"/>
      <c r="E726" s="90"/>
      <c r="F726" s="90"/>
      <c r="G726" s="90"/>
      <c r="H726" s="90"/>
      <c r="I726" s="90"/>
      <c r="J726" s="90"/>
      <c r="K726" s="90"/>
      <c r="L726" s="90"/>
      <c r="M726" s="146"/>
      <c r="N726" s="147"/>
      <c r="O726" s="147"/>
      <c r="P726" s="148"/>
      <c r="Q726" s="90"/>
      <c r="R726" s="91"/>
    </row>
    <row r="727" ht="15.75" customHeight="1">
      <c r="A727" s="90"/>
      <c r="B727" s="90"/>
      <c r="C727" s="144"/>
      <c r="D727" s="145"/>
      <c r="E727" s="90"/>
      <c r="F727" s="90"/>
      <c r="G727" s="90"/>
      <c r="H727" s="90"/>
      <c r="I727" s="90"/>
      <c r="J727" s="90"/>
      <c r="K727" s="90"/>
      <c r="L727" s="90"/>
      <c r="M727" s="146"/>
      <c r="N727" s="147"/>
      <c r="O727" s="147"/>
      <c r="P727" s="148"/>
      <c r="Q727" s="90"/>
      <c r="R727" s="91"/>
    </row>
    <row r="728" ht="15.75" customHeight="1">
      <c r="A728" s="90"/>
      <c r="B728" s="90"/>
      <c r="C728" s="144"/>
      <c r="D728" s="145"/>
      <c r="E728" s="90"/>
      <c r="F728" s="90"/>
      <c r="G728" s="90"/>
      <c r="H728" s="90"/>
      <c r="I728" s="90"/>
      <c r="J728" s="90"/>
      <c r="K728" s="90"/>
      <c r="L728" s="90"/>
      <c r="M728" s="146"/>
      <c r="N728" s="147"/>
      <c r="O728" s="147"/>
      <c r="P728" s="148"/>
      <c r="Q728" s="90"/>
      <c r="R728" s="91"/>
    </row>
    <row r="729" ht="15.75" customHeight="1">
      <c r="A729" s="90"/>
      <c r="B729" s="90"/>
      <c r="C729" s="144"/>
      <c r="D729" s="145"/>
      <c r="E729" s="90"/>
      <c r="F729" s="90"/>
      <c r="G729" s="90"/>
      <c r="H729" s="90"/>
      <c r="I729" s="90"/>
      <c r="J729" s="90"/>
      <c r="K729" s="90"/>
      <c r="L729" s="90"/>
      <c r="M729" s="146"/>
      <c r="N729" s="147"/>
      <c r="O729" s="147"/>
      <c r="P729" s="148"/>
      <c r="Q729" s="90"/>
      <c r="R729" s="91"/>
    </row>
    <row r="730" ht="15.75" customHeight="1">
      <c r="A730" s="90"/>
      <c r="B730" s="90"/>
      <c r="C730" s="144"/>
      <c r="D730" s="145"/>
      <c r="E730" s="90"/>
      <c r="F730" s="90"/>
      <c r="G730" s="90"/>
      <c r="H730" s="90"/>
      <c r="I730" s="90"/>
      <c r="J730" s="90"/>
      <c r="K730" s="90"/>
      <c r="L730" s="90"/>
      <c r="M730" s="146"/>
      <c r="N730" s="147"/>
      <c r="O730" s="147"/>
      <c r="P730" s="148"/>
      <c r="Q730" s="90"/>
      <c r="R730" s="91"/>
    </row>
    <row r="731" ht="15.75" customHeight="1">
      <c r="A731" s="90"/>
      <c r="B731" s="90"/>
      <c r="C731" s="144"/>
      <c r="D731" s="145"/>
      <c r="E731" s="90"/>
      <c r="F731" s="90"/>
      <c r="G731" s="90"/>
      <c r="H731" s="90"/>
      <c r="I731" s="90"/>
      <c r="J731" s="90"/>
      <c r="K731" s="90"/>
      <c r="L731" s="90"/>
      <c r="M731" s="146"/>
      <c r="N731" s="147"/>
      <c r="O731" s="147"/>
      <c r="P731" s="148"/>
      <c r="Q731" s="90"/>
      <c r="R731" s="91"/>
    </row>
    <row r="732" ht="15.75" customHeight="1">
      <c r="A732" s="90"/>
      <c r="B732" s="90"/>
      <c r="C732" s="144"/>
      <c r="D732" s="145"/>
      <c r="E732" s="90"/>
      <c r="F732" s="90"/>
      <c r="G732" s="90"/>
      <c r="H732" s="90"/>
      <c r="I732" s="90"/>
      <c r="J732" s="90"/>
      <c r="K732" s="90"/>
      <c r="L732" s="90"/>
      <c r="M732" s="146"/>
      <c r="N732" s="147"/>
      <c r="O732" s="147"/>
      <c r="P732" s="148"/>
      <c r="Q732" s="90"/>
      <c r="R732" s="91"/>
    </row>
    <row r="733" ht="15.75" customHeight="1">
      <c r="A733" s="90"/>
      <c r="B733" s="90"/>
      <c r="C733" s="144"/>
      <c r="D733" s="145"/>
      <c r="E733" s="90"/>
      <c r="F733" s="90"/>
      <c r="G733" s="90"/>
      <c r="H733" s="90"/>
      <c r="I733" s="90"/>
      <c r="J733" s="90"/>
      <c r="K733" s="90"/>
      <c r="L733" s="90"/>
      <c r="M733" s="146"/>
      <c r="N733" s="147"/>
      <c r="O733" s="147"/>
      <c r="P733" s="148"/>
      <c r="Q733" s="90"/>
      <c r="R733" s="91"/>
    </row>
    <row r="734" ht="15.75" customHeight="1">
      <c r="A734" s="90"/>
      <c r="B734" s="90"/>
      <c r="C734" s="144"/>
      <c r="D734" s="145"/>
      <c r="E734" s="90"/>
      <c r="F734" s="90"/>
      <c r="G734" s="90"/>
      <c r="H734" s="90"/>
      <c r="I734" s="90"/>
      <c r="J734" s="90"/>
      <c r="K734" s="90"/>
      <c r="L734" s="90"/>
      <c r="M734" s="146"/>
      <c r="N734" s="147"/>
      <c r="O734" s="147"/>
      <c r="P734" s="148"/>
      <c r="Q734" s="90"/>
      <c r="R734" s="91"/>
    </row>
    <row r="735" ht="15.75" customHeight="1">
      <c r="A735" s="90"/>
      <c r="B735" s="90"/>
      <c r="C735" s="144"/>
      <c r="D735" s="145"/>
      <c r="E735" s="90"/>
      <c r="F735" s="90"/>
      <c r="G735" s="90"/>
      <c r="H735" s="90"/>
      <c r="I735" s="90"/>
      <c r="J735" s="90"/>
      <c r="K735" s="90"/>
      <c r="L735" s="90"/>
      <c r="M735" s="146"/>
      <c r="N735" s="147"/>
      <c r="O735" s="147"/>
      <c r="P735" s="148"/>
      <c r="Q735" s="90"/>
      <c r="R735" s="91"/>
    </row>
    <row r="736" ht="15.75" customHeight="1">
      <c r="A736" s="90"/>
      <c r="B736" s="90"/>
      <c r="C736" s="144"/>
      <c r="D736" s="145"/>
      <c r="E736" s="90"/>
      <c r="F736" s="90"/>
      <c r="G736" s="90"/>
      <c r="H736" s="90"/>
      <c r="I736" s="90"/>
      <c r="J736" s="90"/>
      <c r="K736" s="90"/>
      <c r="L736" s="90"/>
      <c r="M736" s="146"/>
      <c r="N736" s="147"/>
      <c r="O736" s="147"/>
      <c r="P736" s="148"/>
      <c r="Q736" s="90"/>
      <c r="R736" s="91"/>
    </row>
    <row r="737" ht="15.75" customHeight="1">
      <c r="A737" s="90"/>
      <c r="B737" s="90"/>
      <c r="C737" s="144"/>
      <c r="D737" s="145"/>
      <c r="E737" s="90"/>
      <c r="F737" s="90"/>
      <c r="G737" s="90"/>
      <c r="H737" s="90"/>
      <c r="I737" s="90"/>
      <c r="J737" s="90"/>
      <c r="K737" s="90"/>
      <c r="L737" s="90"/>
      <c r="M737" s="146"/>
      <c r="N737" s="147"/>
      <c r="O737" s="147"/>
      <c r="P737" s="148"/>
      <c r="Q737" s="90"/>
      <c r="R737" s="91"/>
    </row>
    <row r="738" ht="15.75" customHeight="1">
      <c r="A738" s="90"/>
      <c r="B738" s="90"/>
      <c r="C738" s="144"/>
      <c r="D738" s="145"/>
      <c r="E738" s="90"/>
      <c r="F738" s="90"/>
      <c r="G738" s="90"/>
      <c r="H738" s="90"/>
      <c r="I738" s="90"/>
      <c r="J738" s="90"/>
      <c r="K738" s="90"/>
      <c r="L738" s="90"/>
      <c r="M738" s="146"/>
      <c r="N738" s="147"/>
      <c r="O738" s="147"/>
      <c r="P738" s="148"/>
      <c r="Q738" s="90"/>
      <c r="R738" s="91"/>
    </row>
    <row r="739" ht="15.75" customHeight="1">
      <c r="A739" s="90"/>
      <c r="B739" s="90"/>
      <c r="C739" s="144"/>
      <c r="D739" s="145"/>
      <c r="E739" s="90"/>
      <c r="F739" s="90"/>
      <c r="G739" s="90"/>
      <c r="H739" s="90"/>
      <c r="I739" s="90"/>
      <c r="J739" s="90"/>
      <c r="K739" s="90"/>
      <c r="L739" s="90"/>
      <c r="M739" s="146"/>
      <c r="N739" s="147"/>
      <c r="O739" s="147"/>
      <c r="P739" s="148"/>
      <c r="Q739" s="90"/>
      <c r="R739" s="91"/>
    </row>
    <row r="740" ht="15.75" customHeight="1">
      <c r="A740" s="90"/>
      <c r="B740" s="90"/>
      <c r="C740" s="144"/>
      <c r="D740" s="145"/>
      <c r="E740" s="90"/>
      <c r="F740" s="90"/>
      <c r="G740" s="90"/>
      <c r="H740" s="90"/>
      <c r="I740" s="90"/>
      <c r="J740" s="90"/>
      <c r="K740" s="90"/>
      <c r="L740" s="90"/>
      <c r="M740" s="146"/>
      <c r="N740" s="147"/>
      <c r="O740" s="147"/>
      <c r="P740" s="148"/>
      <c r="Q740" s="90"/>
      <c r="R740" s="91"/>
    </row>
    <row r="741" ht="15.75" customHeight="1">
      <c r="A741" s="90"/>
      <c r="B741" s="90"/>
      <c r="C741" s="144"/>
      <c r="D741" s="145"/>
      <c r="E741" s="90"/>
      <c r="F741" s="90"/>
      <c r="G741" s="90"/>
      <c r="H741" s="90"/>
      <c r="I741" s="90"/>
      <c r="J741" s="90"/>
      <c r="K741" s="90"/>
      <c r="L741" s="90"/>
      <c r="M741" s="146"/>
      <c r="N741" s="147"/>
      <c r="O741" s="147"/>
      <c r="P741" s="148"/>
      <c r="Q741" s="90"/>
      <c r="R741" s="91"/>
    </row>
    <row r="742" ht="15.75" customHeight="1">
      <c r="A742" s="90"/>
      <c r="B742" s="90"/>
      <c r="C742" s="144"/>
      <c r="D742" s="145"/>
      <c r="E742" s="90"/>
      <c r="F742" s="90"/>
      <c r="G742" s="90"/>
      <c r="H742" s="90"/>
      <c r="I742" s="90"/>
      <c r="J742" s="90"/>
      <c r="K742" s="90"/>
      <c r="L742" s="90"/>
      <c r="M742" s="146"/>
      <c r="N742" s="147"/>
      <c r="O742" s="147"/>
      <c r="P742" s="148"/>
      <c r="Q742" s="90"/>
      <c r="R742" s="91"/>
    </row>
    <row r="743" ht="15.75" customHeight="1">
      <c r="A743" s="90"/>
      <c r="B743" s="90"/>
      <c r="C743" s="144"/>
      <c r="D743" s="145"/>
      <c r="E743" s="90"/>
      <c r="F743" s="90"/>
      <c r="G743" s="90"/>
      <c r="H743" s="90"/>
      <c r="I743" s="90"/>
      <c r="J743" s="90"/>
      <c r="K743" s="90"/>
      <c r="L743" s="90"/>
      <c r="M743" s="146"/>
      <c r="N743" s="147"/>
      <c r="O743" s="147"/>
      <c r="P743" s="148"/>
      <c r="Q743" s="90"/>
      <c r="R743" s="91"/>
    </row>
    <row r="744" ht="15.75" customHeight="1">
      <c r="A744" s="90"/>
      <c r="B744" s="90"/>
      <c r="C744" s="144"/>
      <c r="D744" s="145"/>
      <c r="E744" s="90"/>
      <c r="F744" s="90"/>
      <c r="G744" s="90"/>
      <c r="H744" s="90"/>
      <c r="I744" s="90"/>
      <c r="J744" s="90"/>
      <c r="K744" s="90"/>
      <c r="L744" s="90"/>
      <c r="M744" s="146"/>
      <c r="N744" s="147"/>
      <c r="O744" s="147"/>
      <c r="P744" s="148"/>
      <c r="Q744" s="90"/>
      <c r="R744" s="91"/>
    </row>
    <row r="745" ht="15.75" customHeight="1">
      <c r="A745" s="90"/>
      <c r="B745" s="90"/>
      <c r="C745" s="144"/>
      <c r="D745" s="145"/>
      <c r="E745" s="90"/>
      <c r="F745" s="90"/>
      <c r="G745" s="90"/>
      <c r="H745" s="90"/>
      <c r="I745" s="90"/>
      <c r="J745" s="90"/>
      <c r="K745" s="90"/>
      <c r="L745" s="90"/>
      <c r="M745" s="146"/>
      <c r="N745" s="147"/>
      <c r="O745" s="147"/>
      <c r="P745" s="148"/>
      <c r="Q745" s="90"/>
      <c r="R745" s="91"/>
    </row>
    <row r="746" ht="15.75" customHeight="1">
      <c r="A746" s="90"/>
      <c r="B746" s="90"/>
      <c r="C746" s="144"/>
      <c r="D746" s="145"/>
      <c r="E746" s="90"/>
      <c r="F746" s="90"/>
      <c r="G746" s="90"/>
      <c r="H746" s="90"/>
      <c r="I746" s="90"/>
      <c r="J746" s="90"/>
      <c r="K746" s="90"/>
      <c r="L746" s="90"/>
      <c r="M746" s="146"/>
      <c r="N746" s="147"/>
      <c r="O746" s="147"/>
      <c r="P746" s="148"/>
      <c r="Q746" s="90"/>
      <c r="R746" s="91"/>
    </row>
    <row r="747" ht="15.75" customHeight="1">
      <c r="A747" s="90"/>
      <c r="B747" s="90"/>
      <c r="C747" s="144"/>
      <c r="D747" s="145"/>
      <c r="E747" s="90"/>
      <c r="F747" s="90"/>
      <c r="G747" s="90"/>
      <c r="H747" s="90"/>
      <c r="I747" s="90"/>
      <c r="J747" s="90"/>
      <c r="K747" s="90"/>
      <c r="L747" s="90"/>
      <c r="M747" s="146"/>
      <c r="N747" s="147"/>
      <c r="O747" s="147"/>
      <c r="P747" s="148"/>
      <c r="Q747" s="90"/>
      <c r="R747" s="91"/>
    </row>
    <row r="748" ht="15.75" customHeight="1">
      <c r="A748" s="90"/>
      <c r="B748" s="90"/>
      <c r="C748" s="144"/>
      <c r="D748" s="145"/>
      <c r="E748" s="90"/>
      <c r="F748" s="90"/>
      <c r="G748" s="90"/>
      <c r="H748" s="90"/>
      <c r="I748" s="90"/>
      <c r="J748" s="90"/>
      <c r="K748" s="90"/>
      <c r="L748" s="90"/>
      <c r="M748" s="146"/>
      <c r="N748" s="147"/>
      <c r="O748" s="147"/>
      <c r="P748" s="148"/>
      <c r="Q748" s="90"/>
      <c r="R748" s="91"/>
    </row>
    <row r="749" ht="15.75" customHeight="1">
      <c r="A749" s="90"/>
      <c r="B749" s="90"/>
      <c r="C749" s="144"/>
      <c r="D749" s="145"/>
      <c r="E749" s="90"/>
      <c r="F749" s="90"/>
      <c r="G749" s="90"/>
      <c r="H749" s="90"/>
      <c r="I749" s="90"/>
      <c r="J749" s="90"/>
      <c r="K749" s="90"/>
      <c r="L749" s="90"/>
      <c r="M749" s="146"/>
      <c r="N749" s="147"/>
      <c r="O749" s="147"/>
      <c r="P749" s="148"/>
      <c r="Q749" s="90"/>
      <c r="R749" s="91"/>
    </row>
    <row r="750" ht="15.75" customHeight="1">
      <c r="A750" s="90"/>
      <c r="B750" s="90"/>
      <c r="C750" s="144"/>
      <c r="D750" s="145"/>
      <c r="E750" s="90"/>
      <c r="F750" s="90"/>
      <c r="G750" s="90"/>
      <c r="H750" s="90"/>
      <c r="I750" s="90"/>
      <c r="J750" s="90"/>
      <c r="K750" s="90"/>
      <c r="L750" s="90"/>
      <c r="M750" s="146"/>
      <c r="N750" s="147"/>
      <c r="O750" s="147"/>
      <c r="P750" s="148"/>
      <c r="Q750" s="90"/>
      <c r="R750" s="91"/>
    </row>
    <row r="751" ht="15.75" customHeight="1">
      <c r="A751" s="90"/>
      <c r="B751" s="90"/>
      <c r="C751" s="144"/>
      <c r="D751" s="145"/>
      <c r="E751" s="90"/>
      <c r="F751" s="90"/>
      <c r="G751" s="90"/>
      <c r="H751" s="90"/>
      <c r="I751" s="90"/>
      <c r="J751" s="90"/>
      <c r="K751" s="90"/>
      <c r="L751" s="90"/>
      <c r="M751" s="146"/>
      <c r="N751" s="147"/>
      <c r="O751" s="147"/>
      <c r="P751" s="148"/>
      <c r="Q751" s="90"/>
      <c r="R751" s="91"/>
    </row>
    <row r="752" ht="15.75" customHeight="1">
      <c r="A752" s="90"/>
      <c r="B752" s="90"/>
      <c r="C752" s="144"/>
      <c r="D752" s="145"/>
      <c r="E752" s="90"/>
      <c r="F752" s="90"/>
      <c r="G752" s="90"/>
      <c r="H752" s="90"/>
      <c r="I752" s="90"/>
      <c r="J752" s="90"/>
      <c r="K752" s="90"/>
      <c r="L752" s="90"/>
      <c r="M752" s="146"/>
      <c r="N752" s="147"/>
      <c r="O752" s="147"/>
      <c r="P752" s="148"/>
      <c r="Q752" s="90"/>
      <c r="R752" s="91"/>
    </row>
    <row r="753" ht="15.75" customHeight="1">
      <c r="A753" s="90"/>
      <c r="B753" s="90"/>
      <c r="C753" s="144"/>
      <c r="D753" s="145"/>
      <c r="E753" s="90"/>
      <c r="F753" s="90"/>
      <c r="G753" s="90"/>
      <c r="H753" s="90"/>
      <c r="I753" s="90"/>
      <c r="J753" s="90"/>
      <c r="K753" s="90"/>
      <c r="L753" s="90"/>
      <c r="M753" s="146"/>
      <c r="N753" s="147"/>
      <c r="O753" s="147"/>
      <c r="P753" s="148"/>
      <c r="Q753" s="90"/>
      <c r="R753" s="91"/>
    </row>
    <row r="754" ht="15.75" customHeight="1">
      <c r="A754" s="90"/>
      <c r="B754" s="90"/>
      <c r="C754" s="144"/>
      <c r="D754" s="145"/>
      <c r="E754" s="90"/>
      <c r="F754" s="90"/>
      <c r="G754" s="90"/>
      <c r="H754" s="90"/>
      <c r="I754" s="90"/>
      <c r="J754" s="90"/>
      <c r="K754" s="90"/>
      <c r="L754" s="90"/>
      <c r="M754" s="146"/>
      <c r="N754" s="147"/>
      <c r="O754" s="147"/>
      <c r="P754" s="148"/>
      <c r="Q754" s="90"/>
      <c r="R754" s="91"/>
    </row>
    <row r="755" ht="15.75" customHeight="1">
      <c r="A755" s="90"/>
      <c r="B755" s="90"/>
      <c r="C755" s="144"/>
      <c r="D755" s="145"/>
      <c r="E755" s="90"/>
      <c r="F755" s="90"/>
      <c r="G755" s="90"/>
      <c r="H755" s="90"/>
      <c r="I755" s="90"/>
      <c r="J755" s="90"/>
      <c r="K755" s="90"/>
      <c r="L755" s="90"/>
      <c r="M755" s="146"/>
      <c r="N755" s="147"/>
      <c r="O755" s="147"/>
      <c r="P755" s="148"/>
      <c r="Q755" s="90"/>
      <c r="R755" s="91"/>
    </row>
    <row r="756" ht="15.75" customHeight="1">
      <c r="A756" s="90"/>
      <c r="B756" s="90"/>
      <c r="C756" s="144"/>
      <c r="D756" s="145"/>
      <c r="E756" s="90"/>
      <c r="F756" s="90"/>
      <c r="G756" s="90"/>
      <c r="H756" s="90"/>
      <c r="I756" s="90"/>
      <c r="J756" s="90"/>
      <c r="K756" s="90"/>
      <c r="L756" s="90"/>
      <c r="M756" s="146"/>
      <c r="N756" s="147"/>
      <c r="O756" s="147"/>
      <c r="P756" s="148"/>
      <c r="Q756" s="90"/>
      <c r="R756" s="91"/>
    </row>
    <row r="757" ht="15.75" customHeight="1">
      <c r="A757" s="90"/>
      <c r="B757" s="90"/>
      <c r="C757" s="144"/>
      <c r="D757" s="145"/>
      <c r="E757" s="90"/>
      <c r="F757" s="90"/>
      <c r="G757" s="90"/>
      <c r="H757" s="90"/>
      <c r="I757" s="90"/>
      <c r="J757" s="90"/>
      <c r="K757" s="90"/>
      <c r="L757" s="90"/>
      <c r="M757" s="146"/>
      <c r="N757" s="147"/>
      <c r="O757" s="147"/>
      <c r="P757" s="148"/>
      <c r="Q757" s="90"/>
      <c r="R757" s="91"/>
    </row>
    <row r="758" ht="15.75" customHeight="1">
      <c r="A758" s="90"/>
      <c r="B758" s="90"/>
      <c r="C758" s="144"/>
      <c r="D758" s="145"/>
      <c r="E758" s="90"/>
      <c r="F758" s="90"/>
      <c r="G758" s="90"/>
      <c r="H758" s="90"/>
      <c r="I758" s="90"/>
      <c r="J758" s="90"/>
      <c r="K758" s="90"/>
      <c r="L758" s="90"/>
      <c r="M758" s="146"/>
      <c r="N758" s="147"/>
      <c r="O758" s="147"/>
      <c r="P758" s="148"/>
      <c r="Q758" s="90"/>
      <c r="R758" s="91"/>
    </row>
    <row r="759" ht="15.75" customHeight="1">
      <c r="A759" s="90"/>
      <c r="B759" s="90"/>
      <c r="C759" s="144"/>
      <c r="D759" s="145"/>
      <c r="E759" s="90"/>
      <c r="F759" s="90"/>
      <c r="G759" s="90"/>
      <c r="H759" s="90"/>
      <c r="I759" s="90"/>
      <c r="J759" s="90"/>
      <c r="K759" s="90"/>
      <c r="L759" s="90"/>
      <c r="M759" s="146"/>
      <c r="N759" s="147"/>
      <c r="O759" s="147"/>
      <c r="P759" s="148"/>
      <c r="Q759" s="90"/>
      <c r="R759" s="91"/>
    </row>
    <row r="760" ht="15.75" customHeight="1">
      <c r="A760" s="90"/>
      <c r="B760" s="90"/>
      <c r="C760" s="144"/>
      <c r="D760" s="145"/>
      <c r="E760" s="90"/>
      <c r="F760" s="90"/>
      <c r="G760" s="90"/>
      <c r="H760" s="90"/>
      <c r="I760" s="90"/>
      <c r="J760" s="90"/>
      <c r="K760" s="90"/>
      <c r="L760" s="90"/>
      <c r="M760" s="146"/>
      <c r="N760" s="147"/>
      <c r="O760" s="147"/>
      <c r="P760" s="148"/>
      <c r="Q760" s="90"/>
      <c r="R760" s="91"/>
    </row>
    <row r="761" ht="15.75" customHeight="1">
      <c r="A761" s="90"/>
      <c r="B761" s="90"/>
      <c r="C761" s="144"/>
      <c r="D761" s="145"/>
      <c r="E761" s="90"/>
      <c r="F761" s="90"/>
      <c r="G761" s="90"/>
      <c r="H761" s="90"/>
      <c r="I761" s="90"/>
      <c r="J761" s="90"/>
      <c r="K761" s="90"/>
      <c r="L761" s="90"/>
      <c r="M761" s="146"/>
      <c r="N761" s="147"/>
      <c r="O761" s="147"/>
      <c r="P761" s="148"/>
      <c r="Q761" s="90"/>
      <c r="R761" s="91"/>
    </row>
    <row r="762" ht="15.75" customHeight="1">
      <c r="A762" s="90"/>
      <c r="B762" s="90"/>
      <c r="C762" s="144"/>
      <c r="D762" s="145"/>
      <c r="E762" s="90"/>
      <c r="F762" s="90"/>
      <c r="G762" s="90"/>
      <c r="H762" s="90"/>
      <c r="I762" s="90"/>
      <c r="J762" s="90"/>
      <c r="K762" s="90"/>
      <c r="L762" s="90"/>
      <c r="M762" s="146"/>
      <c r="N762" s="147"/>
      <c r="O762" s="147"/>
      <c r="P762" s="148"/>
      <c r="Q762" s="90"/>
      <c r="R762" s="91"/>
    </row>
    <row r="763" ht="15.75" customHeight="1">
      <c r="A763" s="90"/>
      <c r="B763" s="90"/>
      <c r="C763" s="144"/>
      <c r="D763" s="145"/>
      <c r="E763" s="90"/>
      <c r="F763" s="90"/>
      <c r="G763" s="90"/>
      <c r="H763" s="90"/>
      <c r="I763" s="90"/>
      <c r="J763" s="90"/>
      <c r="K763" s="90"/>
      <c r="L763" s="90"/>
      <c r="M763" s="146"/>
      <c r="N763" s="147"/>
      <c r="O763" s="147"/>
      <c r="P763" s="148"/>
      <c r="Q763" s="90"/>
      <c r="R763" s="91"/>
    </row>
    <row r="764" ht="15.75" customHeight="1">
      <c r="A764" s="90"/>
      <c r="B764" s="90"/>
      <c r="C764" s="144"/>
      <c r="D764" s="145"/>
      <c r="E764" s="90"/>
      <c r="F764" s="90"/>
      <c r="G764" s="90"/>
      <c r="H764" s="90"/>
      <c r="I764" s="90"/>
      <c r="J764" s="90"/>
      <c r="K764" s="90"/>
      <c r="L764" s="90"/>
      <c r="M764" s="146"/>
      <c r="N764" s="147"/>
      <c r="O764" s="147"/>
      <c r="P764" s="148"/>
      <c r="Q764" s="90"/>
      <c r="R764" s="91"/>
    </row>
    <row r="765" ht="15.75" customHeight="1">
      <c r="A765" s="90"/>
      <c r="B765" s="90"/>
      <c r="C765" s="144"/>
      <c r="D765" s="145"/>
      <c r="E765" s="90"/>
      <c r="F765" s="90"/>
      <c r="G765" s="90"/>
      <c r="H765" s="90"/>
      <c r="I765" s="90"/>
      <c r="J765" s="90"/>
      <c r="K765" s="90"/>
      <c r="L765" s="90"/>
      <c r="M765" s="146"/>
      <c r="N765" s="147"/>
      <c r="O765" s="147"/>
      <c r="P765" s="148"/>
      <c r="Q765" s="90"/>
      <c r="R765" s="91"/>
    </row>
    <row r="766" ht="15.75" customHeight="1">
      <c r="A766" s="90"/>
      <c r="B766" s="90"/>
      <c r="C766" s="144"/>
      <c r="D766" s="145"/>
      <c r="E766" s="90"/>
      <c r="F766" s="90"/>
      <c r="G766" s="90"/>
      <c r="H766" s="90"/>
      <c r="I766" s="90"/>
      <c r="J766" s="90"/>
      <c r="K766" s="90"/>
      <c r="L766" s="90"/>
      <c r="M766" s="146"/>
      <c r="N766" s="147"/>
      <c r="O766" s="147"/>
      <c r="P766" s="148"/>
      <c r="Q766" s="90"/>
      <c r="R766" s="91"/>
    </row>
    <row r="767" ht="15.75" customHeight="1">
      <c r="A767" s="90"/>
      <c r="B767" s="90"/>
      <c r="C767" s="144"/>
      <c r="D767" s="145"/>
      <c r="E767" s="90"/>
      <c r="F767" s="90"/>
      <c r="G767" s="90"/>
      <c r="H767" s="90"/>
      <c r="I767" s="90"/>
      <c r="J767" s="90"/>
      <c r="K767" s="90"/>
      <c r="L767" s="90"/>
      <c r="M767" s="146"/>
      <c r="N767" s="147"/>
      <c r="O767" s="147"/>
      <c r="P767" s="148"/>
      <c r="Q767" s="90"/>
      <c r="R767" s="91"/>
    </row>
    <row r="768" ht="15.75" customHeight="1">
      <c r="A768" s="90"/>
      <c r="B768" s="90"/>
      <c r="C768" s="144"/>
      <c r="D768" s="145"/>
      <c r="E768" s="90"/>
      <c r="F768" s="90"/>
      <c r="G768" s="90"/>
      <c r="H768" s="90"/>
      <c r="I768" s="90"/>
      <c r="J768" s="90"/>
      <c r="K768" s="90"/>
      <c r="L768" s="90"/>
      <c r="M768" s="146"/>
      <c r="N768" s="147"/>
      <c r="O768" s="147"/>
      <c r="P768" s="148"/>
      <c r="Q768" s="90"/>
      <c r="R768" s="91"/>
    </row>
    <row r="769" ht="15.75" customHeight="1">
      <c r="A769" s="90"/>
      <c r="B769" s="90"/>
      <c r="C769" s="144"/>
      <c r="D769" s="145"/>
      <c r="E769" s="90"/>
      <c r="F769" s="90"/>
      <c r="G769" s="90"/>
      <c r="H769" s="90"/>
      <c r="I769" s="90"/>
      <c r="J769" s="90"/>
      <c r="K769" s="90"/>
      <c r="L769" s="90"/>
      <c r="M769" s="146"/>
      <c r="N769" s="147"/>
      <c r="O769" s="147"/>
      <c r="P769" s="148"/>
      <c r="Q769" s="90"/>
      <c r="R769" s="91"/>
    </row>
    <row r="770" ht="15.75" customHeight="1">
      <c r="A770" s="90"/>
      <c r="B770" s="90"/>
      <c r="C770" s="144"/>
      <c r="D770" s="145"/>
      <c r="E770" s="90"/>
      <c r="F770" s="90"/>
      <c r="G770" s="90"/>
      <c r="H770" s="90"/>
      <c r="I770" s="90"/>
      <c r="J770" s="90"/>
      <c r="K770" s="90"/>
      <c r="L770" s="90"/>
      <c r="M770" s="146"/>
      <c r="N770" s="147"/>
      <c r="O770" s="147"/>
      <c r="P770" s="148"/>
      <c r="Q770" s="90"/>
      <c r="R770" s="91"/>
    </row>
    <row r="771" ht="15.75" customHeight="1">
      <c r="A771" s="90"/>
      <c r="B771" s="90"/>
      <c r="C771" s="144"/>
      <c r="D771" s="145"/>
      <c r="E771" s="90"/>
      <c r="F771" s="90"/>
      <c r="G771" s="90"/>
      <c r="H771" s="90"/>
      <c r="I771" s="90"/>
      <c r="J771" s="90"/>
      <c r="K771" s="90"/>
      <c r="L771" s="90"/>
      <c r="M771" s="146"/>
      <c r="N771" s="147"/>
      <c r="O771" s="147"/>
      <c r="P771" s="148"/>
      <c r="Q771" s="90"/>
      <c r="R771" s="91"/>
    </row>
    <row r="772" ht="15.75" customHeight="1">
      <c r="A772" s="90"/>
      <c r="B772" s="90"/>
      <c r="C772" s="144"/>
      <c r="D772" s="145"/>
      <c r="E772" s="90"/>
      <c r="F772" s="90"/>
      <c r="G772" s="90"/>
      <c r="H772" s="90"/>
      <c r="I772" s="90"/>
      <c r="J772" s="90"/>
      <c r="K772" s="90"/>
      <c r="L772" s="90"/>
      <c r="M772" s="146"/>
      <c r="N772" s="147"/>
      <c r="O772" s="147"/>
      <c r="P772" s="148"/>
      <c r="Q772" s="90"/>
      <c r="R772" s="91"/>
    </row>
    <row r="773" ht="15.75" customHeight="1">
      <c r="A773" s="90"/>
      <c r="B773" s="90"/>
      <c r="C773" s="144"/>
      <c r="D773" s="145"/>
      <c r="E773" s="90"/>
      <c r="F773" s="90"/>
      <c r="G773" s="90"/>
      <c r="H773" s="90"/>
      <c r="I773" s="90"/>
      <c r="J773" s="90"/>
      <c r="K773" s="90"/>
      <c r="L773" s="90"/>
      <c r="M773" s="146"/>
      <c r="N773" s="147"/>
      <c r="O773" s="147"/>
      <c r="P773" s="148"/>
      <c r="Q773" s="90"/>
      <c r="R773" s="91"/>
    </row>
    <row r="774" ht="15.75" customHeight="1">
      <c r="A774" s="90"/>
      <c r="B774" s="90"/>
      <c r="C774" s="144"/>
      <c r="D774" s="145"/>
      <c r="E774" s="90"/>
      <c r="F774" s="90"/>
      <c r="G774" s="90"/>
      <c r="H774" s="90"/>
      <c r="I774" s="90"/>
      <c r="J774" s="90"/>
      <c r="K774" s="90"/>
      <c r="L774" s="90"/>
      <c r="M774" s="146"/>
      <c r="N774" s="147"/>
      <c r="O774" s="147"/>
      <c r="P774" s="148"/>
      <c r="Q774" s="90"/>
      <c r="R774" s="91"/>
    </row>
    <row r="775" ht="15.75" customHeight="1">
      <c r="A775" s="90"/>
      <c r="B775" s="90"/>
      <c r="C775" s="144"/>
      <c r="D775" s="145"/>
      <c r="E775" s="90"/>
      <c r="F775" s="90"/>
      <c r="G775" s="90"/>
      <c r="H775" s="90"/>
      <c r="I775" s="90"/>
      <c r="J775" s="90"/>
      <c r="K775" s="90"/>
      <c r="L775" s="90"/>
      <c r="M775" s="146"/>
      <c r="N775" s="147"/>
      <c r="O775" s="147"/>
      <c r="P775" s="148"/>
      <c r="Q775" s="90"/>
      <c r="R775" s="91"/>
    </row>
    <row r="776" ht="15.75" customHeight="1">
      <c r="A776" s="90"/>
      <c r="B776" s="90"/>
      <c r="C776" s="144"/>
      <c r="D776" s="145"/>
      <c r="E776" s="90"/>
      <c r="F776" s="90"/>
      <c r="G776" s="90"/>
      <c r="H776" s="90"/>
      <c r="I776" s="90"/>
      <c r="J776" s="90"/>
      <c r="K776" s="90"/>
      <c r="L776" s="90"/>
      <c r="M776" s="146"/>
      <c r="N776" s="147"/>
      <c r="O776" s="147"/>
      <c r="P776" s="148"/>
      <c r="Q776" s="90"/>
      <c r="R776" s="91"/>
    </row>
    <row r="777" ht="15.75" customHeight="1">
      <c r="A777" s="90"/>
      <c r="B777" s="90"/>
      <c r="C777" s="144"/>
      <c r="D777" s="145"/>
      <c r="E777" s="90"/>
      <c r="F777" s="90"/>
      <c r="G777" s="90"/>
      <c r="H777" s="90"/>
      <c r="I777" s="90"/>
      <c r="J777" s="90"/>
      <c r="K777" s="90"/>
      <c r="L777" s="90"/>
      <c r="M777" s="146"/>
      <c r="N777" s="147"/>
      <c r="O777" s="147"/>
      <c r="P777" s="148"/>
      <c r="Q777" s="90"/>
      <c r="R777" s="91"/>
    </row>
    <row r="778" ht="15.75" customHeight="1">
      <c r="A778" s="90"/>
      <c r="B778" s="90"/>
      <c r="C778" s="144"/>
      <c r="D778" s="145"/>
      <c r="E778" s="90"/>
      <c r="F778" s="90"/>
      <c r="G778" s="90"/>
      <c r="H778" s="90"/>
      <c r="I778" s="90"/>
      <c r="J778" s="90"/>
      <c r="K778" s="90"/>
      <c r="L778" s="90"/>
      <c r="M778" s="146"/>
      <c r="N778" s="147"/>
      <c r="O778" s="147"/>
      <c r="P778" s="148"/>
      <c r="Q778" s="90"/>
      <c r="R778" s="91"/>
    </row>
    <row r="779" ht="15.75" customHeight="1">
      <c r="A779" s="90"/>
      <c r="B779" s="90"/>
      <c r="C779" s="144"/>
      <c r="D779" s="145"/>
      <c r="E779" s="90"/>
      <c r="F779" s="90"/>
      <c r="G779" s="90"/>
      <c r="H779" s="90"/>
      <c r="I779" s="90"/>
      <c r="J779" s="90"/>
      <c r="K779" s="90"/>
      <c r="L779" s="90"/>
      <c r="M779" s="146"/>
      <c r="N779" s="147"/>
      <c r="O779" s="147"/>
      <c r="P779" s="148"/>
      <c r="Q779" s="90"/>
      <c r="R779" s="91"/>
    </row>
    <row r="780" ht="15.75" customHeight="1">
      <c r="A780" s="90"/>
      <c r="B780" s="90"/>
      <c r="C780" s="144"/>
      <c r="D780" s="145"/>
      <c r="E780" s="90"/>
      <c r="F780" s="90"/>
      <c r="G780" s="90"/>
      <c r="H780" s="90"/>
      <c r="I780" s="90"/>
      <c r="J780" s="90"/>
      <c r="K780" s="90"/>
      <c r="L780" s="90"/>
      <c r="M780" s="146"/>
      <c r="N780" s="147"/>
      <c r="O780" s="147"/>
      <c r="P780" s="148"/>
      <c r="Q780" s="90"/>
      <c r="R780" s="91"/>
    </row>
    <row r="781" ht="15.75" customHeight="1">
      <c r="A781" s="90"/>
      <c r="B781" s="90"/>
      <c r="C781" s="144"/>
      <c r="D781" s="145"/>
      <c r="E781" s="90"/>
      <c r="F781" s="90"/>
      <c r="G781" s="90"/>
      <c r="H781" s="90"/>
      <c r="I781" s="90"/>
      <c r="J781" s="90"/>
      <c r="K781" s="90"/>
      <c r="L781" s="90"/>
      <c r="M781" s="146"/>
      <c r="N781" s="147"/>
      <c r="O781" s="147"/>
      <c r="P781" s="148"/>
      <c r="Q781" s="90"/>
      <c r="R781" s="91"/>
    </row>
    <row r="782" ht="15.75" customHeight="1">
      <c r="A782" s="90"/>
      <c r="B782" s="90"/>
      <c r="C782" s="144"/>
      <c r="D782" s="145"/>
      <c r="E782" s="90"/>
      <c r="F782" s="90"/>
      <c r="G782" s="90"/>
      <c r="H782" s="90"/>
      <c r="I782" s="90"/>
      <c r="J782" s="90"/>
      <c r="K782" s="90"/>
      <c r="L782" s="90"/>
      <c r="M782" s="146"/>
      <c r="N782" s="147"/>
      <c r="O782" s="147"/>
      <c r="P782" s="148"/>
      <c r="Q782" s="90"/>
      <c r="R782" s="91"/>
    </row>
    <row r="783" ht="15.75" customHeight="1">
      <c r="A783" s="90"/>
      <c r="B783" s="90"/>
      <c r="C783" s="144"/>
      <c r="D783" s="145"/>
      <c r="E783" s="90"/>
      <c r="F783" s="90"/>
      <c r="G783" s="90"/>
      <c r="H783" s="90"/>
      <c r="I783" s="90"/>
      <c r="J783" s="90"/>
      <c r="K783" s="90"/>
      <c r="L783" s="90"/>
      <c r="M783" s="146"/>
      <c r="N783" s="147"/>
      <c r="O783" s="147"/>
      <c r="P783" s="148"/>
      <c r="Q783" s="90"/>
      <c r="R783" s="91"/>
    </row>
    <row r="784" ht="15.75" customHeight="1">
      <c r="A784" s="90"/>
      <c r="B784" s="90"/>
      <c r="C784" s="144"/>
      <c r="D784" s="145"/>
      <c r="E784" s="90"/>
      <c r="F784" s="90"/>
      <c r="G784" s="90"/>
      <c r="H784" s="90"/>
      <c r="I784" s="90"/>
      <c r="J784" s="90"/>
      <c r="K784" s="90"/>
      <c r="L784" s="90"/>
      <c r="M784" s="146"/>
      <c r="N784" s="147"/>
      <c r="O784" s="147"/>
      <c r="P784" s="148"/>
      <c r="Q784" s="90"/>
      <c r="R784" s="91"/>
    </row>
    <row r="785" ht="15.75" customHeight="1">
      <c r="A785" s="90"/>
      <c r="B785" s="90"/>
      <c r="C785" s="144"/>
      <c r="D785" s="145"/>
      <c r="E785" s="90"/>
      <c r="F785" s="90"/>
      <c r="G785" s="90"/>
      <c r="H785" s="90"/>
      <c r="I785" s="90"/>
      <c r="J785" s="90"/>
      <c r="K785" s="90"/>
      <c r="L785" s="90"/>
      <c r="M785" s="146"/>
      <c r="N785" s="147"/>
      <c r="O785" s="147"/>
      <c r="P785" s="148"/>
      <c r="Q785" s="90"/>
      <c r="R785" s="91"/>
    </row>
    <row r="786" ht="15.75" customHeight="1">
      <c r="A786" s="90"/>
      <c r="B786" s="90"/>
      <c r="C786" s="144"/>
      <c r="D786" s="145"/>
      <c r="E786" s="90"/>
      <c r="F786" s="90"/>
      <c r="G786" s="90"/>
      <c r="H786" s="90"/>
      <c r="I786" s="90"/>
      <c r="J786" s="90"/>
      <c r="K786" s="90"/>
      <c r="L786" s="90"/>
      <c r="M786" s="146"/>
      <c r="N786" s="147"/>
      <c r="O786" s="147"/>
      <c r="P786" s="148"/>
      <c r="Q786" s="90"/>
      <c r="R786" s="91"/>
    </row>
    <row r="787" ht="15.75" customHeight="1">
      <c r="A787" s="90"/>
      <c r="B787" s="90"/>
      <c r="C787" s="144"/>
      <c r="D787" s="145"/>
      <c r="E787" s="90"/>
      <c r="F787" s="90"/>
      <c r="G787" s="90"/>
      <c r="H787" s="90"/>
      <c r="I787" s="90"/>
      <c r="J787" s="90"/>
      <c r="K787" s="90"/>
      <c r="L787" s="90"/>
      <c r="M787" s="146"/>
      <c r="N787" s="147"/>
      <c r="O787" s="147"/>
      <c r="P787" s="148"/>
      <c r="Q787" s="90"/>
      <c r="R787" s="91"/>
    </row>
    <row r="788" ht="15.75" customHeight="1">
      <c r="A788" s="90"/>
      <c r="B788" s="90"/>
      <c r="C788" s="144"/>
      <c r="D788" s="145"/>
      <c r="E788" s="90"/>
      <c r="F788" s="90"/>
      <c r="G788" s="90"/>
      <c r="H788" s="90"/>
      <c r="I788" s="90"/>
      <c r="J788" s="90"/>
      <c r="K788" s="90"/>
      <c r="L788" s="90"/>
      <c r="M788" s="146"/>
      <c r="N788" s="147"/>
      <c r="O788" s="147"/>
      <c r="P788" s="148"/>
      <c r="Q788" s="90"/>
      <c r="R788" s="91"/>
    </row>
    <row r="789" ht="15.75" customHeight="1">
      <c r="A789" s="90"/>
      <c r="B789" s="90"/>
      <c r="C789" s="144"/>
      <c r="D789" s="145"/>
      <c r="E789" s="90"/>
      <c r="F789" s="90"/>
      <c r="G789" s="90"/>
      <c r="H789" s="90"/>
      <c r="I789" s="90"/>
      <c r="J789" s="90"/>
      <c r="K789" s="90"/>
      <c r="L789" s="90"/>
      <c r="M789" s="146"/>
      <c r="N789" s="147"/>
      <c r="O789" s="147"/>
      <c r="P789" s="148"/>
      <c r="Q789" s="90"/>
      <c r="R789" s="91"/>
    </row>
    <row r="790" ht="15.75" customHeight="1">
      <c r="A790" s="90"/>
      <c r="B790" s="90"/>
      <c r="C790" s="144"/>
      <c r="D790" s="145"/>
      <c r="E790" s="90"/>
      <c r="F790" s="90"/>
      <c r="G790" s="90"/>
      <c r="H790" s="90"/>
      <c r="I790" s="90"/>
      <c r="J790" s="90"/>
      <c r="K790" s="90"/>
      <c r="L790" s="90"/>
      <c r="M790" s="146"/>
      <c r="N790" s="147"/>
      <c r="O790" s="147"/>
      <c r="P790" s="148"/>
      <c r="Q790" s="90"/>
      <c r="R790" s="91"/>
    </row>
    <row r="791" ht="15.75" customHeight="1">
      <c r="A791" s="90"/>
      <c r="B791" s="90"/>
      <c r="C791" s="144"/>
      <c r="D791" s="145"/>
      <c r="E791" s="90"/>
      <c r="F791" s="90"/>
      <c r="G791" s="90"/>
      <c r="H791" s="90"/>
      <c r="I791" s="90"/>
      <c r="J791" s="90"/>
      <c r="K791" s="90"/>
      <c r="L791" s="90"/>
      <c r="M791" s="146"/>
      <c r="N791" s="147"/>
      <c r="O791" s="147"/>
      <c r="P791" s="148"/>
      <c r="Q791" s="90"/>
      <c r="R791" s="91"/>
    </row>
    <row r="792" ht="15.75" customHeight="1">
      <c r="A792" s="90"/>
      <c r="B792" s="90"/>
      <c r="C792" s="144"/>
      <c r="D792" s="145"/>
      <c r="E792" s="90"/>
      <c r="F792" s="90"/>
      <c r="G792" s="90"/>
      <c r="H792" s="90"/>
      <c r="I792" s="90"/>
      <c r="J792" s="90"/>
      <c r="K792" s="90"/>
      <c r="L792" s="90"/>
      <c r="M792" s="146"/>
      <c r="N792" s="147"/>
      <c r="O792" s="147"/>
      <c r="P792" s="148"/>
      <c r="Q792" s="90"/>
      <c r="R792" s="91"/>
    </row>
    <row r="793" ht="15.75" customHeight="1">
      <c r="A793" s="90"/>
      <c r="B793" s="90"/>
      <c r="C793" s="144"/>
      <c r="D793" s="145"/>
      <c r="E793" s="90"/>
      <c r="F793" s="90"/>
      <c r="G793" s="90"/>
      <c r="H793" s="90"/>
      <c r="I793" s="90"/>
      <c r="J793" s="90"/>
      <c r="K793" s="90"/>
      <c r="L793" s="90"/>
      <c r="M793" s="146"/>
      <c r="N793" s="147"/>
      <c r="O793" s="147"/>
      <c r="P793" s="148"/>
      <c r="Q793" s="90"/>
      <c r="R793" s="91"/>
    </row>
    <row r="794" ht="15.75" customHeight="1">
      <c r="A794" s="90"/>
      <c r="B794" s="90"/>
      <c r="C794" s="144"/>
      <c r="D794" s="145"/>
      <c r="E794" s="90"/>
      <c r="F794" s="90"/>
      <c r="G794" s="90"/>
      <c r="H794" s="90"/>
      <c r="I794" s="90"/>
      <c r="J794" s="90"/>
      <c r="K794" s="90"/>
      <c r="L794" s="90"/>
      <c r="M794" s="146"/>
      <c r="N794" s="147"/>
      <c r="O794" s="147"/>
      <c r="P794" s="148"/>
      <c r="Q794" s="90"/>
      <c r="R794" s="91"/>
    </row>
    <row r="795" ht="15.75" customHeight="1">
      <c r="A795" s="90"/>
      <c r="B795" s="90"/>
      <c r="C795" s="144"/>
      <c r="D795" s="145"/>
      <c r="E795" s="90"/>
      <c r="F795" s="90"/>
      <c r="G795" s="90"/>
      <c r="H795" s="90"/>
      <c r="I795" s="90"/>
      <c r="J795" s="90"/>
      <c r="K795" s="90"/>
      <c r="L795" s="90"/>
      <c r="M795" s="146"/>
      <c r="N795" s="147"/>
      <c r="O795" s="147"/>
      <c r="P795" s="148"/>
      <c r="Q795" s="90"/>
      <c r="R795" s="91"/>
    </row>
    <row r="796" ht="15.75" customHeight="1">
      <c r="A796" s="90"/>
      <c r="B796" s="90"/>
      <c r="C796" s="144"/>
      <c r="D796" s="145"/>
      <c r="E796" s="90"/>
      <c r="F796" s="90"/>
      <c r="G796" s="90"/>
      <c r="H796" s="90"/>
      <c r="I796" s="90"/>
      <c r="J796" s="90"/>
      <c r="K796" s="90"/>
      <c r="L796" s="90"/>
      <c r="M796" s="146"/>
      <c r="N796" s="147"/>
      <c r="O796" s="147"/>
      <c r="P796" s="148"/>
      <c r="Q796" s="90"/>
      <c r="R796" s="91"/>
    </row>
    <row r="797" ht="15.75" customHeight="1">
      <c r="A797" s="90"/>
      <c r="B797" s="90"/>
      <c r="C797" s="144"/>
      <c r="D797" s="145"/>
      <c r="E797" s="90"/>
      <c r="F797" s="90"/>
      <c r="G797" s="90"/>
      <c r="H797" s="90"/>
      <c r="I797" s="90"/>
      <c r="J797" s="90"/>
      <c r="K797" s="90"/>
      <c r="L797" s="90"/>
      <c r="M797" s="146"/>
      <c r="N797" s="147"/>
      <c r="O797" s="147"/>
      <c r="P797" s="148"/>
      <c r="Q797" s="90"/>
      <c r="R797" s="91"/>
    </row>
    <row r="798" ht="15.75" customHeight="1">
      <c r="A798" s="90"/>
      <c r="B798" s="90"/>
      <c r="C798" s="144"/>
      <c r="D798" s="145"/>
      <c r="E798" s="90"/>
      <c r="F798" s="90"/>
      <c r="G798" s="90"/>
      <c r="H798" s="90"/>
      <c r="I798" s="90"/>
      <c r="J798" s="90"/>
      <c r="K798" s="90"/>
      <c r="L798" s="90"/>
      <c r="M798" s="146"/>
      <c r="N798" s="147"/>
      <c r="O798" s="147"/>
      <c r="P798" s="148"/>
      <c r="Q798" s="90"/>
      <c r="R798" s="91"/>
    </row>
    <row r="799" ht="15.75" customHeight="1">
      <c r="A799" s="90"/>
      <c r="B799" s="90"/>
      <c r="C799" s="144"/>
      <c r="D799" s="145"/>
      <c r="E799" s="90"/>
      <c r="F799" s="90"/>
      <c r="G799" s="90"/>
      <c r="H799" s="90"/>
      <c r="I799" s="90"/>
      <c r="J799" s="90"/>
      <c r="K799" s="90"/>
      <c r="L799" s="90"/>
      <c r="M799" s="146"/>
      <c r="N799" s="147"/>
      <c r="O799" s="147"/>
      <c r="P799" s="148"/>
      <c r="Q799" s="90"/>
      <c r="R799" s="91"/>
    </row>
    <row r="800" ht="15.75" customHeight="1">
      <c r="A800" s="90"/>
      <c r="B800" s="90"/>
      <c r="C800" s="144"/>
      <c r="D800" s="145"/>
      <c r="E800" s="90"/>
      <c r="F800" s="90"/>
      <c r="G800" s="90"/>
      <c r="H800" s="90"/>
      <c r="I800" s="90"/>
      <c r="J800" s="90"/>
      <c r="K800" s="90"/>
      <c r="L800" s="90"/>
      <c r="M800" s="146"/>
      <c r="N800" s="147"/>
      <c r="O800" s="147"/>
      <c r="P800" s="148"/>
      <c r="Q800" s="90"/>
      <c r="R800" s="91"/>
    </row>
    <row r="801" ht="15.75" customHeight="1">
      <c r="A801" s="90"/>
      <c r="B801" s="90"/>
      <c r="C801" s="144"/>
      <c r="D801" s="145"/>
      <c r="E801" s="90"/>
      <c r="F801" s="90"/>
      <c r="G801" s="90"/>
      <c r="H801" s="90"/>
      <c r="I801" s="90"/>
      <c r="J801" s="90"/>
      <c r="K801" s="90"/>
      <c r="L801" s="90"/>
      <c r="M801" s="146"/>
      <c r="N801" s="147"/>
      <c r="O801" s="147"/>
      <c r="P801" s="148"/>
      <c r="Q801" s="90"/>
      <c r="R801" s="91"/>
    </row>
    <row r="802" ht="15.75" customHeight="1">
      <c r="A802" s="90"/>
      <c r="B802" s="90"/>
      <c r="C802" s="144"/>
      <c r="D802" s="145"/>
      <c r="E802" s="90"/>
      <c r="F802" s="90"/>
      <c r="G802" s="90"/>
      <c r="H802" s="90"/>
      <c r="I802" s="90"/>
      <c r="J802" s="90"/>
      <c r="K802" s="90"/>
      <c r="L802" s="90"/>
      <c r="M802" s="146"/>
      <c r="N802" s="147"/>
      <c r="O802" s="147"/>
      <c r="P802" s="148"/>
      <c r="Q802" s="90"/>
      <c r="R802" s="91"/>
    </row>
    <row r="803" ht="15.75" customHeight="1">
      <c r="A803" s="90"/>
      <c r="B803" s="90"/>
      <c r="C803" s="144"/>
      <c r="D803" s="145"/>
      <c r="E803" s="90"/>
      <c r="F803" s="90"/>
      <c r="G803" s="90"/>
      <c r="H803" s="90"/>
      <c r="I803" s="90"/>
      <c r="J803" s="90"/>
      <c r="K803" s="90"/>
      <c r="L803" s="90"/>
      <c r="M803" s="146"/>
      <c r="N803" s="147"/>
      <c r="O803" s="147"/>
      <c r="P803" s="148"/>
      <c r="Q803" s="90"/>
      <c r="R803" s="91"/>
    </row>
    <row r="804" ht="15.75" customHeight="1">
      <c r="A804" s="90"/>
      <c r="B804" s="90"/>
      <c r="C804" s="144"/>
      <c r="D804" s="145"/>
      <c r="E804" s="90"/>
      <c r="F804" s="90"/>
      <c r="G804" s="90"/>
      <c r="H804" s="90"/>
      <c r="I804" s="90"/>
      <c r="J804" s="90"/>
      <c r="K804" s="90"/>
      <c r="L804" s="90"/>
      <c r="M804" s="146"/>
      <c r="N804" s="147"/>
      <c r="O804" s="147"/>
      <c r="P804" s="148"/>
      <c r="Q804" s="90"/>
      <c r="R804" s="91"/>
    </row>
    <row r="805" ht="15.75" customHeight="1">
      <c r="A805" s="90"/>
      <c r="B805" s="90"/>
      <c r="C805" s="144"/>
      <c r="D805" s="145"/>
      <c r="E805" s="90"/>
      <c r="F805" s="90"/>
      <c r="G805" s="90"/>
      <c r="H805" s="90"/>
      <c r="I805" s="90"/>
      <c r="J805" s="90"/>
      <c r="K805" s="90"/>
      <c r="L805" s="90"/>
      <c r="M805" s="146"/>
      <c r="N805" s="147"/>
      <c r="O805" s="147"/>
      <c r="P805" s="148"/>
      <c r="Q805" s="90"/>
      <c r="R805" s="91"/>
    </row>
    <row r="806" ht="15.75" customHeight="1">
      <c r="A806" s="90"/>
      <c r="B806" s="90"/>
      <c r="C806" s="144"/>
      <c r="D806" s="145"/>
      <c r="E806" s="90"/>
      <c r="F806" s="90"/>
      <c r="G806" s="90"/>
      <c r="H806" s="90"/>
      <c r="I806" s="90"/>
      <c r="J806" s="90"/>
      <c r="K806" s="90"/>
      <c r="L806" s="90"/>
      <c r="M806" s="146"/>
      <c r="N806" s="147"/>
      <c r="O806" s="147"/>
      <c r="P806" s="148"/>
      <c r="Q806" s="90"/>
      <c r="R806" s="91"/>
    </row>
    <row r="807" ht="15.75" customHeight="1">
      <c r="A807" s="90"/>
      <c r="B807" s="90"/>
      <c r="C807" s="144"/>
      <c r="D807" s="145"/>
      <c r="E807" s="90"/>
      <c r="F807" s="90"/>
      <c r="G807" s="90"/>
      <c r="H807" s="90"/>
      <c r="I807" s="90"/>
      <c r="J807" s="90"/>
      <c r="K807" s="90"/>
      <c r="L807" s="90"/>
      <c r="M807" s="146"/>
      <c r="N807" s="147"/>
      <c r="O807" s="147"/>
      <c r="P807" s="148"/>
      <c r="Q807" s="90"/>
      <c r="R807" s="91"/>
    </row>
    <row r="808" ht="15.75" customHeight="1">
      <c r="A808" s="90"/>
      <c r="B808" s="90"/>
      <c r="C808" s="144"/>
      <c r="D808" s="145"/>
      <c r="E808" s="90"/>
      <c r="F808" s="90"/>
      <c r="G808" s="90"/>
      <c r="H808" s="90"/>
      <c r="I808" s="90"/>
      <c r="J808" s="90"/>
      <c r="K808" s="90"/>
      <c r="L808" s="90"/>
      <c r="M808" s="146"/>
      <c r="N808" s="147"/>
      <c r="O808" s="147"/>
      <c r="P808" s="148"/>
      <c r="Q808" s="90"/>
      <c r="R808" s="91"/>
    </row>
    <row r="809" ht="15.75" customHeight="1">
      <c r="A809" s="90"/>
      <c r="B809" s="90"/>
      <c r="C809" s="144"/>
      <c r="D809" s="145"/>
      <c r="E809" s="90"/>
      <c r="F809" s="90"/>
      <c r="G809" s="90"/>
      <c r="H809" s="90"/>
      <c r="I809" s="90"/>
      <c r="J809" s="90"/>
      <c r="K809" s="90"/>
      <c r="L809" s="90"/>
      <c r="M809" s="146"/>
      <c r="N809" s="147"/>
      <c r="O809" s="147"/>
      <c r="P809" s="148"/>
      <c r="Q809" s="90"/>
      <c r="R809" s="91"/>
    </row>
    <row r="810" ht="15.75" customHeight="1">
      <c r="A810" s="90"/>
      <c r="B810" s="90"/>
      <c r="C810" s="144"/>
      <c r="D810" s="145"/>
      <c r="E810" s="90"/>
      <c r="F810" s="90"/>
      <c r="G810" s="90"/>
      <c r="H810" s="90"/>
      <c r="I810" s="90"/>
      <c r="J810" s="90"/>
      <c r="K810" s="90"/>
      <c r="L810" s="90"/>
      <c r="M810" s="146"/>
      <c r="N810" s="147"/>
      <c r="O810" s="147"/>
      <c r="P810" s="148"/>
      <c r="Q810" s="90"/>
      <c r="R810" s="91"/>
    </row>
    <row r="811" ht="15.75" customHeight="1">
      <c r="A811" s="90"/>
      <c r="B811" s="90"/>
      <c r="C811" s="144"/>
      <c r="D811" s="145"/>
      <c r="E811" s="90"/>
      <c r="F811" s="90"/>
      <c r="G811" s="90"/>
      <c r="H811" s="90"/>
      <c r="I811" s="90"/>
      <c r="J811" s="90"/>
      <c r="K811" s="90"/>
      <c r="L811" s="90"/>
      <c r="M811" s="146"/>
      <c r="N811" s="147"/>
      <c r="O811" s="147"/>
      <c r="P811" s="148"/>
      <c r="Q811" s="90"/>
      <c r="R811" s="91"/>
    </row>
    <row r="812" ht="15.75" customHeight="1">
      <c r="A812" s="90"/>
      <c r="B812" s="90"/>
      <c r="C812" s="144"/>
      <c r="D812" s="145"/>
      <c r="E812" s="90"/>
      <c r="F812" s="90"/>
      <c r="G812" s="90"/>
      <c r="H812" s="90"/>
      <c r="I812" s="90"/>
      <c r="J812" s="90"/>
      <c r="K812" s="90"/>
      <c r="L812" s="90"/>
      <c r="M812" s="146"/>
      <c r="N812" s="147"/>
      <c r="O812" s="147"/>
      <c r="P812" s="148"/>
      <c r="Q812" s="90"/>
      <c r="R812" s="91"/>
    </row>
    <row r="813" ht="15.75" customHeight="1">
      <c r="A813" s="90"/>
      <c r="B813" s="90"/>
      <c r="C813" s="144"/>
      <c r="D813" s="145"/>
      <c r="E813" s="90"/>
      <c r="F813" s="90"/>
      <c r="G813" s="90"/>
      <c r="H813" s="90"/>
      <c r="I813" s="90"/>
      <c r="J813" s="90"/>
      <c r="K813" s="90"/>
      <c r="L813" s="90"/>
      <c r="M813" s="146"/>
      <c r="N813" s="147"/>
      <c r="O813" s="147"/>
      <c r="P813" s="148"/>
      <c r="Q813" s="90"/>
      <c r="R813" s="91"/>
    </row>
    <row r="814" ht="15.75" customHeight="1">
      <c r="A814" s="90"/>
      <c r="B814" s="90"/>
      <c r="C814" s="144"/>
      <c r="D814" s="145"/>
      <c r="E814" s="90"/>
      <c r="F814" s="90"/>
      <c r="G814" s="90"/>
      <c r="H814" s="90"/>
      <c r="I814" s="90"/>
      <c r="J814" s="90"/>
      <c r="K814" s="90"/>
      <c r="L814" s="90"/>
      <c r="M814" s="146"/>
      <c r="N814" s="147"/>
      <c r="O814" s="147"/>
      <c r="P814" s="148"/>
      <c r="Q814" s="90"/>
      <c r="R814" s="91"/>
    </row>
    <row r="815" ht="15.75" customHeight="1">
      <c r="A815" s="90"/>
      <c r="B815" s="90"/>
      <c r="C815" s="144"/>
      <c r="D815" s="145"/>
      <c r="E815" s="90"/>
      <c r="F815" s="90"/>
      <c r="G815" s="90"/>
      <c r="H815" s="90"/>
      <c r="I815" s="90"/>
      <c r="J815" s="90"/>
      <c r="K815" s="90"/>
      <c r="L815" s="90"/>
      <c r="M815" s="146"/>
      <c r="N815" s="147"/>
      <c r="O815" s="147"/>
      <c r="P815" s="148"/>
      <c r="Q815" s="90"/>
      <c r="R815" s="91"/>
    </row>
    <row r="816" ht="15.75" customHeight="1">
      <c r="A816" s="90"/>
      <c r="B816" s="90"/>
      <c r="C816" s="144"/>
      <c r="D816" s="145"/>
      <c r="E816" s="90"/>
      <c r="F816" s="90"/>
      <c r="G816" s="90"/>
      <c r="H816" s="90"/>
      <c r="I816" s="90"/>
      <c r="J816" s="90"/>
      <c r="K816" s="90"/>
      <c r="L816" s="90"/>
      <c r="M816" s="146"/>
      <c r="N816" s="147"/>
      <c r="O816" s="147"/>
      <c r="P816" s="148"/>
      <c r="Q816" s="90"/>
      <c r="R816" s="91"/>
    </row>
    <row r="817" ht="15.75" customHeight="1">
      <c r="A817" s="90"/>
      <c r="B817" s="90"/>
      <c r="C817" s="144"/>
      <c r="D817" s="145"/>
      <c r="E817" s="90"/>
      <c r="F817" s="90"/>
      <c r="G817" s="90"/>
      <c r="H817" s="90"/>
      <c r="I817" s="90"/>
      <c r="J817" s="90"/>
      <c r="K817" s="90"/>
      <c r="L817" s="90"/>
      <c r="M817" s="146"/>
      <c r="N817" s="147"/>
      <c r="O817" s="147"/>
      <c r="P817" s="148"/>
      <c r="Q817" s="90"/>
      <c r="R817" s="91"/>
    </row>
    <row r="818" ht="15.75" customHeight="1">
      <c r="A818" s="90"/>
      <c r="B818" s="90"/>
      <c r="C818" s="144"/>
      <c r="D818" s="145"/>
      <c r="E818" s="90"/>
      <c r="F818" s="90"/>
      <c r="G818" s="90"/>
      <c r="H818" s="90"/>
      <c r="I818" s="90"/>
      <c r="J818" s="90"/>
      <c r="K818" s="90"/>
      <c r="L818" s="90"/>
      <c r="M818" s="146"/>
      <c r="N818" s="147"/>
      <c r="O818" s="147"/>
      <c r="P818" s="148"/>
      <c r="Q818" s="90"/>
      <c r="R818" s="91"/>
    </row>
    <row r="819" ht="15.75" customHeight="1">
      <c r="A819" s="90"/>
      <c r="B819" s="90"/>
      <c r="C819" s="144"/>
      <c r="D819" s="145"/>
      <c r="E819" s="90"/>
      <c r="F819" s="90"/>
      <c r="G819" s="90"/>
      <c r="H819" s="90"/>
      <c r="I819" s="90"/>
      <c r="J819" s="90"/>
      <c r="K819" s="90"/>
      <c r="L819" s="90"/>
      <c r="M819" s="146"/>
      <c r="N819" s="147"/>
      <c r="O819" s="147"/>
      <c r="P819" s="148"/>
      <c r="Q819" s="90"/>
      <c r="R819" s="91"/>
    </row>
    <row r="820" ht="15.75" customHeight="1">
      <c r="A820" s="90"/>
      <c r="B820" s="90"/>
      <c r="C820" s="144"/>
      <c r="D820" s="145"/>
      <c r="E820" s="90"/>
      <c r="F820" s="90"/>
      <c r="G820" s="90"/>
      <c r="H820" s="90"/>
      <c r="I820" s="90"/>
      <c r="J820" s="90"/>
      <c r="K820" s="90"/>
      <c r="L820" s="90"/>
      <c r="M820" s="146"/>
      <c r="N820" s="147"/>
      <c r="O820" s="147"/>
      <c r="P820" s="148"/>
      <c r="Q820" s="90"/>
      <c r="R820" s="91"/>
    </row>
    <row r="821" ht="15.75" customHeight="1">
      <c r="A821" s="90"/>
      <c r="B821" s="90"/>
      <c r="C821" s="144"/>
      <c r="D821" s="145"/>
      <c r="E821" s="90"/>
      <c r="F821" s="90"/>
      <c r="G821" s="90"/>
      <c r="H821" s="90"/>
      <c r="I821" s="90"/>
      <c r="J821" s="90"/>
      <c r="K821" s="90"/>
      <c r="L821" s="90"/>
      <c r="M821" s="146"/>
      <c r="N821" s="147"/>
      <c r="O821" s="147"/>
      <c r="P821" s="148"/>
      <c r="Q821" s="90"/>
      <c r="R821" s="91"/>
    </row>
    <row r="822" ht="15.75" customHeight="1">
      <c r="A822" s="90"/>
      <c r="B822" s="90"/>
      <c r="C822" s="144"/>
      <c r="D822" s="145"/>
      <c r="E822" s="90"/>
      <c r="F822" s="90"/>
      <c r="G822" s="90"/>
      <c r="H822" s="90"/>
      <c r="I822" s="90"/>
      <c r="J822" s="90"/>
      <c r="K822" s="90"/>
      <c r="L822" s="90"/>
      <c r="M822" s="146"/>
      <c r="N822" s="147"/>
      <c r="O822" s="147"/>
      <c r="P822" s="148"/>
      <c r="Q822" s="90"/>
      <c r="R822" s="91"/>
    </row>
    <row r="823" ht="15.75" customHeight="1">
      <c r="A823" s="90"/>
      <c r="B823" s="90"/>
      <c r="C823" s="144"/>
      <c r="D823" s="145"/>
      <c r="E823" s="90"/>
      <c r="F823" s="90"/>
      <c r="G823" s="90"/>
      <c r="H823" s="90"/>
      <c r="I823" s="90"/>
      <c r="J823" s="90"/>
      <c r="K823" s="90"/>
      <c r="L823" s="90"/>
      <c r="M823" s="146"/>
      <c r="N823" s="147"/>
      <c r="O823" s="147"/>
      <c r="P823" s="148"/>
      <c r="Q823" s="90"/>
      <c r="R823" s="91"/>
    </row>
    <row r="824" ht="15.75" customHeight="1">
      <c r="A824" s="90"/>
      <c r="B824" s="90"/>
      <c r="C824" s="144"/>
      <c r="D824" s="145"/>
      <c r="E824" s="90"/>
      <c r="F824" s="90"/>
      <c r="G824" s="90"/>
      <c r="H824" s="90"/>
      <c r="I824" s="90"/>
      <c r="J824" s="90"/>
      <c r="K824" s="90"/>
      <c r="L824" s="90"/>
      <c r="M824" s="146"/>
      <c r="N824" s="147"/>
      <c r="O824" s="147"/>
      <c r="P824" s="148"/>
      <c r="Q824" s="90"/>
      <c r="R824" s="91"/>
    </row>
    <row r="825" ht="15.75" customHeight="1">
      <c r="A825" s="90"/>
      <c r="B825" s="90"/>
      <c r="C825" s="144"/>
      <c r="D825" s="145"/>
      <c r="E825" s="90"/>
      <c r="F825" s="90"/>
      <c r="G825" s="90"/>
      <c r="H825" s="90"/>
      <c r="I825" s="90"/>
      <c r="J825" s="90"/>
      <c r="K825" s="90"/>
      <c r="L825" s="90"/>
      <c r="M825" s="146"/>
      <c r="N825" s="147"/>
      <c r="O825" s="147"/>
      <c r="P825" s="148"/>
      <c r="Q825" s="90"/>
      <c r="R825" s="91"/>
    </row>
    <row r="826" ht="15.75" customHeight="1">
      <c r="A826" s="90"/>
      <c r="B826" s="90"/>
      <c r="C826" s="144"/>
      <c r="D826" s="145"/>
      <c r="E826" s="90"/>
      <c r="F826" s="90"/>
      <c r="G826" s="90"/>
      <c r="H826" s="90"/>
      <c r="I826" s="90"/>
      <c r="J826" s="90"/>
      <c r="K826" s="90"/>
      <c r="L826" s="90"/>
      <c r="M826" s="146"/>
      <c r="N826" s="147"/>
      <c r="O826" s="147"/>
      <c r="P826" s="148"/>
      <c r="Q826" s="90"/>
      <c r="R826" s="91"/>
    </row>
    <row r="827" ht="15.75" customHeight="1">
      <c r="A827" s="90"/>
      <c r="B827" s="90"/>
      <c r="C827" s="144"/>
      <c r="D827" s="145"/>
      <c r="E827" s="90"/>
      <c r="F827" s="90"/>
      <c r="G827" s="90"/>
      <c r="H827" s="90"/>
      <c r="I827" s="90"/>
      <c r="J827" s="90"/>
      <c r="K827" s="90"/>
      <c r="L827" s="90"/>
      <c r="M827" s="146"/>
      <c r="N827" s="147"/>
      <c r="O827" s="147"/>
      <c r="P827" s="148"/>
      <c r="Q827" s="90"/>
      <c r="R827" s="91"/>
    </row>
    <row r="828" ht="15.75" customHeight="1">
      <c r="A828" s="90"/>
      <c r="B828" s="90"/>
      <c r="C828" s="144"/>
      <c r="D828" s="145"/>
      <c r="E828" s="90"/>
      <c r="F828" s="90"/>
      <c r="G828" s="90"/>
      <c r="H828" s="90"/>
      <c r="I828" s="90"/>
      <c r="J828" s="90"/>
      <c r="K828" s="90"/>
      <c r="L828" s="90"/>
      <c r="M828" s="146"/>
      <c r="N828" s="147"/>
      <c r="O828" s="147"/>
      <c r="P828" s="148"/>
      <c r="Q828" s="90"/>
      <c r="R828" s="91"/>
    </row>
    <row r="829" ht="15.75" customHeight="1">
      <c r="A829" s="90"/>
      <c r="B829" s="90"/>
      <c r="C829" s="144"/>
      <c r="D829" s="145"/>
      <c r="E829" s="90"/>
      <c r="F829" s="90"/>
      <c r="G829" s="90"/>
      <c r="H829" s="90"/>
      <c r="I829" s="90"/>
      <c r="J829" s="90"/>
      <c r="K829" s="90"/>
      <c r="L829" s="90"/>
      <c r="M829" s="146"/>
      <c r="N829" s="147"/>
      <c r="O829" s="147"/>
      <c r="P829" s="148"/>
      <c r="Q829" s="90"/>
      <c r="R829" s="91"/>
    </row>
    <row r="830" ht="15.75" customHeight="1">
      <c r="A830" s="90"/>
      <c r="B830" s="90"/>
      <c r="C830" s="144"/>
      <c r="D830" s="145"/>
      <c r="E830" s="90"/>
      <c r="F830" s="90"/>
      <c r="G830" s="90"/>
      <c r="H830" s="90"/>
      <c r="I830" s="90"/>
      <c r="J830" s="90"/>
      <c r="K830" s="90"/>
      <c r="L830" s="90"/>
      <c r="M830" s="146"/>
      <c r="N830" s="147"/>
      <c r="O830" s="147"/>
      <c r="P830" s="148"/>
      <c r="Q830" s="90"/>
      <c r="R830" s="91"/>
    </row>
    <row r="831" ht="15.75" customHeight="1">
      <c r="A831" s="90"/>
      <c r="B831" s="90"/>
      <c r="C831" s="144"/>
      <c r="D831" s="145"/>
      <c r="E831" s="90"/>
      <c r="F831" s="90"/>
      <c r="G831" s="90"/>
      <c r="H831" s="90"/>
      <c r="I831" s="90"/>
      <c r="J831" s="90"/>
      <c r="K831" s="90"/>
      <c r="L831" s="90"/>
      <c r="M831" s="146"/>
      <c r="N831" s="147"/>
      <c r="O831" s="147"/>
      <c r="P831" s="148"/>
      <c r="Q831" s="90"/>
      <c r="R831" s="91"/>
    </row>
    <row r="832" ht="15.75" customHeight="1">
      <c r="A832" s="90"/>
      <c r="B832" s="90"/>
      <c r="C832" s="144"/>
      <c r="D832" s="145"/>
      <c r="E832" s="90"/>
      <c r="F832" s="90"/>
      <c r="G832" s="90"/>
      <c r="H832" s="90"/>
      <c r="I832" s="90"/>
      <c r="J832" s="90"/>
      <c r="K832" s="90"/>
      <c r="L832" s="90"/>
      <c r="M832" s="146"/>
      <c r="N832" s="147"/>
      <c r="O832" s="147"/>
      <c r="P832" s="148"/>
      <c r="Q832" s="90"/>
      <c r="R832" s="91"/>
    </row>
    <row r="833" ht="15.75" customHeight="1">
      <c r="A833" s="90"/>
      <c r="B833" s="90"/>
      <c r="C833" s="144"/>
      <c r="D833" s="145"/>
      <c r="E833" s="90"/>
      <c r="F833" s="90"/>
      <c r="G833" s="90"/>
      <c r="H833" s="90"/>
      <c r="I833" s="90"/>
      <c r="J833" s="90"/>
      <c r="K833" s="90"/>
      <c r="L833" s="90"/>
      <c r="M833" s="146"/>
      <c r="N833" s="147"/>
      <c r="O833" s="147"/>
      <c r="P833" s="148"/>
      <c r="Q833" s="90"/>
      <c r="R833" s="91"/>
    </row>
    <row r="834" ht="15.75" customHeight="1">
      <c r="A834" s="90"/>
      <c r="B834" s="90"/>
      <c r="C834" s="144"/>
      <c r="D834" s="145"/>
      <c r="E834" s="90"/>
      <c r="F834" s="90"/>
      <c r="G834" s="90"/>
      <c r="H834" s="90"/>
      <c r="I834" s="90"/>
      <c r="J834" s="90"/>
      <c r="K834" s="90"/>
      <c r="L834" s="90"/>
      <c r="M834" s="146"/>
      <c r="N834" s="147"/>
      <c r="O834" s="147"/>
      <c r="P834" s="148"/>
      <c r="Q834" s="90"/>
      <c r="R834" s="91"/>
    </row>
    <row r="835" ht="15.75" customHeight="1">
      <c r="A835" s="90"/>
      <c r="B835" s="90"/>
      <c r="C835" s="144"/>
      <c r="D835" s="145"/>
      <c r="E835" s="90"/>
      <c r="F835" s="90"/>
      <c r="G835" s="90"/>
      <c r="H835" s="90"/>
      <c r="I835" s="90"/>
      <c r="J835" s="90"/>
      <c r="K835" s="90"/>
      <c r="L835" s="90"/>
      <c r="M835" s="146"/>
      <c r="N835" s="147"/>
      <c r="O835" s="147"/>
      <c r="P835" s="148"/>
      <c r="Q835" s="90"/>
      <c r="R835" s="91"/>
    </row>
    <row r="836" ht="15.75" customHeight="1">
      <c r="A836" s="90"/>
      <c r="B836" s="90"/>
      <c r="C836" s="144"/>
      <c r="D836" s="145"/>
      <c r="E836" s="90"/>
      <c r="F836" s="90"/>
      <c r="G836" s="90"/>
      <c r="H836" s="90"/>
      <c r="I836" s="90"/>
      <c r="J836" s="90"/>
      <c r="K836" s="90"/>
      <c r="L836" s="90"/>
      <c r="M836" s="146"/>
      <c r="N836" s="147"/>
      <c r="O836" s="147"/>
      <c r="P836" s="148"/>
      <c r="Q836" s="90"/>
      <c r="R836" s="91"/>
    </row>
    <row r="837" ht="15.75" customHeight="1">
      <c r="A837" s="90"/>
      <c r="B837" s="90"/>
      <c r="C837" s="144"/>
      <c r="D837" s="145"/>
      <c r="E837" s="90"/>
      <c r="F837" s="90"/>
      <c r="G837" s="90"/>
      <c r="H837" s="90"/>
      <c r="I837" s="90"/>
      <c r="J837" s="90"/>
      <c r="K837" s="90"/>
      <c r="L837" s="90"/>
      <c r="M837" s="146"/>
      <c r="N837" s="147"/>
      <c r="O837" s="147"/>
      <c r="P837" s="148"/>
      <c r="Q837" s="90"/>
      <c r="R837" s="91"/>
    </row>
    <row r="838" ht="15.75" customHeight="1">
      <c r="A838" s="90"/>
      <c r="B838" s="90"/>
      <c r="C838" s="144"/>
      <c r="D838" s="145"/>
      <c r="E838" s="90"/>
      <c r="F838" s="90"/>
      <c r="G838" s="90"/>
      <c r="H838" s="90"/>
      <c r="I838" s="90"/>
      <c r="J838" s="90"/>
      <c r="K838" s="90"/>
      <c r="L838" s="90"/>
      <c r="M838" s="146"/>
      <c r="N838" s="147"/>
      <c r="O838" s="147"/>
      <c r="P838" s="148"/>
      <c r="Q838" s="90"/>
      <c r="R838" s="91"/>
    </row>
    <row r="839" ht="15.75" customHeight="1">
      <c r="A839" s="90"/>
      <c r="B839" s="90"/>
      <c r="C839" s="144"/>
      <c r="D839" s="145"/>
      <c r="E839" s="90"/>
      <c r="F839" s="90"/>
      <c r="G839" s="90"/>
      <c r="H839" s="90"/>
      <c r="I839" s="90"/>
      <c r="J839" s="90"/>
      <c r="K839" s="90"/>
      <c r="L839" s="90"/>
      <c r="M839" s="146"/>
      <c r="N839" s="147"/>
      <c r="O839" s="147"/>
      <c r="P839" s="148"/>
      <c r="Q839" s="90"/>
      <c r="R839" s="91"/>
    </row>
    <row r="840" ht="15.75" customHeight="1">
      <c r="A840" s="90"/>
      <c r="B840" s="90"/>
      <c r="C840" s="144"/>
      <c r="D840" s="145"/>
      <c r="E840" s="90"/>
      <c r="F840" s="90"/>
      <c r="G840" s="90"/>
      <c r="H840" s="90"/>
      <c r="I840" s="90"/>
      <c r="J840" s="90"/>
      <c r="K840" s="90"/>
      <c r="L840" s="90"/>
      <c r="M840" s="146"/>
      <c r="N840" s="147"/>
      <c r="O840" s="147"/>
      <c r="P840" s="148"/>
      <c r="Q840" s="90"/>
      <c r="R840" s="91"/>
    </row>
    <row r="841" ht="15.75" customHeight="1">
      <c r="A841" s="90"/>
      <c r="B841" s="90"/>
      <c r="C841" s="144"/>
      <c r="D841" s="145"/>
      <c r="E841" s="90"/>
      <c r="F841" s="90"/>
      <c r="G841" s="90"/>
      <c r="H841" s="90"/>
      <c r="I841" s="90"/>
      <c r="J841" s="90"/>
      <c r="K841" s="90"/>
      <c r="L841" s="90"/>
      <c r="M841" s="146"/>
      <c r="N841" s="147"/>
      <c r="O841" s="147"/>
      <c r="P841" s="148"/>
      <c r="Q841" s="90"/>
      <c r="R841" s="91"/>
    </row>
    <row r="842" ht="15.75" customHeight="1">
      <c r="A842" s="90"/>
      <c r="B842" s="90"/>
      <c r="C842" s="144"/>
      <c r="D842" s="145"/>
      <c r="E842" s="90"/>
      <c r="F842" s="90"/>
      <c r="G842" s="90"/>
      <c r="H842" s="90"/>
      <c r="I842" s="90"/>
      <c r="J842" s="90"/>
      <c r="K842" s="90"/>
      <c r="L842" s="90"/>
      <c r="M842" s="146"/>
      <c r="N842" s="147"/>
      <c r="O842" s="147"/>
      <c r="P842" s="148"/>
      <c r="Q842" s="90"/>
      <c r="R842" s="91"/>
    </row>
    <row r="843" ht="15.75" customHeight="1">
      <c r="A843" s="90"/>
      <c r="B843" s="90"/>
      <c r="C843" s="144"/>
      <c r="D843" s="145"/>
      <c r="E843" s="90"/>
      <c r="F843" s="90"/>
      <c r="G843" s="90"/>
      <c r="H843" s="90"/>
      <c r="I843" s="90"/>
      <c r="J843" s="90"/>
      <c r="K843" s="90"/>
      <c r="L843" s="90"/>
      <c r="M843" s="146"/>
      <c r="N843" s="147"/>
      <c r="O843" s="147"/>
      <c r="P843" s="148"/>
      <c r="Q843" s="90"/>
      <c r="R843" s="91"/>
    </row>
    <row r="844" ht="15.75" customHeight="1">
      <c r="A844" s="90"/>
      <c r="B844" s="90"/>
      <c r="C844" s="144"/>
      <c r="D844" s="145"/>
      <c r="E844" s="90"/>
      <c r="F844" s="90"/>
      <c r="G844" s="90"/>
      <c r="H844" s="90"/>
      <c r="I844" s="90"/>
      <c r="J844" s="90"/>
      <c r="K844" s="90"/>
      <c r="L844" s="90"/>
      <c r="M844" s="146"/>
      <c r="N844" s="147"/>
      <c r="O844" s="147"/>
      <c r="P844" s="148"/>
      <c r="Q844" s="90"/>
      <c r="R844" s="91"/>
    </row>
    <row r="845" ht="15.75" customHeight="1">
      <c r="A845" s="90"/>
      <c r="B845" s="90"/>
      <c r="C845" s="144"/>
      <c r="D845" s="145"/>
      <c r="E845" s="90"/>
      <c r="F845" s="90"/>
      <c r="G845" s="90"/>
      <c r="H845" s="90"/>
      <c r="I845" s="90"/>
      <c r="J845" s="90"/>
      <c r="K845" s="90"/>
      <c r="L845" s="90"/>
      <c r="M845" s="146"/>
      <c r="N845" s="147"/>
      <c r="O845" s="147"/>
      <c r="P845" s="148"/>
      <c r="Q845" s="90"/>
      <c r="R845" s="91"/>
    </row>
    <row r="846" ht="15.75" customHeight="1">
      <c r="A846" s="90"/>
      <c r="B846" s="90"/>
      <c r="C846" s="144"/>
      <c r="D846" s="145"/>
      <c r="E846" s="90"/>
      <c r="F846" s="90"/>
      <c r="G846" s="90"/>
      <c r="H846" s="90"/>
      <c r="I846" s="90"/>
      <c r="J846" s="90"/>
      <c r="K846" s="90"/>
      <c r="L846" s="90"/>
      <c r="M846" s="146"/>
      <c r="N846" s="147"/>
      <c r="O846" s="147"/>
      <c r="P846" s="148"/>
      <c r="Q846" s="90"/>
      <c r="R846" s="91"/>
    </row>
    <row r="847" ht="15.75" customHeight="1">
      <c r="A847" s="90"/>
      <c r="B847" s="90"/>
      <c r="C847" s="144"/>
      <c r="D847" s="145"/>
      <c r="E847" s="90"/>
      <c r="F847" s="90"/>
      <c r="G847" s="90"/>
      <c r="H847" s="90"/>
      <c r="I847" s="90"/>
      <c r="J847" s="90"/>
      <c r="K847" s="90"/>
      <c r="L847" s="90"/>
      <c r="M847" s="146"/>
      <c r="N847" s="147"/>
      <c r="O847" s="147"/>
      <c r="P847" s="148"/>
      <c r="Q847" s="90"/>
      <c r="R847" s="91"/>
    </row>
    <row r="848" ht="15.75" customHeight="1">
      <c r="A848" s="90"/>
      <c r="B848" s="90"/>
      <c r="C848" s="144"/>
      <c r="D848" s="145"/>
      <c r="E848" s="90"/>
      <c r="F848" s="90"/>
      <c r="G848" s="90"/>
      <c r="H848" s="90"/>
      <c r="I848" s="90"/>
      <c r="J848" s="90"/>
      <c r="K848" s="90"/>
      <c r="L848" s="90"/>
      <c r="M848" s="146"/>
      <c r="N848" s="147"/>
      <c r="O848" s="147"/>
      <c r="P848" s="148"/>
      <c r="Q848" s="90"/>
      <c r="R848" s="91"/>
    </row>
    <row r="849" ht="15.75" customHeight="1">
      <c r="A849" s="90"/>
      <c r="B849" s="90"/>
      <c r="C849" s="144"/>
      <c r="D849" s="145"/>
      <c r="E849" s="90"/>
      <c r="F849" s="90"/>
      <c r="G849" s="90"/>
      <c r="H849" s="90"/>
      <c r="I849" s="90"/>
      <c r="J849" s="90"/>
      <c r="K849" s="90"/>
      <c r="L849" s="90"/>
      <c r="M849" s="146"/>
      <c r="N849" s="147"/>
      <c r="O849" s="147"/>
      <c r="P849" s="148"/>
      <c r="Q849" s="90"/>
      <c r="R849" s="91"/>
    </row>
    <row r="850" ht="15.75" customHeight="1">
      <c r="A850" s="90"/>
      <c r="B850" s="90"/>
      <c r="C850" s="144"/>
      <c r="D850" s="145"/>
      <c r="E850" s="90"/>
      <c r="F850" s="90"/>
      <c r="G850" s="90"/>
      <c r="H850" s="90"/>
      <c r="I850" s="90"/>
      <c r="J850" s="90"/>
      <c r="K850" s="90"/>
      <c r="L850" s="90"/>
      <c r="M850" s="146"/>
      <c r="N850" s="147"/>
      <c r="O850" s="147"/>
      <c r="P850" s="148"/>
      <c r="Q850" s="90"/>
      <c r="R850" s="91"/>
    </row>
    <row r="851" ht="15.75" customHeight="1">
      <c r="A851" s="90"/>
      <c r="B851" s="90"/>
      <c r="C851" s="144"/>
      <c r="D851" s="145"/>
      <c r="E851" s="90"/>
      <c r="F851" s="90"/>
      <c r="G851" s="90"/>
      <c r="H851" s="90"/>
      <c r="I851" s="90"/>
      <c r="J851" s="90"/>
      <c r="K851" s="90"/>
      <c r="L851" s="90"/>
      <c r="M851" s="146"/>
      <c r="N851" s="147"/>
      <c r="O851" s="147"/>
      <c r="P851" s="148"/>
      <c r="Q851" s="90"/>
      <c r="R851" s="91"/>
    </row>
    <row r="852" ht="15.75" customHeight="1">
      <c r="A852" s="90"/>
      <c r="B852" s="90"/>
      <c r="C852" s="144"/>
      <c r="D852" s="145"/>
      <c r="E852" s="90"/>
      <c r="F852" s="90"/>
      <c r="G852" s="90"/>
      <c r="H852" s="90"/>
      <c r="I852" s="90"/>
      <c r="J852" s="90"/>
      <c r="K852" s="90"/>
      <c r="L852" s="90"/>
      <c r="M852" s="146"/>
      <c r="N852" s="147"/>
      <c r="O852" s="147"/>
      <c r="P852" s="148"/>
      <c r="Q852" s="90"/>
      <c r="R852" s="91"/>
    </row>
    <row r="853" ht="15.75" customHeight="1">
      <c r="A853" s="90"/>
      <c r="B853" s="90"/>
      <c r="C853" s="144"/>
      <c r="D853" s="145"/>
      <c r="E853" s="90"/>
      <c r="F853" s="90"/>
      <c r="G853" s="90"/>
      <c r="H853" s="90"/>
      <c r="I853" s="90"/>
      <c r="J853" s="90"/>
      <c r="K853" s="90"/>
      <c r="L853" s="90"/>
      <c r="M853" s="146"/>
      <c r="N853" s="147"/>
      <c r="O853" s="147"/>
      <c r="P853" s="148"/>
      <c r="Q853" s="90"/>
      <c r="R853" s="91"/>
    </row>
    <row r="854" ht="15.75" customHeight="1">
      <c r="A854" s="90"/>
      <c r="B854" s="90"/>
      <c r="C854" s="144"/>
      <c r="D854" s="145"/>
      <c r="E854" s="90"/>
      <c r="F854" s="90"/>
      <c r="G854" s="90"/>
      <c r="H854" s="90"/>
      <c r="I854" s="90"/>
      <c r="J854" s="90"/>
      <c r="K854" s="90"/>
      <c r="L854" s="90"/>
      <c r="M854" s="146"/>
      <c r="N854" s="147"/>
      <c r="O854" s="147"/>
      <c r="P854" s="148"/>
      <c r="Q854" s="90"/>
      <c r="R854" s="91"/>
    </row>
    <row r="855" ht="15.75" customHeight="1">
      <c r="A855" s="90"/>
      <c r="B855" s="90"/>
      <c r="C855" s="144"/>
      <c r="D855" s="145"/>
      <c r="E855" s="90"/>
      <c r="F855" s="90"/>
      <c r="G855" s="90"/>
      <c r="H855" s="90"/>
      <c r="I855" s="90"/>
      <c r="J855" s="90"/>
      <c r="K855" s="90"/>
      <c r="L855" s="90"/>
      <c r="M855" s="146"/>
      <c r="N855" s="147"/>
      <c r="O855" s="147"/>
      <c r="P855" s="148"/>
      <c r="Q855" s="90"/>
      <c r="R855" s="91"/>
    </row>
    <row r="856" ht="15.75" customHeight="1">
      <c r="A856" s="90"/>
      <c r="B856" s="90"/>
      <c r="C856" s="144"/>
      <c r="D856" s="145"/>
      <c r="E856" s="90"/>
      <c r="F856" s="90"/>
      <c r="G856" s="90"/>
      <c r="H856" s="90"/>
      <c r="I856" s="90"/>
      <c r="J856" s="90"/>
      <c r="K856" s="90"/>
      <c r="L856" s="90"/>
      <c r="M856" s="146"/>
      <c r="N856" s="147"/>
      <c r="O856" s="147"/>
      <c r="P856" s="148"/>
      <c r="Q856" s="90"/>
      <c r="R856" s="91"/>
    </row>
    <row r="857" ht="15.75" customHeight="1">
      <c r="A857" s="90"/>
      <c r="B857" s="90"/>
      <c r="C857" s="144"/>
      <c r="D857" s="145"/>
      <c r="E857" s="90"/>
      <c r="F857" s="90"/>
      <c r="G857" s="90"/>
      <c r="H857" s="90"/>
      <c r="I857" s="90"/>
      <c r="J857" s="90"/>
      <c r="K857" s="90"/>
      <c r="L857" s="90"/>
      <c r="M857" s="146"/>
      <c r="N857" s="147"/>
      <c r="O857" s="147"/>
      <c r="P857" s="148"/>
      <c r="Q857" s="90"/>
      <c r="R857" s="91"/>
    </row>
    <row r="858" ht="15.75" customHeight="1">
      <c r="A858" s="90"/>
      <c r="B858" s="90"/>
      <c r="C858" s="144"/>
      <c r="D858" s="145"/>
      <c r="E858" s="90"/>
      <c r="F858" s="90"/>
      <c r="G858" s="90"/>
      <c r="H858" s="90"/>
      <c r="I858" s="90"/>
      <c r="J858" s="90"/>
      <c r="K858" s="90"/>
      <c r="L858" s="90"/>
      <c r="M858" s="146"/>
      <c r="N858" s="147"/>
      <c r="O858" s="147"/>
      <c r="P858" s="148"/>
      <c r="Q858" s="90"/>
      <c r="R858" s="91"/>
    </row>
    <row r="859" ht="15.75" customHeight="1">
      <c r="A859" s="90"/>
      <c r="B859" s="90"/>
      <c r="C859" s="144"/>
      <c r="D859" s="145"/>
      <c r="E859" s="90"/>
      <c r="F859" s="90"/>
      <c r="G859" s="90"/>
      <c r="H859" s="90"/>
      <c r="I859" s="90"/>
      <c r="J859" s="90"/>
      <c r="K859" s="90"/>
      <c r="L859" s="90"/>
      <c r="M859" s="146"/>
      <c r="N859" s="147"/>
      <c r="O859" s="147"/>
      <c r="P859" s="148"/>
      <c r="Q859" s="90"/>
      <c r="R859" s="91"/>
    </row>
    <row r="860" ht="15.75" customHeight="1">
      <c r="A860" s="90"/>
      <c r="B860" s="90"/>
      <c r="C860" s="144"/>
      <c r="D860" s="145"/>
      <c r="E860" s="90"/>
      <c r="F860" s="90"/>
      <c r="G860" s="90"/>
      <c r="H860" s="90"/>
      <c r="I860" s="90"/>
      <c r="J860" s="90"/>
      <c r="K860" s="90"/>
      <c r="L860" s="90"/>
      <c r="M860" s="146"/>
      <c r="N860" s="147"/>
      <c r="O860" s="147"/>
      <c r="P860" s="148"/>
      <c r="Q860" s="90"/>
      <c r="R860" s="91"/>
    </row>
    <row r="861" ht="15.75" customHeight="1">
      <c r="A861" s="90"/>
      <c r="B861" s="90"/>
      <c r="C861" s="144"/>
      <c r="D861" s="145"/>
      <c r="E861" s="90"/>
      <c r="F861" s="90"/>
      <c r="G861" s="90"/>
      <c r="H861" s="90"/>
      <c r="I861" s="90"/>
      <c r="J861" s="90"/>
      <c r="K861" s="90"/>
      <c r="L861" s="90"/>
      <c r="M861" s="146"/>
      <c r="N861" s="147"/>
      <c r="O861" s="147"/>
      <c r="P861" s="148"/>
      <c r="Q861" s="90"/>
      <c r="R861" s="91"/>
    </row>
    <row r="862" ht="15.75" customHeight="1">
      <c r="A862" s="90"/>
      <c r="B862" s="90"/>
      <c r="C862" s="144"/>
      <c r="D862" s="145"/>
      <c r="E862" s="90"/>
      <c r="F862" s="90"/>
      <c r="G862" s="90"/>
      <c r="H862" s="90"/>
      <c r="I862" s="90"/>
      <c r="J862" s="90"/>
      <c r="K862" s="90"/>
      <c r="L862" s="90"/>
      <c r="M862" s="146"/>
      <c r="N862" s="147"/>
      <c r="O862" s="147"/>
      <c r="P862" s="148"/>
      <c r="Q862" s="90"/>
      <c r="R862" s="91"/>
    </row>
    <row r="863" ht="15.75" customHeight="1">
      <c r="A863" s="90"/>
      <c r="B863" s="90"/>
      <c r="C863" s="144"/>
      <c r="D863" s="145"/>
      <c r="E863" s="90"/>
      <c r="F863" s="90"/>
      <c r="G863" s="90"/>
      <c r="H863" s="90"/>
      <c r="I863" s="90"/>
      <c r="J863" s="90"/>
      <c r="K863" s="90"/>
      <c r="L863" s="90"/>
      <c r="M863" s="146"/>
      <c r="N863" s="147"/>
      <c r="O863" s="147"/>
      <c r="P863" s="148"/>
      <c r="Q863" s="90"/>
      <c r="R863" s="91"/>
    </row>
    <row r="864" ht="15.75" customHeight="1">
      <c r="A864" s="90"/>
      <c r="B864" s="90"/>
      <c r="C864" s="144"/>
      <c r="D864" s="145"/>
      <c r="E864" s="90"/>
      <c r="F864" s="90"/>
      <c r="G864" s="90"/>
      <c r="H864" s="90"/>
      <c r="I864" s="90"/>
      <c r="J864" s="90"/>
      <c r="K864" s="90"/>
      <c r="L864" s="90"/>
      <c r="M864" s="146"/>
      <c r="N864" s="147"/>
      <c r="O864" s="147"/>
      <c r="P864" s="148"/>
      <c r="Q864" s="90"/>
      <c r="R864" s="91"/>
    </row>
    <row r="865" ht="15.75" customHeight="1">
      <c r="A865" s="90"/>
      <c r="B865" s="90"/>
      <c r="C865" s="144"/>
      <c r="D865" s="145"/>
      <c r="E865" s="90"/>
      <c r="F865" s="90"/>
      <c r="G865" s="90"/>
      <c r="H865" s="90"/>
      <c r="I865" s="90"/>
      <c r="J865" s="90"/>
      <c r="K865" s="90"/>
      <c r="L865" s="90"/>
      <c r="M865" s="146"/>
      <c r="N865" s="147"/>
      <c r="O865" s="147"/>
      <c r="P865" s="148"/>
      <c r="Q865" s="90"/>
      <c r="R865" s="91"/>
    </row>
    <row r="866" ht="15.75" customHeight="1">
      <c r="A866" s="90"/>
      <c r="B866" s="90"/>
      <c r="C866" s="144"/>
      <c r="D866" s="145"/>
      <c r="E866" s="90"/>
      <c r="F866" s="90"/>
      <c r="G866" s="90"/>
      <c r="H866" s="90"/>
      <c r="I866" s="90"/>
      <c r="J866" s="90"/>
      <c r="K866" s="90"/>
      <c r="L866" s="90"/>
      <c r="M866" s="146"/>
      <c r="N866" s="147"/>
      <c r="O866" s="147"/>
      <c r="P866" s="148"/>
      <c r="Q866" s="90"/>
      <c r="R866" s="91"/>
    </row>
    <row r="867" ht="15.75" customHeight="1">
      <c r="A867" s="90"/>
      <c r="B867" s="90"/>
      <c r="C867" s="144"/>
      <c r="D867" s="145"/>
      <c r="E867" s="90"/>
      <c r="F867" s="90"/>
      <c r="G867" s="90"/>
      <c r="H867" s="90"/>
      <c r="I867" s="90"/>
      <c r="J867" s="90"/>
      <c r="K867" s="90"/>
      <c r="L867" s="90"/>
      <c r="M867" s="146"/>
      <c r="N867" s="147"/>
      <c r="O867" s="147"/>
      <c r="P867" s="148"/>
      <c r="Q867" s="90"/>
      <c r="R867" s="91"/>
    </row>
    <row r="868" ht="15.75" customHeight="1">
      <c r="A868" s="90"/>
      <c r="B868" s="90"/>
      <c r="C868" s="144"/>
      <c r="D868" s="145"/>
      <c r="E868" s="90"/>
      <c r="F868" s="90"/>
      <c r="G868" s="90"/>
      <c r="H868" s="90"/>
      <c r="I868" s="90"/>
      <c r="J868" s="90"/>
      <c r="K868" s="90"/>
      <c r="L868" s="90"/>
      <c r="M868" s="146"/>
      <c r="N868" s="147"/>
      <c r="O868" s="147"/>
      <c r="P868" s="148"/>
      <c r="Q868" s="90"/>
      <c r="R868" s="91"/>
    </row>
    <row r="869" ht="15.75" customHeight="1">
      <c r="A869" s="90"/>
      <c r="B869" s="90"/>
      <c r="C869" s="144"/>
      <c r="D869" s="145"/>
      <c r="E869" s="90"/>
      <c r="F869" s="90"/>
      <c r="G869" s="90"/>
      <c r="H869" s="90"/>
      <c r="I869" s="90"/>
      <c r="J869" s="90"/>
      <c r="K869" s="90"/>
      <c r="L869" s="90"/>
      <c r="M869" s="146"/>
      <c r="N869" s="147"/>
      <c r="O869" s="147"/>
      <c r="P869" s="148"/>
      <c r="Q869" s="90"/>
      <c r="R869" s="91"/>
    </row>
    <row r="870" ht="15.75" customHeight="1">
      <c r="A870" s="90"/>
      <c r="B870" s="90"/>
      <c r="C870" s="144"/>
      <c r="D870" s="145"/>
      <c r="E870" s="90"/>
      <c r="F870" s="90"/>
      <c r="G870" s="90"/>
      <c r="H870" s="90"/>
      <c r="I870" s="90"/>
      <c r="J870" s="90"/>
      <c r="K870" s="90"/>
      <c r="L870" s="90"/>
      <c r="M870" s="146"/>
      <c r="N870" s="147"/>
      <c r="O870" s="147"/>
      <c r="P870" s="148"/>
      <c r="Q870" s="90"/>
      <c r="R870" s="91"/>
    </row>
    <row r="871" ht="15.75" customHeight="1">
      <c r="A871" s="90"/>
      <c r="B871" s="90"/>
      <c r="C871" s="144"/>
      <c r="D871" s="145"/>
      <c r="E871" s="90"/>
      <c r="F871" s="90"/>
      <c r="G871" s="90"/>
      <c r="H871" s="90"/>
      <c r="I871" s="90"/>
      <c r="J871" s="90"/>
      <c r="K871" s="90"/>
      <c r="L871" s="90"/>
      <c r="M871" s="146"/>
      <c r="N871" s="147"/>
      <c r="O871" s="147"/>
      <c r="P871" s="148"/>
      <c r="Q871" s="90"/>
      <c r="R871" s="91"/>
    </row>
    <row r="872" ht="15.75" customHeight="1">
      <c r="A872" s="90"/>
      <c r="B872" s="90"/>
      <c r="C872" s="144"/>
      <c r="D872" s="145"/>
      <c r="E872" s="90"/>
      <c r="F872" s="90"/>
      <c r="G872" s="90"/>
      <c r="H872" s="90"/>
      <c r="I872" s="90"/>
      <c r="J872" s="90"/>
      <c r="K872" s="90"/>
      <c r="L872" s="90"/>
      <c r="M872" s="146"/>
      <c r="N872" s="147"/>
      <c r="O872" s="147"/>
      <c r="P872" s="148"/>
      <c r="Q872" s="90"/>
      <c r="R872" s="91"/>
    </row>
    <row r="873" ht="15.75" customHeight="1">
      <c r="A873" s="90"/>
      <c r="B873" s="90"/>
      <c r="C873" s="144"/>
      <c r="D873" s="145"/>
      <c r="E873" s="90"/>
      <c r="F873" s="90"/>
      <c r="G873" s="90"/>
      <c r="H873" s="90"/>
      <c r="I873" s="90"/>
      <c r="J873" s="90"/>
      <c r="K873" s="90"/>
      <c r="L873" s="90"/>
      <c r="M873" s="146"/>
      <c r="N873" s="147"/>
      <c r="O873" s="147"/>
      <c r="P873" s="148"/>
      <c r="Q873" s="90"/>
      <c r="R873" s="91"/>
    </row>
    <row r="874" ht="15.75" customHeight="1">
      <c r="A874" s="90"/>
      <c r="B874" s="90"/>
      <c r="C874" s="144"/>
      <c r="D874" s="145"/>
      <c r="E874" s="90"/>
      <c r="F874" s="90"/>
      <c r="G874" s="90"/>
      <c r="H874" s="90"/>
      <c r="I874" s="90"/>
      <c r="J874" s="90"/>
      <c r="K874" s="90"/>
      <c r="L874" s="90"/>
      <c r="M874" s="146"/>
      <c r="N874" s="147"/>
      <c r="O874" s="147"/>
      <c r="P874" s="148"/>
      <c r="Q874" s="90"/>
      <c r="R874" s="91"/>
    </row>
    <row r="875" ht="15.75" customHeight="1">
      <c r="A875" s="90"/>
      <c r="B875" s="90"/>
      <c r="C875" s="144"/>
      <c r="D875" s="145"/>
      <c r="E875" s="90"/>
      <c r="F875" s="90"/>
      <c r="G875" s="90"/>
      <c r="H875" s="90"/>
      <c r="I875" s="90"/>
      <c r="J875" s="90"/>
      <c r="K875" s="90"/>
      <c r="L875" s="90"/>
      <c r="M875" s="146"/>
      <c r="N875" s="147"/>
      <c r="O875" s="147"/>
      <c r="P875" s="148"/>
      <c r="Q875" s="90"/>
      <c r="R875" s="91"/>
    </row>
    <row r="876" ht="15.75" customHeight="1">
      <c r="A876" s="90"/>
      <c r="B876" s="90"/>
      <c r="C876" s="144"/>
      <c r="D876" s="145"/>
      <c r="E876" s="90"/>
      <c r="F876" s="90"/>
      <c r="G876" s="90"/>
      <c r="H876" s="90"/>
      <c r="I876" s="90"/>
      <c r="J876" s="90"/>
      <c r="K876" s="90"/>
      <c r="L876" s="90"/>
      <c r="M876" s="146"/>
      <c r="N876" s="147"/>
      <c r="O876" s="147"/>
      <c r="P876" s="148"/>
      <c r="Q876" s="90"/>
      <c r="R876" s="91"/>
    </row>
    <row r="877" ht="15.75" customHeight="1">
      <c r="A877" s="90"/>
      <c r="B877" s="90"/>
      <c r="C877" s="144"/>
      <c r="D877" s="145"/>
      <c r="E877" s="90"/>
      <c r="F877" s="90"/>
      <c r="G877" s="90"/>
      <c r="H877" s="90"/>
      <c r="I877" s="90"/>
      <c r="J877" s="90"/>
      <c r="K877" s="90"/>
      <c r="L877" s="90"/>
      <c r="M877" s="146"/>
      <c r="N877" s="147"/>
      <c r="O877" s="147"/>
      <c r="P877" s="148"/>
      <c r="Q877" s="90"/>
      <c r="R877" s="91"/>
    </row>
    <row r="878" ht="15.75" customHeight="1">
      <c r="A878" s="90"/>
      <c r="B878" s="90"/>
      <c r="C878" s="144"/>
      <c r="D878" s="145"/>
      <c r="E878" s="90"/>
      <c r="F878" s="90"/>
      <c r="G878" s="90"/>
      <c r="H878" s="90"/>
      <c r="I878" s="90"/>
      <c r="J878" s="90"/>
      <c r="K878" s="90"/>
      <c r="L878" s="90"/>
      <c r="M878" s="146"/>
      <c r="N878" s="147"/>
      <c r="O878" s="147"/>
      <c r="P878" s="148"/>
      <c r="Q878" s="90"/>
      <c r="R878" s="91"/>
    </row>
    <row r="879" ht="15.75" customHeight="1">
      <c r="A879" s="90"/>
      <c r="B879" s="90"/>
      <c r="C879" s="144"/>
      <c r="D879" s="145"/>
      <c r="E879" s="90"/>
      <c r="F879" s="90"/>
      <c r="G879" s="90"/>
      <c r="H879" s="90"/>
      <c r="I879" s="90"/>
      <c r="J879" s="90"/>
      <c r="K879" s="90"/>
      <c r="L879" s="90"/>
      <c r="M879" s="146"/>
      <c r="N879" s="147"/>
      <c r="O879" s="147"/>
      <c r="P879" s="148"/>
      <c r="Q879" s="90"/>
      <c r="R879" s="91"/>
    </row>
    <row r="880" ht="15.75" customHeight="1">
      <c r="A880" s="90"/>
      <c r="B880" s="90"/>
      <c r="C880" s="144"/>
      <c r="D880" s="145"/>
      <c r="E880" s="90"/>
      <c r="F880" s="90"/>
      <c r="G880" s="90"/>
      <c r="H880" s="90"/>
      <c r="I880" s="90"/>
      <c r="J880" s="90"/>
      <c r="K880" s="90"/>
      <c r="L880" s="90"/>
      <c r="M880" s="146"/>
      <c r="N880" s="147"/>
      <c r="O880" s="147"/>
      <c r="P880" s="148"/>
      <c r="Q880" s="90"/>
      <c r="R880" s="91"/>
    </row>
    <row r="881" ht="15.75" customHeight="1">
      <c r="A881" s="90"/>
      <c r="B881" s="90"/>
      <c r="C881" s="144"/>
      <c r="D881" s="145"/>
      <c r="E881" s="90"/>
      <c r="F881" s="90"/>
      <c r="G881" s="90"/>
      <c r="H881" s="90"/>
      <c r="I881" s="90"/>
      <c r="J881" s="90"/>
      <c r="K881" s="90"/>
      <c r="L881" s="90"/>
      <c r="M881" s="146"/>
      <c r="N881" s="147"/>
      <c r="O881" s="147"/>
      <c r="P881" s="148"/>
      <c r="Q881" s="90"/>
      <c r="R881" s="91"/>
    </row>
    <row r="882" ht="15.75" customHeight="1">
      <c r="A882" s="90"/>
      <c r="B882" s="90"/>
      <c r="C882" s="144"/>
      <c r="D882" s="145"/>
      <c r="E882" s="90"/>
      <c r="F882" s="90"/>
      <c r="G882" s="90"/>
      <c r="H882" s="90"/>
      <c r="I882" s="90"/>
      <c r="J882" s="90"/>
      <c r="K882" s="90"/>
      <c r="L882" s="90"/>
      <c r="M882" s="146"/>
      <c r="N882" s="147"/>
      <c r="O882" s="147"/>
      <c r="P882" s="148"/>
      <c r="Q882" s="90"/>
      <c r="R882" s="91"/>
    </row>
    <row r="883" ht="15.75" customHeight="1">
      <c r="A883" s="90"/>
      <c r="B883" s="90"/>
      <c r="C883" s="144"/>
      <c r="D883" s="145"/>
      <c r="E883" s="90"/>
      <c r="F883" s="90"/>
      <c r="G883" s="90"/>
      <c r="H883" s="90"/>
      <c r="I883" s="90"/>
      <c r="J883" s="90"/>
      <c r="K883" s="90"/>
      <c r="L883" s="90"/>
      <c r="M883" s="146"/>
      <c r="N883" s="147"/>
      <c r="O883" s="147"/>
      <c r="P883" s="148"/>
      <c r="Q883" s="90"/>
      <c r="R883" s="91"/>
    </row>
    <row r="884" ht="15.75" customHeight="1">
      <c r="A884" s="90"/>
      <c r="B884" s="90"/>
      <c r="C884" s="144"/>
      <c r="D884" s="145"/>
      <c r="E884" s="90"/>
      <c r="F884" s="90"/>
      <c r="G884" s="90"/>
      <c r="H884" s="90"/>
      <c r="I884" s="90"/>
      <c r="J884" s="90"/>
      <c r="K884" s="90"/>
      <c r="L884" s="90"/>
      <c r="M884" s="146"/>
      <c r="N884" s="147"/>
      <c r="O884" s="147"/>
      <c r="P884" s="148"/>
      <c r="Q884" s="90"/>
      <c r="R884" s="91"/>
    </row>
    <row r="885" ht="15.75" customHeight="1">
      <c r="A885" s="90"/>
      <c r="B885" s="90"/>
      <c r="C885" s="144"/>
      <c r="D885" s="145"/>
      <c r="E885" s="90"/>
      <c r="F885" s="90"/>
      <c r="G885" s="90"/>
      <c r="H885" s="90"/>
      <c r="I885" s="90"/>
      <c r="J885" s="90"/>
      <c r="K885" s="90"/>
      <c r="L885" s="90"/>
      <c r="M885" s="146"/>
      <c r="N885" s="147"/>
      <c r="O885" s="147"/>
      <c r="P885" s="148"/>
      <c r="Q885" s="90"/>
      <c r="R885" s="91"/>
    </row>
    <row r="886" ht="15.75" customHeight="1">
      <c r="A886" s="90"/>
      <c r="B886" s="90"/>
      <c r="C886" s="144"/>
      <c r="D886" s="145"/>
      <c r="E886" s="90"/>
      <c r="F886" s="90"/>
      <c r="G886" s="90"/>
      <c r="H886" s="90"/>
      <c r="I886" s="90"/>
      <c r="J886" s="90"/>
      <c r="K886" s="90"/>
      <c r="L886" s="90"/>
      <c r="M886" s="146"/>
      <c r="N886" s="147"/>
      <c r="O886" s="147"/>
      <c r="P886" s="148"/>
      <c r="Q886" s="90"/>
      <c r="R886" s="91"/>
    </row>
    <row r="887" ht="15.75" customHeight="1">
      <c r="A887" s="90"/>
      <c r="B887" s="90"/>
      <c r="C887" s="144"/>
      <c r="D887" s="145"/>
      <c r="E887" s="90"/>
      <c r="F887" s="90"/>
      <c r="G887" s="90"/>
      <c r="H887" s="90"/>
      <c r="I887" s="90"/>
      <c r="J887" s="90"/>
      <c r="K887" s="90"/>
      <c r="L887" s="90"/>
      <c r="M887" s="146"/>
      <c r="N887" s="147"/>
      <c r="O887" s="147"/>
      <c r="P887" s="148"/>
      <c r="Q887" s="90"/>
      <c r="R887" s="91"/>
    </row>
    <row r="888" ht="15.75" customHeight="1">
      <c r="A888" s="90"/>
      <c r="B888" s="90"/>
      <c r="C888" s="144"/>
      <c r="D888" s="145"/>
      <c r="E888" s="90"/>
      <c r="F888" s="90"/>
      <c r="G888" s="90"/>
      <c r="H888" s="90"/>
      <c r="I888" s="90"/>
      <c r="J888" s="90"/>
      <c r="K888" s="90"/>
      <c r="L888" s="90"/>
      <c r="M888" s="146"/>
      <c r="N888" s="147"/>
      <c r="O888" s="147"/>
      <c r="P888" s="148"/>
      <c r="Q888" s="90"/>
      <c r="R888" s="91"/>
    </row>
    <row r="889" ht="15.75" customHeight="1">
      <c r="A889" s="90"/>
      <c r="B889" s="90"/>
      <c r="C889" s="144"/>
      <c r="D889" s="145"/>
      <c r="E889" s="90"/>
      <c r="F889" s="90"/>
      <c r="G889" s="90"/>
      <c r="H889" s="90"/>
      <c r="I889" s="90"/>
      <c r="J889" s="90"/>
      <c r="K889" s="90"/>
      <c r="L889" s="90"/>
      <c r="M889" s="146"/>
      <c r="N889" s="147"/>
      <c r="O889" s="147"/>
      <c r="P889" s="148"/>
      <c r="Q889" s="90"/>
      <c r="R889" s="91"/>
    </row>
    <row r="890" ht="15.75" customHeight="1">
      <c r="A890" s="90"/>
      <c r="B890" s="90"/>
      <c r="C890" s="144"/>
      <c r="D890" s="145"/>
      <c r="E890" s="90"/>
      <c r="F890" s="90"/>
      <c r="G890" s="90"/>
      <c r="H890" s="90"/>
      <c r="I890" s="90"/>
      <c r="J890" s="90"/>
      <c r="K890" s="90"/>
      <c r="L890" s="90"/>
      <c r="M890" s="146"/>
      <c r="N890" s="147"/>
      <c r="O890" s="147"/>
      <c r="P890" s="148"/>
      <c r="Q890" s="90"/>
      <c r="R890" s="91"/>
    </row>
    <row r="891" ht="15.75" customHeight="1">
      <c r="A891" s="90"/>
      <c r="B891" s="90"/>
      <c r="C891" s="144"/>
      <c r="D891" s="145"/>
      <c r="E891" s="90"/>
      <c r="F891" s="90"/>
      <c r="G891" s="90"/>
      <c r="H891" s="90"/>
      <c r="I891" s="90"/>
      <c r="J891" s="90"/>
      <c r="K891" s="90"/>
      <c r="L891" s="90"/>
      <c r="M891" s="146"/>
      <c r="N891" s="147"/>
      <c r="O891" s="147"/>
      <c r="P891" s="148"/>
      <c r="Q891" s="90"/>
      <c r="R891" s="91"/>
    </row>
    <row r="892" ht="15.75" customHeight="1">
      <c r="A892" s="90"/>
      <c r="B892" s="90"/>
      <c r="C892" s="144"/>
      <c r="D892" s="145"/>
      <c r="E892" s="90"/>
      <c r="F892" s="90"/>
      <c r="G892" s="90"/>
      <c r="H892" s="90"/>
      <c r="I892" s="90"/>
      <c r="J892" s="90"/>
      <c r="K892" s="90"/>
      <c r="L892" s="90"/>
      <c r="M892" s="146"/>
      <c r="N892" s="147"/>
      <c r="O892" s="147"/>
      <c r="P892" s="148"/>
      <c r="Q892" s="90"/>
      <c r="R892" s="91"/>
    </row>
    <row r="893" ht="15.75" customHeight="1">
      <c r="A893" s="90"/>
      <c r="B893" s="90"/>
      <c r="C893" s="144"/>
      <c r="D893" s="145"/>
      <c r="E893" s="90"/>
      <c r="F893" s="90"/>
      <c r="G893" s="90"/>
      <c r="H893" s="90"/>
      <c r="I893" s="90"/>
      <c r="J893" s="90"/>
      <c r="K893" s="90"/>
      <c r="L893" s="90"/>
      <c r="M893" s="146"/>
      <c r="N893" s="147"/>
      <c r="O893" s="147"/>
      <c r="P893" s="148"/>
      <c r="Q893" s="90"/>
      <c r="R893" s="91"/>
    </row>
    <row r="894" ht="15.75" customHeight="1">
      <c r="A894" s="90"/>
      <c r="B894" s="90"/>
      <c r="C894" s="144"/>
      <c r="D894" s="145"/>
      <c r="E894" s="90"/>
      <c r="F894" s="90"/>
      <c r="G894" s="90"/>
      <c r="H894" s="90"/>
      <c r="I894" s="90"/>
      <c r="J894" s="90"/>
      <c r="K894" s="90"/>
      <c r="L894" s="90"/>
      <c r="M894" s="146"/>
      <c r="N894" s="147"/>
      <c r="O894" s="147"/>
      <c r="P894" s="148"/>
      <c r="Q894" s="90"/>
      <c r="R894" s="91"/>
    </row>
    <row r="895" ht="15.75" customHeight="1">
      <c r="A895" s="90"/>
      <c r="B895" s="90"/>
      <c r="C895" s="144"/>
      <c r="D895" s="145"/>
      <c r="E895" s="90"/>
      <c r="F895" s="90"/>
      <c r="G895" s="90"/>
      <c r="H895" s="90"/>
      <c r="I895" s="90"/>
      <c r="J895" s="90"/>
      <c r="K895" s="90"/>
      <c r="L895" s="90"/>
      <c r="M895" s="146"/>
      <c r="N895" s="147"/>
      <c r="O895" s="147"/>
      <c r="P895" s="148"/>
      <c r="Q895" s="90"/>
      <c r="R895" s="91"/>
    </row>
    <row r="896" ht="15.75" customHeight="1">
      <c r="A896" s="90"/>
      <c r="B896" s="90"/>
      <c r="C896" s="144"/>
      <c r="D896" s="145"/>
      <c r="E896" s="90"/>
      <c r="F896" s="90"/>
      <c r="G896" s="90"/>
      <c r="H896" s="90"/>
      <c r="I896" s="90"/>
      <c r="J896" s="90"/>
      <c r="K896" s="90"/>
      <c r="L896" s="90"/>
      <c r="M896" s="146"/>
      <c r="N896" s="147"/>
      <c r="O896" s="147"/>
      <c r="P896" s="148"/>
      <c r="Q896" s="90"/>
      <c r="R896" s="91"/>
    </row>
    <row r="897" ht="15.75" customHeight="1">
      <c r="A897" s="90"/>
      <c r="B897" s="90"/>
      <c r="C897" s="144"/>
      <c r="D897" s="145"/>
      <c r="E897" s="90"/>
      <c r="F897" s="90"/>
      <c r="G897" s="90"/>
      <c r="H897" s="90"/>
      <c r="I897" s="90"/>
      <c r="J897" s="90"/>
      <c r="K897" s="90"/>
      <c r="L897" s="90"/>
      <c r="M897" s="146"/>
      <c r="N897" s="147"/>
      <c r="O897" s="147"/>
      <c r="P897" s="148"/>
      <c r="Q897" s="90"/>
      <c r="R897" s="91"/>
    </row>
    <row r="898" ht="15.75" customHeight="1">
      <c r="A898" s="90"/>
      <c r="B898" s="90"/>
      <c r="C898" s="144"/>
      <c r="D898" s="145"/>
      <c r="E898" s="90"/>
      <c r="F898" s="90"/>
      <c r="G898" s="90"/>
      <c r="H898" s="90"/>
      <c r="I898" s="90"/>
      <c r="J898" s="90"/>
      <c r="K898" s="90"/>
      <c r="L898" s="90"/>
      <c r="M898" s="146"/>
      <c r="N898" s="147"/>
      <c r="O898" s="147"/>
      <c r="P898" s="148"/>
      <c r="Q898" s="90"/>
      <c r="R898" s="91"/>
    </row>
    <row r="899" ht="15.75" customHeight="1">
      <c r="A899" s="90"/>
      <c r="B899" s="90"/>
      <c r="C899" s="144"/>
      <c r="D899" s="145"/>
      <c r="E899" s="90"/>
      <c r="F899" s="90"/>
      <c r="G899" s="90"/>
      <c r="H899" s="90"/>
      <c r="I899" s="90"/>
      <c r="J899" s="90"/>
      <c r="K899" s="90"/>
      <c r="L899" s="90"/>
      <c r="M899" s="146"/>
      <c r="N899" s="147"/>
      <c r="O899" s="147"/>
      <c r="P899" s="148"/>
      <c r="Q899" s="90"/>
      <c r="R899" s="91"/>
    </row>
    <row r="900" ht="15.75" customHeight="1">
      <c r="A900" s="90"/>
      <c r="B900" s="90"/>
      <c r="C900" s="144"/>
      <c r="D900" s="145"/>
      <c r="E900" s="90"/>
      <c r="F900" s="90"/>
      <c r="G900" s="90"/>
      <c r="H900" s="90"/>
      <c r="I900" s="90"/>
      <c r="J900" s="90"/>
      <c r="K900" s="90"/>
      <c r="L900" s="90"/>
      <c r="M900" s="146"/>
      <c r="N900" s="147"/>
      <c r="O900" s="147"/>
      <c r="P900" s="148"/>
      <c r="Q900" s="90"/>
      <c r="R900" s="91"/>
    </row>
    <row r="901" ht="15.75" customHeight="1">
      <c r="A901" s="90"/>
      <c r="B901" s="90"/>
      <c r="C901" s="144"/>
      <c r="D901" s="145"/>
      <c r="E901" s="90"/>
      <c r="F901" s="90"/>
      <c r="G901" s="90"/>
      <c r="H901" s="90"/>
      <c r="I901" s="90"/>
      <c r="J901" s="90"/>
      <c r="K901" s="90"/>
      <c r="L901" s="90"/>
      <c r="M901" s="146"/>
      <c r="N901" s="147"/>
      <c r="O901" s="147"/>
      <c r="P901" s="148"/>
      <c r="Q901" s="90"/>
      <c r="R901" s="91"/>
    </row>
    <row r="902" ht="15.75" customHeight="1">
      <c r="A902" s="90"/>
      <c r="B902" s="90"/>
      <c r="C902" s="144"/>
      <c r="D902" s="145"/>
      <c r="E902" s="90"/>
      <c r="F902" s="90"/>
      <c r="G902" s="90"/>
      <c r="H902" s="90"/>
      <c r="I902" s="90"/>
      <c r="J902" s="90"/>
      <c r="K902" s="90"/>
      <c r="L902" s="90"/>
      <c r="M902" s="146"/>
      <c r="N902" s="147"/>
      <c r="O902" s="147"/>
      <c r="P902" s="148"/>
      <c r="Q902" s="90"/>
      <c r="R902" s="91"/>
    </row>
    <row r="903" ht="15.75" customHeight="1">
      <c r="A903" s="90"/>
      <c r="B903" s="90"/>
      <c r="C903" s="144"/>
      <c r="D903" s="145"/>
      <c r="E903" s="90"/>
      <c r="F903" s="90"/>
      <c r="G903" s="90"/>
      <c r="H903" s="90"/>
      <c r="I903" s="90"/>
      <c r="J903" s="90"/>
      <c r="K903" s="90"/>
      <c r="L903" s="90"/>
      <c r="M903" s="146"/>
      <c r="N903" s="147"/>
      <c r="O903" s="147"/>
      <c r="P903" s="148"/>
      <c r="Q903" s="90"/>
      <c r="R903" s="91"/>
    </row>
    <row r="904" ht="15.75" customHeight="1">
      <c r="A904" s="90"/>
      <c r="B904" s="90"/>
      <c r="C904" s="144"/>
      <c r="D904" s="145"/>
      <c r="E904" s="90"/>
      <c r="F904" s="90"/>
      <c r="G904" s="90"/>
      <c r="H904" s="90"/>
      <c r="I904" s="90"/>
      <c r="J904" s="90"/>
      <c r="K904" s="90"/>
      <c r="L904" s="90"/>
      <c r="M904" s="146"/>
      <c r="N904" s="147"/>
      <c r="O904" s="147"/>
      <c r="P904" s="148"/>
      <c r="Q904" s="90"/>
      <c r="R904" s="91"/>
    </row>
    <row r="905" ht="15.75" customHeight="1">
      <c r="A905" s="90"/>
      <c r="B905" s="90"/>
      <c r="C905" s="144"/>
      <c r="D905" s="145"/>
      <c r="E905" s="90"/>
      <c r="F905" s="90"/>
      <c r="G905" s="90"/>
      <c r="H905" s="90"/>
      <c r="I905" s="90"/>
      <c r="J905" s="90"/>
      <c r="K905" s="90"/>
      <c r="L905" s="90"/>
      <c r="M905" s="146"/>
      <c r="N905" s="147"/>
      <c r="O905" s="147"/>
      <c r="P905" s="148"/>
      <c r="Q905" s="90"/>
      <c r="R905" s="91"/>
    </row>
    <row r="906" ht="15.75" customHeight="1">
      <c r="A906" s="90"/>
      <c r="B906" s="90"/>
      <c r="C906" s="144"/>
      <c r="D906" s="145"/>
      <c r="E906" s="90"/>
      <c r="F906" s="90"/>
      <c r="G906" s="90"/>
      <c r="H906" s="90"/>
      <c r="I906" s="90"/>
      <c r="J906" s="90"/>
      <c r="K906" s="90"/>
      <c r="L906" s="90"/>
      <c r="M906" s="146"/>
      <c r="N906" s="147"/>
      <c r="O906" s="147"/>
      <c r="P906" s="148"/>
      <c r="Q906" s="90"/>
      <c r="R906" s="91"/>
    </row>
    <row r="907" ht="15.75" customHeight="1">
      <c r="A907" s="90"/>
      <c r="B907" s="90"/>
      <c r="C907" s="144"/>
      <c r="D907" s="145"/>
      <c r="E907" s="90"/>
      <c r="F907" s="90"/>
      <c r="G907" s="90"/>
      <c r="H907" s="90"/>
      <c r="I907" s="90"/>
      <c r="J907" s="90"/>
      <c r="K907" s="90"/>
      <c r="L907" s="90"/>
      <c r="M907" s="146"/>
      <c r="N907" s="147"/>
      <c r="O907" s="147"/>
      <c r="P907" s="148"/>
      <c r="Q907" s="90"/>
      <c r="R907" s="91"/>
    </row>
    <row r="908" ht="15.75" customHeight="1">
      <c r="A908" s="90"/>
      <c r="B908" s="90"/>
      <c r="C908" s="144"/>
      <c r="D908" s="145"/>
      <c r="E908" s="90"/>
      <c r="F908" s="90"/>
      <c r="G908" s="90"/>
      <c r="H908" s="90"/>
      <c r="I908" s="90"/>
      <c r="J908" s="90"/>
      <c r="K908" s="90"/>
      <c r="L908" s="90"/>
      <c r="M908" s="146"/>
      <c r="N908" s="147"/>
      <c r="O908" s="147"/>
      <c r="P908" s="148"/>
      <c r="Q908" s="90"/>
      <c r="R908" s="91"/>
    </row>
    <row r="909" ht="15.75" customHeight="1">
      <c r="A909" s="90"/>
      <c r="B909" s="90"/>
      <c r="C909" s="144"/>
      <c r="D909" s="145"/>
      <c r="E909" s="90"/>
      <c r="F909" s="90"/>
      <c r="G909" s="90"/>
      <c r="H909" s="90"/>
      <c r="I909" s="90"/>
      <c r="J909" s="90"/>
      <c r="K909" s="90"/>
      <c r="L909" s="90"/>
      <c r="M909" s="146"/>
      <c r="N909" s="147"/>
      <c r="O909" s="147"/>
      <c r="P909" s="148"/>
      <c r="Q909" s="90"/>
      <c r="R909" s="91"/>
    </row>
    <row r="910" ht="15.75" customHeight="1">
      <c r="A910" s="90"/>
      <c r="B910" s="90"/>
      <c r="C910" s="144"/>
      <c r="D910" s="145"/>
      <c r="E910" s="90"/>
      <c r="F910" s="90"/>
      <c r="G910" s="90"/>
      <c r="H910" s="90"/>
      <c r="I910" s="90"/>
      <c r="J910" s="90"/>
      <c r="K910" s="90"/>
      <c r="L910" s="90"/>
      <c r="M910" s="146"/>
      <c r="N910" s="147"/>
      <c r="O910" s="147"/>
      <c r="P910" s="148"/>
      <c r="Q910" s="90"/>
      <c r="R910" s="91"/>
    </row>
    <row r="911" ht="15.75" customHeight="1">
      <c r="A911" s="90"/>
      <c r="B911" s="90"/>
      <c r="C911" s="144"/>
      <c r="D911" s="145"/>
      <c r="E911" s="90"/>
      <c r="F911" s="90"/>
      <c r="G911" s="90"/>
      <c r="H911" s="90"/>
      <c r="I911" s="90"/>
      <c r="J911" s="90"/>
      <c r="K911" s="90"/>
      <c r="L911" s="90"/>
      <c r="M911" s="146"/>
      <c r="N911" s="147"/>
      <c r="O911" s="147"/>
      <c r="P911" s="148"/>
      <c r="Q911" s="90"/>
      <c r="R911" s="91"/>
    </row>
    <row r="912" ht="15.75" customHeight="1">
      <c r="A912" s="90"/>
      <c r="B912" s="90"/>
      <c r="C912" s="144"/>
      <c r="D912" s="145"/>
      <c r="E912" s="90"/>
      <c r="F912" s="90"/>
      <c r="G912" s="90"/>
      <c r="H912" s="90"/>
      <c r="I912" s="90"/>
      <c r="J912" s="90"/>
      <c r="K912" s="90"/>
      <c r="L912" s="90"/>
      <c r="M912" s="146"/>
      <c r="N912" s="147"/>
      <c r="O912" s="147"/>
      <c r="P912" s="148"/>
      <c r="Q912" s="90"/>
      <c r="R912" s="91"/>
    </row>
    <row r="913" ht="15.75" customHeight="1">
      <c r="A913" s="90"/>
      <c r="B913" s="90"/>
      <c r="C913" s="144"/>
      <c r="D913" s="145"/>
      <c r="E913" s="90"/>
      <c r="F913" s="90"/>
      <c r="G913" s="90"/>
      <c r="H913" s="90"/>
      <c r="I913" s="90"/>
      <c r="J913" s="90"/>
      <c r="K913" s="90"/>
      <c r="L913" s="90"/>
      <c r="M913" s="146"/>
      <c r="N913" s="147"/>
      <c r="O913" s="147"/>
      <c r="P913" s="148"/>
      <c r="Q913" s="90"/>
      <c r="R913" s="91"/>
    </row>
    <row r="914" ht="15.75" customHeight="1">
      <c r="A914" s="90"/>
      <c r="B914" s="90"/>
      <c r="C914" s="144"/>
      <c r="D914" s="145"/>
      <c r="E914" s="90"/>
      <c r="F914" s="90"/>
      <c r="G914" s="90"/>
      <c r="H914" s="90"/>
      <c r="I914" s="90"/>
      <c r="J914" s="90"/>
      <c r="K914" s="90"/>
      <c r="L914" s="90"/>
      <c r="M914" s="146"/>
      <c r="N914" s="147"/>
      <c r="O914" s="147"/>
      <c r="P914" s="148"/>
      <c r="Q914" s="90"/>
      <c r="R914" s="91"/>
    </row>
    <row r="915" ht="15.75" customHeight="1">
      <c r="A915" s="90"/>
      <c r="B915" s="90"/>
      <c r="C915" s="144"/>
      <c r="D915" s="145"/>
      <c r="E915" s="90"/>
      <c r="F915" s="90"/>
      <c r="G915" s="90"/>
      <c r="H915" s="90"/>
      <c r="I915" s="90"/>
      <c r="J915" s="90"/>
      <c r="K915" s="90"/>
      <c r="L915" s="90"/>
      <c r="M915" s="146"/>
      <c r="N915" s="147"/>
      <c r="O915" s="147"/>
      <c r="P915" s="148"/>
      <c r="Q915" s="90"/>
      <c r="R915" s="91"/>
    </row>
    <row r="916" ht="15.75" customHeight="1">
      <c r="A916" s="90"/>
      <c r="B916" s="90"/>
      <c r="C916" s="144"/>
      <c r="D916" s="145"/>
      <c r="E916" s="90"/>
      <c r="F916" s="90"/>
      <c r="G916" s="90"/>
      <c r="H916" s="90"/>
      <c r="I916" s="90"/>
      <c r="J916" s="90"/>
      <c r="K916" s="90"/>
      <c r="L916" s="90"/>
      <c r="M916" s="146"/>
      <c r="N916" s="147"/>
      <c r="O916" s="147"/>
      <c r="P916" s="148"/>
      <c r="Q916" s="90"/>
      <c r="R916" s="91"/>
    </row>
    <row r="917" ht="15.75" customHeight="1">
      <c r="A917" s="90"/>
      <c r="B917" s="90"/>
      <c r="C917" s="144"/>
      <c r="D917" s="145"/>
      <c r="E917" s="90"/>
      <c r="F917" s="90"/>
      <c r="G917" s="90"/>
      <c r="H917" s="90"/>
      <c r="I917" s="90"/>
      <c r="J917" s="90"/>
      <c r="K917" s="90"/>
      <c r="L917" s="90"/>
      <c r="M917" s="146"/>
      <c r="N917" s="147"/>
      <c r="O917" s="147"/>
      <c r="P917" s="148"/>
      <c r="Q917" s="90"/>
      <c r="R917" s="91"/>
    </row>
    <row r="918" ht="15.75" customHeight="1">
      <c r="A918" s="90"/>
      <c r="B918" s="90"/>
      <c r="C918" s="144"/>
      <c r="D918" s="145"/>
      <c r="E918" s="90"/>
      <c r="F918" s="90"/>
      <c r="G918" s="90"/>
      <c r="H918" s="90"/>
      <c r="I918" s="90"/>
      <c r="J918" s="90"/>
      <c r="K918" s="90"/>
      <c r="L918" s="90"/>
      <c r="M918" s="146"/>
      <c r="N918" s="147"/>
      <c r="O918" s="147"/>
      <c r="P918" s="148"/>
      <c r="Q918" s="90"/>
      <c r="R918" s="91"/>
    </row>
    <row r="919" ht="15.75" customHeight="1">
      <c r="A919" s="90"/>
      <c r="B919" s="90"/>
      <c r="C919" s="144"/>
      <c r="D919" s="145"/>
      <c r="E919" s="90"/>
      <c r="F919" s="90"/>
      <c r="G919" s="90"/>
      <c r="H919" s="90"/>
      <c r="I919" s="90"/>
      <c r="J919" s="90"/>
      <c r="K919" s="90"/>
      <c r="L919" s="90"/>
      <c r="M919" s="146"/>
      <c r="N919" s="147"/>
      <c r="O919" s="147"/>
      <c r="P919" s="148"/>
      <c r="Q919" s="90"/>
      <c r="R919" s="91"/>
    </row>
    <row r="920" ht="15.75" customHeight="1">
      <c r="A920" s="90"/>
      <c r="B920" s="90"/>
      <c r="C920" s="144"/>
      <c r="D920" s="145"/>
      <c r="E920" s="90"/>
      <c r="F920" s="90"/>
      <c r="G920" s="90"/>
      <c r="H920" s="90"/>
      <c r="I920" s="90"/>
      <c r="J920" s="90"/>
      <c r="K920" s="90"/>
      <c r="L920" s="90"/>
      <c r="M920" s="146"/>
      <c r="N920" s="147"/>
      <c r="O920" s="147"/>
      <c r="P920" s="148"/>
      <c r="Q920" s="90"/>
      <c r="R920" s="91"/>
    </row>
    <row r="921" ht="15.75" customHeight="1">
      <c r="A921" s="90"/>
      <c r="B921" s="90"/>
      <c r="C921" s="144"/>
      <c r="D921" s="145"/>
      <c r="E921" s="90"/>
      <c r="F921" s="90"/>
      <c r="G921" s="90"/>
      <c r="H921" s="90"/>
      <c r="I921" s="90"/>
      <c r="J921" s="90"/>
      <c r="K921" s="90"/>
      <c r="L921" s="90"/>
      <c r="M921" s="146"/>
      <c r="N921" s="147"/>
      <c r="O921" s="147"/>
      <c r="P921" s="148"/>
      <c r="Q921" s="90"/>
      <c r="R921" s="91"/>
    </row>
    <row r="922" ht="15.75" customHeight="1">
      <c r="A922" s="90"/>
      <c r="B922" s="90"/>
      <c r="C922" s="144"/>
      <c r="D922" s="145"/>
      <c r="E922" s="90"/>
      <c r="F922" s="90"/>
      <c r="G922" s="90"/>
      <c r="H922" s="90"/>
      <c r="I922" s="90"/>
      <c r="J922" s="90"/>
      <c r="K922" s="90"/>
      <c r="L922" s="90"/>
      <c r="M922" s="146"/>
      <c r="N922" s="147"/>
      <c r="O922" s="147"/>
      <c r="P922" s="148"/>
      <c r="Q922" s="90"/>
      <c r="R922" s="91"/>
    </row>
    <row r="923" ht="15.75" customHeight="1">
      <c r="A923" s="90"/>
      <c r="B923" s="90"/>
      <c r="C923" s="144"/>
      <c r="D923" s="145"/>
      <c r="E923" s="90"/>
      <c r="F923" s="90"/>
      <c r="G923" s="90"/>
      <c r="H923" s="90"/>
      <c r="I923" s="90"/>
      <c r="J923" s="90"/>
      <c r="K923" s="90"/>
      <c r="L923" s="90"/>
      <c r="M923" s="146"/>
      <c r="N923" s="147"/>
      <c r="O923" s="147"/>
      <c r="P923" s="148"/>
      <c r="Q923" s="90"/>
      <c r="R923" s="91"/>
    </row>
    <row r="924" ht="15.75" customHeight="1">
      <c r="A924" s="90"/>
      <c r="B924" s="90"/>
      <c r="C924" s="144"/>
      <c r="D924" s="145"/>
      <c r="E924" s="90"/>
      <c r="F924" s="90"/>
      <c r="G924" s="90"/>
      <c r="H924" s="90"/>
      <c r="I924" s="90"/>
      <c r="J924" s="90"/>
      <c r="K924" s="90"/>
      <c r="L924" s="90"/>
      <c r="M924" s="146"/>
      <c r="N924" s="147"/>
      <c r="O924" s="147"/>
      <c r="P924" s="148"/>
      <c r="Q924" s="90"/>
      <c r="R924" s="91"/>
    </row>
    <row r="925" ht="15.75" customHeight="1">
      <c r="A925" s="90"/>
      <c r="B925" s="90"/>
      <c r="C925" s="144"/>
      <c r="D925" s="145"/>
      <c r="E925" s="90"/>
      <c r="F925" s="90"/>
      <c r="G925" s="90"/>
      <c r="H925" s="90"/>
      <c r="I925" s="90"/>
      <c r="J925" s="90"/>
      <c r="K925" s="90"/>
      <c r="L925" s="90"/>
      <c r="M925" s="146"/>
      <c r="N925" s="147"/>
      <c r="O925" s="147"/>
      <c r="P925" s="148"/>
      <c r="Q925" s="90"/>
      <c r="R925" s="91"/>
    </row>
    <row r="926" ht="15.75" customHeight="1">
      <c r="A926" s="90"/>
      <c r="B926" s="90"/>
      <c r="C926" s="144"/>
      <c r="D926" s="145"/>
      <c r="E926" s="90"/>
      <c r="F926" s="90"/>
      <c r="G926" s="90"/>
      <c r="H926" s="90"/>
      <c r="I926" s="90"/>
      <c r="J926" s="90"/>
      <c r="K926" s="90"/>
      <c r="L926" s="90"/>
      <c r="M926" s="146"/>
      <c r="N926" s="147"/>
      <c r="O926" s="147"/>
      <c r="P926" s="148"/>
      <c r="Q926" s="90"/>
      <c r="R926" s="91"/>
    </row>
    <row r="927" ht="15.75" customHeight="1">
      <c r="A927" s="90"/>
      <c r="B927" s="90"/>
      <c r="C927" s="144"/>
      <c r="D927" s="145"/>
      <c r="E927" s="90"/>
      <c r="F927" s="90"/>
      <c r="G927" s="90"/>
      <c r="H927" s="90"/>
      <c r="I927" s="90"/>
      <c r="J927" s="90"/>
      <c r="K927" s="90"/>
      <c r="L927" s="90"/>
      <c r="M927" s="146"/>
      <c r="N927" s="147"/>
      <c r="O927" s="147"/>
      <c r="P927" s="148"/>
      <c r="Q927" s="90"/>
      <c r="R927" s="91"/>
    </row>
    <row r="928" ht="15.75" customHeight="1">
      <c r="A928" s="90"/>
      <c r="B928" s="90"/>
      <c r="C928" s="144"/>
      <c r="D928" s="145"/>
      <c r="E928" s="90"/>
      <c r="F928" s="90"/>
      <c r="G928" s="90"/>
      <c r="H928" s="90"/>
      <c r="I928" s="90"/>
      <c r="J928" s="90"/>
      <c r="K928" s="90"/>
      <c r="L928" s="90"/>
      <c r="M928" s="146"/>
      <c r="N928" s="147"/>
      <c r="O928" s="147"/>
      <c r="P928" s="148"/>
      <c r="Q928" s="90"/>
      <c r="R928" s="91"/>
    </row>
    <row r="929" ht="15.75" customHeight="1">
      <c r="A929" s="90"/>
      <c r="B929" s="90"/>
      <c r="C929" s="144"/>
      <c r="D929" s="145"/>
      <c r="E929" s="90"/>
      <c r="F929" s="90"/>
      <c r="G929" s="90"/>
      <c r="H929" s="90"/>
      <c r="I929" s="90"/>
      <c r="J929" s="90"/>
      <c r="K929" s="90"/>
      <c r="L929" s="90"/>
      <c r="M929" s="146"/>
      <c r="N929" s="147"/>
      <c r="O929" s="147"/>
      <c r="P929" s="148"/>
      <c r="Q929" s="90"/>
      <c r="R929" s="91"/>
    </row>
    <row r="930" ht="15.75" customHeight="1">
      <c r="A930" s="90"/>
      <c r="B930" s="90"/>
      <c r="C930" s="144"/>
      <c r="D930" s="145"/>
      <c r="E930" s="90"/>
      <c r="F930" s="90"/>
      <c r="G930" s="90"/>
      <c r="H930" s="90"/>
      <c r="I930" s="90"/>
      <c r="J930" s="90"/>
      <c r="K930" s="90"/>
      <c r="L930" s="90"/>
      <c r="M930" s="146"/>
      <c r="N930" s="147"/>
      <c r="O930" s="147"/>
      <c r="P930" s="148"/>
      <c r="Q930" s="90"/>
      <c r="R930" s="91"/>
    </row>
    <row r="931" ht="15.75" customHeight="1">
      <c r="A931" s="90"/>
      <c r="B931" s="90"/>
      <c r="C931" s="144"/>
      <c r="D931" s="145"/>
      <c r="E931" s="90"/>
      <c r="F931" s="90"/>
      <c r="G931" s="90"/>
      <c r="H931" s="90"/>
      <c r="I931" s="90"/>
      <c r="J931" s="90"/>
      <c r="K931" s="90"/>
      <c r="L931" s="90"/>
      <c r="M931" s="146"/>
      <c r="N931" s="147"/>
      <c r="O931" s="147"/>
      <c r="P931" s="148"/>
      <c r="Q931" s="90"/>
      <c r="R931" s="91"/>
    </row>
    <row r="932" ht="15.75" customHeight="1">
      <c r="A932" s="90"/>
      <c r="B932" s="90"/>
      <c r="C932" s="144"/>
      <c r="D932" s="145"/>
      <c r="E932" s="90"/>
      <c r="F932" s="90"/>
      <c r="G932" s="90"/>
      <c r="H932" s="90"/>
      <c r="I932" s="90"/>
      <c r="J932" s="90"/>
      <c r="K932" s="90"/>
      <c r="L932" s="90"/>
      <c r="M932" s="146"/>
      <c r="N932" s="147"/>
      <c r="O932" s="147"/>
      <c r="P932" s="148"/>
      <c r="Q932" s="90"/>
      <c r="R932" s="91"/>
    </row>
    <row r="933" ht="15.75" customHeight="1">
      <c r="A933" s="90"/>
      <c r="B933" s="90"/>
      <c r="C933" s="144"/>
      <c r="D933" s="145"/>
      <c r="E933" s="90"/>
      <c r="F933" s="90"/>
      <c r="G933" s="90"/>
      <c r="H933" s="90"/>
      <c r="I933" s="90"/>
      <c r="J933" s="90"/>
      <c r="K933" s="90"/>
      <c r="L933" s="90"/>
      <c r="M933" s="146"/>
      <c r="N933" s="147"/>
      <c r="O933" s="147"/>
      <c r="P933" s="148"/>
      <c r="Q933" s="90"/>
      <c r="R933" s="91"/>
    </row>
    <row r="934" ht="15.75" customHeight="1">
      <c r="A934" s="90"/>
      <c r="B934" s="90"/>
      <c r="C934" s="144"/>
      <c r="D934" s="145"/>
      <c r="E934" s="90"/>
      <c r="F934" s="90"/>
      <c r="G934" s="90"/>
      <c r="H934" s="90"/>
      <c r="I934" s="90"/>
      <c r="J934" s="90"/>
      <c r="K934" s="90"/>
      <c r="L934" s="90"/>
      <c r="M934" s="146"/>
      <c r="N934" s="147"/>
      <c r="O934" s="147"/>
      <c r="P934" s="148"/>
      <c r="Q934" s="90"/>
      <c r="R934" s="91"/>
    </row>
    <row r="935" ht="15.75" customHeight="1">
      <c r="A935" s="90"/>
      <c r="B935" s="90"/>
      <c r="C935" s="144"/>
      <c r="D935" s="145"/>
      <c r="E935" s="90"/>
      <c r="F935" s="90"/>
      <c r="G935" s="90"/>
      <c r="H935" s="90"/>
      <c r="I935" s="90"/>
      <c r="J935" s="90"/>
      <c r="K935" s="90"/>
      <c r="L935" s="90"/>
      <c r="M935" s="146"/>
      <c r="N935" s="147"/>
      <c r="O935" s="147"/>
      <c r="P935" s="148"/>
      <c r="Q935" s="90"/>
      <c r="R935" s="91"/>
    </row>
    <row r="936" ht="15.75" customHeight="1">
      <c r="A936" s="90"/>
      <c r="B936" s="90"/>
      <c r="C936" s="144"/>
      <c r="D936" s="145"/>
      <c r="E936" s="90"/>
      <c r="F936" s="90"/>
      <c r="G936" s="90"/>
      <c r="H936" s="90"/>
      <c r="I936" s="90"/>
      <c r="J936" s="90"/>
      <c r="K936" s="90"/>
      <c r="L936" s="90"/>
      <c r="M936" s="146"/>
      <c r="N936" s="147"/>
      <c r="O936" s="147"/>
      <c r="P936" s="148"/>
      <c r="Q936" s="90"/>
      <c r="R936" s="91"/>
    </row>
    <row r="937" ht="15.75" customHeight="1">
      <c r="A937" s="90"/>
      <c r="B937" s="90"/>
      <c r="C937" s="144"/>
      <c r="D937" s="145"/>
      <c r="E937" s="90"/>
      <c r="F937" s="90"/>
      <c r="G937" s="90"/>
      <c r="H937" s="90"/>
      <c r="I937" s="90"/>
      <c r="J937" s="90"/>
      <c r="K937" s="90"/>
      <c r="L937" s="90"/>
      <c r="M937" s="146"/>
      <c r="N937" s="147"/>
      <c r="O937" s="147"/>
      <c r="P937" s="148"/>
      <c r="Q937" s="90"/>
      <c r="R937" s="91"/>
    </row>
    <row r="938" ht="15.75" customHeight="1">
      <c r="A938" s="90"/>
      <c r="B938" s="90"/>
      <c r="C938" s="144"/>
      <c r="D938" s="145"/>
      <c r="E938" s="90"/>
      <c r="F938" s="90"/>
      <c r="G938" s="90"/>
      <c r="H938" s="90"/>
      <c r="I938" s="90"/>
      <c r="J938" s="90"/>
      <c r="K938" s="90"/>
      <c r="L938" s="90"/>
      <c r="M938" s="146"/>
      <c r="N938" s="147"/>
      <c r="O938" s="147"/>
      <c r="P938" s="148"/>
      <c r="Q938" s="90"/>
      <c r="R938" s="91"/>
    </row>
    <row r="939" ht="15.75" customHeight="1">
      <c r="A939" s="90"/>
      <c r="B939" s="90"/>
      <c r="C939" s="144"/>
      <c r="D939" s="145"/>
      <c r="E939" s="90"/>
      <c r="F939" s="90"/>
      <c r="G939" s="90"/>
      <c r="H939" s="90"/>
      <c r="I939" s="90"/>
      <c r="J939" s="90"/>
      <c r="K939" s="90"/>
      <c r="L939" s="90"/>
      <c r="M939" s="146"/>
      <c r="N939" s="147"/>
      <c r="O939" s="147"/>
      <c r="P939" s="148"/>
      <c r="Q939" s="90"/>
      <c r="R939" s="91"/>
    </row>
    <row r="940" ht="15.75" customHeight="1">
      <c r="A940" s="90"/>
      <c r="B940" s="90"/>
      <c r="C940" s="144"/>
      <c r="D940" s="145"/>
      <c r="E940" s="90"/>
      <c r="F940" s="90"/>
      <c r="G940" s="90"/>
      <c r="H940" s="90"/>
      <c r="I940" s="90"/>
      <c r="J940" s="90"/>
      <c r="K940" s="90"/>
      <c r="L940" s="90"/>
      <c r="M940" s="146"/>
      <c r="N940" s="147"/>
      <c r="O940" s="147"/>
      <c r="P940" s="148"/>
      <c r="Q940" s="90"/>
      <c r="R940" s="91"/>
    </row>
    <row r="941" ht="15.75" customHeight="1">
      <c r="A941" s="90"/>
      <c r="B941" s="90"/>
      <c r="C941" s="144"/>
      <c r="D941" s="145"/>
      <c r="E941" s="90"/>
      <c r="F941" s="90"/>
      <c r="G941" s="90"/>
      <c r="H941" s="90"/>
      <c r="I941" s="90"/>
      <c r="J941" s="90"/>
      <c r="K941" s="90"/>
      <c r="L941" s="90"/>
      <c r="M941" s="146"/>
      <c r="N941" s="147"/>
      <c r="O941" s="147"/>
      <c r="P941" s="148"/>
      <c r="Q941" s="90"/>
      <c r="R941" s="91"/>
    </row>
    <row r="942" ht="15.75" customHeight="1">
      <c r="A942" s="90"/>
      <c r="B942" s="90"/>
      <c r="C942" s="144"/>
      <c r="D942" s="145"/>
      <c r="E942" s="90"/>
      <c r="F942" s="90"/>
      <c r="G942" s="90"/>
      <c r="H942" s="90"/>
      <c r="I942" s="90"/>
      <c r="J942" s="90"/>
      <c r="K942" s="90"/>
      <c r="L942" s="90"/>
      <c r="M942" s="146"/>
      <c r="N942" s="147"/>
      <c r="O942" s="147"/>
      <c r="P942" s="148"/>
      <c r="Q942" s="90"/>
      <c r="R942" s="91"/>
    </row>
    <row r="943" ht="15.75" customHeight="1">
      <c r="A943" s="90"/>
      <c r="B943" s="90"/>
      <c r="C943" s="144"/>
      <c r="D943" s="145"/>
      <c r="E943" s="90"/>
      <c r="F943" s="90"/>
      <c r="G943" s="90"/>
      <c r="H943" s="90"/>
      <c r="I943" s="90"/>
      <c r="J943" s="90"/>
      <c r="K943" s="90"/>
      <c r="L943" s="90"/>
      <c r="M943" s="146"/>
      <c r="N943" s="147"/>
      <c r="O943" s="147"/>
      <c r="P943" s="148"/>
      <c r="Q943" s="90"/>
      <c r="R943" s="91"/>
    </row>
    <row r="944" ht="15.75" customHeight="1">
      <c r="A944" s="90"/>
      <c r="B944" s="90"/>
      <c r="C944" s="144"/>
      <c r="D944" s="145"/>
      <c r="E944" s="90"/>
      <c r="F944" s="90"/>
      <c r="G944" s="90"/>
      <c r="H944" s="90"/>
      <c r="I944" s="90"/>
      <c r="J944" s="90"/>
      <c r="K944" s="90"/>
      <c r="L944" s="90"/>
      <c r="M944" s="146"/>
      <c r="N944" s="147"/>
      <c r="O944" s="147"/>
      <c r="P944" s="148"/>
      <c r="Q944" s="90"/>
      <c r="R944" s="91"/>
    </row>
    <row r="945" ht="15.75" customHeight="1">
      <c r="A945" s="90"/>
      <c r="B945" s="90"/>
      <c r="C945" s="144"/>
      <c r="D945" s="145"/>
      <c r="E945" s="90"/>
      <c r="F945" s="90"/>
      <c r="G945" s="90"/>
      <c r="H945" s="90"/>
      <c r="I945" s="90"/>
      <c r="J945" s="90"/>
      <c r="K945" s="90"/>
      <c r="L945" s="90"/>
      <c r="M945" s="146"/>
      <c r="N945" s="147"/>
      <c r="O945" s="147"/>
      <c r="P945" s="148"/>
      <c r="Q945" s="90"/>
      <c r="R945" s="91"/>
    </row>
    <row r="946" ht="15.75" customHeight="1">
      <c r="A946" s="90"/>
      <c r="B946" s="90"/>
      <c r="C946" s="144"/>
      <c r="D946" s="145"/>
      <c r="E946" s="90"/>
      <c r="F946" s="90"/>
      <c r="G946" s="90"/>
      <c r="H946" s="90"/>
      <c r="I946" s="90"/>
      <c r="J946" s="90"/>
      <c r="K946" s="90"/>
      <c r="L946" s="90"/>
      <c r="M946" s="146"/>
      <c r="N946" s="147"/>
      <c r="O946" s="147"/>
      <c r="P946" s="148"/>
      <c r="Q946" s="90"/>
      <c r="R946" s="91"/>
    </row>
    <row r="947" ht="15.75" customHeight="1">
      <c r="A947" s="90"/>
      <c r="B947" s="90"/>
      <c r="C947" s="144"/>
      <c r="D947" s="145"/>
      <c r="E947" s="90"/>
      <c r="F947" s="90"/>
      <c r="G947" s="90"/>
      <c r="H947" s="90"/>
      <c r="I947" s="90"/>
      <c r="J947" s="90"/>
      <c r="K947" s="90"/>
      <c r="L947" s="90"/>
      <c r="M947" s="146"/>
      <c r="N947" s="147"/>
      <c r="O947" s="147"/>
      <c r="P947" s="148"/>
      <c r="Q947" s="90"/>
      <c r="R947" s="91"/>
    </row>
    <row r="948" ht="15.75" customHeight="1">
      <c r="A948" s="90"/>
      <c r="B948" s="90"/>
      <c r="C948" s="144"/>
      <c r="D948" s="145"/>
      <c r="E948" s="90"/>
      <c r="F948" s="90"/>
      <c r="G948" s="90"/>
      <c r="H948" s="90"/>
      <c r="I948" s="90"/>
      <c r="J948" s="90"/>
      <c r="K948" s="90"/>
      <c r="L948" s="90"/>
      <c r="M948" s="146"/>
      <c r="N948" s="147"/>
      <c r="O948" s="147"/>
      <c r="P948" s="148"/>
      <c r="Q948" s="90"/>
      <c r="R948" s="91"/>
    </row>
    <row r="949" ht="15.75" customHeight="1">
      <c r="A949" s="90"/>
      <c r="B949" s="90"/>
      <c r="C949" s="144"/>
      <c r="D949" s="145"/>
      <c r="E949" s="90"/>
      <c r="F949" s="90"/>
      <c r="G949" s="90"/>
      <c r="H949" s="90"/>
      <c r="I949" s="90"/>
      <c r="J949" s="90"/>
      <c r="K949" s="90"/>
      <c r="L949" s="90"/>
      <c r="M949" s="146"/>
      <c r="N949" s="147"/>
      <c r="O949" s="147"/>
      <c r="P949" s="148"/>
      <c r="Q949" s="90"/>
      <c r="R949" s="91"/>
    </row>
    <row r="950" ht="15.75" customHeight="1">
      <c r="A950" s="90"/>
      <c r="B950" s="90"/>
      <c r="C950" s="144"/>
      <c r="D950" s="145"/>
      <c r="E950" s="90"/>
      <c r="F950" s="90"/>
      <c r="G950" s="90"/>
      <c r="H950" s="90"/>
      <c r="I950" s="90"/>
      <c r="J950" s="90"/>
      <c r="K950" s="90"/>
      <c r="L950" s="90"/>
      <c r="M950" s="146"/>
      <c r="N950" s="147"/>
      <c r="O950" s="147"/>
      <c r="P950" s="148"/>
      <c r="Q950" s="90"/>
      <c r="R950" s="91"/>
    </row>
    <row r="951" ht="15.75" customHeight="1">
      <c r="A951" s="90"/>
      <c r="B951" s="90"/>
      <c r="C951" s="144"/>
      <c r="D951" s="145"/>
      <c r="E951" s="90"/>
      <c r="F951" s="90"/>
      <c r="G951" s="90"/>
      <c r="H951" s="90"/>
      <c r="I951" s="90"/>
      <c r="J951" s="90"/>
      <c r="K951" s="90"/>
      <c r="L951" s="90"/>
      <c r="M951" s="146"/>
      <c r="N951" s="147"/>
      <c r="O951" s="147"/>
      <c r="P951" s="148"/>
      <c r="Q951" s="90"/>
      <c r="R951" s="91"/>
    </row>
    <row r="952" ht="15.75" customHeight="1">
      <c r="A952" s="90"/>
      <c r="B952" s="90"/>
      <c r="C952" s="144"/>
      <c r="D952" s="145"/>
      <c r="E952" s="90"/>
      <c r="F952" s="90"/>
      <c r="G952" s="90"/>
      <c r="H952" s="90"/>
      <c r="I952" s="90"/>
      <c r="J952" s="90"/>
      <c r="K952" s="90"/>
      <c r="L952" s="90"/>
      <c r="M952" s="146"/>
      <c r="N952" s="147"/>
      <c r="O952" s="147"/>
      <c r="P952" s="148"/>
      <c r="Q952" s="90"/>
      <c r="R952" s="91"/>
    </row>
    <row r="953" ht="15.75" customHeight="1">
      <c r="A953" s="90"/>
      <c r="B953" s="90"/>
      <c r="C953" s="144"/>
      <c r="D953" s="145"/>
      <c r="E953" s="90"/>
      <c r="F953" s="90"/>
      <c r="G953" s="90"/>
      <c r="H953" s="90"/>
      <c r="I953" s="90"/>
      <c r="J953" s="90"/>
      <c r="K953" s="90"/>
      <c r="L953" s="90"/>
      <c r="M953" s="146"/>
      <c r="N953" s="147"/>
      <c r="O953" s="147"/>
      <c r="P953" s="148"/>
      <c r="Q953" s="90"/>
      <c r="R953" s="91"/>
    </row>
    <row r="954" ht="15.75" customHeight="1">
      <c r="A954" s="90"/>
      <c r="B954" s="90"/>
      <c r="C954" s="144"/>
      <c r="D954" s="145"/>
      <c r="E954" s="90"/>
      <c r="F954" s="90"/>
      <c r="G954" s="90"/>
      <c r="H954" s="90"/>
      <c r="I954" s="90"/>
      <c r="J954" s="90"/>
      <c r="K954" s="90"/>
      <c r="L954" s="90"/>
      <c r="M954" s="146"/>
      <c r="N954" s="147"/>
      <c r="O954" s="147"/>
      <c r="P954" s="148"/>
      <c r="Q954" s="90"/>
      <c r="R954" s="91"/>
    </row>
    <row r="955" ht="15.75" customHeight="1">
      <c r="A955" s="90"/>
      <c r="B955" s="90"/>
      <c r="C955" s="144"/>
      <c r="D955" s="145"/>
      <c r="E955" s="90"/>
      <c r="F955" s="90"/>
      <c r="G955" s="90"/>
      <c r="H955" s="90"/>
      <c r="I955" s="90"/>
      <c r="J955" s="90"/>
      <c r="K955" s="90"/>
      <c r="L955" s="90"/>
      <c r="M955" s="146"/>
      <c r="N955" s="147"/>
      <c r="O955" s="147"/>
      <c r="P955" s="148"/>
      <c r="Q955" s="90"/>
      <c r="R955" s="91"/>
    </row>
    <row r="956" ht="15.75" customHeight="1">
      <c r="A956" s="90"/>
      <c r="B956" s="90"/>
      <c r="C956" s="144"/>
      <c r="D956" s="145"/>
      <c r="E956" s="90"/>
      <c r="F956" s="90"/>
      <c r="G956" s="90"/>
      <c r="H956" s="90"/>
      <c r="I956" s="90"/>
      <c r="J956" s="90"/>
      <c r="K956" s="90"/>
      <c r="L956" s="90"/>
      <c r="M956" s="146"/>
      <c r="N956" s="147"/>
      <c r="O956" s="147"/>
      <c r="P956" s="148"/>
      <c r="Q956" s="90"/>
      <c r="R956" s="91"/>
    </row>
    <row r="957" ht="15.75" customHeight="1">
      <c r="A957" s="90"/>
      <c r="B957" s="90"/>
      <c r="C957" s="144"/>
      <c r="D957" s="145"/>
      <c r="E957" s="90"/>
      <c r="F957" s="90"/>
      <c r="G957" s="90"/>
      <c r="H957" s="90"/>
      <c r="I957" s="90"/>
      <c r="J957" s="90"/>
      <c r="K957" s="90"/>
      <c r="L957" s="90"/>
      <c r="M957" s="146"/>
      <c r="N957" s="147"/>
      <c r="O957" s="147"/>
      <c r="P957" s="148"/>
      <c r="Q957" s="90"/>
      <c r="R957" s="91"/>
    </row>
    <row r="958" ht="15.75" customHeight="1">
      <c r="A958" s="90"/>
      <c r="B958" s="90"/>
      <c r="C958" s="144"/>
      <c r="D958" s="145"/>
      <c r="E958" s="90"/>
      <c r="F958" s="90"/>
      <c r="G958" s="90"/>
      <c r="H958" s="90"/>
      <c r="I958" s="90"/>
      <c r="J958" s="90"/>
      <c r="K958" s="90"/>
      <c r="L958" s="90"/>
      <c r="M958" s="146"/>
      <c r="N958" s="147"/>
      <c r="O958" s="147"/>
      <c r="P958" s="148"/>
      <c r="Q958" s="90"/>
      <c r="R958" s="91"/>
    </row>
    <row r="959" ht="15.75" customHeight="1">
      <c r="A959" s="90"/>
      <c r="B959" s="90"/>
      <c r="C959" s="144"/>
      <c r="D959" s="145"/>
      <c r="E959" s="90"/>
      <c r="F959" s="90"/>
      <c r="G959" s="90"/>
      <c r="H959" s="90"/>
      <c r="I959" s="90"/>
      <c r="J959" s="90"/>
      <c r="K959" s="90"/>
      <c r="L959" s="90"/>
      <c r="M959" s="146"/>
      <c r="N959" s="147"/>
      <c r="O959" s="147"/>
      <c r="P959" s="148"/>
      <c r="Q959" s="90"/>
      <c r="R959" s="91"/>
    </row>
    <row r="960" ht="15.75" customHeight="1">
      <c r="A960" s="90"/>
      <c r="B960" s="90"/>
      <c r="C960" s="144"/>
      <c r="D960" s="145"/>
      <c r="E960" s="90"/>
      <c r="F960" s="90"/>
      <c r="G960" s="90"/>
      <c r="H960" s="90"/>
      <c r="I960" s="90"/>
      <c r="J960" s="90"/>
      <c r="K960" s="90"/>
      <c r="L960" s="90"/>
      <c r="M960" s="146"/>
      <c r="N960" s="147"/>
      <c r="O960" s="147"/>
      <c r="P960" s="148"/>
      <c r="Q960" s="90"/>
      <c r="R960" s="91"/>
    </row>
    <row r="961" ht="15.75" customHeight="1">
      <c r="A961" s="90"/>
      <c r="B961" s="90"/>
      <c r="C961" s="144"/>
      <c r="D961" s="145"/>
      <c r="E961" s="90"/>
      <c r="F961" s="90"/>
      <c r="G961" s="90"/>
      <c r="H961" s="90"/>
      <c r="I961" s="90"/>
      <c r="J961" s="90"/>
      <c r="K961" s="90"/>
      <c r="L961" s="90"/>
      <c r="M961" s="146"/>
      <c r="N961" s="147"/>
      <c r="O961" s="147"/>
      <c r="P961" s="148"/>
      <c r="Q961" s="90"/>
      <c r="R961" s="91"/>
    </row>
    <row r="962" ht="15.75" customHeight="1">
      <c r="A962" s="90"/>
      <c r="B962" s="90"/>
      <c r="C962" s="144"/>
      <c r="D962" s="145"/>
      <c r="E962" s="90"/>
      <c r="F962" s="90"/>
      <c r="G962" s="90"/>
      <c r="H962" s="90"/>
      <c r="I962" s="90"/>
      <c r="J962" s="90"/>
      <c r="K962" s="90"/>
      <c r="L962" s="90"/>
      <c r="M962" s="146"/>
      <c r="N962" s="147"/>
      <c r="O962" s="147"/>
      <c r="P962" s="148"/>
      <c r="Q962" s="90"/>
      <c r="R962" s="91"/>
    </row>
    <row r="963" ht="15.75" customHeight="1">
      <c r="A963" s="90"/>
      <c r="B963" s="90"/>
      <c r="C963" s="144"/>
      <c r="D963" s="145"/>
      <c r="E963" s="90"/>
      <c r="F963" s="90"/>
      <c r="G963" s="90"/>
      <c r="H963" s="90"/>
      <c r="I963" s="90"/>
      <c r="J963" s="90"/>
      <c r="K963" s="90"/>
      <c r="L963" s="90"/>
      <c r="M963" s="146"/>
      <c r="N963" s="147"/>
      <c r="O963" s="147"/>
      <c r="P963" s="148"/>
      <c r="Q963" s="90"/>
      <c r="R963" s="91"/>
    </row>
    <row r="964" ht="15.75" customHeight="1">
      <c r="A964" s="90"/>
      <c r="B964" s="90"/>
      <c r="C964" s="144"/>
      <c r="D964" s="145"/>
      <c r="E964" s="90"/>
      <c r="F964" s="90"/>
      <c r="G964" s="90"/>
      <c r="H964" s="90"/>
      <c r="I964" s="90"/>
      <c r="J964" s="90"/>
      <c r="K964" s="90"/>
      <c r="L964" s="90"/>
      <c r="M964" s="146"/>
      <c r="N964" s="147"/>
      <c r="O964" s="147"/>
      <c r="P964" s="148"/>
      <c r="Q964" s="90"/>
      <c r="R964" s="91"/>
    </row>
    <row r="965" ht="15.75" customHeight="1">
      <c r="A965" s="90"/>
      <c r="B965" s="90"/>
      <c r="C965" s="144"/>
      <c r="D965" s="145"/>
      <c r="E965" s="90"/>
      <c r="F965" s="90"/>
      <c r="G965" s="90"/>
      <c r="H965" s="90"/>
      <c r="I965" s="90"/>
      <c r="J965" s="90"/>
      <c r="K965" s="90"/>
      <c r="L965" s="90"/>
      <c r="M965" s="146"/>
      <c r="N965" s="147"/>
      <c r="O965" s="147"/>
      <c r="P965" s="148"/>
      <c r="Q965" s="90"/>
      <c r="R965" s="91"/>
    </row>
    <row r="966" ht="15.75" customHeight="1">
      <c r="A966" s="90"/>
      <c r="B966" s="90"/>
      <c r="C966" s="144"/>
      <c r="D966" s="145"/>
      <c r="E966" s="90"/>
      <c r="F966" s="90"/>
      <c r="G966" s="90"/>
      <c r="H966" s="90"/>
      <c r="I966" s="90"/>
      <c r="J966" s="90"/>
      <c r="K966" s="90"/>
      <c r="L966" s="90"/>
      <c r="M966" s="146"/>
      <c r="N966" s="147"/>
      <c r="O966" s="147"/>
      <c r="P966" s="148"/>
      <c r="Q966" s="90"/>
      <c r="R966" s="91"/>
    </row>
    <row r="967" ht="15.75" customHeight="1">
      <c r="A967" s="90"/>
      <c r="B967" s="90"/>
      <c r="C967" s="144"/>
      <c r="D967" s="145"/>
      <c r="E967" s="90"/>
      <c r="F967" s="90"/>
      <c r="G967" s="90"/>
      <c r="H967" s="90"/>
      <c r="I967" s="90"/>
      <c r="J967" s="90"/>
      <c r="K967" s="90"/>
      <c r="L967" s="90"/>
      <c r="M967" s="146"/>
      <c r="N967" s="147"/>
      <c r="O967" s="147"/>
      <c r="P967" s="148"/>
      <c r="Q967" s="90"/>
      <c r="R967" s="91"/>
    </row>
    <row r="968" ht="15.75" customHeight="1">
      <c r="A968" s="90"/>
      <c r="B968" s="90"/>
      <c r="C968" s="144"/>
      <c r="D968" s="145"/>
      <c r="E968" s="90"/>
      <c r="F968" s="90"/>
      <c r="G968" s="90"/>
      <c r="H968" s="90"/>
      <c r="I968" s="90"/>
      <c r="J968" s="90"/>
      <c r="K968" s="90"/>
      <c r="L968" s="90"/>
      <c r="M968" s="146"/>
      <c r="N968" s="147"/>
      <c r="O968" s="147"/>
      <c r="P968" s="148"/>
      <c r="Q968" s="90"/>
      <c r="R968" s="91"/>
    </row>
    <row r="969" ht="15.75" customHeight="1">
      <c r="A969" s="90"/>
      <c r="B969" s="90"/>
      <c r="C969" s="144"/>
      <c r="D969" s="145"/>
      <c r="E969" s="90"/>
      <c r="F969" s="90"/>
      <c r="G969" s="90"/>
      <c r="H969" s="90"/>
      <c r="I969" s="90"/>
      <c r="J969" s="90"/>
      <c r="K969" s="90"/>
      <c r="L969" s="90"/>
      <c r="M969" s="146"/>
      <c r="N969" s="147"/>
      <c r="O969" s="147"/>
      <c r="P969" s="148"/>
      <c r="Q969" s="90"/>
      <c r="R969" s="91"/>
    </row>
    <row r="970" ht="15.75" customHeight="1">
      <c r="A970" s="90"/>
      <c r="B970" s="90"/>
      <c r="C970" s="144"/>
      <c r="D970" s="145"/>
      <c r="E970" s="90"/>
      <c r="F970" s="90"/>
      <c r="G970" s="90"/>
      <c r="H970" s="90"/>
      <c r="I970" s="90"/>
      <c r="J970" s="90"/>
      <c r="K970" s="90"/>
      <c r="L970" s="90"/>
      <c r="M970" s="146"/>
      <c r="N970" s="147"/>
      <c r="O970" s="147"/>
      <c r="P970" s="148"/>
      <c r="Q970" s="90"/>
      <c r="R970" s="91"/>
    </row>
    <row r="971" ht="15.75" customHeight="1">
      <c r="A971" s="90"/>
      <c r="B971" s="90"/>
      <c r="C971" s="144"/>
      <c r="D971" s="145"/>
      <c r="E971" s="90"/>
      <c r="F971" s="90"/>
      <c r="G971" s="90"/>
      <c r="H971" s="90"/>
      <c r="I971" s="90"/>
      <c r="J971" s="90"/>
      <c r="K971" s="90"/>
      <c r="L971" s="90"/>
      <c r="M971" s="146"/>
      <c r="N971" s="147"/>
      <c r="O971" s="147"/>
      <c r="P971" s="148"/>
      <c r="Q971" s="90"/>
      <c r="R971" s="91"/>
    </row>
    <row r="972" ht="15.75" customHeight="1">
      <c r="A972" s="90"/>
      <c r="B972" s="90"/>
      <c r="C972" s="144"/>
      <c r="D972" s="145"/>
      <c r="E972" s="90"/>
      <c r="F972" s="90"/>
      <c r="G972" s="90"/>
      <c r="H972" s="90"/>
      <c r="I972" s="90"/>
      <c r="J972" s="90"/>
      <c r="K972" s="90"/>
      <c r="L972" s="90"/>
      <c r="M972" s="146"/>
      <c r="N972" s="147"/>
      <c r="O972" s="147"/>
      <c r="P972" s="148"/>
      <c r="Q972" s="90"/>
      <c r="R972" s="91"/>
    </row>
    <row r="973" ht="15.75" customHeight="1">
      <c r="A973" s="90"/>
      <c r="B973" s="90"/>
      <c r="C973" s="144"/>
      <c r="D973" s="145"/>
      <c r="E973" s="90"/>
      <c r="F973" s="90"/>
      <c r="G973" s="90"/>
      <c r="H973" s="90"/>
      <c r="I973" s="90"/>
      <c r="J973" s="90"/>
      <c r="K973" s="90"/>
      <c r="L973" s="90"/>
      <c r="M973" s="146"/>
      <c r="N973" s="147"/>
      <c r="O973" s="147"/>
      <c r="P973" s="148"/>
      <c r="Q973" s="90"/>
      <c r="R973" s="91"/>
    </row>
    <row r="974" ht="15.75" customHeight="1">
      <c r="A974" s="90"/>
      <c r="B974" s="90"/>
      <c r="C974" s="144"/>
      <c r="D974" s="145"/>
      <c r="E974" s="90"/>
      <c r="F974" s="90"/>
      <c r="G974" s="90"/>
      <c r="H974" s="90"/>
      <c r="I974" s="90"/>
      <c r="J974" s="90"/>
      <c r="K974" s="90"/>
      <c r="L974" s="90"/>
      <c r="M974" s="146"/>
      <c r="N974" s="147"/>
      <c r="O974" s="147"/>
      <c r="P974" s="148"/>
      <c r="Q974" s="90"/>
      <c r="R974" s="91"/>
    </row>
    <row r="975" ht="15.75" customHeight="1">
      <c r="A975" s="90"/>
      <c r="B975" s="90"/>
      <c r="C975" s="144"/>
      <c r="D975" s="145"/>
      <c r="E975" s="90"/>
      <c r="F975" s="90"/>
      <c r="G975" s="90"/>
      <c r="H975" s="90"/>
      <c r="I975" s="90"/>
      <c r="J975" s="90"/>
      <c r="K975" s="90"/>
      <c r="L975" s="90"/>
      <c r="M975" s="146"/>
      <c r="N975" s="147"/>
      <c r="O975" s="147"/>
      <c r="P975" s="148"/>
      <c r="Q975" s="90"/>
      <c r="R975" s="91"/>
    </row>
    <row r="976" ht="15.75" customHeight="1">
      <c r="A976" s="90"/>
      <c r="B976" s="90"/>
      <c r="C976" s="144"/>
      <c r="D976" s="145"/>
      <c r="E976" s="90"/>
      <c r="F976" s="90"/>
      <c r="G976" s="90"/>
      <c r="H976" s="90"/>
      <c r="I976" s="90"/>
      <c r="J976" s="90"/>
      <c r="K976" s="90"/>
      <c r="L976" s="90"/>
      <c r="M976" s="146"/>
      <c r="N976" s="147"/>
      <c r="O976" s="147"/>
      <c r="P976" s="148"/>
      <c r="Q976" s="90"/>
      <c r="R976" s="91"/>
    </row>
    <row r="977" ht="15.75" customHeight="1">
      <c r="A977" s="90"/>
      <c r="B977" s="90"/>
      <c r="C977" s="144"/>
      <c r="D977" s="145"/>
      <c r="E977" s="90"/>
      <c r="F977" s="90"/>
      <c r="G977" s="90"/>
      <c r="H977" s="90"/>
      <c r="I977" s="90"/>
      <c r="J977" s="90"/>
      <c r="K977" s="90"/>
      <c r="L977" s="90"/>
      <c r="M977" s="146"/>
      <c r="N977" s="147"/>
      <c r="O977" s="147"/>
      <c r="P977" s="148"/>
      <c r="Q977" s="90"/>
      <c r="R977" s="91"/>
    </row>
    <row r="978" ht="15.75" customHeight="1">
      <c r="A978" s="90"/>
      <c r="B978" s="90"/>
      <c r="C978" s="144"/>
      <c r="D978" s="145"/>
      <c r="E978" s="90"/>
      <c r="F978" s="90"/>
      <c r="G978" s="90"/>
      <c r="H978" s="90"/>
      <c r="I978" s="90"/>
      <c r="J978" s="90"/>
      <c r="K978" s="90"/>
      <c r="L978" s="90"/>
      <c r="M978" s="146"/>
      <c r="N978" s="147"/>
      <c r="O978" s="147"/>
      <c r="P978" s="148"/>
      <c r="Q978" s="90"/>
      <c r="R978" s="91"/>
    </row>
    <row r="979" ht="15.75" customHeight="1">
      <c r="A979" s="90"/>
      <c r="B979" s="90"/>
      <c r="C979" s="144"/>
      <c r="D979" s="145"/>
      <c r="E979" s="90"/>
      <c r="F979" s="90"/>
      <c r="G979" s="90"/>
      <c r="H979" s="90"/>
      <c r="I979" s="90"/>
      <c r="J979" s="90"/>
      <c r="K979" s="90"/>
      <c r="L979" s="90"/>
      <c r="M979" s="146"/>
      <c r="N979" s="147"/>
      <c r="O979" s="147"/>
      <c r="P979" s="148"/>
      <c r="Q979" s="90"/>
      <c r="R979" s="91"/>
    </row>
  </sheetData>
  <conditionalFormatting sqref="A3:A24 B4:B15 A26">
    <cfRule type="expression" dxfId="5" priority="1">
      <formula>#REF!="EQUIPAMENTO"</formula>
    </cfRule>
  </conditionalFormatting>
  <conditionalFormatting sqref="A3:A24 B4:B15 A26">
    <cfRule type="expression" dxfId="5" priority="2">
      <formula>#REF!="VEÍCULO (recém emplacado)"</formula>
    </cfRule>
  </conditionalFormatting>
  <conditionalFormatting sqref="A3:A24 B4:B15 A26">
    <cfRule type="expression" dxfId="5" priority="3">
      <formula>#REF!="VEÍCULO (emplacado + de 45 dias)"</formula>
    </cfRule>
  </conditionalFormatting>
  <conditionalFormatting sqref="C3:C24 C28:C29">
    <cfRule type="expression" dxfId="5" priority="4">
      <formula>#REF!="EQUIPAMENTO"</formula>
    </cfRule>
  </conditionalFormatting>
  <conditionalFormatting sqref="C3:C24 C28:C29">
    <cfRule type="expression" dxfId="5" priority="5">
      <formula>#REF!="VEÍCULO (recém emplacado)"</formula>
    </cfRule>
  </conditionalFormatting>
  <conditionalFormatting sqref="C3:C24 C28:C29">
    <cfRule type="expression" dxfId="6" priority="6">
      <formula>#REF!="VEÍCULO (emplacado + de 45 dias)"</formula>
    </cfRule>
  </conditionalFormatting>
  <dataValidations>
    <dataValidation type="custom" allowBlank="1" showDropDown="1" sqref="O3:P29">
      <formula1>OR(NOT(ISERROR(DATEVALUE(O3))), AND(ISNUMBER(O3), LEFT(CELL("format", O3))="D"))</formula1>
    </dataValidation>
    <dataValidation type="list" allowBlank="1" sqref="G3:G29">
      <formula1>#REF!</formula1>
    </dataValidation>
    <dataValidation allowBlank="1" showDropDown="1" sqref="C3:C29"/>
  </dataValidations>
  <printOptions/>
  <pageMargins bottom="0.0" footer="0.0" header="0.0" left="0.0" right="0.0" top="0.8325051601559516"/>
  <pageSetup paperSize="9"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54.86"/>
    <col customWidth="1" min="7" max="7" width="20.0"/>
    <col customWidth="1" min="9" max="9" width="12.14"/>
    <col customWidth="1" min="10" max="10" width="19.57"/>
    <col customWidth="1" min="11" max="11" width="10.43"/>
  </cols>
  <sheetData>
    <row r="1">
      <c r="A1" s="155" t="s">
        <v>223</v>
      </c>
      <c r="B1" s="156">
        <f>TODAY()</f>
        <v>46184</v>
      </c>
    </row>
    <row r="2">
      <c r="A2" s="155" t="s">
        <v>224</v>
      </c>
      <c r="B2" s="36">
        <f>WEEKNUM(B1,21)</f>
        <v>24</v>
      </c>
    </row>
    <row r="5">
      <c r="I5" s="26" t="s">
        <v>226</v>
      </c>
    </row>
    <row r="6">
      <c r="G6" s="26" t="s">
        <v>227</v>
      </c>
      <c r="I6" s="26" t="s">
        <v>133</v>
      </c>
    </row>
    <row r="7">
      <c r="I7" s="26" t="s">
        <v>228</v>
      </c>
    </row>
    <row r="8">
      <c r="G8" s="26" t="s">
        <v>229</v>
      </c>
    </row>
    <row r="11">
      <c r="G11" s="26" t="s">
        <v>230</v>
      </c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3.29"/>
    <col customWidth="1" min="3" max="3" width="12.86"/>
    <col customWidth="1" min="4" max="4" width="25.29"/>
    <col customWidth="1" min="5" max="5" width="41.71"/>
    <col customWidth="1" min="6" max="6" width="12.71"/>
    <col customWidth="1" min="7" max="7" width="124.14"/>
    <col customWidth="1" min="8" max="8" width="73.57"/>
    <col customWidth="1" min="9" max="9" width="20.14"/>
    <col customWidth="1" min="10" max="10" width="23.86"/>
    <col customWidth="1" min="11" max="11" width="23.57"/>
  </cols>
  <sheetData>
    <row r="1" ht="22.5" customHeight="1">
      <c r="A1" s="157" t="s">
        <v>231</v>
      </c>
      <c r="B1" s="157" t="s">
        <v>4</v>
      </c>
      <c r="C1" s="157" t="s">
        <v>6</v>
      </c>
      <c r="D1" s="157" t="s">
        <v>232</v>
      </c>
      <c r="E1" s="158" t="s">
        <v>139</v>
      </c>
      <c r="F1" s="158" t="s">
        <v>3</v>
      </c>
      <c r="G1" s="159" t="s">
        <v>233</v>
      </c>
      <c r="H1" s="159" t="s">
        <v>234</v>
      </c>
      <c r="I1" s="159" t="s">
        <v>235</v>
      </c>
      <c r="J1" s="159" t="s">
        <v>236</v>
      </c>
      <c r="K1" s="159" t="s">
        <v>237</v>
      </c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</row>
    <row r="2" ht="22.5" customHeight="1">
      <c r="A2" s="161">
        <v>45856.0</v>
      </c>
      <c r="B2" s="162"/>
      <c r="C2" s="163" t="s">
        <v>238</v>
      </c>
      <c r="D2" s="164" t="s">
        <v>239</v>
      </c>
      <c r="E2" s="165"/>
      <c r="F2" s="166">
        <v>281.74</v>
      </c>
      <c r="G2" s="167" t="s">
        <v>240</v>
      </c>
      <c r="H2" s="167" t="s">
        <v>241</v>
      </c>
      <c r="I2" s="167" t="s">
        <v>242</v>
      </c>
      <c r="J2" s="167" t="s">
        <v>243</v>
      </c>
      <c r="K2" s="167" t="s">
        <v>244</v>
      </c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ht="22.5" customHeight="1">
      <c r="A3" s="161">
        <v>45868.0</v>
      </c>
      <c r="B3" s="162"/>
      <c r="C3" s="163" t="s">
        <v>162</v>
      </c>
      <c r="D3" s="164" t="s">
        <v>245</v>
      </c>
      <c r="E3" s="165"/>
      <c r="F3" s="166" t="s">
        <v>246</v>
      </c>
      <c r="G3" s="167" t="s">
        <v>247</v>
      </c>
      <c r="H3" s="167" t="s">
        <v>248</v>
      </c>
      <c r="I3" s="167" t="s">
        <v>243</v>
      </c>
      <c r="J3" s="167" t="s">
        <v>243</v>
      </c>
      <c r="K3" s="167" t="s">
        <v>244</v>
      </c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</row>
    <row r="4" ht="22.5" customHeight="1">
      <c r="A4" s="161">
        <v>45874.0</v>
      </c>
      <c r="B4" s="162"/>
      <c r="C4" s="163" t="s">
        <v>238</v>
      </c>
      <c r="D4" s="164" t="s">
        <v>249</v>
      </c>
      <c r="E4" s="165"/>
      <c r="F4" s="166">
        <v>187.42</v>
      </c>
      <c r="G4" s="167" t="s">
        <v>250</v>
      </c>
      <c r="H4" s="167" t="s">
        <v>241</v>
      </c>
      <c r="I4" s="167" t="s">
        <v>242</v>
      </c>
      <c r="J4" s="167" t="s">
        <v>243</v>
      </c>
      <c r="K4" s="167" t="s">
        <v>244</v>
      </c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</row>
    <row r="5" ht="22.5" customHeight="1">
      <c r="A5" s="161">
        <v>45876.0</v>
      </c>
      <c r="B5" s="162"/>
      <c r="C5" s="163" t="s">
        <v>238</v>
      </c>
      <c r="D5" s="164" t="s">
        <v>251</v>
      </c>
      <c r="E5" s="165"/>
      <c r="F5" s="166">
        <v>124.96</v>
      </c>
      <c r="G5" s="167" t="s">
        <v>252</v>
      </c>
      <c r="H5" s="167" t="s">
        <v>241</v>
      </c>
      <c r="I5" s="167" t="s">
        <v>242</v>
      </c>
      <c r="J5" s="167" t="s">
        <v>243</v>
      </c>
      <c r="K5" s="167" t="s">
        <v>244</v>
      </c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</row>
    <row r="6" ht="22.5" customHeight="1">
      <c r="A6" s="161">
        <v>45877.0</v>
      </c>
      <c r="B6" s="162"/>
      <c r="C6" s="163" t="s">
        <v>253</v>
      </c>
      <c r="D6" s="164" t="s">
        <v>254</v>
      </c>
      <c r="E6" s="165"/>
      <c r="F6" s="166">
        <v>124.96</v>
      </c>
      <c r="G6" s="167" t="s">
        <v>255</v>
      </c>
      <c r="H6" s="167" t="s">
        <v>256</v>
      </c>
      <c r="I6" s="167" t="s">
        <v>242</v>
      </c>
      <c r="J6" s="167" t="s">
        <v>243</v>
      </c>
      <c r="K6" s="167" t="s">
        <v>257</v>
      </c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</row>
    <row r="7" ht="22.5" customHeight="1">
      <c r="A7" s="161">
        <v>45880.0</v>
      </c>
      <c r="B7" s="162"/>
      <c r="C7" s="163" t="s">
        <v>258</v>
      </c>
      <c r="D7" s="164" t="s">
        <v>259</v>
      </c>
      <c r="E7" s="165"/>
      <c r="F7" s="166">
        <v>187.42</v>
      </c>
      <c r="G7" s="167" t="s">
        <v>260</v>
      </c>
      <c r="H7" s="167" t="s">
        <v>261</v>
      </c>
      <c r="I7" s="167" t="s">
        <v>242</v>
      </c>
      <c r="J7" s="167" t="s">
        <v>243</v>
      </c>
      <c r="K7" s="167" t="s">
        <v>257</v>
      </c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</row>
    <row r="8" ht="22.5" customHeight="1">
      <c r="A8" s="161">
        <v>45887.0</v>
      </c>
      <c r="B8" s="162"/>
      <c r="C8" s="163" t="s">
        <v>258</v>
      </c>
      <c r="D8" s="164" t="s">
        <v>262</v>
      </c>
      <c r="E8" s="165"/>
      <c r="F8" s="166">
        <v>124.96</v>
      </c>
      <c r="G8" s="167" t="s">
        <v>263</v>
      </c>
      <c r="H8" s="167" t="s">
        <v>264</v>
      </c>
      <c r="I8" s="167" t="s">
        <v>242</v>
      </c>
      <c r="J8" s="167" t="s">
        <v>265</v>
      </c>
      <c r="K8" s="167" t="s">
        <v>257</v>
      </c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</row>
    <row r="9" ht="22.5" customHeight="1">
      <c r="A9" s="161">
        <v>45891.0</v>
      </c>
      <c r="B9" s="162"/>
      <c r="C9" s="163" t="s">
        <v>159</v>
      </c>
      <c r="D9" s="164" t="s">
        <v>266</v>
      </c>
      <c r="E9" s="165"/>
      <c r="F9" s="166">
        <v>156.18</v>
      </c>
      <c r="G9" s="167" t="s">
        <v>267</v>
      </c>
      <c r="H9" s="167" t="s">
        <v>268</v>
      </c>
      <c r="I9" s="167" t="s">
        <v>242</v>
      </c>
      <c r="J9" s="167" t="s">
        <v>243</v>
      </c>
      <c r="K9" s="167" t="s">
        <v>257</v>
      </c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</row>
    <row r="10" ht="22.5" customHeight="1">
      <c r="A10" s="161">
        <v>45896.0</v>
      </c>
      <c r="B10" s="162"/>
      <c r="C10" s="163" t="s">
        <v>258</v>
      </c>
      <c r="D10" s="164" t="s">
        <v>269</v>
      </c>
      <c r="E10" s="165"/>
      <c r="F10" s="166">
        <v>281.74</v>
      </c>
      <c r="G10" s="167" t="s">
        <v>270</v>
      </c>
      <c r="H10" s="167" t="s">
        <v>271</v>
      </c>
      <c r="I10" s="167" t="s">
        <v>242</v>
      </c>
      <c r="J10" s="167" t="s">
        <v>265</v>
      </c>
      <c r="K10" s="167" t="s">
        <v>257</v>
      </c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</row>
    <row r="11" ht="22.5" customHeight="1">
      <c r="A11" s="161">
        <v>45901.0</v>
      </c>
      <c r="B11" s="162"/>
      <c r="C11" s="163" t="s">
        <v>272</v>
      </c>
      <c r="D11" s="164" t="s">
        <v>273</v>
      </c>
      <c r="E11" s="165"/>
      <c r="F11" s="166">
        <v>187.42</v>
      </c>
      <c r="G11" s="167" t="s">
        <v>274</v>
      </c>
      <c r="H11" s="167" t="s">
        <v>275</v>
      </c>
      <c r="I11" s="167" t="s">
        <v>242</v>
      </c>
      <c r="J11" s="167" t="s">
        <v>265</v>
      </c>
      <c r="K11" s="167" t="s">
        <v>257</v>
      </c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</row>
    <row r="12" ht="22.5" customHeight="1">
      <c r="A12" s="161">
        <v>45908.0</v>
      </c>
      <c r="B12" s="162"/>
      <c r="C12" s="163" t="s">
        <v>159</v>
      </c>
      <c r="D12" s="164" t="s">
        <v>276</v>
      </c>
      <c r="E12" s="165"/>
      <c r="F12" s="166">
        <v>156.18</v>
      </c>
      <c r="G12" s="167" t="s">
        <v>260</v>
      </c>
      <c r="H12" s="167" t="s">
        <v>261</v>
      </c>
      <c r="I12" s="167" t="s">
        <v>242</v>
      </c>
      <c r="J12" s="167" t="s">
        <v>243</v>
      </c>
      <c r="K12" s="167" t="s">
        <v>257</v>
      </c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</row>
    <row r="13" ht="22.5" customHeight="1">
      <c r="A13" s="161">
        <v>45917.0</v>
      </c>
      <c r="B13" s="162"/>
      <c r="C13" s="163" t="s">
        <v>164</v>
      </c>
      <c r="D13" s="164" t="s">
        <v>277</v>
      </c>
      <c r="E13" s="165"/>
      <c r="F13" s="166">
        <v>130.16</v>
      </c>
      <c r="G13" s="167" t="s">
        <v>278</v>
      </c>
      <c r="H13" s="167" t="s">
        <v>279</v>
      </c>
      <c r="I13" s="167" t="s">
        <v>242</v>
      </c>
      <c r="J13" s="167" t="s">
        <v>243</v>
      </c>
      <c r="K13" s="167" t="s">
        <v>257</v>
      </c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</row>
    <row r="14" ht="22.5" customHeight="1">
      <c r="A14" s="161">
        <v>45917.0</v>
      </c>
      <c r="B14" s="162"/>
      <c r="C14" s="163" t="s">
        <v>164</v>
      </c>
      <c r="D14" s="164" t="s">
        <v>280</v>
      </c>
      <c r="E14" s="165"/>
      <c r="F14" s="166" t="s">
        <v>281</v>
      </c>
      <c r="G14" s="167" t="s">
        <v>282</v>
      </c>
      <c r="H14" s="167"/>
      <c r="I14" s="167"/>
      <c r="J14" s="168"/>
      <c r="K14" s="167" t="s">
        <v>257</v>
      </c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</row>
    <row r="15" ht="22.5" customHeight="1">
      <c r="A15" s="161">
        <v>45922.0</v>
      </c>
      <c r="B15" s="162"/>
      <c r="C15" s="163" t="s">
        <v>283</v>
      </c>
      <c r="D15" s="164" t="s">
        <v>284</v>
      </c>
      <c r="E15" s="165"/>
      <c r="F15" s="166">
        <v>124.96</v>
      </c>
      <c r="G15" s="167" t="s">
        <v>285</v>
      </c>
      <c r="H15" s="167" t="s">
        <v>286</v>
      </c>
      <c r="I15" s="168"/>
      <c r="J15" s="168"/>
      <c r="K15" s="167" t="s">
        <v>257</v>
      </c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</row>
    <row r="16" ht="22.5" customHeight="1">
      <c r="A16" s="161">
        <v>45925.0</v>
      </c>
      <c r="B16" s="162"/>
      <c r="C16" s="163" t="s">
        <v>159</v>
      </c>
      <c r="D16" s="164" t="s">
        <v>287</v>
      </c>
      <c r="E16" s="165"/>
      <c r="F16" s="169"/>
      <c r="G16" s="167" t="s">
        <v>260</v>
      </c>
      <c r="H16" s="167" t="s">
        <v>288</v>
      </c>
      <c r="I16" s="168"/>
      <c r="J16" s="168"/>
      <c r="K16" s="167" t="s">
        <v>257</v>
      </c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</row>
    <row r="17" ht="22.5" customHeight="1">
      <c r="A17" s="161">
        <v>45925.0</v>
      </c>
      <c r="B17" s="162"/>
      <c r="C17" s="163" t="s">
        <v>159</v>
      </c>
      <c r="D17" s="164" t="s">
        <v>287</v>
      </c>
      <c r="E17" s="165"/>
      <c r="F17" s="166">
        <v>156.18</v>
      </c>
      <c r="G17" s="167" t="s">
        <v>289</v>
      </c>
      <c r="H17" s="167" t="s">
        <v>290</v>
      </c>
      <c r="I17" s="167" t="s">
        <v>242</v>
      </c>
      <c r="J17" s="167"/>
      <c r="K17" s="167" t="s">
        <v>257</v>
      </c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</row>
    <row r="18" ht="22.5" customHeight="1">
      <c r="A18" s="161">
        <v>45925.0</v>
      </c>
      <c r="B18" s="162"/>
      <c r="C18" s="163" t="s">
        <v>258</v>
      </c>
      <c r="D18" s="164" t="s">
        <v>291</v>
      </c>
      <c r="E18" s="165"/>
      <c r="F18" s="166">
        <v>187.42</v>
      </c>
      <c r="G18" s="167" t="s">
        <v>260</v>
      </c>
      <c r="H18" s="167" t="s">
        <v>261</v>
      </c>
      <c r="I18" s="167" t="s">
        <v>242</v>
      </c>
      <c r="J18" s="167" t="s">
        <v>243</v>
      </c>
      <c r="K18" s="167" t="s">
        <v>257</v>
      </c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</row>
    <row r="19" ht="22.5" customHeight="1">
      <c r="A19" s="161">
        <v>45937.0</v>
      </c>
      <c r="B19" s="162"/>
      <c r="C19" s="163" t="s">
        <v>159</v>
      </c>
      <c r="D19" s="164" t="s">
        <v>292</v>
      </c>
      <c r="E19" s="165"/>
      <c r="F19" s="166">
        <v>234.77</v>
      </c>
      <c r="G19" s="167" t="s">
        <v>240</v>
      </c>
      <c r="H19" s="167" t="s">
        <v>293</v>
      </c>
      <c r="I19" s="168"/>
      <c r="J19" s="168"/>
      <c r="K19" s="167" t="s">
        <v>257</v>
      </c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</row>
    <row r="20" ht="22.5" customHeight="1">
      <c r="A20" s="161">
        <v>45937.0</v>
      </c>
      <c r="B20" s="162"/>
      <c r="C20" s="163" t="s">
        <v>159</v>
      </c>
      <c r="D20" s="164" t="s">
        <v>292</v>
      </c>
      <c r="E20" s="165"/>
      <c r="F20" s="169"/>
      <c r="G20" s="167" t="s">
        <v>289</v>
      </c>
      <c r="H20" s="167" t="s">
        <v>294</v>
      </c>
      <c r="I20" s="167" t="s">
        <v>242</v>
      </c>
      <c r="J20" s="168"/>
      <c r="K20" s="167" t="s">
        <v>257</v>
      </c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</row>
    <row r="21" ht="22.5" customHeight="1">
      <c r="A21" s="161">
        <v>45949.0</v>
      </c>
      <c r="B21" s="162"/>
      <c r="C21" s="163" t="s">
        <v>162</v>
      </c>
      <c r="D21" s="164" t="s">
        <v>295</v>
      </c>
      <c r="E21" s="165"/>
      <c r="F21" s="166">
        <v>156.19199999999998</v>
      </c>
      <c r="G21" s="167" t="s">
        <v>296</v>
      </c>
      <c r="H21" s="167" t="s">
        <v>297</v>
      </c>
      <c r="I21" s="167" t="s">
        <v>242</v>
      </c>
      <c r="J21" s="168"/>
      <c r="K21" s="167" t="s">
        <v>257</v>
      </c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</row>
    <row r="22" ht="22.5" customHeight="1">
      <c r="A22" s="161">
        <v>45950.0</v>
      </c>
      <c r="B22" s="162"/>
      <c r="C22" s="163" t="s">
        <v>159</v>
      </c>
      <c r="D22" s="164" t="s">
        <v>298</v>
      </c>
      <c r="E22" s="165"/>
      <c r="F22" s="166">
        <v>156.18</v>
      </c>
      <c r="G22" s="167" t="s">
        <v>289</v>
      </c>
      <c r="H22" s="167" t="s">
        <v>299</v>
      </c>
      <c r="I22" s="167" t="s">
        <v>242</v>
      </c>
      <c r="J22" s="167"/>
      <c r="K22" s="167" t="s">
        <v>257</v>
      </c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</row>
    <row r="23" ht="22.5" customHeight="1">
      <c r="A23" s="161">
        <v>45952.0</v>
      </c>
      <c r="B23" s="162"/>
      <c r="C23" s="163" t="s">
        <v>159</v>
      </c>
      <c r="D23" s="164" t="s">
        <v>300</v>
      </c>
      <c r="E23" s="165"/>
      <c r="F23" s="166">
        <v>293.47</v>
      </c>
      <c r="G23" s="167" t="s">
        <v>289</v>
      </c>
      <c r="H23" s="167"/>
      <c r="I23" s="167"/>
      <c r="J23" s="167"/>
      <c r="K23" s="167" t="s">
        <v>257</v>
      </c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</row>
    <row r="24" ht="22.5" customHeight="1">
      <c r="A24" s="161">
        <v>45959.0</v>
      </c>
      <c r="B24" s="162"/>
      <c r="C24" s="163" t="s">
        <v>183</v>
      </c>
      <c r="D24" s="164" t="s">
        <v>301</v>
      </c>
      <c r="E24" s="165"/>
      <c r="F24" s="166">
        <v>156.18</v>
      </c>
      <c r="G24" s="167" t="s">
        <v>289</v>
      </c>
      <c r="H24" s="168"/>
      <c r="I24" s="167" t="s">
        <v>243</v>
      </c>
      <c r="J24" s="168"/>
      <c r="K24" s="167" t="s">
        <v>257</v>
      </c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</row>
    <row r="25" ht="22.5" customHeight="1">
      <c r="A25" s="161">
        <v>45961.0</v>
      </c>
      <c r="B25" s="162"/>
      <c r="C25" s="163" t="s">
        <v>164</v>
      </c>
      <c r="D25" s="164" t="s">
        <v>302</v>
      </c>
      <c r="E25" s="165"/>
      <c r="F25" s="166">
        <v>156.19199999999998</v>
      </c>
      <c r="G25" s="167" t="s">
        <v>296</v>
      </c>
      <c r="H25" s="167" t="s">
        <v>303</v>
      </c>
      <c r="I25" s="167" t="s">
        <v>242</v>
      </c>
      <c r="J25" s="168"/>
      <c r="K25" s="167" t="s">
        <v>257</v>
      </c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</row>
    <row r="26" ht="22.5" customHeight="1">
      <c r="A26" s="170">
        <v>45961.0</v>
      </c>
      <c r="B26" s="162"/>
      <c r="C26" s="163" t="s">
        <v>304</v>
      </c>
      <c r="D26" s="164" t="s">
        <v>305</v>
      </c>
      <c r="E26" s="165"/>
      <c r="F26" s="166">
        <v>1056.49</v>
      </c>
      <c r="G26" s="167" t="s">
        <v>306</v>
      </c>
      <c r="H26" s="167" t="s">
        <v>307</v>
      </c>
      <c r="I26" s="167" t="s">
        <v>242</v>
      </c>
      <c r="J26" s="167"/>
      <c r="K26" s="167" t="s">
        <v>257</v>
      </c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</row>
    <row r="27" ht="22.5" customHeight="1">
      <c r="A27" s="161">
        <v>45973.0</v>
      </c>
      <c r="B27" s="162"/>
      <c r="C27" s="163" t="s">
        <v>189</v>
      </c>
      <c r="D27" s="164" t="s">
        <v>308</v>
      </c>
      <c r="E27" s="165"/>
      <c r="F27" s="166">
        <v>156.19199999999998</v>
      </c>
      <c r="G27" s="167" t="s">
        <v>285</v>
      </c>
      <c r="H27" s="167" t="s">
        <v>309</v>
      </c>
      <c r="I27" s="167" t="s">
        <v>242</v>
      </c>
      <c r="J27" s="168"/>
      <c r="K27" s="167" t="s">
        <v>257</v>
      </c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</row>
    <row r="28" ht="22.5" customHeight="1">
      <c r="A28" s="161">
        <v>45975.0</v>
      </c>
      <c r="B28" s="162"/>
      <c r="C28" s="163" t="s">
        <v>258</v>
      </c>
      <c r="D28" s="164" t="s">
        <v>310</v>
      </c>
      <c r="E28" s="165"/>
      <c r="F28" s="166">
        <v>586.94</v>
      </c>
      <c r="G28" s="167" t="s">
        <v>282</v>
      </c>
      <c r="H28" s="167" t="s">
        <v>311</v>
      </c>
      <c r="I28" s="167" t="s">
        <v>242</v>
      </c>
      <c r="J28" s="168" t="s">
        <v>243</v>
      </c>
      <c r="K28" s="167" t="s">
        <v>257</v>
      </c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</row>
    <row r="29" ht="22.5" customHeight="1">
      <c r="A29" s="161">
        <v>45976.0</v>
      </c>
      <c r="B29" s="162"/>
      <c r="C29" s="163" t="s">
        <v>164</v>
      </c>
      <c r="D29" s="164" t="s">
        <v>312</v>
      </c>
      <c r="E29" s="165"/>
      <c r="F29" s="166" t="s">
        <v>313</v>
      </c>
      <c r="G29" s="167" t="s">
        <v>240</v>
      </c>
      <c r="H29" s="167" t="s">
        <v>314</v>
      </c>
      <c r="I29" s="167" t="s">
        <v>242</v>
      </c>
      <c r="J29" s="167" t="s">
        <v>243</v>
      </c>
      <c r="K29" s="167" t="s">
        <v>257</v>
      </c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</row>
    <row r="30" ht="22.5" customHeight="1">
      <c r="A30" s="161">
        <v>45981.0</v>
      </c>
      <c r="B30" s="162"/>
      <c r="C30" s="163" t="s">
        <v>164</v>
      </c>
      <c r="D30" s="164" t="s">
        <v>315</v>
      </c>
      <c r="E30" s="165"/>
      <c r="F30" s="166">
        <v>156.19199999999998</v>
      </c>
      <c r="G30" s="167" t="s">
        <v>285</v>
      </c>
      <c r="H30" s="167" t="s">
        <v>316</v>
      </c>
      <c r="I30" s="167" t="s">
        <v>242</v>
      </c>
      <c r="J30" s="168"/>
      <c r="K30" s="167" t="s">
        <v>257</v>
      </c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</row>
    <row r="31" ht="22.5" customHeight="1">
      <c r="A31" s="161">
        <v>45983.0</v>
      </c>
      <c r="B31" s="162"/>
      <c r="C31" s="163" t="s">
        <v>162</v>
      </c>
      <c r="D31" s="164" t="s">
        <v>317</v>
      </c>
      <c r="E31" s="165"/>
      <c r="F31" s="166">
        <v>156.19199999999998</v>
      </c>
      <c r="G31" s="167" t="s">
        <v>285</v>
      </c>
      <c r="H31" s="167" t="s">
        <v>318</v>
      </c>
      <c r="I31" s="167" t="s">
        <v>242</v>
      </c>
      <c r="J31" s="168"/>
      <c r="K31" s="167" t="s">
        <v>257</v>
      </c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</row>
    <row r="32" ht="22.5" customHeight="1">
      <c r="A32" s="161">
        <v>45984.0</v>
      </c>
      <c r="B32" s="162"/>
      <c r="C32" s="163" t="s">
        <v>117</v>
      </c>
      <c r="D32" s="164" t="s">
        <v>319</v>
      </c>
      <c r="E32" s="165"/>
      <c r="F32" s="166">
        <v>156.19199999999998</v>
      </c>
      <c r="G32" s="167" t="s">
        <v>296</v>
      </c>
      <c r="H32" s="167" t="s">
        <v>320</v>
      </c>
      <c r="I32" s="167" t="s">
        <v>242</v>
      </c>
      <c r="J32" s="168"/>
      <c r="K32" s="167" t="s">
        <v>257</v>
      </c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</row>
    <row r="33" ht="22.5" customHeight="1">
      <c r="A33" s="161">
        <v>45984.0</v>
      </c>
      <c r="B33" s="162"/>
      <c r="C33" s="163" t="s">
        <v>187</v>
      </c>
      <c r="D33" s="164" t="s">
        <v>321</v>
      </c>
      <c r="E33" s="165"/>
      <c r="F33" s="166">
        <v>156.19199999999998</v>
      </c>
      <c r="G33" s="167" t="s">
        <v>296</v>
      </c>
      <c r="H33" s="167" t="s">
        <v>322</v>
      </c>
      <c r="I33" s="167" t="s">
        <v>242</v>
      </c>
      <c r="J33" s="168"/>
      <c r="K33" s="167" t="s">
        <v>257</v>
      </c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</row>
    <row r="34" ht="22.5" customHeight="1">
      <c r="A34" s="161">
        <v>45985.0</v>
      </c>
      <c r="B34" s="162"/>
      <c r="C34" s="163" t="s">
        <v>178</v>
      </c>
      <c r="D34" s="164" t="s">
        <v>323</v>
      </c>
      <c r="E34" s="165"/>
      <c r="F34" s="166">
        <v>156.19199999999998</v>
      </c>
      <c r="G34" s="167" t="s">
        <v>285</v>
      </c>
      <c r="H34" s="167" t="s">
        <v>324</v>
      </c>
      <c r="I34" s="167" t="s">
        <v>243</v>
      </c>
      <c r="J34" s="168"/>
      <c r="K34" s="168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</row>
    <row r="35" ht="22.5" customHeight="1">
      <c r="A35" s="161">
        <v>45988.0</v>
      </c>
      <c r="B35" s="162"/>
      <c r="C35" s="163" t="s">
        <v>195</v>
      </c>
      <c r="D35" s="164" t="s">
        <v>325</v>
      </c>
      <c r="E35" s="165"/>
      <c r="F35" s="166">
        <v>156.19199999999998</v>
      </c>
      <c r="G35" s="167" t="s">
        <v>285</v>
      </c>
      <c r="H35" s="167" t="s">
        <v>326</v>
      </c>
      <c r="I35" s="167" t="s">
        <v>242</v>
      </c>
      <c r="J35" s="168"/>
      <c r="K35" s="167" t="s">
        <v>257</v>
      </c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</row>
    <row r="36" ht="22.5" customHeight="1">
      <c r="A36" s="161">
        <v>45993.0</v>
      </c>
      <c r="B36" s="162"/>
      <c r="C36" s="163" t="s">
        <v>187</v>
      </c>
      <c r="D36" s="164" t="s">
        <v>327</v>
      </c>
      <c r="E36" s="165"/>
      <c r="F36" s="169">
        <v>352.16400000000004</v>
      </c>
      <c r="G36" s="167" t="s">
        <v>328</v>
      </c>
      <c r="H36" s="167" t="s">
        <v>329</v>
      </c>
      <c r="I36" s="167" t="s">
        <v>242</v>
      </c>
      <c r="J36" s="168"/>
      <c r="K36" s="167" t="s">
        <v>257</v>
      </c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</row>
    <row r="37" ht="22.5" customHeight="1">
      <c r="A37" s="161">
        <v>45999.0</v>
      </c>
      <c r="B37" s="162"/>
      <c r="C37" s="163" t="s">
        <v>164</v>
      </c>
      <c r="D37" s="164" t="s">
        <v>330</v>
      </c>
      <c r="E37" s="165"/>
      <c r="F37" s="166">
        <v>293.47</v>
      </c>
      <c r="G37" s="167" t="s">
        <v>247</v>
      </c>
      <c r="H37" s="167" t="s">
        <v>331</v>
      </c>
      <c r="I37" s="167" t="s">
        <v>242</v>
      </c>
      <c r="J37" s="167" t="s">
        <v>243</v>
      </c>
      <c r="K37" s="167" t="s">
        <v>257</v>
      </c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</row>
    <row r="38" ht="22.5" customHeight="1">
      <c r="A38" s="161">
        <v>45999.0</v>
      </c>
      <c r="B38" s="162"/>
      <c r="C38" s="163" t="s">
        <v>195</v>
      </c>
      <c r="D38" s="164" t="s">
        <v>332</v>
      </c>
      <c r="E38" s="165"/>
      <c r="F38" s="166">
        <v>156.19199999999998</v>
      </c>
      <c r="G38" s="167" t="s">
        <v>296</v>
      </c>
      <c r="H38" s="167" t="s">
        <v>333</v>
      </c>
      <c r="I38" s="167" t="s">
        <v>242</v>
      </c>
      <c r="J38" s="168"/>
      <c r="K38" s="167" t="s">
        <v>257</v>
      </c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</row>
    <row r="39" ht="22.5" customHeight="1">
      <c r="A39" s="161">
        <v>46002.0</v>
      </c>
      <c r="B39" s="162"/>
      <c r="C39" s="163" t="s">
        <v>162</v>
      </c>
      <c r="D39" s="164" t="s">
        <v>334</v>
      </c>
      <c r="E39" s="165"/>
      <c r="F39" s="166" t="s">
        <v>335</v>
      </c>
      <c r="G39" s="167" t="s">
        <v>336</v>
      </c>
      <c r="H39" s="167" t="s">
        <v>337</v>
      </c>
      <c r="I39" s="167" t="s">
        <v>242</v>
      </c>
      <c r="J39" s="168"/>
      <c r="K39" s="168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</row>
    <row r="40" ht="22.5" customHeight="1">
      <c r="A40" s="161">
        <v>46002.0</v>
      </c>
      <c r="B40" s="162"/>
      <c r="C40" s="163" t="s">
        <v>195</v>
      </c>
      <c r="D40" s="164" t="s">
        <v>338</v>
      </c>
      <c r="E40" s="165"/>
      <c r="F40" s="166">
        <v>156.19199999999998</v>
      </c>
      <c r="G40" s="167" t="s">
        <v>285</v>
      </c>
      <c r="H40" s="167" t="s">
        <v>339</v>
      </c>
      <c r="I40" s="167" t="s">
        <v>242</v>
      </c>
      <c r="J40" s="168"/>
      <c r="K40" s="167" t="s">
        <v>257</v>
      </c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</row>
    <row r="41" ht="22.5" customHeight="1">
      <c r="A41" s="161">
        <v>46006.0</v>
      </c>
      <c r="B41" s="162"/>
      <c r="C41" s="163" t="s">
        <v>162</v>
      </c>
      <c r="D41" s="164" t="s">
        <v>340</v>
      </c>
      <c r="E41" s="165"/>
      <c r="F41" s="166">
        <v>195.23</v>
      </c>
      <c r="G41" s="167" t="s">
        <v>336</v>
      </c>
      <c r="H41" s="167" t="s">
        <v>341</v>
      </c>
      <c r="I41" s="167" t="s">
        <v>242</v>
      </c>
      <c r="J41" s="167" t="s">
        <v>243</v>
      </c>
      <c r="K41" s="167" t="s">
        <v>257</v>
      </c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</row>
    <row r="42" ht="22.5" customHeight="1">
      <c r="A42" s="161">
        <v>46007.0</v>
      </c>
      <c r="B42" s="162"/>
      <c r="C42" s="163" t="s">
        <v>159</v>
      </c>
      <c r="D42" s="164" t="s">
        <v>342</v>
      </c>
      <c r="E42" s="165"/>
      <c r="F42" s="166" t="s">
        <v>343</v>
      </c>
      <c r="G42" s="167" t="s">
        <v>344</v>
      </c>
      <c r="H42" s="167"/>
      <c r="I42" s="167"/>
      <c r="J42" s="168"/>
      <c r="K42" s="168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</row>
    <row r="43" ht="22.5" customHeight="1">
      <c r="A43" s="161">
        <v>46014.0</v>
      </c>
      <c r="B43" s="162"/>
      <c r="C43" s="163" t="s">
        <v>117</v>
      </c>
      <c r="D43" s="164" t="s">
        <v>345</v>
      </c>
      <c r="E43" s="165"/>
      <c r="F43" s="166">
        <v>156.19199999999998</v>
      </c>
      <c r="G43" s="167" t="s">
        <v>285</v>
      </c>
      <c r="H43" s="167" t="s">
        <v>346</v>
      </c>
      <c r="I43" s="167" t="s">
        <v>242</v>
      </c>
      <c r="J43" s="168"/>
      <c r="K43" s="167" t="s">
        <v>257</v>
      </c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</row>
    <row r="44" ht="22.5" customHeight="1">
      <c r="A44" s="161">
        <v>46019.0</v>
      </c>
      <c r="B44" s="162"/>
      <c r="C44" s="163" t="s">
        <v>187</v>
      </c>
      <c r="D44" s="164" t="s">
        <v>347</v>
      </c>
      <c r="E44" s="165"/>
      <c r="F44" s="166">
        <v>156.19199999999998</v>
      </c>
      <c r="G44" s="167" t="s">
        <v>296</v>
      </c>
      <c r="H44" s="167" t="s">
        <v>348</v>
      </c>
      <c r="I44" s="167" t="s">
        <v>242</v>
      </c>
      <c r="J44" s="167" t="s">
        <v>242</v>
      </c>
      <c r="K44" s="167" t="s">
        <v>257</v>
      </c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</row>
    <row r="45" ht="22.5" customHeight="1">
      <c r="A45" s="161">
        <v>46020.0</v>
      </c>
      <c r="B45" s="162"/>
      <c r="C45" s="164" t="s">
        <v>213</v>
      </c>
      <c r="D45" s="164" t="s">
        <v>349</v>
      </c>
      <c r="E45" s="165"/>
      <c r="F45" s="166" t="s">
        <v>350</v>
      </c>
      <c r="G45" s="167" t="s">
        <v>296</v>
      </c>
      <c r="H45" s="167" t="s">
        <v>351</v>
      </c>
      <c r="I45" s="167" t="s">
        <v>242</v>
      </c>
      <c r="J45" s="167" t="s">
        <v>242</v>
      </c>
      <c r="K45" s="167" t="s">
        <v>257</v>
      </c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</row>
    <row r="46" ht="22.5" customHeight="1">
      <c r="A46" s="161">
        <v>46022.0</v>
      </c>
      <c r="B46" s="162"/>
      <c r="C46" s="163" t="s">
        <v>159</v>
      </c>
      <c r="D46" s="164" t="s">
        <v>352</v>
      </c>
      <c r="E46" s="172" t="s">
        <v>161</v>
      </c>
      <c r="F46" s="166"/>
      <c r="G46" s="167" t="s">
        <v>353</v>
      </c>
      <c r="H46" s="167" t="s">
        <v>354</v>
      </c>
      <c r="I46" s="167" t="s">
        <v>242</v>
      </c>
      <c r="J46" s="167" t="s">
        <v>243</v>
      </c>
      <c r="K46" s="168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</row>
    <row r="47" ht="22.5" customHeight="1">
      <c r="A47" s="161">
        <v>46029.0</v>
      </c>
      <c r="B47" s="162"/>
      <c r="C47" s="163" t="s">
        <v>157</v>
      </c>
      <c r="D47" s="164" t="s">
        <v>355</v>
      </c>
      <c r="E47" s="165"/>
      <c r="F47" s="166">
        <v>130.16</v>
      </c>
      <c r="G47" s="167" t="s">
        <v>285</v>
      </c>
      <c r="H47" s="167" t="s">
        <v>356</v>
      </c>
      <c r="I47" s="167" t="s">
        <v>242</v>
      </c>
      <c r="J47" s="167" t="s">
        <v>243</v>
      </c>
      <c r="K47" s="167" t="s">
        <v>257</v>
      </c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</row>
    <row r="48" ht="22.5" customHeight="1">
      <c r="A48" s="161">
        <v>46040.0</v>
      </c>
      <c r="B48" s="162"/>
      <c r="C48" s="163" t="s">
        <v>195</v>
      </c>
      <c r="D48" s="164" t="s">
        <v>357</v>
      </c>
      <c r="E48" s="165"/>
      <c r="F48" s="166">
        <v>156.19199999999998</v>
      </c>
      <c r="G48" s="167" t="s">
        <v>296</v>
      </c>
      <c r="H48" s="167" t="s">
        <v>358</v>
      </c>
      <c r="I48" s="167" t="s">
        <v>242</v>
      </c>
      <c r="J48" s="168"/>
      <c r="K48" s="167" t="s">
        <v>257</v>
      </c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</row>
    <row r="49" ht="22.5" customHeight="1">
      <c r="A49" s="170">
        <v>46046.0</v>
      </c>
      <c r="B49" s="162"/>
      <c r="C49" s="163" t="s">
        <v>304</v>
      </c>
      <c r="D49" s="164" t="s">
        <v>359</v>
      </c>
      <c r="E49" s="172" t="s">
        <v>82</v>
      </c>
      <c r="F49" s="166">
        <v>130.16</v>
      </c>
      <c r="G49" s="167" t="s">
        <v>296</v>
      </c>
      <c r="H49" s="167" t="s">
        <v>360</v>
      </c>
      <c r="I49" s="167" t="s">
        <v>242</v>
      </c>
      <c r="J49" s="168"/>
      <c r="K49" s="167" t="s">
        <v>257</v>
      </c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</row>
    <row r="50" ht="22.5" customHeight="1">
      <c r="A50" s="173">
        <v>46048.0</v>
      </c>
      <c r="B50" s="174"/>
      <c r="C50" s="175" t="s">
        <v>166</v>
      </c>
      <c r="D50" s="176" t="s">
        <v>361</v>
      </c>
      <c r="E50" s="100" t="s">
        <v>128</v>
      </c>
      <c r="F50" s="177">
        <v>130.16</v>
      </c>
      <c r="G50" s="178" t="s">
        <v>296</v>
      </c>
      <c r="H50" s="178" t="s">
        <v>362</v>
      </c>
      <c r="I50" s="178"/>
      <c r="J50" s="179"/>
      <c r="K50" s="17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</row>
    <row r="51" ht="22.5" customHeight="1">
      <c r="A51" s="180">
        <v>46049.0</v>
      </c>
      <c r="B51" s="181"/>
      <c r="C51" s="182" t="s">
        <v>164</v>
      </c>
      <c r="D51" s="183" t="s">
        <v>363</v>
      </c>
      <c r="E51" s="184" t="s">
        <v>94</v>
      </c>
      <c r="F51" s="185">
        <v>156.18</v>
      </c>
      <c r="G51" s="186" t="s">
        <v>250</v>
      </c>
      <c r="H51" s="186" t="s">
        <v>364</v>
      </c>
      <c r="I51" s="186"/>
      <c r="J51" s="187"/>
      <c r="K51" s="186" t="s">
        <v>257</v>
      </c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</row>
    <row r="52" ht="22.5" customHeight="1">
      <c r="A52" s="189">
        <v>46056.0</v>
      </c>
      <c r="B52" s="190"/>
      <c r="C52" s="191" t="s">
        <v>185</v>
      </c>
      <c r="D52" s="192" t="s">
        <v>365</v>
      </c>
      <c r="E52" s="193"/>
      <c r="F52" s="194">
        <v>156.19199999999998</v>
      </c>
      <c r="G52" s="195" t="s">
        <v>285</v>
      </c>
      <c r="H52" s="195" t="s">
        <v>366</v>
      </c>
      <c r="I52" s="195" t="s">
        <v>242</v>
      </c>
      <c r="J52" s="195" t="s">
        <v>243</v>
      </c>
      <c r="K52" s="195" t="s">
        <v>257</v>
      </c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</row>
    <row r="53" ht="22.5" customHeight="1">
      <c r="A53" s="161">
        <v>46058.0</v>
      </c>
      <c r="B53" s="162"/>
      <c r="C53" s="163" t="s">
        <v>159</v>
      </c>
      <c r="D53" s="164" t="s">
        <v>367</v>
      </c>
      <c r="E53" s="172" t="s">
        <v>161</v>
      </c>
      <c r="F53" s="166">
        <v>156.19</v>
      </c>
      <c r="G53" s="167" t="s">
        <v>285</v>
      </c>
      <c r="H53" s="167" t="s">
        <v>368</v>
      </c>
      <c r="I53" s="167" t="s">
        <v>242</v>
      </c>
      <c r="J53" s="168"/>
      <c r="K53" s="167" t="s">
        <v>257</v>
      </c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</row>
    <row r="54" ht="22.5" customHeight="1">
      <c r="A54" s="161">
        <v>46058.0</v>
      </c>
      <c r="B54" s="162"/>
      <c r="C54" s="163" t="s">
        <v>189</v>
      </c>
      <c r="D54" s="164" t="s">
        <v>369</v>
      </c>
      <c r="E54" s="172" t="s">
        <v>191</v>
      </c>
      <c r="F54" s="166">
        <v>156.18</v>
      </c>
      <c r="G54" s="167" t="s">
        <v>250</v>
      </c>
      <c r="H54" s="167" t="s">
        <v>370</v>
      </c>
      <c r="I54" s="167"/>
      <c r="J54" s="168"/>
      <c r="K54" s="167" t="s">
        <v>257</v>
      </c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</row>
    <row r="55" ht="22.5" customHeight="1">
      <c r="A55" s="161">
        <v>46059.0</v>
      </c>
      <c r="B55" s="162"/>
      <c r="C55" s="163" t="s">
        <v>195</v>
      </c>
      <c r="D55" s="196" t="s">
        <v>371</v>
      </c>
      <c r="E55" s="172" t="s">
        <v>96</v>
      </c>
      <c r="F55" s="166">
        <v>156.18</v>
      </c>
      <c r="G55" s="167" t="s">
        <v>250</v>
      </c>
      <c r="H55" s="167" t="s">
        <v>372</v>
      </c>
      <c r="I55" s="167" t="s">
        <v>242</v>
      </c>
      <c r="J55" s="167" t="s">
        <v>243</v>
      </c>
      <c r="K55" s="167" t="s">
        <v>257</v>
      </c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</row>
    <row r="56" ht="22.5" customHeight="1">
      <c r="A56" s="161">
        <v>46060.0</v>
      </c>
      <c r="B56" s="162"/>
      <c r="C56" s="163" t="s">
        <v>195</v>
      </c>
      <c r="D56" s="196" t="s">
        <v>373</v>
      </c>
      <c r="E56" s="172" t="s">
        <v>96</v>
      </c>
      <c r="F56" s="166">
        <v>130.16</v>
      </c>
      <c r="G56" s="167" t="s">
        <v>296</v>
      </c>
      <c r="H56" s="167"/>
      <c r="I56" s="167"/>
      <c r="J56" s="168"/>
      <c r="K56" s="167" t="s">
        <v>257</v>
      </c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</row>
    <row r="57" ht="22.5" customHeight="1">
      <c r="A57" s="161">
        <v>46062.0</v>
      </c>
      <c r="B57" s="162"/>
      <c r="C57" s="163" t="s">
        <v>159</v>
      </c>
      <c r="D57" s="196" t="s">
        <v>374</v>
      </c>
      <c r="E57" s="172" t="s">
        <v>161</v>
      </c>
      <c r="F57" s="166">
        <v>156.18</v>
      </c>
      <c r="G57" s="167" t="s">
        <v>250</v>
      </c>
      <c r="H57" s="167"/>
      <c r="I57" s="167"/>
      <c r="J57" s="168"/>
      <c r="K57" s="167" t="s">
        <v>257</v>
      </c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</row>
    <row r="58" ht="22.5" customHeight="1">
      <c r="A58" s="161">
        <v>46063.0</v>
      </c>
      <c r="B58" s="162"/>
      <c r="C58" s="163" t="s">
        <v>181</v>
      </c>
      <c r="D58" s="164" t="s">
        <v>375</v>
      </c>
      <c r="E58" s="172" t="s">
        <v>75</v>
      </c>
      <c r="F58" s="166">
        <v>352.16</v>
      </c>
      <c r="G58" s="167" t="s">
        <v>328</v>
      </c>
      <c r="H58" s="167" t="s">
        <v>376</v>
      </c>
      <c r="I58" s="167"/>
      <c r="J58" s="168"/>
      <c r="K58" s="167" t="s">
        <v>257</v>
      </c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</row>
    <row r="59" ht="22.5" customHeight="1">
      <c r="A59" s="161">
        <v>46063.0</v>
      </c>
      <c r="B59" s="162"/>
      <c r="C59" s="163" t="s">
        <v>181</v>
      </c>
      <c r="D59" s="164" t="s">
        <v>377</v>
      </c>
      <c r="E59" s="172" t="s">
        <v>75</v>
      </c>
      <c r="F59" s="166" t="s">
        <v>378</v>
      </c>
      <c r="G59" s="167" t="s">
        <v>379</v>
      </c>
      <c r="H59" s="167" t="s">
        <v>376</v>
      </c>
      <c r="I59" s="167"/>
      <c r="J59" s="168"/>
      <c r="K59" s="167" t="s">
        <v>257</v>
      </c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</row>
    <row r="60" ht="22.5" customHeight="1">
      <c r="A60" s="161">
        <v>46064.0</v>
      </c>
      <c r="B60" s="162"/>
      <c r="C60" s="163" t="s">
        <v>189</v>
      </c>
      <c r="D60" s="164" t="s">
        <v>380</v>
      </c>
      <c r="E60" s="172" t="s">
        <v>191</v>
      </c>
      <c r="F60" s="166">
        <v>156.19</v>
      </c>
      <c r="G60" s="167" t="s">
        <v>296</v>
      </c>
      <c r="H60" s="167" t="s">
        <v>381</v>
      </c>
      <c r="I60" s="167"/>
      <c r="J60" s="168"/>
      <c r="K60" s="167" t="s">
        <v>257</v>
      </c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</row>
    <row r="61" ht="22.5" customHeight="1">
      <c r="A61" s="161">
        <v>46065.0</v>
      </c>
      <c r="B61" s="162"/>
      <c r="C61" s="163" t="s">
        <v>202</v>
      </c>
      <c r="D61" s="164" t="s">
        <v>382</v>
      </c>
      <c r="E61" s="172" t="s">
        <v>76</v>
      </c>
      <c r="F61" s="166" t="s">
        <v>378</v>
      </c>
      <c r="G61" s="167" t="s">
        <v>379</v>
      </c>
      <c r="H61" s="167" t="s">
        <v>383</v>
      </c>
      <c r="I61" s="167" t="s">
        <v>242</v>
      </c>
      <c r="J61" s="167" t="s">
        <v>243</v>
      </c>
      <c r="K61" s="167" t="s">
        <v>257</v>
      </c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</row>
    <row r="62" ht="22.5" customHeight="1">
      <c r="A62" s="161">
        <v>46065.0</v>
      </c>
      <c r="B62" s="162"/>
      <c r="C62" s="163" t="s">
        <v>192</v>
      </c>
      <c r="D62" s="164" t="s">
        <v>384</v>
      </c>
      <c r="E62" s="172" t="s">
        <v>385</v>
      </c>
      <c r="F62" s="166">
        <v>156.18</v>
      </c>
      <c r="G62" s="167" t="s">
        <v>250</v>
      </c>
      <c r="H62" s="167" t="s">
        <v>386</v>
      </c>
      <c r="I62" s="167"/>
      <c r="J62" s="168"/>
      <c r="K62" s="167" t="s">
        <v>257</v>
      </c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</row>
    <row r="63" ht="22.5" customHeight="1">
      <c r="A63" s="161">
        <v>46073.0</v>
      </c>
      <c r="B63" s="162"/>
      <c r="C63" s="197" t="s">
        <v>195</v>
      </c>
      <c r="D63" s="196" t="s">
        <v>387</v>
      </c>
      <c r="E63" s="172" t="s">
        <v>96</v>
      </c>
      <c r="F63" s="166">
        <v>156.19</v>
      </c>
      <c r="G63" s="198" t="s">
        <v>252</v>
      </c>
      <c r="H63" s="198" t="s">
        <v>388</v>
      </c>
      <c r="I63" s="167"/>
      <c r="J63" s="168"/>
      <c r="K63" s="167" t="s">
        <v>257</v>
      </c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</row>
    <row r="64" ht="22.5" customHeight="1">
      <c r="A64" s="161">
        <v>46079.0</v>
      </c>
      <c r="B64" s="162"/>
      <c r="C64" s="197" t="s">
        <v>169</v>
      </c>
      <c r="D64" s="196" t="s">
        <v>389</v>
      </c>
      <c r="E64" s="172" t="s">
        <v>82</v>
      </c>
      <c r="F64" s="166">
        <v>234.28</v>
      </c>
      <c r="G64" s="198" t="s">
        <v>390</v>
      </c>
      <c r="H64" s="198" t="s">
        <v>391</v>
      </c>
      <c r="I64" s="167"/>
      <c r="J64" s="168"/>
      <c r="K64" s="167" t="s">
        <v>257</v>
      </c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</row>
    <row r="65" ht="22.5" customHeight="1">
      <c r="A65" s="161">
        <v>46079.0</v>
      </c>
      <c r="B65" s="162"/>
      <c r="C65" s="197" t="s">
        <v>169</v>
      </c>
      <c r="D65" s="199" t="s">
        <v>392</v>
      </c>
      <c r="E65" s="172" t="s">
        <v>82</v>
      </c>
      <c r="F65" s="166">
        <v>234.28</v>
      </c>
      <c r="G65" s="198" t="s">
        <v>390</v>
      </c>
      <c r="H65" s="198" t="s">
        <v>393</v>
      </c>
      <c r="I65" s="167"/>
      <c r="J65" s="168"/>
      <c r="K65" s="167" t="s">
        <v>257</v>
      </c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</row>
    <row r="66" ht="22.5" customHeight="1">
      <c r="A66" s="200">
        <v>46080.0</v>
      </c>
      <c r="B66" s="162"/>
      <c r="C66" s="201" t="s">
        <v>134</v>
      </c>
      <c r="D66" s="196" t="s">
        <v>394</v>
      </c>
      <c r="E66" s="172" t="s">
        <v>79</v>
      </c>
      <c r="F66" s="166">
        <v>156.19</v>
      </c>
      <c r="G66" s="198" t="s">
        <v>252</v>
      </c>
      <c r="H66" s="198" t="s">
        <v>395</v>
      </c>
      <c r="I66" s="167"/>
      <c r="J66" s="168"/>
      <c r="K66" s="167" t="s">
        <v>257</v>
      </c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</row>
    <row r="67" ht="22.5" customHeight="1">
      <c r="A67" s="161">
        <v>46083.0</v>
      </c>
      <c r="B67" s="162"/>
      <c r="C67" s="163" t="s">
        <v>304</v>
      </c>
      <c r="D67" s="196" t="s">
        <v>396</v>
      </c>
      <c r="E67" s="172" t="s">
        <v>82</v>
      </c>
      <c r="F67" s="166">
        <v>156.18</v>
      </c>
      <c r="G67" s="198" t="s">
        <v>397</v>
      </c>
      <c r="H67" s="198" t="s">
        <v>398</v>
      </c>
      <c r="I67" s="167"/>
      <c r="J67" s="168"/>
      <c r="K67" s="167" t="s">
        <v>257</v>
      </c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</row>
    <row r="68" ht="22.5" customHeight="1">
      <c r="A68" s="200">
        <v>46083.0</v>
      </c>
      <c r="B68" s="162"/>
      <c r="C68" s="197" t="s">
        <v>199</v>
      </c>
      <c r="D68" s="196" t="s">
        <v>399</v>
      </c>
      <c r="E68" s="172" t="s">
        <v>77</v>
      </c>
      <c r="F68" s="166">
        <v>156.18</v>
      </c>
      <c r="G68" s="198" t="s">
        <v>400</v>
      </c>
      <c r="H68" s="198" t="s">
        <v>401</v>
      </c>
      <c r="I68" s="167"/>
      <c r="J68" s="168"/>
      <c r="K68" s="167" t="s">
        <v>257</v>
      </c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</row>
    <row r="69" ht="22.5" customHeight="1">
      <c r="A69" s="161">
        <v>46083.0</v>
      </c>
      <c r="B69" s="162"/>
      <c r="C69" s="163" t="s">
        <v>149</v>
      </c>
      <c r="D69" s="164" t="s">
        <v>402</v>
      </c>
      <c r="E69" s="203" t="s">
        <v>403</v>
      </c>
      <c r="F69" s="166">
        <v>156.19</v>
      </c>
      <c r="G69" s="198" t="s">
        <v>404</v>
      </c>
      <c r="H69" s="167" t="s">
        <v>405</v>
      </c>
      <c r="I69" s="167"/>
      <c r="J69" s="168"/>
      <c r="K69" s="167" t="s">
        <v>257</v>
      </c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</row>
    <row r="70" ht="22.5" customHeight="1">
      <c r="A70" s="161">
        <v>46084.0</v>
      </c>
      <c r="B70" s="162"/>
      <c r="C70" s="204" t="s">
        <v>164</v>
      </c>
      <c r="D70" s="196" t="s">
        <v>406</v>
      </c>
      <c r="E70" s="203" t="s">
        <v>94</v>
      </c>
      <c r="F70" s="166">
        <v>156.19</v>
      </c>
      <c r="G70" s="198" t="s">
        <v>252</v>
      </c>
      <c r="H70" s="198" t="s">
        <v>407</v>
      </c>
      <c r="I70" s="167"/>
      <c r="J70" s="168"/>
      <c r="K70" s="167" t="s">
        <v>257</v>
      </c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</row>
    <row r="71" ht="22.5" customHeight="1">
      <c r="A71" s="200">
        <v>46085.0</v>
      </c>
      <c r="B71" s="162"/>
      <c r="C71" s="197" t="s">
        <v>169</v>
      </c>
      <c r="D71" s="196" t="s">
        <v>408</v>
      </c>
      <c r="E71" s="172" t="s">
        <v>82</v>
      </c>
      <c r="F71" s="166">
        <v>352.16</v>
      </c>
      <c r="G71" s="198" t="s">
        <v>409</v>
      </c>
      <c r="H71" s="167" t="s">
        <v>410</v>
      </c>
      <c r="I71" s="167"/>
      <c r="J71" s="168"/>
      <c r="K71" s="167" t="s">
        <v>257</v>
      </c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</row>
    <row r="72" ht="22.5" customHeight="1">
      <c r="A72" s="161">
        <v>46086.0</v>
      </c>
      <c r="B72" s="162"/>
      <c r="C72" s="197" t="s">
        <v>166</v>
      </c>
      <c r="D72" s="196" t="s">
        <v>411</v>
      </c>
      <c r="E72" s="203" t="s">
        <v>128</v>
      </c>
      <c r="F72" s="205" t="s">
        <v>246</v>
      </c>
      <c r="G72" s="198" t="s">
        <v>252</v>
      </c>
      <c r="H72" s="198" t="s">
        <v>412</v>
      </c>
      <c r="I72" s="167"/>
      <c r="J72" s="168"/>
      <c r="K72" s="167" t="s">
        <v>257</v>
      </c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</row>
    <row r="73" ht="22.5" customHeight="1">
      <c r="A73" s="161">
        <v>46087.0</v>
      </c>
      <c r="B73" s="162"/>
      <c r="C73" s="197" t="s">
        <v>215</v>
      </c>
      <c r="D73" s="196" t="s">
        <v>413</v>
      </c>
      <c r="E73" s="203" t="s">
        <v>403</v>
      </c>
      <c r="F73" s="166">
        <v>156.19</v>
      </c>
      <c r="G73" s="198" t="s">
        <v>404</v>
      </c>
      <c r="H73" s="198" t="s">
        <v>414</v>
      </c>
      <c r="I73" s="167"/>
      <c r="J73" s="168"/>
      <c r="K73" s="167" t="s">
        <v>257</v>
      </c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</row>
    <row r="74" ht="22.5" customHeight="1">
      <c r="A74" s="161">
        <v>46089.0</v>
      </c>
      <c r="B74" s="162"/>
      <c r="C74" s="163" t="s">
        <v>415</v>
      </c>
      <c r="D74" s="196" t="s">
        <v>416</v>
      </c>
      <c r="E74" s="206" t="s">
        <v>417</v>
      </c>
      <c r="F74" s="166">
        <v>293.47</v>
      </c>
      <c r="G74" s="198" t="s">
        <v>418</v>
      </c>
      <c r="H74" s="167"/>
      <c r="I74" s="167"/>
      <c r="J74" s="168"/>
      <c r="K74" s="167" t="s">
        <v>257</v>
      </c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</row>
    <row r="75" ht="22.5" customHeight="1">
      <c r="A75" s="200">
        <v>46090.0</v>
      </c>
      <c r="B75" s="162"/>
      <c r="C75" s="201" t="s">
        <v>134</v>
      </c>
      <c r="D75" s="196" t="s">
        <v>419</v>
      </c>
      <c r="E75" s="172" t="s">
        <v>79</v>
      </c>
      <c r="F75" s="166">
        <v>156.18</v>
      </c>
      <c r="G75" s="198" t="s">
        <v>400</v>
      </c>
      <c r="H75" s="198" t="s">
        <v>420</v>
      </c>
      <c r="I75" s="167"/>
      <c r="J75" s="168"/>
      <c r="K75" s="167" t="s">
        <v>257</v>
      </c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</row>
    <row r="76" ht="22.5" customHeight="1">
      <c r="A76" s="161">
        <v>46091.0</v>
      </c>
      <c r="B76" s="162"/>
      <c r="C76" s="197" t="s">
        <v>218</v>
      </c>
      <c r="D76" s="199" t="s">
        <v>421</v>
      </c>
      <c r="E76" s="203" t="s">
        <v>120</v>
      </c>
      <c r="F76" s="207" t="s">
        <v>422</v>
      </c>
      <c r="G76" s="198" t="s">
        <v>423</v>
      </c>
      <c r="H76" s="208" t="s">
        <v>424</v>
      </c>
      <c r="I76" s="167"/>
      <c r="J76" s="168"/>
      <c r="K76" s="167" t="s">
        <v>257</v>
      </c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</row>
    <row r="77" ht="22.5" customHeight="1">
      <c r="A77" s="161">
        <v>46091.0</v>
      </c>
      <c r="B77" s="162"/>
      <c r="C77" s="197" t="s">
        <v>195</v>
      </c>
      <c r="D77" s="209" t="s">
        <v>425</v>
      </c>
      <c r="E77" s="203" t="s">
        <v>96</v>
      </c>
      <c r="F77" s="166">
        <v>156.19</v>
      </c>
      <c r="G77" s="198" t="s">
        <v>426</v>
      </c>
      <c r="H77" s="208" t="s">
        <v>427</v>
      </c>
      <c r="I77" s="167"/>
      <c r="J77" s="168"/>
      <c r="K77" s="168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</row>
    <row r="78" ht="22.5" customHeight="1">
      <c r="A78" s="161">
        <v>46091.0</v>
      </c>
      <c r="B78" s="162"/>
      <c r="C78" s="201" t="s">
        <v>134</v>
      </c>
      <c r="D78" s="210" t="s">
        <v>428</v>
      </c>
      <c r="E78" s="203" t="s">
        <v>79</v>
      </c>
      <c r="F78" s="166">
        <v>156.19</v>
      </c>
      <c r="G78" s="198" t="s">
        <v>426</v>
      </c>
      <c r="H78" s="211" t="s">
        <v>429</v>
      </c>
      <c r="I78" s="167"/>
      <c r="J78" s="168"/>
      <c r="K78" s="167" t="s">
        <v>257</v>
      </c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</row>
    <row r="79" ht="22.5" customHeight="1">
      <c r="A79" s="161">
        <v>46093.0</v>
      </c>
      <c r="B79" s="162"/>
      <c r="C79" s="163" t="s">
        <v>178</v>
      </c>
      <c r="D79" s="196" t="s">
        <v>430</v>
      </c>
      <c r="E79" s="172" t="s">
        <v>86</v>
      </c>
      <c r="F79" s="166">
        <v>156.18</v>
      </c>
      <c r="G79" s="198" t="s">
        <v>431</v>
      </c>
      <c r="H79" s="198" t="s">
        <v>432</v>
      </c>
      <c r="I79" s="167"/>
      <c r="J79" s="168"/>
      <c r="K79" s="167" t="s">
        <v>257</v>
      </c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</row>
    <row r="80" ht="22.5" customHeight="1">
      <c r="A80" s="161">
        <v>46093.0</v>
      </c>
      <c r="B80" s="162"/>
      <c r="C80" s="204" t="s">
        <v>164</v>
      </c>
      <c r="D80" s="196" t="s">
        <v>433</v>
      </c>
      <c r="E80" s="203" t="s">
        <v>94</v>
      </c>
      <c r="F80" s="166">
        <v>156.18</v>
      </c>
      <c r="G80" s="198" t="s">
        <v>400</v>
      </c>
      <c r="H80" s="198" t="s">
        <v>434</v>
      </c>
      <c r="I80" s="167"/>
      <c r="J80" s="168"/>
      <c r="K80" s="167" t="s">
        <v>257</v>
      </c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</row>
    <row r="81" ht="22.5" customHeight="1">
      <c r="A81" s="200">
        <v>46093.0</v>
      </c>
      <c r="B81" s="162"/>
      <c r="C81" s="201" t="s">
        <v>134</v>
      </c>
      <c r="D81" s="196" t="s">
        <v>435</v>
      </c>
      <c r="E81" s="203" t="s">
        <v>79</v>
      </c>
      <c r="F81" s="166">
        <v>234.28</v>
      </c>
      <c r="G81" s="198" t="s">
        <v>400</v>
      </c>
      <c r="H81" s="198" t="s">
        <v>436</v>
      </c>
      <c r="I81" s="167"/>
      <c r="J81" s="168"/>
      <c r="K81" s="167" t="s">
        <v>257</v>
      </c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</row>
    <row r="82" ht="22.5" customHeight="1">
      <c r="A82" s="200">
        <v>46094.0</v>
      </c>
      <c r="B82" s="162"/>
      <c r="C82" s="197" t="s">
        <v>192</v>
      </c>
      <c r="D82" s="196" t="s">
        <v>437</v>
      </c>
      <c r="E82" s="172" t="s">
        <v>385</v>
      </c>
      <c r="F82" s="205" t="s">
        <v>335</v>
      </c>
      <c r="G82" s="198" t="s">
        <v>400</v>
      </c>
      <c r="H82" s="198" t="s">
        <v>438</v>
      </c>
      <c r="I82" s="167"/>
      <c r="J82" s="168"/>
      <c r="K82" s="167" t="s">
        <v>257</v>
      </c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</row>
    <row r="83" ht="22.5" customHeight="1">
      <c r="A83" s="161">
        <v>46094.0</v>
      </c>
      <c r="B83" s="162"/>
      <c r="C83" s="197" t="s">
        <v>199</v>
      </c>
      <c r="D83" s="196" t="s">
        <v>439</v>
      </c>
      <c r="E83" s="172" t="s">
        <v>77</v>
      </c>
      <c r="F83" s="205" t="s">
        <v>335</v>
      </c>
      <c r="G83" s="198" t="s">
        <v>400</v>
      </c>
      <c r="H83" s="198" t="s">
        <v>440</v>
      </c>
      <c r="I83" s="167"/>
      <c r="J83" s="168"/>
      <c r="K83" s="167" t="s">
        <v>257</v>
      </c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</row>
    <row r="84" ht="22.5" customHeight="1">
      <c r="A84" s="161">
        <v>46094.0</v>
      </c>
      <c r="B84" s="162"/>
      <c r="C84" s="204" t="s">
        <v>164</v>
      </c>
      <c r="D84" s="196" t="s">
        <v>441</v>
      </c>
      <c r="E84" s="203" t="s">
        <v>94</v>
      </c>
      <c r="F84" s="166">
        <v>156.18</v>
      </c>
      <c r="G84" s="198" t="s">
        <v>400</v>
      </c>
      <c r="H84" s="198" t="s">
        <v>442</v>
      </c>
      <c r="I84" s="167"/>
      <c r="J84" s="168"/>
      <c r="K84" s="167" t="s">
        <v>257</v>
      </c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</row>
    <row r="85" ht="22.5" customHeight="1">
      <c r="A85" s="161">
        <v>46094.0</v>
      </c>
      <c r="B85" s="162"/>
      <c r="C85" s="204" t="s">
        <v>164</v>
      </c>
      <c r="D85" s="196" t="s">
        <v>443</v>
      </c>
      <c r="E85" s="203" t="s">
        <v>94</v>
      </c>
      <c r="F85" s="166">
        <v>156.19</v>
      </c>
      <c r="G85" s="198" t="s">
        <v>252</v>
      </c>
      <c r="H85" s="198" t="s">
        <v>444</v>
      </c>
      <c r="I85" s="167"/>
      <c r="J85" s="168"/>
      <c r="K85" s="167" t="s">
        <v>257</v>
      </c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</row>
    <row r="86" ht="22.5" customHeight="1">
      <c r="A86" s="212">
        <v>46095.0</v>
      </c>
      <c r="B86" s="162"/>
      <c r="C86" s="213" t="s">
        <v>169</v>
      </c>
      <c r="D86" s="199" t="s">
        <v>445</v>
      </c>
      <c r="E86" s="203" t="s">
        <v>82</v>
      </c>
      <c r="F86" s="166">
        <v>156.19</v>
      </c>
      <c r="G86" s="198" t="s">
        <v>426</v>
      </c>
      <c r="H86" s="197" t="s">
        <v>446</v>
      </c>
      <c r="I86" s="167"/>
      <c r="J86" s="168"/>
      <c r="K86" s="167" t="s">
        <v>257</v>
      </c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</row>
    <row r="87" ht="22.5" customHeight="1">
      <c r="A87" s="161">
        <v>46097.0</v>
      </c>
      <c r="B87" s="162"/>
      <c r="C87" s="197" t="s">
        <v>447</v>
      </c>
      <c r="D87" s="196" t="s">
        <v>448</v>
      </c>
      <c r="E87" s="203" t="s">
        <v>219</v>
      </c>
      <c r="F87" s="166">
        <v>234.28</v>
      </c>
      <c r="G87" s="198" t="s">
        <v>423</v>
      </c>
      <c r="H87" s="198" t="s">
        <v>449</v>
      </c>
      <c r="I87" s="167"/>
      <c r="J87" s="168"/>
      <c r="K87" s="167" t="s">
        <v>257</v>
      </c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</row>
    <row r="88" ht="22.5" customHeight="1">
      <c r="A88" s="161">
        <v>46100.0</v>
      </c>
      <c r="B88" s="162"/>
      <c r="C88" s="197" t="s">
        <v>185</v>
      </c>
      <c r="D88" s="196" t="s">
        <v>450</v>
      </c>
      <c r="E88" s="172" t="s">
        <v>87</v>
      </c>
      <c r="F88" s="166">
        <v>156.18</v>
      </c>
      <c r="G88" s="198" t="s">
        <v>451</v>
      </c>
      <c r="H88" s="198" t="s">
        <v>452</v>
      </c>
      <c r="I88" s="167"/>
      <c r="J88" s="168"/>
      <c r="K88" s="167" t="s">
        <v>257</v>
      </c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</row>
    <row r="89" ht="22.5" customHeight="1">
      <c r="A89" s="200">
        <v>46101.0</v>
      </c>
      <c r="B89" s="162"/>
      <c r="C89" s="197" t="s">
        <v>195</v>
      </c>
      <c r="D89" s="196" t="s">
        <v>453</v>
      </c>
      <c r="E89" s="203" t="s">
        <v>96</v>
      </c>
      <c r="F89" s="205" t="s">
        <v>246</v>
      </c>
      <c r="G89" s="198" t="s">
        <v>252</v>
      </c>
      <c r="H89" s="198" t="s">
        <v>454</v>
      </c>
      <c r="I89" s="167"/>
      <c r="J89" s="168"/>
      <c r="K89" s="167" t="s">
        <v>257</v>
      </c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</row>
    <row r="90" ht="22.5" customHeight="1">
      <c r="A90" s="214">
        <v>46105.0</v>
      </c>
      <c r="B90" s="215"/>
      <c r="C90" s="216" t="s">
        <v>134</v>
      </c>
      <c r="D90" s="217" t="s">
        <v>455</v>
      </c>
      <c r="E90" s="218" t="s">
        <v>79</v>
      </c>
      <c r="F90" s="219" t="s">
        <v>246</v>
      </c>
      <c r="G90" s="220" t="s">
        <v>252</v>
      </c>
      <c r="H90" s="221" t="s">
        <v>456</v>
      </c>
      <c r="I90" s="222"/>
      <c r="J90" s="223"/>
      <c r="K90" s="223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224"/>
      <c r="Y90" s="224"/>
    </row>
    <row r="91" ht="22.5" customHeight="1">
      <c r="A91" s="225">
        <v>46107.0</v>
      </c>
      <c r="B91" s="226"/>
      <c r="C91" s="227" t="s">
        <v>162</v>
      </c>
      <c r="D91" s="228" t="s">
        <v>457</v>
      </c>
      <c r="E91" s="229" t="s">
        <v>458</v>
      </c>
      <c r="F91" s="230">
        <v>195.23</v>
      </c>
      <c r="G91" s="231" t="s">
        <v>459</v>
      </c>
      <c r="H91" s="232"/>
      <c r="I91" s="233"/>
      <c r="J91" s="234"/>
      <c r="K91" s="233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</row>
    <row r="92" ht="22.5" customHeight="1">
      <c r="A92" s="161">
        <v>46108.0</v>
      </c>
      <c r="B92" s="162"/>
      <c r="C92" s="204" t="s">
        <v>164</v>
      </c>
      <c r="D92" s="235" t="s">
        <v>460</v>
      </c>
      <c r="E92" s="203" t="s">
        <v>94</v>
      </c>
      <c r="F92" s="166">
        <v>130.16</v>
      </c>
      <c r="G92" s="198" t="s">
        <v>461</v>
      </c>
      <c r="H92" s="198" t="s">
        <v>462</v>
      </c>
      <c r="I92" s="167"/>
      <c r="J92" s="168"/>
      <c r="K92" s="167" t="s">
        <v>257</v>
      </c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</row>
    <row r="93" ht="22.5" customHeight="1">
      <c r="A93" s="161">
        <v>46109.0</v>
      </c>
      <c r="B93" s="162"/>
      <c r="C93" s="213" t="s">
        <v>169</v>
      </c>
      <c r="D93" s="199" t="s">
        <v>463</v>
      </c>
      <c r="E93" s="203" t="s">
        <v>82</v>
      </c>
      <c r="F93" s="207" t="s">
        <v>422</v>
      </c>
      <c r="G93" s="198" t="s">
        <v>423</v>
      </c>
      <c r="H93" s="211" t="s">
        <v>464</v>
      </c>
      <c r="I93" s="167"/>
      <c r="J93" s="168"/>
      <c r="K93" s="167" t="s">
        <v>257</v>
      </c>
      <c r="L93" s="236"/>
      <c r="M93" s="236"/>
      <c r="N93" s="236"/>
      <c r="O93" s="236"/>
      <c r="P93" s="236"/>
      <c r="Q93" s="236"/>
      <c r="R93" s="236"/>
      <c r="S93" s="236"/>
      <c r="T93" s="236"/>
      <c r="U93" s="236"/>
      <c r="V93" s="236"/>
      <c r="W93" s="236"/>
      <c r="X93" s="236"/>
      <c r="Y93" s="236"/>
    </row>
    <row r="94" ht="22.5" customHeight="1">
      <c r="A94" s="212">
        <v>46109.0</v>
      </c>
      <c r="B94" s="162"/>
      <c r="C94" s="197" t="s">
        <v>447</v>
      </c>
      <c r="D94" s="196" t="s">
        <v>465</v>
      </c>
      <c r="E94" s="203" t="s">
        <v>219</v>
      </c>
      <c r="F94" s="205">
        <v>130.16</v>
      </c>
      <c r="G94" s="198" t="s">
        <v>426</v>
      </c>
      <c r="H94" s="198" t="s">
        <v>466</v>
      </c>
      <c r="I94" s="167"/>
      <c r="J94" s="168"/>
      <c r="K94" s="167" t="s">
        <v>257</v>
      </c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</row>
    <row r="95" ht="22.5" customHeight="1">
      <c r="A95" s="200">
        <v>46125.0</v>
      </c>
      <c r="B95" s="162"/>
      <c r="C95" s="163" t="s">
        <v>467</v>
      </c>
      <c r="D95" s="196" t="s">
        <v>468</v>
      </c>
      <c r="E95" s="197" t="s">
        <v>83</v>
      </c>
      <c r="F95" s="205" t="s">
        <v>335</v>
      </c>
      <c r="G95" s="198" t="s">
        <v>469</v>
      </c>
      <c r="H95" s="167"/>
      <c r="I95" s="167"/>
      <c r="J95" s="168"/>
      <c r="K95" s="168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</row>
    <row r="96" ht="22.5" customHeight="1">
      <c r="A96" s="237">
        <v>46126.0</v>
      </c>
      <c r="B96" s="162"/>
      <c r="C96" s="238" t="s">
        <v>164</v>
      </c>
      <c r="D96" s="239" t="s">
        <v>470</v>
      </c>
      <c r="E96" s="240" t="s">
        <v>94</v>
      </c>
      <c r="F96" s="166">
        <v>88.38</v>
      </c>
      <c r="G96" s="241" t="s">
        <v>471</v>
      </c>
      <c r="H96" s="167"/>
      <c r="I96" s="167"/>
      <c r="J96" s="168"/>
      <c r="K96" s="168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</row>
    <row r="97" ht="22.5" customHeight="1">
      <c r="A97" s="237">
        <v>46127.0</v>
      </c>
      <c r="B97" s="162"/>
      <c r="C97" s="204" t="s">
        <v>178</v>
      </c>
      <c r="D97" s="239" t="s">
        <v>472</v>
      </c>
      <c r="E97" s="242" t="s">
        <v>86</v>
      </c>
      <c r="F97" s="205">
        <v>130.16</v>
      </c>
      <c r="G97" s="198" t="s">
        <v>426</v>
      </c>
      <c r="H97" s="167"/>
      <c r="I97" s="167"/>
      <c r="J97" s="168"/>
      <c r="K97" s="168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</row>
    <row r="98" ht="22.5" customHeight="1">
      <c r="A98" s="237">
        <v>46127.0</v>
      </c>
      <c r="B98" s="162"/>
      <c r="C98" s="238" t="s">
        <v>159</v>
      </c>
      <c r="D98" s="239" t="s">
        <v>473</v>
      </c>
      <c r="E98" s="240" t="s">
        <v>161</v>
      </c>
      <c r="F98" s="243">
        <v>195.23</v>
      </c>
      <c r="G98" s="198" t="s">
        <v>459</v>
      </c>
      <c r="H98" s="167"/>
      <c r="I98" s="167"/>
      <c r="J98" s="168"/>
      <c r="K98" s="168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</row>
    <row r="99" ht="22.5" customHeight="1">
      <c r="A99" s="237">
        <v>46129.0</v>
      </c>
      <c r="B99" s="162"/>
      <c r="C99" s="238" t="s">
        <v>159</v>
      </c>
      <c r="D99" s="239" t="s">
        <v>474</v>
      </c>
      <c r="E99" s="240" t="s">
        <v>161</v>
      </c>
      <c r="F99" s="243">
        <v>195.23</v>
      </c>
      <c r="G99" s="244" t="s">
        <v>260</v>
      </c>
      <c r="H99" s="167"/>
      <c r="I99" s="167"/>
      <c r="J99" s="168"/>
      <c r="K99" s="168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</row>
    <row r="100" ht="22.5" customHeight="1">
      <c r="A100" s="245">
        <v>46132.0</v>
      </c>
      <c r="B100" s="162"/>
      <c r="C100" s="204" t="s">
        <v>155</v>
      </c>
      <c r="D100" s="235" t="s">
        <v>475</v>
      </c>
      <c r="E100" s="240" t="s">
        <v>194</v>
      </c>
      <c r="F100" s="243">
        <v>195.23</v>
      </c>
      <c r="G100" s="198" t="s">
        <v>459</v>
      </c>
      <c r="H100" s="167"/>
      <c r="I100" s="167"/>
      <c r="J100" s="168"/>
      <c r="K100" s="168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</row>
    <row r="101" ht="22.5" customHeight="1">
      <c r="A101" s="200">
        <v>46134.0</v>
      </c>
      <c r="B101" s="162"/>
      <c r="C101" s="197" t="s">
        <v>202</v>
      </c>
      <c r="D101" s="196" t="s">
        <v>476</v>
      </c>
      <c r="E101" s="246" t="s">
        <v>120</v>
      </c>
      <c r="F101" s="205">
        <v>130.16</v>
      </c>
      <c r="G101" s="198" t="s">
        <v>426</v>
      </c>
      <c r="H101" s="167"/>
      <c r="I101" s="167"/>
      <c r="J101" s="168"/>
      <c r="K101" s="168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</row>
    <row r="102" ht="22.5" customHeight="1">
      <c r="A102" s="200">
        <v>46135.0</v>
      </c>
      <c r="B102" s="162"/>
      <c r="C102" s="197" t="s">
        <v>202</v>
      </c>
      <c r="D102" s="196" t="s">
        <v>477</v>
      </c>
      <c r="E102" s="246" t="s">
        <v>120</v>
      </c>
      <c r="F102" s="205">
        <v>130.16</v>
      </c>
      <c r="G102" s="198" t="s">
        <v>426</v>
      </c>
      <c r="H102" s="167"/>
      <c r="I102" s="167"/>
      <c r="J102" s="168"/>
      <c r="K102" s="168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</row>
    <row r="103" ht="22.5" customHeight="1">
      <c r="A103" s="212">
        <v>46136.0</v>
      </c>
      <c r="B103" s="162"/>
      <c r="C103" s="213" t="s">
        <v>215</v>
      </c>
      <c r="D103" s="199" t="s">
        <v>478</v>
      </c>
      <c r="E103" s="242" t="s">
        <v>216</v>
      </c>
      <c r="F103" s="243">
        <v>195.23</v>
      </c>
      <c r="G103" s="198" t="s">
        <v>459</v>
      </c>
      <c r="H103" s="167"/>
      <c r="I103" s="167"/>
      <c r="J103" s="168"/>
      <c r="K103" s="168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</row>
    <row r="104" ht="22.5" customHeight="1">
      <c r="A104" s="237">
        <v>46140.0</v>
      </c>
      <c r="B104" s="162"/>
      <c r="C104" s="204" t="s">
        <v>155</v>
      </c>
      <c r="D104" s="239" t="s">
        <v>479</v>
      </c>
      <c r="E104" s="240" t="s">
        <v>194</v>
      </c>
      <c r="F104" s="243">
        <v>195.23</v>
      </c>
      <c r="G104" s="244" t="s">
        <v>260</v>
      </c>
      <c r="H104" s="167"/>
      <c r="I104" s="167"/>
      <c r="J104" s="168"/>
      <c r="K104" s="168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</row>
    <row r="105" ht="22.5" customHeight="1">
      <c r="A105" s="212">
        <v>46141.0</v>
      </c>
      <c r="B105" s="162"/>
      <c r="C105" s="213" t="s">
        <v>213</v>
      </c>
      <c r="D105" s="199" t="s">
        <v>480</v>
      </c>
      <c r="E105" s="247" t="s">
        <v>481</v>
      </c>
      <c r="F105" s="207" t="s">
        <v>422</v>
      </c>
      <c r="G105" s="241" t="s">
        <v>471</v>
      </c>
      <c r="H105" s="167"/>
      <c r="I105" s="167"/>
      <c r="J105" s="168"/>
      <c r="K105" s="168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</row>
    <row r="106" ht="22.5" customHeight="1">
      <c r="A106" s="248">
        <v>46142.0</v>
      </c>
      <c r="B106" s="162"/>
      <c r="C106" s="204" t="s">
        <v>178</v>
      </c>
      <c r="D106" s="235" t="s">
        <v>482</v>
      </c>
      <c r="E106" s="249" t="s">
        <v>86</v>
      </c>
      <c r="F106" s="205">
        <v>130.16</v>
      </c>
      <c r="G106" s="198" t="s">
        <v>252</v>
      </c>
      <c r="H106" s="198" t="s">
        <v>483</v>
      </c>
      <c r="I106" s="167"/>
      <c r="J106" s="168"/>
      <c r="K106" s="168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</row>
    <row r="107" ht="22.5" customHeight="1">
      <c r="A107" s="250">
        <v>46143.0</v>
      </c>
      <c r="B107" s="174"/>
      <c r="C107" s="251" t="s">
        <v>185</v>
      </c>
      <c r="D107" s="252" t="s">
        <v>484</v>
      </c>
      <c r="E107" s="253" t="s">
        <v>87</v>
      </c>
      <c r="F107" s="254">
        <v>130.16</v>
      </c>
      <c r="G107" s="255" t="s">
        <v>252</v>
      </c>
      <c r="H107" s="178"/>
      <c r="I107" s="178"/>
      <c r="J107" s="179"/>
      <c r="K107" s="179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</row>
    <row r="108" ht="22.5" customHeight="1">
      <c r="A108" s="250">
        <v>46148.0</v>
      </c>
      <c r="B108" s="174"/>
      <c r="C108" s="251" t="s">
        <v>187</v>
      </c>
      <c r="D108" s="252" t="s">
        <v>485</v>
      </c>
      <c r="E108" s="253" t="s">
        <v>486</v>
      </c>
      <c r="F108" s="254">
        <v>130.16</v>
      </c>
      <c r="G108" s="255" t="s">
        <v>252</v>
      </c>
      <c r="H108" s="178"/>
      <c r="I108" s="178"/>
      <c r="J108" s="179"/>
      <c r="K108" s="179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</row>
    <row r="109" ht="22.5" customHeight="1">
      <c r="A109" s="250">
        <v>46150.0</v>
      </c>
      <c r="B109" s="174"/>
      <c r="C109" s="251" t="s">
        <v>195</v>
      </c>
      <c r="D109" s="252" t="s">
        <v>487</v>
      </c>
      <c r="E109" s="253" t="s">
        <v>96</v>
      </c>
      <c r="F109" s="254">
        <v>130.16</v>
      </c>
      <c r="G109" s="255" t="s">
        <v>252</v>
      </c>
      <c r="H109" s="178"/>
      <c r="I109" s="178"/>
      <c r="J109" s="179"/>
      <c r="K109" s="179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</row>
    <row r="110" ht="22.5" customHeight="1">
      <c r="A110" s="250">
        <v>46161.0</v>
      </c>
      <c r="B110" s="174"/>
      <c r="C110" s="251" t="s">
        <v>181</v>
      </c>
      <c r="D110" s="252" t="s">
        <v>488</v>
      </c>
      <c r="E110" s="253" t="s">
        <v>75</v>
      </c>
      <c r="F110" s="254">
        <v>130.16</v>
      </c>
      <c r="G110" s="255" t="s">
        <v>252</v>
      </c>
      <c r="H110" s="178"/>
      <c r="I110" s="178"/>
      <c r="J110" s="179"/>
      <c r="K110" s="179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</row>
    <row r="111" ht="22.5" customHeight="1">
      <c r="A111" s="250">
        <v>46170.0</v>
      </c>
      <c r="B111" s="174"/>
      <c r="C111" s="251" t="s">
        <v>169</v>
      </c>
      <c r="D111" s="252" t="s">
        <v>489</v>
      </c>
      <c r="E111" s="253" t="s">
        <v>82</v>
      </c>
      <c r="F111" s="256">
        <v>156.19</v>
      </c>
      <c r="G111" s="255" t="s">
        <v>459</v>
      </c>
      <c r="H111" s="178"/>
      <c r="I111" s="178"/>
      <c r="J111" s="179"/>
      <c r="K111" s="179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</row>
    <row r="112" ht="22.5" customHeight="1">
      <c r="A112" s="173"/>
      <c r="B112" s="174"/>
      <c r="C112" s="175"/>
      <c r="D112" s="176"/>
      <c r="E112" s="257"/>
      <c r="F112" s="177"/>
      <c r="G112" s="178"/>
      <c r="H112" s="178"/>
      <c r="I112" s="178"/>
      <c r="J112" s="179"/>
      <c r="K112" s="179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</row>
    <row r="113" ht="22.5" customHeight="1">
      <c r="A113" s="173"/>
      <c r="B113" s="174"/>
      <c r="C113" s="175"/>
      <c r="D113" s="176"/>
      <c r="E113" s="257"/>
      <c r="F113" s="177"/>
      <c r="G113" s="178"/>
      <c r="H113" s="178"/>
      <c r="I113" s="178"/>
      <c r="J113" s="179"/>
      <c r="K113" s="179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</row>
    <row r="114" ht="22.5" customHeight="1">
      <c r="A114" s="173"/>
      <c r="B114" s="174"/>
      <c r="C114" s="175"/>
      <c r="D114" s="176"/>
      <c r="E114" s="257"/>
      <c r="F114" s="177"/>
      <c r="G114" s="178"/>
      <c r="H114" s="178"/>
      <c r="I114" s="178"/>
      <c r="J114" s="179"/>
      <c r="K114" s="179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</row>
    <row r="115" ht="22.5" customHeight="1">
      <c r="A115" s="173"/>
      <c r="B115" s="174"/>
      <c r="C115" s="175"/>
      <c r="D115" s="176"/>
      <c r="E115" s="257"/>
      <c r="F115" s="177"/>
      <c r="G115" s="178"/>
      <c r="H115" s="178"/>
      <c r="I115" s="178"/>
      <c r="J115" s="179"/>
      <c r="K115" s="179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</row>
    <row r="116" ht="22.5" customHeight="1">
      <c r="A116" s="173"/>
      <c r="B116" s="174"/>
      <c r="C116" s="175"/>
      <c r="D116" s="176"/>
      <c r="E116" s="257"/>
      <c r="F116" s="177"/>
      <c r="G116" s="178"/>
      <c r="H116" s="178"/>
      <c r="I116" s="178"/>
      <c r="J116" s="179"/>
      <c r="K116" s="179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4">
      <c r="B4" s="26" t="s">
        <v>38</v>
      </c>
    </row>
    <row r="5">
      <c r="B5" s="258" t="s">
        <v>10</v>
      </c>
      <c r="D5" s="26" t="s">
        <v>38</v>
      </c>
    </row>
    <row r="6">
      <c r="B6" s="258" t="s">
        <v>11</v>
      </c>
      <c r="D6" s="26" t="s">
        <v>64</v>
      </c>
    </row>
    <row r="7">
      <c r="B7" s="258" t="s">
        <v>12</v>
      </c>
      <c r="D7" s="26" t="s">
        <v>40</v>
      </c>
    </row>
    <row r="8">
      <c r="B8" s="258" t="s">
        <v>13</v>
      </c>
      <c r="D8" s="26" t="s">
        <v>66</v>
      </c>
    </row>
    <row r="9">
      <c r="B9" s="258" t="s">
        <v>14</v>
      </c>
      <c r="D9" s="26" t="s">
        <v>67</v>
      </c>
    </row>
    <row r="10">
      <c r="B10" s="258" t="s">
        <v>15</v>
      </c>
      <c r="D10" s="26" t="s">
        <v>65</v>
      </c>
    </row>
    <row r="11">
      <c r="B11" s="258" t="s">
        <v>16</v>
      </c>
    </row>
    <row r="12">
      <c r="B12" s="258" t="s">
        <v>17</v>
      </c>
    </row>
    <row r="13">
      <c r="B13" s="258" t="s">
        <v>18</v>
      </c>
    </row>
    <row r="14">
      <c r="B14" s="258" t="s">
        <v>33</v>
      </c>
    </row>
    <row r="15">
      <c r="B15" s="258" t="s">
        <v>19</v>
      </c>
    </row>
    <row r="16">
      <c r="B16" s="258" t="s">
        <v>20</v>
      </c>
    </row>
    <row r="17">
      <c r="B17" s="258" t="s">
        <v>21</v>
      </c>
    </row>
    <row r="18">
      <c r="B18" s="258" t="s">
        <v>29</v>
      </c>
    </row>
    <row r="19">
      <c r="B19" s="258" t="s">
        <v>81</v>
      </c>
    </row>
    <row r="20">
      <c r="B20" s="258" t="s">
        <v>22</v>
      </c>
    </row>
    <row r="21">
      <c r="B21" s="258" t="s">
        <v>23</v>
      </c>
    </row>
    <row r="22">
      <c r="B22" s="258" t="s">
        <v>30</v>
      </c>
    </row>
    <row r="23">
      <c r="B23" s="258" t="s">
        <v>24</v>
      </c>
    </row>
    <row r="24">
      <c r="B24" s="258" t="s">
        <v>25</v>
      </c>
    </row>
    <row r="25">
      <c r="B25" s="258" t="s">
        <v>28</v>
      </c>
    </row>
    <row r="26">
      <c r="B26" s="258" t="s">
        <v>34</v>
      </c>
    </row>
    <row r="27">
      <c r="B27" s="26" t="s">
        <v>36</v>
      </c>
    </row>
    <row r="28">
      <c r="B28" s="26" t="s">
        <v>26</v>
      </c>
    </row>
    <row r="29">
      <c r="B29" s="26" t="s">
        <v>35</v>
      </c>
    </row>
    <row r="30">
      <c r="B30" s="26" t="s">
        <v>27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43"/>
    <col customWidth="1" min="2" max="2" width="16.57"/>
    <col customWidth="1" min="3" max="3" width="21.71"/>
    <col customWidth="1" min="4" max="4" width="32.0"/>
    <col customWidth="1" min="5" max="5" width="19.71"/>
    <col customWidth="1" hidden="1" min="6" max="6" width="19.71"/>
    <col customWidth="1" min="7" max="7" width="26.71"/>
    <col customWidth="1" min="8" max="8" width="36.0"/>
    <col customWidth="1" min="9" max="9" width="40.0"/>
    <col customWidth="1" min="10" max="10" width="31.14"/>
    <col customWidth="1" min="11" max="26" width="8.71"/>
  </cols>
  <sheetData>
    <row r="1">
      <c r="B1" s="85"/>
      <c r="C1" s="85"/>
      <c r="D1" s="85"/>
      <c r="E1" s="85"/>
      <c r="F1" s="85"/>
      <c r="G1" s="85"/>
      <c r="H1" s="85"/>
      <c r="I1" s="85"/>
      <c r="J1" s="259"/>
    </row>
    <row r="2">
      <c r="B2" s="85"/>
      <c r="C2" s="85" t="s">
        <v>490</v>
      </c>
      <c r="J2" s="259"/>
    </row>
    <row r="3" ht="21.75" customHeight="1">
      <c r="B3" s="85"/>
      <c r="C3" s="85"/>
      <c r="D3" s="85"/>
      <c r="E3" s="85"/>
      <c r="F3" s="85"/>
      <c r="G3" s="85"/>
      <c r="H3" s="85"/>
      <c r="I3" s="85"/>
      <c r="J3" s="259"/>
    </row>
    <row r="4" ht="21.75" customHeight="1">
      <c r="B4" s="85"/>
      <c r="C4" s="85"/>
      <c r="D4" s="85"/>
      <c r="E4" s="85"/>
      <c r="F4" s="85"/>
      <c r="G4" s="85"/>
      <c r="H4" s="85"/>
      <c r="I4" s="85"/>
      <c r="J4" s="259"/>
    </row>
    <row r="5">
      <c r="B5" s="260" t="s">
        <v>6</v>
      </c>
      <c r="C5" s="260" t="s">
        <v>491</v>
      </c>
      <c r="D5" s="260" t="s">
        <v>5</v>
      </c>
      <c r="E5" s="260" t="s">
        <v>492</v>
      </c>
      <c r="F5" s="260" t="s">
        <v>493</v>
      </c>
      <c r="G5" s="260" t="s">
        <v>494</v>
      </c>
      <c r="H5" s="260" t="s">
        <v>495</v>
      </c>
      <c r="I5" s="260" t="s">
        <v>7</v>
      </c>
      <c r="J5" s="261" t="s">
        <v>68</v>
      </c>
    </row>
    <row r="6">
      <c r="B6" s="262" t="s">
        <v>149</v>
      </c>
      <c r="C6" s="262" t="s">
        <v>150</v>
      </c>
      <c r="D6" s="262" t="s">
        <v>496</v>
      </c>
      <c r="E6" s="263">
        <v>102686.0</v>
      </c>
      <c r="F6" s="264">
        <v>45908.0</v>
      </c>
      <c r="G6" s="265">
        <v>110000.0</v>
      </c>
      <c r="H6" s="266" t="s">
        <v>497</v>
      </c>
      <c r="I6" s="267" t="s">
        <v>498</v>
      </c>
      <c r="J6" s="268"/>
    </row>
    <row r="7">
      <c r="B7" s="269" t="s">
        <v>155</v>
      </c>
      <c r="C7" s="269" t="s">
        <v>150</v>
      </c>
      <c r="D7" s="269" t="s">
        <v>496</v>
      </c>
      <c r="E7" s="270">
        <v>91688.0</v>
      </c>
      <c r="F7" s="271">
        <v>45693.0</v>
      </c>
      <c r="G7" s="272">
        <v>100000.0</v>
      </c>
      <c r="H7" s="273" t="s">
        <v>497</v>
      </c>
      <c r="I7" s="274"/>
      <c r="J7" s="268"/>
    </row>
    <row r="8">
      <c r="B8" s="262" t="s">
        <v>157</v>
      </c>
      <c r="C8" s="262" t="s">
        <v>150</v>
      </c>
      <c r="D8" s="262" t="s">
        <v>496</v>
      </c>
      <c r="E8" s="263">
        <v>85816.0</v>
      </c>
      <c r="F8" s="264">
        <v>45797.0</v>
      </c>
      <c r="G8" s="265">
        <v>90000.0</v>
      </c>
      <c r="H8" s="266" t="s">
        <v>497</v>
      </c>
      <c r="I8" s="275"/>
      <c r="J8" s="268"/>
    </row>
    <row r="9">
      <c r="B9" s="269" t="s">
        <v>159</v>
      </c>
      <c r="C9" s="269" t="s">
        <v>150</v>
      </c>
      <c r="D9" s="269" t="s">
        <v>499</v>
      </c>
      <c r="E9" s="270">
        <v>101341.0</v>
      </c>
      <c r="F9" s="271">
        <v>45853.0</v>
      </c>
      <c r="G9" s="272">
        <v>110000.0</v>
      </c>
      <c r="H9" s="273" t="s">
        <v>497</v>
      </c>
      <c r="I9" s="267" t="s">
        <v>500</v>
      </c>
      <c r="J9" s="268"/>
    </row>
    <row r="10">
      <c r="B10" s="262" t="s">
        <v>162</v>
      </c>
      <c r="C10" s="262" t="s">
        <v>150</v>
      </c>
      <c r="D10" s="262" t="s">
        <v>496</v>
      </c>
      <c r="E10" s="263">
        <v>85476.0</v>
      </c>
      <c r="F10" s="264">
        <v>45876.0</v>
      </c>
      <c r="G10" s="265">
        <v>100000.0</v>
      </c>
      <c r="H10" s="266" t="s">
        <v>497</v>
      </c>
      <c r="I10" s="275"/>
      <c r="J10" s="268"/>
    </row>
    <row r="11">
      <c r="B11" s="269" t="s">
        <v>164</v>
      </c>
      <c r="C11" s="269" t="s">
        <v>150</v>
      </c>
      <c r="D11" s="269" t="s">
        <v>499</v>
      </c>
      <c r="E11" s="270">
        <v>104832.0</v>
      </c>
      <c r="F11" s="276">
        <v>45817.0</v>
      </c>
      <c r="G11" s="272">
        <v>110000.0</v>
      </c>
      <c r="H11" s="273" t="s">
        <v>497</v>
      </c>
      <c r="I11" s="274"/>
      <c r="J11" s="268"/>
    </row>
    <row r="12">
      <c r="B12" s="277" t="s">
        <v>169</v>
      </c>
      <c r="C12" s="277" t="s">
        <v>170</v>
      </c>
      <c r="D12" s="262" t="s">
        <v>496</v>
      </c>
      <c r="E12" s="278" t="s">
        <v>501</v>
      </c>
      <c r="F12" s="278"/>
      <c r="G12" s="265"/>
      <c r="H12" s="273" t="s">
        <v>497</v>
      </c>
      <c r="I12" s="279"/>
      <c r="J12" s="268"/>
    </row>
    <row r="13">
      <c r="B13" s="280"/>
      <c r="C13" s="269"/>
      <c r="D13" s="269"/>
      <c r="E13" s="281"/>
      <c r="F13" s="281"/>
      <c r="G13" s="272"/>
      <c r="H13" s="273" t="s">
        <v>497</v>
      </c>
      <c r="I13" s="279"/>
      <c r="J13" s="268"/>
    </row>
    <row r="14">
      <c r="B14" s="280" t="s">
        <v>178</v>
      </c>
      <c r="C14" s="262" t="s">
        <v>502</v>
      </c>
      <c r="D14" s="269" t="s">
        <v>503</v>
      </c>
      <c r="E14" s="263">
        <v>12138.0</v>
      </c>
      <c r="F14" s="278"/>
      <c r="G14" s="272">
        <v>20000.0</v>
      </c>
      <c r="H14" s="273" t="s">
        <v>497</v>
      </c>
      <c r="I14" s="279"/>
      <c r="J14" s="268"/>
    </row>
    <row r="15">
      <c r="B15" s="280" t="s">
        <v>181</v>
      </c>
      <c r="C15" s="262" t="s">
        <v>502</v>
      </c>
      <c r="D15" s="269" t="s">
        <v>503</v>
      </c>
      <c r="E15" s="270">
        <v>12804.0</v>
      </c>
      <c r="F15" s="276"/>
      <c r="G15" s="272">
        <v>20000.0</v>
      </c>
      <c r="H15" s="273" t="s">
        <v>497</v>
      </c>
      <c r="I15" s="279"/>
      <c r="J15" s="268"/>
    </row>
    <row r="16">
      <c r="B16" s="280" t="s">
        <v>183</v>
      </c>
      <c r="C16" s="262" t="s">
        <v>502</v>
      </c>
      <c r="D16" s="269" t="s">
        <v>503</v>
      </c>
      <c r="E16" s="263">
        <v>12422.0</v>
      </c>
      <c r="F16" s="282"/>
      <c r="G16" s="272">
        <v>20000.0</v>
      </c>
      <c r="H16" s="273" t="s">
        <v>497</v>
      </c>
      <c r="I16" s="279"/>
      <c r="J16" s="268"/>
    </row>
    <row r="17">
      <c r="B17" s="280" t="s">
        <v>185</v>
      </c>
      <c r="C17" s="262" t="s">
        <v>502</v>
      </c>
      <c r="D17" s="269" t="s">
        <v>503</v>
      </c>
      <c r="E17" s="270">
        <v>11018.0</v>
      </c>
      <c r="F17" s="276"/>
      <c r="G17" s="272">
        <v>20000.0</v>
      </c>
      <c r="H17" s="273" t="s">
        <v>497</v>
      </c>
      <c r="I17" s="267" t="s">
        <v>504</v>
      </c>
      <c r="J17" s="268"/>
    </row>
    <row r="18">
      <c r="B18" s="280" t="s">
        <v>187</v>
      </c>
      <c r="C18" s="262" t="s">
        <v>502</v>
      </c>
      <c r="D18" s="269" t="s">
        <v>503</v>
      </c>
      <c r="E18" s="263">
        <v>13480.0</v>
      </c>
      <c r="F18" s="264"/>
      <c r="G18" s="272">
        <v>20000.0</v>
      </c>
      <c r="H18" s="273" t="s">
        <v>497</v>
      </c>
      <c r="I18" s="279"/>
      <c r="J18" s="268"/>
    </row>
    <row r="19">
      <c r="B19" s="280" t="s">
        <v>189</v>
      </c>
      <c r="C19" s="262" t="s">
        <v>502</v>
      </c>
      <c r="D19" s="269" t="s">
        <v>499</v>
      </c>
      <c r="E19" s="270">
        <v>10134.0</v>
      </c>
      <c r="F19" s="276"/>
      <c r="G19" s="272">
        <v>20000.0</v>
      </c>
      <c r="H19" s="273" t="s">
        <v>497</v>
      </c>
      <c r="I19" s="267" t="s">
        <v>505</v>
      </c>
      <c r="J19" s="268"/>
    </row>
    <row r="20">
      <c r="B20" s="280" t="s">
        <v>192</v>
      </c>
      <c r="C20" s="262" t="s">
        <v>502</v>
      </c>
      <c r="D20" s="269" t="s">
        <v>503</v>
      </c>
      <c r="E20" s="263">
        <v>13523.0</v>
      </c>
      <c r="F20" s="264"/>
      <c r="G20" s="272">
        <v>19000.0</v>
      </c>
      <c r="H20" s="273" t="s">
        <v>497</v>
      </c>
      <c r="I20" s="279"/>
      <c r="J20" s="268"/>
    </row>
    <row r="21" ht="15.75" customHeight="1">
      <c r="B21" s="280" t="s">
        <v>195</v>
      </c>
      <c r="C21" s="262" t="s">
        <v>502</v>
      </c>
      <c r="D21" s="262" t="s">
        <v>496</v>
      </c>
      <c r="E21" s="283">
        <v>12223.0</v>
      </c>
      <c r="F21" s="284"/>
      <c r="G21" s="272">
        <v>19000.0</v>
      </c>
      <c r="H21" s="273" t="s">
        <v>497</v>
      </c>
      <c r="I21" s="279"/>
      <c r="J21" s="268"/>
    </row>
    <row r="22" ht="15.75" customHeight="1">
      <c r="B22" s="280" t="s">
        <v>197</v>
      </c>
      <c r="C22" s="262" t="s">
        <v>502</v>
      </c>
      <c r="D22" s="269" t="s">
        <v>499</v>
      </c>
      <c r="E22" s="283">
        <v>10204.0</v>
      </c>
      <c r="F22" s="284"/>
      <c r="G22" s="272">
        <v>20000.0</v>
      </c>
      <c r="H22" s="273" t="s">
        <v>497</v>
      </c>
      <c r="I22" s="267" t="s">
        <v>506</v>
      </c>
      <c r="J22" s="268"/>
    </row>
    <row r="23" ht="15.75" customHeight="1">
      <c r="B23" s="280" t="s">
        <v>199</v>
      </c>
      <c r="C23" s="262" t="s">
        <v>502</v>
      </c>
      <c r="D23" s="269" t="s">
        <v>503</v>
      </c>
      <c r="E23" s="283">
        <v>13540.0</v>
      </c>
      <c r="F23" s="284"/>
      <c r="G23" s="272">
        <v>19000.0</v>
      </c>
      <c r="H23" s="273" t="s">
        <v>497</v>
      </c>
      <c r="I23" s="279"/>
      <c r="J23" s="268"/>
    </row>
    <row r="24" ht="15.75" customHeight="1">
      <c r="B24" s="285" t="s">
        <v>166</v>
      </c>
      <c r="C24" s="285" t="s">
        <v>167</v>
      </c>
      <c r="D24" s="285" t="s">
        <v>507</v>
      </c>
      <c r="E24" s="283">
        <v>19800.0</v>
      </c>
      <c r="F24" s="284">
        <v>45804.0</v>
      </c>
      <c r="G24" s="272">
        <v>29800.0</v>
      </c>
      <c r="H24" s="273" t="s">
        <v>497</v>
      </c>
      <c r="I24" s="279"/>
      <c r="J24" s="268"/>
    </row>
    <row r="25" ht="15.75" customHeight="1">
      <c r="B25" s="278" t="s">
        <v>508</v>
      </c>
      <c r="C25" s="278" t="s">
        <v>509</v>
      </c>
      <c r="D25" s="278" t="s">
        <v>507</v>
      </c>
      <c r="E25" s="263">
        <v>50706.0</v>
      </c>
      <c r="F25" s="282">
        <v>45684.0</v>
      </c>
      <c r="G25" s="265">
        <v>60000.0</v>
      </c>
      <c r="H25" s="273" t="s">
        <v>497</v>
      </c>
      <c r="I25" s="279"/>
      <c r="J25" s="268"/>
    </row>
    <row r="26" ht="15.75" customHeight="1">
      <c r="B26" s="286" t="s">
        <v>202</v>
      </c>
      <c r="C26" s="287" t="s">
        <v>502</v>
      </c>
      <c r="D26" s="287" t="s">
        <v>507</v>
      </c>
      <c r="E26" s="288">
        <v>18255.0</v>
      </c>
      <c r="F26" s="289"/>
      <c r="G26" s="290">
        <v>28255.0</v>
      </c>
      <c r="H26" s="273" t="s">
        <v>497</v>
      </c>
      <c r="I26" s="291"/>
      <c r="J26" s="268"/>
    </row>
    <row r="27" ht="15.75" customHeight="1">
      <c r="B27" s="292" t="s">
        <v>213</v>
      </c>
      <c r="C27" s="293" t="s">
        <v>170</v>
      </c>
      <c r="D27" s="294" t="s">
        <v>499</v>
      </c>
      <c r="E27" s="288">
        <v>11623.0</v>
      </c>
      <c r="F27" s="295"/>
      <c r="G27" s="296">
        <v>20000.0</v>
      </c>
      <c r="H27" s="273" t="s">
        <v>497</v>
      </c>
      <c r="I27" s="291"/>
      <c r="J27" s="268"/>
    </row>
    <row r="28" ht="15.75" customHeight="1">
      <c r="B28" s="297" t="s">
        <v>467</v>
      </c>
      <c r="C28" s="293" t="s">
        <v>170</v>
      </c>
      <c r="D28" s="294" t="s">
        <v>499</v>
      </c>
      <c r="E28" s="288">
        <v>11769.0</v>
      </c>
      <c r="F28" s="295"/>
      <c r="G28" s="296">
        <v>20000.0</v>
      </c>
      <c r="H28" s="273" t="s">
        <v>497</v>
      </c>
      <c r="I28" s="291"/>
      <c r="J28" s="268"/>
    </row>
    <row r="29" ht="15.75" customHeight="1">
      <c r="B29" s="298" t="s">
        <v>134</v>
      </c>
      <c r="C29" s="293" t="s">
        <v>510</v>
      </c>
      <c r="D29" s="269" t="s">
        <v>503</v>
      </c>
      <c r="E29" s="288">
        <v>11769.0</v>
      </c>
      <c r="F29" s="295"/>
      <c r="G29" s="296">
        <v>20000.0</v>
      </c>
      <c r="H29" s="273" t="s">
        <v>497</v>
      </c>
      <c r="I29" s="291"/>
      <c r="J29" s="268"/>
    </row>
    <row r="30" ht="15.75" customHeight="1">
      <c r="B30" s="299" t="s">
        <v>174</v>
      </c>
      <c r="C30" s="293" t="s">
        <v>175</v>
      </c>
      <c r="D30" s="278" t="s">
        <v>507</v>
      </c>
      <c r="E30" s="288">
        <v>11769.0</v>
      </c>
      <c r="F30" s="295"/>
      <c r="G30" s="296">
        <v>20000.0</v>
      </c>
      <c r="H30" s="273" t="s">
        <v>497</v>
      </c>
      <c r="I30" s="291"/>
      <c r="J30" s="268"/>
    </row>
    <row r="31" ht="15.75" customHeight="1">
      <c r="J31" s="300"/>
    </row>
    <row r="32" ht="15.75" customHeight="1">
      <c r="J32" s="300"/>
    </row>
    <row r="33" ht="15.75" customHeight="1">
      <c r="J33" s="300"/>
    </row>
    <row r="34" ht="15.75" customHeight="1">
      <c r="J34" s="300"/>
    </row>
    <row r="35" ht="15.75" customHeight="1">
      <c r="J35" s="300"/>
    </row>
    <row r="36" ht="15.75" customHeight="1">
      <c r="J36" s="300"/>
    </row>
    <row r="37" ht="15.75" customHeight="1">
      <c r="J37" s="300"/>
    </row>
    <row r="38" ht="15.75" customHeight="1">
      <c r="J38" s="300"/>
    </row>
    <row r="39" ht="15.75" customHeight="1">
      <c r="J39" s="300"/>
    </row>
    <row r="40" ht="15.75" customHeight="1">
      <c r="J40" s="300"/>
    </row>
    <row r="41" ht="15.75" customHeight="1">
      <c r="J41" s="300"/>
    </row>
    <row r="42" ht="15.75" customHeight="1">
      <c r="J42" s="300"/>
    </row>
    <row r="43" ht="15.75" customHeight="1">
      <c r="J43" s="300"/>
    </row>
    <row r="44" ht="15.75" customHeight="1">
      <c r="J44" s="300"/>
    </row>
    <row r="45" ht="15.75" customHeight="1">
      <c r="J45" s="300"/>
    </row>
    <row r="46" ht="15.75" customHeight="1">
      <c r="J46" s="300"/>
    </row>
    <row r="47" ht="15.75" customHeight="1">
      <c r="J47" s="300"/>
    </row>
    <row r="48" ht="15.75" customHeight="1">
      <c r="J48" s="300"/>
    </row>
    <row r="49" ht="15.75" customHeight="1">
      <c r="J49" s="300"/>
    </row>
    <row r="50" ht="15.75" customHeight="1">
      <c r="J50" s="300"/>
    </row>
    <row r="51" ht="15.75" customHeight="1">
      <c r="J51" s="300"/>
    </row>
    <row r="52" ht="15.75" customHeight="1">
      <c r="J52" s="300"/>
    </row>
    <row r="53" ht="15.75" customHeight="1">
      <c r="J53" s="300"/>
    </row>
    <row r="54" ht="15.75" customHeight="1">
      <c r="J54" s="300"/>
    </row>
    <row r="55" ht="15.75" customHeight="1">
      <c r="J55" s="300"/>
    </row>
    <row r="56" ht="15.75" customHeight="1">
      <c r="J56" s="300"/>
    </row>
    <row r="57" ht="15.75" customHeight="1">
      <c r="J57" s="300"/>
    </row>
    <row r="58" ht="15.75" customHeight="1">
      <c r="J58" s="300"/>
    </row>
    <row r="59" ht="15.75" customHeight="1">
      <c r="J59" s="300"/>
    </row>
    <row r="60" ht="15.75" customHeight="1">
      <c r="J60" s="300"/>
    </row>
    <row r="61" ht="15.75" customHeight="1">
      <c r="J61" s="300"/>
    </row>
    <row r="62" ht="15.75" customHeight="1">
      <c r="J62" s="300"/>
    </row>
    <row r="63" ht="15.75" customHeight="1">
      <c r="J63" s="300"/>
    </row>
    <row r="64" ht="15.75" customHeight="1">
      <c r="J64" s="300"/>
    </row>
    <row r="65" ht="15.75" customHeight="1">
      <c r="J65" s="300"/>
    </row>
    <row r="66" ht="15.75" customHeight="1">
      <c r="J66" s="300"/>
    </row>
    <row r="67" ht="15.75" customHeight="1">
      <c r="J67" s="300"/>
    </row>
    <row r="68" ht="15.75" customHeight="1">
      <c r="J68" s="300"/>
    </row>
    <row r="69" ht="15.75" customHeight="1">
      <c r="J69" s="300"/>
    </row>
    <row r="70" ht="15.75" customHeight="1">
      <c r="J70" s="300"/>
    </row>
    <row r="71" ht="15.75" customHeight="1">
      <c r="J71" s="300"/>
    </row>
    <row r="72" ht="15.75" customHeight="1">
      <c r="J72" s="300"/>
    </row>
    <row r="73" ht="15.75" customHeight="1">
      <c r="J73" s="300"/>
    </row>
    <row r="74" ht="15.75" customHeight="1">
      <c r="J74" s="300"/>
    </row>
    <row r="75" ht="15.75" customHeight="1">
      <c r="J75" s="300"/>
    </row>
    <row r="76" ht="15.75" customHeight="1">
      <c r="J76" s="300"/>
    </row>
    <row r="77" ht="15.75" customHeight="1">
      <c r="J77" s="300"/>
    </row>
    <row r="78" ht="15.75" customHeight="1">
      <c r="J78" s="300"/>
    </row>
    <row r="79" ht="15.75" customHeight="1">
      <c r="J79" s="300"/>
    </row>
    <row r="80" ht="15.75" customHeight="1">
      <c r="J80" s="300"/>
    </row>
    <row r="81" ht="15.75" customHeight="1">
      <c r="J81" s="300"/>
    </row>
    <row r="82" ht="15.75" customHeight="1">
      <c r="J82" s="300"/>
    </row>
    <row r="83" ht="15.75" customHeight="1">
      <c r="J83" s="300"/>
    </row>
    <row r="84" ht="15.75" customHeight="1">
      <c r="J84" s="300"/>
    </row>
    <row r="85" ht="15.75" customHeight="1">
      <c r="J85" s="300"/>
    </row>
    <row r="86" ht="15.75" customHeight="1">
      <c r="J86" s="300"/>
    </row>
    <row r="87" ht="15.75" customHeight="1">
      <c r="J87" s="300"/>
    </row>
    <row r="88" ht="15.75" customHeight="1">
      <c r="J88" s="300"/>
    </row>
    <row r="89" ht="15.75" customHeight="1">
      <c r="J89" s="300"/>
    </row>
    <row r="90" ht="15.75" customHeight="1">
      <c r="J90" s="300"/>
    </row>
    <row r="91" ht="15.75" customHeight="1">
      <c r="J91" s="300"/>
    </row>
    <row r="92" ht="15.75" customHeight="1">
      <c r="J92" s="300"/>
    </row>
    <row r="93" ht="15.75" customHeight="1">
      <c r="J93" s="300"/>
    </row>
    <row r="94" ht="15.75" customHeight="1">
      <c r="J94" s="300"/>
    </row>
    <row r="95" ht="15.75" customHeight="1">
      <c r="J95" s="300"/>
    </row>
    <row r="96" ht="15.75" customHeight="1">
      <c r="J96" s="300"/>
    </row>
    <row r="97" ht="15.75" customHeight="1">
      <c r="J97" s="300"/>
    </row>
    <row r="98" ht="15.75" customHeight="1">
      <c r="J98" s="300"/>
    </row>
    <row r="99" ht="15.75" customHeight="1">
      <c r="J99" s="300"/>
    </row>
    <row r="100" ht="15.75" customHeight="1">
      <c r="J100" s="300"/>
    </row>
    <row r="101" ht="15.75" customHeight="1">
      <c r="J101" s="300"/>
    </row>
    <row r="102" ht="15.75" customHeight="1">
      <c r="J102" s="300"/>
    </row>
    <row r="103" ht="15.75" customHeight="1">
      <c r="J103" s="300"/>
    </row>
    <row r="104" ht="15.75" customHeight="1">
      <c r="J104" s="300"/>
    </row>
    <row r="105" ht="15.75" customHeight="1">
      <c r="J105" s="300"/>
    </row>
    <row r="106" ht="15.75" customHeight="1">
      <c r="J106" s="300"/>
    </row>
    <row r="107" ht="15.75" customHeight="1">
      <c r="J107" s="300"/>
    </row>
    <row r="108" ht="15.75" customHeight="1">
      <c r="J108" s="300"/>
    </row>
    <row r="109" ht="15.75" customHeight="1">
      <c r="J109" s="300"/>
    </row>
    <row r="110" ht="15.75" customHeight="1">
      <c r="J110" s="259"/>
    </row>
    <row r="111" ht="15.75" customHeight="1">
      <c r="J111" s="259"/>
    </row>
    <row r="112" ht="15.75" customHeight="1">
      <c r="J112" s="259"/>
    </row>
    <row r="113" ht="15.75" customHeight="1">
      <c r="J113" s="259"/>
    </row>
    <row r="114" ht="15.75" customHeight="1">
      <c r="J114" s="259"/>
    </row>
    <row r="115" ht="15.75" customHeight="1">
      <c r="J115" s="259"/>
    </row>
    <row r="116" ht="15.75" customHeight="1">
      <c r="J116" s="259"/>
    </row>
    <row r="117" ht="15.75" customHeight="1">
      <c r="J117" s="259"/>
    </row>
    <row r="118" ht="15.75" customHeight="1">
      <c r="J118" s="259"/>
    </row>
    <row r="119" ht="15.75" customHeight="1">
      <c r="J119" s="259"/>
    </row>
    <row r="120" ht="15.75" customHeight="1">
      <c r="J120" s="259"/>
    </row>
    <row r="121" ht="15.75" customHeight="1">
      <c r="J121" s="259"/>
    </row>
    <row r="122" ht="15.75" customHeight="1">
      <c r="J122" s="259"/>
    </row>
    <row r="123" ht="15.75" customHeight="1">
      <c r="J123" s="259"/>
    </row>
    <row r="124" ht="15.75" customHeight="1">
      <c r="J124" s="259"/>
    </row>
    <row r="125" ht="15.75" customHeight="1">
      <c r="J125" s="259"/>
    </row>
    <row r="126" ht="15.75" customHeight="1">
      <c r="J126" s="259"/>
    </row>
    <row r="127" ht="15.75" customHeight="1">
      <c r="J127" s="259"/>
    </row>
    <row r="128" ht="15.75" customHeight="1">
      <c r="J128" s="259"/>
    </row>
    <row r="129" ht="15.75" customHeight="1">
      <c r="J129" s="259"/>
    </row>
    <row r="130" ht="15.75" customHeight="1">
      <c r="J130" s="259"/>
    </row>
    <row r="131" ht="15.75" customHeight="1">
      <c r="J131" s="259"/>
    </row>
    <row r="132" ht="15.75" customHeight="1">
      <c r="J132" s="259"/>
    </row>
    <row r="133" ht="15.75" customHeight="1">
      <c r="J133" s="259"/>
    </row>
    <row r="134" ht="15.75" customHeight="1">
      <c r="J134" s="259"/>
    </row>
    <row r="135" ht="15.75" customHeight="1">
      <c r="J135" s="259"/>
    </row>
    <row r="136" ht="15.75" customHeight="1">
      <c r="J136" s="259"/>
    </row>
    <row r="137" ht="15.75" customHeight="1">
      <c r="J137" s="259"/>
    </row>
    <row r="138" ht="15.75" customHeight="1">
      <c r="J138" s="259"/>
    </row>
    <row r="139" ht="15.75" customHeight="1">
      <c r="J139" s="259"/>
    </row>
    <row r="140" ht="15.75" customHeight="1">
      <c r="J140" s="259"/>
    </row>
    <row r="141" ht="15.75" customHeight="1">
      <c r="J141" s="259"/>
    </row>
    <row r="142" ht="15.75" customHeight="1">
      <c r="J142" s="259"/>
    </row>
    <row r="143" ht="15.75" customHeight="1">
      <c r="J143" s="259"/>
    </row>
    <row r="144" ht="15.75" customHeight="1">
      <c r="J144" s="259"/>
    </row>
    <row r="145" ht="15.75" customHeight="1">
      <c r="J145" s="259"/>
    </row>
    <row r="146" ht="15.75" customHeight="1">
      <c r="J146" s="259"/>
    </row>
    <row r="147" ht="15.75" customHeight="1">
      <c r="J147" s="259"/>
    </row>
    <row r="148" ht="15.75" customHeight="1">
      <c r="J148" s="259"/>
    </row>
    <row r="149" ht="15.75" customHeight="1">
      <c r="J149" s="259"/>
    </row>
    <row r="150" ht="15.75" customHeight="1">
      <c r="J150" s="259"/>
    </row>
    <row r="151" ht="15.75" customHeight="1">
      <c r="J151" s="259"/>
    </row>
    <row r="152" ht="15.75" customHeight="1">
      <c r="J152" s="259"/>
    </row>
    <row r="153" ht="15.75" customHeight="1">
      <c r="J153" s="259"/>
    </row>
    <row r="154" ht="15.75" customHeight="1">
      <c r="J154" s="259"/>
    </row>
    <row r="155" ht="15.75" customHeight="1">
      <c r="J155" s="259"/>
    </row>
    <row r="156" ht="15.75" customHeight="1">
      <c r="J156" s="259"/>
    </row>
    <row r="157" ht="15.75" customHeight="1">
      <c r="J157" s="259"/>
    </row>
    <row r="158" ht="15.75" customHeight="1">
      <c r="J158" s="259"/>
    </row>
    <row r="159" ht="15.75" customHeight="1">
      <c r="J159" s="259"/>
    </row>
    <row r="160" ht="15.75" customHeight="1">
      <c r="J160" s="259"/>
    </row>
    <row r="161" ht="15.75" customHeight="1">
      <c r="J161" s="259"/>
    </row>
    <row r="162" ht="15.75" customHeight="1">
      <c r="J162" s="259"/>
    </row>
    <row r="163" ht="15.75" customHeight="1">
      <c r="J163" s="259"/>
    </row>
    <row r="164" ht="15.75" customHeight="1">
      <c r="J164" s="259"/>
    </row>
    <row r="165" ht="15.75" customHeight="1">
      <c r="J165" s="259"/>
    </row>
    <row r="166" ht="15.75" customHeight="1">
      <c r="J166" s="259"/>
    </row>
    <row r="167" ht="15.75" customHeight="1">
      <c r="J167" s="259"/>
    </row>
    <row r="168" ht="15.75" customHeight="1">
      <c r="J168" s="259"/>
    </row>
    <row r="169" ht="15.75" customHeight="1">
      <c r="J169" s="259"/>
    </row>
    <row r="170" ht="15.75" customHeight="1">
      <c r="J170" s="259"/>
    </row>
    <row r="171" ht="15.75" customHeight="1">
      <c r="J171" s="259"/>
    </row>
    <row r="172" ht="15.75" customHeight="1">
      <c r="J172" s="259"/>
    </row>
    <row r="173" ht="15.75" customHeight="1">
      <c r="J173" s="259"/>
    </row>
    <row r="174" ht="15.75" customHeight="1">
      <c r="J174" s="259"/>
    </row>
    <row r="175" ht="15.75" customHeight="1">
      <c r="J175" s="259"/>
    </row>
    <row r="176" ht="15.75" customHeight="1">
      <c r="J176" s="259"/>
    </row>
    <row r="177" ht="15.75" customHeight="1">
      <c r="J177" s="259"/>
    </row>
    <row r="178" ht="15.75" customHeight="1">
      <c r="J178" s="259"/>
    </row>
    <row r="179" ht="15.75" customHeight="1">
      <c r="J179" s="259"/>
    </row>
    <row r="180" ht="15.75" customHeight="1">
      <c r="J180" s="259"/>
    </row>
    <row r="181" ht="15.75" customHeight="1">
      <c r="J181" s="259"/>
    </row>
    <row r="182" ht="15.75" customHeight="1">
      <c r="J182" s="259"/>
    </row>
    <row r="183" ht="15.75" customHeight="1">
      <c r="J183" s="259"/>
    </row>
    <row r="184" ht="15.75" customHeight="1">
      <c r="J184" s="259"/>
    </row>
    <row r="185" ht="15.75" customHeight="1">
      <c r="J185" s="259"/>
    </row>
    <row r="186" ht="15.75" customHeight="1">
      <c r="J186" s="259"/>
    </row>
    <row r="187" ht="15.75" customHeight="1">
      <c r="J187" s="259"/>
    </row>
    <row r="188" ht="15.75" customHeight="1">
      <c r="J188" s="259"/>
    </row>
    <row r="189" ht="15.75" customHeight="1">
      <c r="J189" s="259"/>
    </row>
    <row r="190" ht="15.75" customHeight="1">
      <c r="J190" s="259"/>
    </row>
    <row r="191" ht="15.75" customHeight="1">
      <c r="J191" s="259"/>
    </row>
    <row r="192" ht="15.75" customHeight="1">
      <c r="J192" s="259"/>
    </row>
    <row r="193" ht="15.75" customHeight="1">
      <c r="J193" s="259"/>
    </row>
    <row r="194" ht="15.75" customHeight="1">
      <c r="J194" s="259"/>
    </row>
    <row r="195" ht="15.75" customHeight="1">
      <c r="J195" s="259"/>
    </row>
    <row r="196" ht="15.75" customHeight="1">
      <c r="J196" s="259"/>
    </row>
    <row r="197" ht="15.75" customHeight="1">
      <c r="J197" s="259"/>
    </row>
    <row r="198" ht="15.75" customHeight="1">
      <c r="J198" s="259"/>
    </row>
    <row r="199" ht="15.75" customHeight="1">
      <c r="J199" s="259"/>
    </row>
    <row r="200" ht="15.75" customHeight="1">
      <c r="J200" s="259"/>
    </row>
    <row r="201" ht="15.75" customHeight="1">
      <c r="J201" s="259"/>
    </row>
    <row r="202" ht="15.75" customHeight="1">
      <c r="J202" s="259"/>
    </row>
    <row r="203" ht="15.75" customHeight="1">
      <c r="J203" s="259"/>
    </row>
    <row r="204" ht="15.75" customHeight="1">
      <c r="J204" s="259"/>
    </row>
    <row r="205" ht="15.75" customHeight="1">
      <c r="J205" s="259"/>
    </row>
    <row r="206" ht="15.75" customHeight="1">
      <c r="J206" s="259"/>
    </row>
    <row r="207" ht="15.75" customHeight="1">
      <c r="J207" s="259"/>
    </row>
    <row r="208" ht="15.75" customHeight="1">
      <c r="J208" s="259"/>
    </row>
    <row r="209" ht="15.75" customHeight="1">
      <c r="J209" s="259"/>
    </row>
    <row r="210" ht="15.75" customHeight="1">
      <c r="J210" s="259"/>
    </row>
    <row r="211" ht="15.75" customHeight="1">
      <c r="J211" s="259"/>
    </row>
    <row r="212" ht="15.75" customHeight="1">
      <c r="J212" s="259"/>
    </row>
    <row r="213" ht="15.75" customHeight="1">
      <c r="J213" s="259"/>
    </row>
    <row r="214" ht="15.75" customHeight="1">
      <c r="J214" s="259"/>
    </row>
    <row r="215" ht="15.75" customHeight="1">
      <c r="J215" s="259"/>
    </row>
    <row r="216" ht="15.75" customHeight="1">
      <c r="J216" s="259"/>
    </row>
    <row r="217" ht="15.75" customHeight="1">
      <c r="J217" s="259"/>
    </row>
    <row r="218" ht="15.75" customHeight="1">
      <c r="J218" s="259"/>
    </row>
    <row r="219" ht="15.75" customHeight="1">
      <c r="J219" s="259"/>
    </row>
    <row r="220" ht="15.75" customHeight="1">
      <c r="J220" s="259"/>
    </row>
    <row r="221" ht="15.75" customHeight="1">
      <c r="J221" s="259"/>
    </row>
    <row r="222" ht="15.75" customHeight="1">
      <c r="J222" s="259"/>
    </row>
    <row r="223" ht="15.75" customHeight="1">
      <c r="J223" s="259"/>
    </row>
    <row r="224" ht="15.75" customHeight="1">
      <c r="J224" s="259"/>
    </row>
    <row r="225" ht="15.75" customHeight="1">
      <c r="J225" s="259"/>
    </row>
    <row r="226" ht="15.75" customHeight="1">
      <c r="J226" s="259"/>
    </row>
    <row r="227" ht="15.75" customHeight="1">
      <c r="J227" s="259"/>
    </row>
    <row r="228" ht="15.75" customHeight="1">
      <c r="J228" s="259"/>
    </row>
    <row r="229" ht="15.75" customHeight="1">
      <c r="J229" s="259"/>
    </row>
    <row r="230" ht="15.75" customHeight="1">
      <c r="J230" s="259"/>
    </row>
    <row r="231" ht="15.75" customHeight="1">
      <c r="J231" s="259"/>
    </row>
    <row r="232" ht="15.75" customHeight="1">
      <c r="J232" s="259"/>
    </row>
    <row r="233" ht="15.75" customHeight="1">
      <c r="J233" s="259"/>
    </row>
    <row r="234" ht="15.75" customHeight="1">
      <c r="J234" s="259"/>
    </row>
    <row r="235" ht="15.75" customHeight="1">
      <c r="J235" s="259"/>
    </row>
    <row r="236" ht="15.75" customHeight="1">
      <c r="J236" s="259"/>
    </row>
    <row r="237" ht="15.75" customHeight="1">
      <c r="J237" s="259"/>
    </row>
    <row r="238" ht="15.75" customHeight="1">
      <c r="J238" s="259"/>
    </row>
    <row r="239" ht="15.75" customHeight="1">
      <c r="J239" s="259"/>
    </row>
    <row r="240" ht="15.75" customHeight="1">
      <c r="J240" s="259"/>
    </row>
    <row r="241" ht="15.75" customHeight="1">
      <c r="J241" s="259"/>
    </row>
    <row r="242" ht="15.75" customHeight="1">
      <c r="J242" s="259"/>
    </row>
    <row r="243" ht="15.75" customHeight="1">
      <c r="J243" s="259"/>
    </row>
    <row r="244" ht="15.75" customHeight="1">
      <c r="J244" s="259"/>
    </row>
    <row r="245" ht="15.75" customHeight="1">
      <c r="J245" s="259"/>
    </row>
    <row r="246" ht="15.75" customHeight="1">
      <c r="J246" s="259"/>
    </row>
    <row r="247" ht="15.75" customHeight="1">
      <c r="J247" s="259"/>
    </row>
    <row r="248" ht="15.75" customHeight="1">
      <c r="J248" s="259"/>
    </row>
    <row r="249" ht="15.75" customHeight="1">
      <c r="J249" s="259"/>
    </row>
    <row r="250" ht="15.75" customHeight="1">
      <c r="J250" s="259"/>
    </row>
    <row r="251" ht="15.75" customHeight="1">
      <c r="J251" s="259"/>
    </row>
    <row r="252" ht="15.75" customHeight="1">
      <c r="J252" s="259"/>
    </row>
    <row r="253" ht="15.75" customHeight="1">
      <c r="J253" s="259"/>
    </row>
    <row r="254" ht="15.75" customHeight="1">
      <c r="J254" s="259"/>
    </row>
    <row r="255" ht="15.75" customHeight="1">
      <c r="J255" s="259"/>
    </row>
    <row r="256" ht="15.75" customHeight="1">
      <c r="J256" s="259"/>
    </row>
    <row r="257" ht="15.75" customHeight="1">
      <c r="J257" s="259"/>
    </row>
    <row r="258" ht="15.75" customHeight="1">
      <c r="J258" s="259"/>
    </row>
    <row r="259" ht="15.75" customHeight="1">
      <c r="J259" s="259"/>
    </row>
    <row r="260" ht="15.75" customHeight="1">
      <c r="J260" s="259"/>
    </row>
    <row r="261" ht="15.75" customHeight="1">
      <c r="J261" s="259"/>
    </row>
    <row r="262" ht="15.75" customHeight="1">
      <c r="J262" s="259"/>
    </row>
    <row r="263" ht="15.75" customHeight="1">
      <c r="J263" s="259"/>
    </row>
    <row r="264" ht="15.75" customHeight="1">
      <c r="J264" s="259"/>
    </row>
    <row r="265" ht="15.75" customHeight="1">
      <c r="J265" s="259"/>
    </row>
    <row r="266" ht="15.75" customHeight="1">
      <c r="J266" s="259"/>
    </row>
    <row r="267" ht="15.75" customHeight="1">
      <c r="J267" s="259"/>
    </row>
    <row r="268" ht="15.75" customHeight="1">
      <c r="J268" s="259"/>
    </row>
    <row r="269" ht="15.75" customHeight="1">
      <c r="J269" s="259"/>
    </row>
    <row r="270" ht="15.75" customHeight="1">
      <c r="J270" s="259"/>
    </row>
    <row r="271" ht="15.75" customHeight="1">
      <c r="J271" s="259"/>
    </row>
    <row r="272" ht="15.75" customHeight="1">
      <c r="J272" s="259"/>
    </row>
    <row r="273" ht="15.75" customHeight="1">
      <c r="J273" s="259"/>
    </row>
    <row r="274" ht="15.75" customHeight="1">
      <c r="J274" s="259"/>
    </row>
    <row r="275" ht="15.75" customHeight="1">
      <c r="J275" s="259"/>
    </row>
    <row r="276" ht="15.75" customHeight="1">
      <c r="J276" s="259"/>
    </row>
    <row r="277" ht="15.75" customHeight="1">
      <c r="J277" s="259"/>
    </row>
    <row r="278" ht="15.75" customHeight="1">
      <c r="J278" s="259"/>
    </row>
    <row r="279" ht="15.75" customHeight="1">
      <c r="J279" s="259"/>
    </row>
    <row r="280" ht="15.75" customHeight="1">
      <c r="J280" s="259"/>
    </row>
    <row r="281" ht="15.75" customHeight="1">
      <c r="J281" s="259"/>
    </row>
    <row r="282" ht="15.75" customHeight="1">
      <c r="J282" s="259"/>
    </row>
    <row r="283" ht="15.75" customHeight="1">
      <c r="J283" s="259"/>
    </row>
    <row r="284" ht="15.75" customHeight="1">
      <c r="J284" s="259"/>
    </row>
    <row r="285" ht="15.75" customHeight="1">
      <c r="J285" s="259"/>
    </row>
    <row r="286" ht="15.75" customHeight="1">
      <c r="J286" s="259"/>
    </row>
    <row r="287" ht="15.75" customHeight="1">
      <c r="J287" s="259"/>
    </row>
    <row r="288" ht="15.75" customHeight="1">
      <c r="J288" s="259"/>
    </row>
    <row r="289" ht="15.75" customHeight="1">
      <c r="J289" s="259"/>
    </row>
    <row r="290" ht="15.75" customHeight="1">
      <c r="J290" s="259"/>
    </row>
    <row r="291" ht="15.75" customHeight="1">
      <c r="J291" s="259"/>
    </row>
    <row r="292" ht="15.75" customHeight="1">
      <c r="J292" s="259"/>
    </row>
    <row r="293" ht="15.75" customHeight="1">
      <c r="J293" s="259"/>
    </row>
    <row r="294" ht="15.75" customHeight="1">
      <c r="J294" s="259"/>
    </row>
    <row r="295" ht="15.75" customHeight="1">
      <c r="J295" s="259"/>
    </row>
    <row r="296" ht="15.75" customHeight="1">
      <c r="J296" s="259"/>
    </row>
    <row r="297" ht="15.75" customHeight="1">
      <c r="J297" s="259"/>
    </row>
    <row r="298" ht="15.75" customHeight="1">
      <c r="J298" s="259"/>
    </row>
    <row r="299" ht="15.75" customHeight="1">
      <c r="J299" s="259"/>
    </row>
    <row r="300" ht="15.75" customHeight="1">
      <c r="J300" s="259"/>
    </row>
    <row r="301" ht="15.75" customHeight="1">
      <c r="J301" s="259"/>
    </row>
    <row r="302" ht="15.75" customHeight="1">
      <c r="J302" s="259"/>
    </row>
    <row r="303" ht="15.75" customHeight="1">
      <c r="J303" s="259"/>
    </row>
    <row r="304" ht="15.75" customHeight="1">
      <c r="J304" s="259"/>
    </row>
    <row r="305" ht="15.75" customHeight="1">
      <c r="J305" s="259"/>
    </row>
    <row r="306" ht="15.75" customHeight="1">
      <c r="J306" s="259"/>
    </row>
    <row r="307" ht="15.75" customHeight="1">
      <c r="J307" s="259"/>
    </row>
    <row r="308" ht="15.75" customHeight="1">
      <c r="J308" s="259"/>
    </row>
    <row r="309" ht="15.75" customHeight="1">
      <c r="J309" s="259"/>
    </row>
    <row r="310" ht="15.75" customHeight="1">
      <c r="J310" s="259"/>
    </row>
    <row r="311" ht="15.75" customHeight="1">
      <c r="J311" s="259"/>
    </row>
    <row r="312" ht="15.75" customHeight="1">
      <c r="J312" s="259"/>
    </row>
    <row r="313" ht="15.75" customHeight="1">
      <c r="J313" s="259"/>
    </row>
    <row r="314" ht="15.75" customHeight="1">
      <c r="J314" s="259"/>
    </row>
    <row r="315" ht="15.75" customHeight="1">
      <c r="J315" s="259"/>
    </row>
    <row r="316" ht="15.75" customHeight="1">
      <c r="J316" s="259"/>
    </row>
    <row r="317" ht="15.75" customHeight="1">
      <c r="J317" s="259"/>
    </row>
    <row r="318" ht="15.75" customHeight="1">
      <c r="J318" s="259"/>
    </row>
    <row r="319" ht="15.75" customHeight="1">
      <c r="J319" s="259"/>
    </row>
    <row r="320" ht="15.75" customHeight="1">
      <c r="J320" s="259"/>
    </row>
    <row r="321" ht="15.75" customHeight="1">
      <c r="J321" s="259"/>
    </row>
    <row r="322" ht="15.75" customHeight="1">
      <c r="J322" s="259"/>
    </row>
    <row r="323" ht="15.75" customHeight="1">
      <c r="J323" s="259"/>
    </row>
    <row r="324" ht="15.75" customHeight="1">
      <c r="J324" s="259"/>
    </row>
    <row r="325" ht="15.75" customHeight="1">
      <c r="J325" s="259"/>
    </row>
    <row r="326" ht="15.75" customHeight="1">
      <c r="J326" s="259"/>
    </row>
    <row r="327" ht="15.75" customHeight="1">
      <c r="J327" s="259"/>
    </row>
    <row r="328" ht="15.75" customHeight="1">
      <c r="J328" s="259"/>
    </row>
    <row r="329" ht="15.75" customHeight="1">
      <c r="J329" s="259"/>
    </row>
    <row r="330" ht="15.75" customHeight="1">
      <c r="J330" s="259"/>
    </row>
    <row r="331" ht="15.75" customHeight="1">
      <c r="J331" s="259"/>
    </row>
    <row r="332" ht="15.75" customHeight="1">
      <c r="J332" s="259"/>
    </row>
    <row r="333" ht="15.75" customHeight="1">
      <c r="J333" s="259"/>
    </row>
    <row r="334" ht="15.75" customHeight="1">
      <c r="J334" s="259"/>
    </row>
    <row r="335" ht="15.75" customHeight="1">
      <c r="J335" s="259"/>
    </row>
    <row r="336" ht="15.75" customHeight="1">
      <c r="J336" s="259"/>
    </row>
    <row r="337" ht="15.75" customHeight="1">
      <c r="J337" s="259"/>
    </row>
    <row r="338" ht="15.75" customHeight="1">
      <c r="J338" s="259"/>
    </row>
    <row r="339" ht="15.75" customHeight="1">
      <c r="J339" s="259"/>
    </row>
    <row r="340" ht="15.75" customHeight="1">
      <c r="J340" s="259"/>
    </row>
    <row r="341" ht="15.75" customHeight="1">
      <c r="J341" s="259"/>
    </row>
    <row r="342" ht="15.75" customHeight="1">
      <c r="J342" s="259"/>
    </row>
    <row r="343" ht="15.75" customHeight="1">
      <c r="J343" s="259"/>
    </row>
    <row r="344" ht="15.75" customHeight="1">
      <c r="J344" s="259"/>
    </row>
    <row r="345" ht="15.75" customHeight="1">
      <c r="J345" s="259"/>
    </row>
    <row r="346" ht="15.75" customHeight="1">
      <c r="J346" s="259"/>
    </row>
    <row r="347" ht="15.75" customHeight="1">
      <c r="J347" s="259"/>
    </row>
    <row r="348" ht="15.75" customHeight="1">
      <c r="J348" s="259"/>
    </row>
    <row r="349" ht="15.75" customHeight="1">
      <c r="J349" s="259"/>
    </row>
    <row r="350" ht="15.75" customHeight="1">
      <c r="J350" s="259"/>
    </row>
    <row r="351" ht="15.75" customHeight="1">
      <c r="J351" s="259"/>
    </row>
    <row r="352" ht="15.75" customHeight="1">
      <c r="J352" s="259"/>
    </row>
    <row r="353" ht="15.75" customHeight="1">
      <c r="J353" s="259"/>
    </row>
    <row r="354" ht="15.75" customHeight="1">
      <c r="J354" s="259"/>
    </row>
    <row r="355" ht="15.75" customHeight="1">
      <c r="J355" s="259"/>
    </row>
    <row r="356" ht="15.75" customHeight="1">
      <c r="J356" s="259"/>
    </row>
    <row r="357" ht="15.75" customHeight="1">
      <c r="J357" s="259"/>
    </row>
    <row r="358" ht="15.75" customHeight="1">
      <c r="J358" s="259"/>
    </row>
    <row r="359" ht="15.75" customHeight="1">
      <c r="J359" s="259"/>
    </row>
    <row r="360" ht="15.75" customHeight="1">
      <c r="J360" s="259"/>
    </row>
    <row r="361" ht="15.75" customHeight="1">
      <c r="J361" s="259"/>
    </row>
    <row r="362" ht="15.75" customHeight="1">
      <c r="J362" s="259"/>
    </row>
    <row r="363" ht="15.75" customHeight="1">
      <c r="J363" s="259"/>
    </row>
    <row r="364" ht="15.75" customHeight="1">
      <c r="J364" s="259"/>
    </row>
    <row r="365" ht="15.75" customHeight="1">
      <c r="J365" s="259"/>
    </row>
    <row r="366" ht="15.75" customHeight="1">
      <c r="J366" s="259"/>
    </row>
    <row r="367" ht="15.75" customHeight="1">
      <c r="J367" s="259"/>
    </row>
    <row r="368" ht="15.75" customHeight="1">
      <c r="J368" s="259"/>
    </row>
    <row r="369" ht="15.75" customHeight="1">
      <c r="J369" s="259"/>
    </row>
    <row r="370" ht="15.75" customHeight="1">
      <c r="J370" s="259"/>
    </row>
    <row r="371" ht="15.75" customHeight="1">
      <c r="J371" s="259"/>
    </row>
    <row r="372" ht="15.75" customHeight="1">
      <c r="J372" s="259"/>
    </row>
    <row r="373" ht="15.75" customHeight="1">
      <c r="J373" s="259"/>
    </row>
    <row r="374" ht="15.75" customHeight="1">
      <c r="J374" s="259"/>
    </row>
    <row r="375" ht="15.75" customHeight="1">
      <c r="J375" s="259"/>
    </row>
    <row r="376" ht="15.75" customHeight="1">
      <c r="J376" s="259"/>
    </row>
    <row r="377" ht="15.75" customHeight="1">
      <c r="J377" s="259"/>
    </row>
    <row r="378" ht="15.75" customHeight="1">
      <c r="J378" s="259"/>
    </row>
    <row r="379" ht="15.75" customHeight="1">
      <c r="J379" s="259"/>
    </row>
    <row r="380" ht="15.75" customHeight="1">
      <c r="J380" s="259"/>
    </row>
    <row r="381" ht="15.75" customHeight="1">
      <c r="J381" s="259"/>
    </row>
    <row r="382" ht="15.75" customHeight="1">
      <c r="J382" s="259"/>
    </row>
    <row r="383" ht="15.75" customHeight="1">
      <c r="J383" s="259"/>
    </row>
    <row r="384" ht="15.75" customHeight="1">
      <c r="J384" s="259"/>
    </row>
    <row r="385" ht="15.75" customHeight="1">
      <c r="J385" s="259"/>
    </row>
    <row r="386" ht="15.75" customHeight="1">
      <c r="J386" s="259"/>
    </row>
    <row r="387" ht="15.75" customHeight="1">
      <c r="J387" s="259"/>
    </row>
    <row r="388" ht="15.75" customHeight="1">
      <c r="J388" s="259"/>
    </row>
    <row r="389" ht="15.75" customHeight="1">
      <c r="J389" s="259"/>
    </row>
    <row r="390" ht="15.75" customHeight="1">
      <c r="J390" s="259"/>
    </row>
    <row r="391" ht="15.75" customHeight="1">
      <c r="J391" s="259"/>
    </row>
    <row r="392" ht="15.75" customHeight="1">
      <c r="J392" s="259"/>
    </row>
    <row r="393" ht="15.75" customHeight="1">
      <c r="J393" s="259"/>
    </row>
    <row r="394" ht="15.75" customHeight="1">
      <c r="J394" s="259"/>
    </row>
    <row r="395" ht="15.75" customHeight="1">
      <c r="J395" s="259"/>
    </row>
    <row r="396" ht="15.75" customHeight="1">
      <c r="J396" s="259"/>
    </row>
    <row r="397" ht="15.75" customHeight="1">
      <c r="J397" s="259"/>
    </row>
    <row r="398" ht="15.75" customHeight="1">
      <c r="J398" s="259"/>
    </row>
    <row r="399" ht="15.75" customHeight="1">
      <c r="J399" s="259"/>
    </row>
    <row r="400" ht="15.75" customHeight="1">
      <c r="J400" s="259"/>
    </row>
    <row r="401" ht="15.75" customHeight="1">
      <c r="J401" s="259"/>
    </row>
    <row r="402" ht="15.75" customHeight="1">
      <c r="J402" s="259"/>
    </row>
    <row r="403" ht="15.75" customHeight="1">
      <c r="J403" s="259"/>
    </row>
    <row r="404" ht="15.75" customHeight="1">
      <c r="J404" s="259"/>
    </row>
    <row r="405" ht="15.75" customHeight="1">
      <c r="J405" s="259"/>
    </row>
    <row r="406" ht="15.75" customHeight="1">
      <c r="J406" s="259"/>
    </row>
    <row r="407" ht="15.75" customHeight="1">
      <c r="J407" s="259"/>
    </row>
    <row r="408" ht="15.75" customHeight="1">
      <c r="J408" s="259"/>
    </row>
    <row r="409" ht="15.75" customHeight="1">
      <c r="J409" s="259"/>
    </row>
    <row r="410" ht="15.75" customHeight="1">
      <c r="J410" s="259"/>
    </row>
    <row r="411" ht="15.75" customHeight="1">
      <c r="J411" s="259"/>
    </row>
    <row r="412" ht="15.75" customHeight="1">
      <c r="J412" s="259"/>
    </row>
    <row r="413" ht="15.75" customHeight="1">
      <c r="J413" s="259"/>
    </row>
    <row r="414" ht="15.75" customHeight="1">
      <c r="J414" s="259"/>
    </row>
    <row r="415" ht="15.75" customHeight="1">
      <c r="J415" s="259"/>
    </row>
    <row r="416" ht="15.75" customHeight="1">
      <c r="J416" s="259"/>
    </row>
    <row r="417" ht="15.75" customHeight="1">
      <c r="J417" s="259"/>
    </row>
    <row r="418" ht="15.75" customHeight="1">
      <c r="J418" s="259"/>
    </row>
    <row r="419" ht="15.75" customHeight="1">
      <c r="J419" s="259"/>
    </row>
    <row r="420" ht="15.75" customHeight="1">
      <c r="J420" s="259"/>
    </row>
    <row r="421" ht="15.75" customHeight="1">
      <c r="J421" s="259"/>
    </row>
    <row r="422" ht="15.75" customHeight="1">
      <c r="J422" s="259"/>
    </row>
    <row r="423" ht="15.75" customHeight="1">
      <c r="J423" s="259"/>
    </row>
    <row r="424" ht="15.75" customHeight="1">
      <c r="J424" s="259"/>
    </row>
    <row r="425" ht="15.75" customHeight="1">
      <c r="J425" s="259"/>
    </row>
    <row r="426" ht="15.75" customHeight="1">
      <c r="J426" s="259"/>
    </row>
    <row r="427" ht="15.75" customHeight="1">
      <c r="J427" s="259"/>
    </row>
    <row r="428" ht="15.75" customHeight="1">
      <c r="J428" s="259"/>
    </row>
    <row r="429" ht="15.75" customHeight="1">
      <c r="J429" s="259"/>
    </row>
    <row r="430" ht="15.75" customHeight="1">
      <c r="J430" s="259"/>
    </row>
    <row r="431" ht="15.75" customHeight="1">
      <c r="J431" s="259"/>
    </row>
    <row r="432" ht="15.75" customHeight="1">
      <c r="J432" s="259"/>
    </row>
    <row r="433" ht="15.75" customHeight="1">
      <c r="J433" s="259"/>
    </row>
    <row r="434" ht="15.75" customHeight="1">
      <c r="J434" s="259"/>
    </row>
    <row r="435" ht="15.75" customHeight="1">
      <c r="J435" s="259"/>
    </row>
    <row r="436" ht="15.75" customHeight="1">
      <c r="J436" s="259"/>
    </row>
    <row r="437" ht="15.75" customHeight="1">
      <c r="J437" s="259"/>
    </row>
    <row r="438" ht="15.75" customHeight="1">
      <c r="J438" s="259"/>
    </row>
    <row r="439" ht="15.75" customHeight="1">
      <c r="J439" s="259"/>
    </row>
    <row r="440" ht="15.75" customHeight="1">
      <c r="J440" s="259"/>
    </row>
    <row r="441" ht="15.75" customHeight="1">
      <c r="J441" s="259"/>
    </row>
    <row r="442" ht="15.75" customHeight="1">
      <c r="J442" s="259"/>
    </row>
    <row r="443" ht="15.75" customHeight="1">
      <c r="J443" s="259"/>
    </row>
    <row r="444" ht="15.75" customHeight="1">
      <c r="J444" s="259"/>
    </row>
    <row r="445" ht="15.75" customHeight="1">
      <c r="J445" s="259"/>
    </row>
    <row r="446" ht="15.75" customHeight="1">
      <c r="J446" s="259"/>
    </row>
    <row r="447" ht="15.75" customHeight="1">
      <c r="J447" s="259"/>
    </row>
    <row r="448" ht="15.75" customHeight="1">
      <c r="J448" s="259"/>
    </row>
    <row r="449" ht="15.75" customHeight="1">
      <c r="J449" s="259"/>
    </row>
    <row r="450" ht="15.75" customHeight="1">
      <c r="J450" s="259"/>
    </row>
    <row r="451" ht="15.75" customHeight="1">
      <c r="J451" s="259"/>
    </row>
    <row r="452" ht="15.75" customHeight="1">
      <c r="J452" s="259"/>
    </row>
    <row r="453" ht="15.75" customHeight="1">
      <c r="J453" s="259"/>
    </row>
    <row r="454" ht="15.75" customHeight="1">
      <c r="J454" s="259"/>
    </row>
    <row r="455" ht="15.75" customHeight="1">
      <c r="J455" s="259"/>
    </row>
    <row r="456" ht="15.75" customHeight="1">
      <c r="J456" s="259"/>
    </row>
    <row r="457" ht="15.75" customHeight="1">
      <c r="J457" s="259"/>
    </row>
    <row r="458" ht="15.75" customHeight="1">
      <c r="J458" s="259"/>
    </row>
    <row r="459" ht="15.75" customHeight="1">
      <c r="J459" s="259"/>
    </row>
    <row r="460" ht="15.75" customHeight="1">
      <c r="J460" s="259"/>
    </row>
    <row r="461" ht="15.75" customHeight="1">
      <c r="J461" s="259"/>
    </row>
    <row r="462" ht="15.75" customHeight="1">
      <c r="J462" s="259"/>
    </row>
    <row r="463" ht="15.75" customHeight="1">
      <c r="J463" s="259"/>
    </row>
    <row r="464" ht="15.75" customHeight="1">
      <c r="J464" s="259"/>
    </row>
    <row r="465" ht="15.75" customHeight="1">
      <c r="J465" s="259"/>
    </row>
    <row r="466" ht="15.75" customHeight="1">
      <c r="J466" s="259"/>
    </row>
    <row r="467" ht="15.75" customHeight="1">
      <c r="J467" s="259"/>
    </row>
    <row r="468" ht="15.75" customHeight="1">
      <c r="J468" s="259"/>
    </row>
    <row r="469" ht="15.75" customHeight="1">
      <c r="J469" s="259"/>
    </row>
    <row r="470" ht="15.75" customHeight="1">
      <c r="J470" s="259"/>
    </row>
    <row r="471" ht="15.75" customHeight="1">
      <c r="J471" s="259"/>
    </row>
    <row r="472" ht="15.75" customHeight="1">
      <c r="J472" s="259"/>
    </row>
    <row r="473" ht="15.75" customHeight="1">
      <c r="J473" s="259"/>
    </row>
    <row r="474" ht="15.75" customHeight="1">
      <c r="J474" s="259"/>
    </row>
    <row r="475" ht="15.75" customHeight="1">
      <c r="J475" s="259"/>
    </row>
    <row r="476" ht="15.75" customHeight="1">
      <c r="J476" s="259"/>
    </row>
    <row r="477" ht="15.75" customHeight="1">
      <c r="J477" s="259"/>
    </row>
    <row r="478" ht="15.75" customHeight="1">
      <c r="J478" s="259"/>
    </row>
    <row r="479" ht="15.75" customHeight="1">
      <c r="J479" s="259"/>
    </row>
    <row r="480" ht="15.75" customHeight="1">
      <c r="J480" s="259"/>
    </row>
    <row r="481" ht="15.75" customHeight="1">
      <c r="J481" s="259"/>
    </row>
    <row r="482" ht="15.75" customHeight="1">
      <c r="J482" s="259"/>
    </row>
    <row r="483" ht="15.75" customHeight="1">
      <c r="J483" s="259"/>
    </row>
    <row r="484" ht="15.75" customHeight="1">
      <c r="J484" s="259"/>
    </row>
    <row r="485" ht="15.75" customHeight="1">
      <c r="J485" s="259"/>
    </row>
    <row r="486" ht="15.75" customHeight="1">
      <c r="J486" s="259"/>
    </row>
    <row r="487" ht="15.75" customHeight="1">
      <c r="J487" s="259"/>
    </row>
    <row r="488" ht="15.75" customHeight="1">
      <c r="J488" s="259"/>
    </row>
    <row r="489" ht="15.75" customHeight="1">
      <c r="J489" s="259"/>
    </row>
    <row r="490" ht="15.75" customHeight="1">
      <c r="J490" s="259"/>
    </row>
    <row r="491" ht="15.75" customHeight="1">
      <c r="J491" s="259"/>
    </row>
    <row r="492" ht="15.75" customHeight="1">
      <c r="J492" s="259"/>
    </row>
    <row r="493" ht="15.75" customHeight="1">
      <c r="J493" s="259"/>
    </row>
    <row r="494" ht="15.75" customHeight="1">
      <c r="J494" s="259"/>
    </row>
    <row r="495" ht="15.75" customHeight="1">
      <c r="J495" s="259"/>
    </row>
    <row r="496" ht="15.75" customHeight="1">
      <c r="J496" s="259"/>
    </row>
    <row r="497" ht="15.75" customHeight="1">
      <c r="J497" s="259"/>
    </row>
    <row r="498" ht="15.75" customHeight="1">
      <c r="J498" s="259"/>
    </row>
    <row r="499" ht="15.75" customHeight="1">
      <c r="J499" s="259"/>
    </row>
    <row r="500" ht="15.75" customHeight="1">
      <c r="J500" s="259"/>
    </row>
    <row r="501" ht="15.75" customHeight="1">
      <c r="J501" s="259"/>
    </row>
    <row r="502" ht="15.75" customHeight="1">
      <c r="J502" s="259"/>
    </row>
    <row r="503" ht="15.75" customHeight="1">
      <c r="J503" s="259"/>
    </row>
    <row r="504" ht="15.75" customHeight="1">
      <c r="J504" s="259"/>
    </row>
    <row r="505" ht="15.75" customHeight="1">
      <c r="J505" s="259"/>
    </row>
    <row r="506" ht="15.75" customHeight="1">
      <c r="J506" s="259"/>
    </row>
    <row r="507" ht="15.75" customHeight="1">
      <c r="J507" s="259"/>
    </row>
    <row r="508" ht="15.75" customHeight="1">
      <c r="J508" s="259"/>
    </row>
    <row r="509" ht="15.75" customHeight="1">
      <c r="J509" s="259"/>
    </row>
    <row r="510" ht="15.75" customHeight="1">
      <c r="J510" s="259"/>
    </row>
    <row r="511" ht="15.75" customHeight="1">
      <c r="J511" s="259"/>
    </row>
    <row r="512" ht="15.75" customHeight="1">
      <c r="J512" s="259"/>
    </row>
    <row r="513" ht="15.75" customHeight="1">
      <c r="J513" s="259"/>
    </row>
    <row r="514" ht="15.75" customHeight="1">
      <c r="J514" s="259"/>
    </row>
    <row r="515" ht="15.75" customHeight="1">
      <c r="J515" s="259"/>
    </row>
    <row r="516" ht="15.75" customHeight="1">
      <c r="J516" s="259"/>
    </row>
    <row r="517" ht="15.75" customHeight="1">
      <c r="J517" s="259"/>
    </row>
    <row r="518" ht="15.75" customHeight="1">
      <c r="J518" s="259"/>
    </row>
    <row r="519" ht="15.75" customHeight="1">
      <c r="J519" s="259"/>
    </row>
    <row r="520" ht="15.75" customHeight="1">
      <c r="J520" s="259"/>
    </row>
    <row r="521" ht="15.75" customHeight="1">
      <c r="J521" s="259"/>
    </row>
    <row r="522" ht="15.75" customHeight="1">
      <c r="J522" s="259"/>
    </row>
    <row r="523" ht="15.75" customHeight="1">
      <c r="J523" s="259"/>
    </row>
    <row r="524" ht="15.75" customHeight="1">
      <c r="J524" s="259"/>
    </row>
    <row r="525" ht="15.75" customHeight="1">
      <c r="J525" s="259"/>
    </row>
    <row r="526" ht="15.75" customHeight="1">
      <c r="J526" s="259"/>
    </row>
    <row r="527" ht="15.75" customHeight="1">
      <c r="J527" s="259"/>
    </row>
    <row r="528" ht="15.75" customHeight="1">
      <c r="J528" s="259"/>
    </row>
    <row r="529" ht="15.75" customHeight="1">
      <c r="J529" s="259"/>
    </row>
    <row r="530" ht="15.75" customHeight="1">
      <c r="J530" s="259"/>
    </row>
    <row r="531" ht="15.75" customHeight="1">
      <c r="J531" s="259"/>
    </row>
    <row r="532" ht="15.75" customHeight="1">
      <c r="J532" s="259"/>
    </row>
    <row r="533" ht="15.75" customHeight="1">
      <c r="J533" s="259"/>
    </row>
    <row r="534" ht="15.75" customHeight="1">
      <c r="J534" s="259"/>
    </row>
    <row r="535" ht="15.75" customHeight="1">
      <c r="J535" s="259"/>
    </row>
    <row r="536" ht="15.75" customHeight="1">
      <c r="J536" s="259"/>
    </row>
    <row r="537" ht="15.75" customHeight="1">
      <c r="J537" s="259"/>
    </row>
    <row r="538" ht="15.75" customHeight="1">
      <c r="J538" s="259"/>
    </row>
    <row r="539" ht="15.75" customHeight="1">
      <c r="J539" s="259"/>
    </row>
    <row r="540" ht="15.75" customHeight="1">
      <c r="J540" s="259"/>
    </row>
    <row r="541" ht="15.75" customHeight="1">
      <c r="J541" s="259"/>
    </row>
    <row r="542" ht="15.75" customHeight="1">
      <c r="J542" s="259"/>
    </row>
    <row r="543" ht="15.75" customHeight="1">
      <c r="J543" s="259"/>
    </row>
    <row r="544" ht="15.75" customHeight="1">
      <c r="J544" s="259"/>
    </row>
    <row r="545" ht="15.75" customHeight="1">
      <c r="J545" s="259"/>
    </row>
    <row r="546" ht="15.75" customHeight="1">
      <c r="J546" s="259"/>
    </row>
    <row r="547" ht="15.75" customHeight="1">
      <c r="J547" s="259"/>
    </row>
    <row r="548" ht="15.75" customHeight="1">
      <c r="J548" s="259"/>
    </row>
    <row r="549" ht="15.75" customHeight="1">
      <c r="J549" s="259"/>
    </row>
    <row r="550" ht="15.75" customHeight="1">
      <c r="J550" s="259"/>
    </row>
    <row r="551" ht="15.75" customHeight="1">
      <c r="J551" s="259"/>
    </row>
    <row r="552" ht="15.75" customHeight="1">
      <c r="J552" s="259"/>
    </row>
    <row r="553" ht="15.75" customHeight="1">
      <c r="J553" s="259"/>
    </row>
    <row r="554" ht="15.75" customHeight="1">
      <c r="J554" s="259"/>
    </row>
    <row r="555" ht="15.75" customHeight="1">
      <c r="J555" s="259"/>
    </row>
    <row r="556" ht="15.75" customHeight="1">
      <c r="J556" s="259"/>
    </row>
    <row r="557" ht="15.75" customHeight="1">
      <c r="J557" s="259"/>
    </row>
    <row r="558" ht="15.75" customHeight="1">
      <c r="J558" s="259"/>
    </row>
    <row r="559" ht="15.75" customHeight="1">
      <c r="J559" s="259"/>
    </row>
    <row r="560" ht="15.75" customHeight="1">
      <c r="J560" s="259"/>
    </row>
    <row r="561" ht="15.75" customHeight="1">
      <c r="J561" s="259"/>
    </row>
    <row r="562" ht="15.75" customHeight="1">
      <c r="J562" s="259"/>
    </row>
    <row r="563" ht="15.75" customHeight="1">
      <c r="J563" s="259"/>
    </row>
    <row r="564" ht="15.75" customHeight="1">
      <c r="J564" s="259"/>
    </row>
    <row r="565" ht="15.75" customHeight="1">
      <c r="J565" s="259"/>
    </row>
    <row r="566" ht="15.75" customHeight="1">
      <c r="J566" s="259"/>
    </row>
    <row r="567" ht="15.75" customHeight="1">
      <c r="J567" s="259"/>
    </row>
    <row r="568" ht="15.75" customHeight="1">
      <c r="J568" s="259"/>
    </row>
    <row r="569" ht="15.75" customHeight="1">
      <c r="J569" s="259"/>
    </row>
    <row r="570" ht="15.75" customHeight="1">
      <c r="J570" s="259"/>
    </row>
    <row r="571" ht="15.75" customHeight="1">
      <c r="J571" s="259"/>
    </row>
    <row r="572" ht="15.75" customHeight="1">
      <c r="J572" s="259"/>
    </row>
    <row r="573" ht="15.75" customHeight="1">
      <c r="J573" s="259"/>
    </row>
    <row r="574" ht="15.75" customHeight="1">
      <c r="J574" s="259"/>
    </row>
    <row r="575" ht="15.75" customHeight="1">
      <c r="J575" s="259"/>
    </row>
    <row r="576" ht="15.75" customHeight="1">
      <c r="J576" s="259"/>
    </row>
    <row r="577" ht="15.75" customHeight="1">
      <c r="J577" s="259"/>
    </row>
    <row r="578" ht="15.75" customHeight="1">
      <c r="J578" s="259"/>
    </row>
    <row r="579" ht="15.75" customHeight="1">
      <c r="J579" s="259"/>
    </row>
    <row r="580" ht="15.75" customHeight="1">
      <c r="J580" s="259"/>
    </row>
    <row r="581" ht="15.75" customHeight="1">
      <c r="J581" s="259"/>
    </row>
    <row r="582" ht="15.75" customHeight="1">
      <c r="J582" s="259"/>
    </row>
    <row r="583" ht="15.75" customHeight="1">
      <c r="J583" s="259"/>
    </row>
    <row r="584" ht="15.75" customHeight="1">
      <c r="J584" s="259"/>
    </row>
    <row r="585" ht="15.75" customHeight="1">
      <c r="J585" s="259"/>
    </row>
    <row r="586" ht="15.75" customHeight="1">
      <c r="J586" s="259"/>
    </row>
    <row r="587" ht="15.75" customHeight="1">
      <c r="J587" s="259"/>
    </row>
    <row r="588" ht="15.75" customHeight="1">
      <c r="J588" s="259"/>
    </row>
    <row r="589" ht="15.75" customHeight="1">
      <c r="J589" s="259"/>
    </row>
    <row r="590" ht="15.75" customHeight="1">
      <c r="J590" s="259"/>
    </row>
    <row r="591" ht="15.75" customHeight="1">
      <c r="J591" s="259"/>
    </row>
    <row r="592" ht="15.75" customHeight="1">
      <c r="J592" s="259"/>
    </row>
    <row r="593" ht="15.75" customHeight="1">
      <c r="J593" s="259"/>
    </row>
    <row r="594" ht="15.75" customHeight="1">
      <c r="J594" s="259"/>
    </row>
    <row r="595" ht="15.75" customHeight="1">
      <c r="J595" s="259"/>
    </row>
    <row r="596" ht="15.75" customHeight="1">
      <c r="J596" s="259"/>
    </row>
    <row r="597" ht="15.75" customHeight="1">
      <c r="J597" s="259"/>
    </row>
    <row r="598" ht="15.75" customHeight="1">
      <c r="J598" s="259"/>
    </row>
    <row r="599" ht="15.75" customHeight="1">
      <c r="J599" s="259"/>
    </row>
    <row r="600" ht="15.75" customHeight="1">
      <c r="J600" s="259"/>
    </row>
    <row r="601" ht="15.75" customHeight="1">
      <c r="J601" s="259"/>
    </row>
    <row r="602" ht="15.75" customHeight="1">
      <c r="J602" s="259"/>
    </row>
    <row r="603" ht="15.75" customHeight="1">
      <c r="J603" s="259"/>
    </row>
    <row r="604" ht="15.75" customHeight="1">
      <c r="J604" s="259"/>
    </row>
    <row r="605" ht="15.75" customHeight="1">
      <c r="J605" s="259"/>
    </row>
    <row r="606" ht="15.75" customHeight="1">
      <c r="J606" s="259"/>
    </row>
    <row r="607" ht="15.75" customHeight="1">
      <c r="J607" s="259"/>
    </row>
    <row r="608" ht="15.75" customHeight="1">
      <c r="J608" s="259"/>
    </row>
    <row r="609" ht="15.75" customHeight="1">
      <c r="J609" s="259"/>
    </row>
    <row r="610" ht="15.75" customHeight="1">
      <c r="J610" s="259"/>
    </row>
    <row r="611" ht="15.75" customHeight="1">
      <c r="J611" s="259"/>
    </row>
    <row r="612" ht="15.75" customHeight="1">
      <c r="J612" s="259"/>
    </row>
    <row r="613" ht="15.75" customHeight="1">
      <c r="J613" s="259"/>
    </row>
    <row r="614" ht="15.75" customHeight="1">
      <c r="J614" s="259"/>
    </row>
    <row r="615" ht="15.75" customHeight="1">
      <c r="J615" s="259"/>
    </row>
    <row r="616" ht="15.75" customHeight="1">
      <c r="J616" s="259"/>
    </row>
    <row r="617" ht="15.75" customHeight="1">
      <c r="J617" s="259"/>
    </row>
    <row r="618" ht="15.75" customHeight="1">
      <c r="J618" s="259"/>
    </row>
    <row r="619" ht="15.75" customHeight="1">
      <c r="J619" s="259"/>
    </row>
    <row r="620" ht="15.75" customHeight="1">
      <c r="J620" s="259"/>
    </row>
    <row r="621" ht="15.75" customHeight="1">
      <c r="J621" s="259"/>
    </row>
    <row r="622" ht="15.75" customHeight="1">
      <c r="J622" s="259"/>
    </row>
    <row r="623" ht="15.75" customHeight="1">
      <c r="J623" s="259"/>
    </row>
    <row r="624" ht="15.75" customHeight="1">
      <c r="J624" s="259"/>
    </row>
    <row r="625" ht="15.75" customHeight="1">
      <c r="J625" s="259"/>
    </row>
    <row r="626" ht="15.75" customHeight="1">
      <c r="J626" s="259"/>
    </row>
    <row r="627" ht="15.75" customHeight="1">
      <c r="J627" s="259"/>
    </row>
    <row r="628" ht="15.75" customHeight="1">
      <c r="J628" s="259"/>
    </row>
    <row r="629" ht="15.75" customHeight="1">
      <c r="J629" s="259"/>
    </row>
    <row r="630" ht="15.75" customHeight="1">
      <c r="J630" s="259"/>
    </row>
    <row r="631" ht="15.75" customHeight="1">
      <c r="J631" s="259"/>
    </row>
    <row r="632" ht="15.75" customHeight="1">
      <c r="J632" s="259"/>
    </row>
    <row r="633" ht="15.75" customHeight="1">
      <c r="J633" s="259"/>
    </row>
    <row r="634" ht="15.75" customHeight="1">
      <c r="J634" s="259"/>
    </row>
    <row r="635" ht="15.75" customHeight="1">
      <c r="J635" s="259"/>
    </row>
    <row r="636" ht="15.75" customHeight="1">
      <c r="J636" s="259"/>
    </row>
    <row r="637" ht="15.75" customHeight="1">
      <c r="J637" s="259"/>
    </row>
    <row r="638" ht="15.75" customHeight="1">
      <c r="J638" s="259"/>
    </row>
    <row r="639" ht="15.75" customHeight="1">
      <c r="J639" s="259"/>
    </row>
    <row r="640" ht="15.75" customHeight="1">
      <c r="J640" s="259"/>
    </row>
    <row r="641" ht="15.75" customHeight="1">
      <c r="J641" s="259"/>
    </row>
    <row r="642" ht="15.75" customHeight="1">
      <c r="J642" s="259"/>
    </row>
    <row r="643" ht="15.75" customHeight="1">
      <c r="J643" s="259"/>
    </row>
    <row r="644" ht="15.75" customHeight="1">
      <c r="J644" s="259"/>
    </row>
    <row r="645" ht="15.75" customHeight="1">
      <c r="J645" s="259"/>
    </row>
    <row r="646" ht="15.75" customHeight="1">
      <c r="J646" s="259"/>
    </row>
    <row r="647" ht="15.75" customHeight="1">
      <c r="J647" s="259"/>
    </row>
    <row r="648" ht="15.75" customHeight="1">
      <c r="J648" s="259"/>
    </row>
    <row r="649" ht="15.75" customHeight="1">
      <c r="J649" s="259"/>
    </row>
    <row r="650" ht="15.75" customHeight="1">
      <c r="J650" s="259"/>
    </row>
    <row r="651" ht="15.75" customHeight="1">
      <c r="J651" s="259"/>
    </row>
    <row r="652" ht="15.75" customHeight="1">
      <c r="J652" s="259"/>
    </row>
    <row r="653" ht="15.75" customHeight="1">
      <c r="J653" s="259"/>
    </row>
    <row r="654" ht="15.75" customHeight="1">
      <c r="J654" s="259"/>
    </row>
    <row r="655" ht="15.75" customHeight="1">
      <c r="J655" s="259"/>
    </row>
    <row r="656" ht="15.75" customHeight="1">
      <c r="J656" s="259"/>
    </row>
    <row r="657" ht="15.75" customHeight="1">
      <c r="J657" s="259"/>
    </row>
    <row r="658" ht="15.75" customHeight="1">
      <c r="J658" s="259"/>
    </row>
    <row r="659" ht="15.75" customHeight="1">
      <c r="J659" s="259"/>
    </row>
    <row r="660" ht="15.75" customHeight="1">
      <c r="J660" s="259"/>
    </row>
    <row r="661" ht="15.75" customHeight="1">
      <c r="J661" s="259"/>
    </row>
    <row r="662" ht="15.75" customHeight="1">
      <c r="J662" s="259"/>
    </row>
    <row r="663" ht="15.75" customHeight="1">
      <c r="J663" s="259"/>
    </row>
    <row r="664" ht="15.75" customHeight="1">
      <c r="J664" s="259"/>
    </row>
    <row r="665" ht="15.75" customHeight="1">
      <c r="J665" s="259"/>
    </row>
    <row r="666" ht="15.75" customHeight="1">
      <c r="J666" s="259"/>
    </row>
    <row r="667" ht="15.75" customHeight="1">
      <c r="J667" s="259"/>
    </row>
    <row r="668" ht="15.75" customHeight="1">
      <c r="J668" s="259"/>
    </row>
    <row r="669" ht="15.75" customHeight="1">
      <c r="J669" s="259"/>
    </row>
    <row r="670" ht="15.75" customHeight="1">
      <c r="J670" s="259"/>
    </row>
    <row r="671" ht="15.75" customHeight="1">
      <c r="J671" s="259"/>
    </row>
    <row r="672" ht="15.75" customHeight="1">
      <c r="J672" s="259"/>
    </row>
    <row r="673" ht="15.75" customHeight="1">
      <c r="J673" s="259"/>
    </row>
    <row r="674" ht="15.75" customHeight="1">
      <c r="J674" s="259"/>
    </row>
    <row r="675" ht="15.75" customHeight="1">
      <c r="J675" s="259"/>
    </row>
    <row r="676" ht="15.75" customHeight="1">
      <c r="J676" s="259"/>
    </row>
    <row r="677" ht="15.75" customHeight="1">
      <c r="J677" s="259"/>
    </row>
    <row r="678" ht="15.75" customHeight="1">
      <c r="J678" s="259"/>
    </row>
    <row r="679" ht="15.75" customHeight="1">
      <c r="J679" s="259"/>
    </row>
    <row r="680" ht="15.75" customHeight="1">
      <c r="J680" s="259"/>
    </row>
    <row r="681" ht="15.75" customHeight="1">
      <c r="J681" s="259"/>
    </row>
    <row r="682" ht="15.75" customHeight="1">
      <c r="J682" s="259"/>
    </row>
    <row r="683" ht="15.75" customHeight="1">
      <c r="J683" s="259"/>
    </row>
    <row r="684" ht="15.75" customHeight="1">
      <c r="J684" s="259"/>
    </row>
    <row r="685" ht="15.75" customHeight="1">
      <c r="J685" s="259"/>
    </row>
    <row r="686" ht="15.75" customHeight="1">
      <c r="J686" s="259"/>
    </row>
    <row r="687" ht="15.75" customHeight="1">
      <c r="J687" s="259"/>
    </row>
    <row r="688" ht="15.75" customHeight="1">
      <c r="J688" s="259"/>
    </row>
    <row r="689" ht="15.75" customHeight="1">
      <c r="J689" s="259"/>
    </row>
    <row r="690" ht="15.75" customHeight="1">
      <c r="J690" s="259"/>
    </row>
    <row r="691" ht="15.75" customHeight="1">
      <c r="J691" s="259"/>
    </row>
    <row r="692" ht="15.75" customHeight="1">
      <c r="J692" s="259"/>
    </row>
    <row r="693" ht="15.75" customHeight="1">
      <c r="J693" s="259"/>
    </row>
    <row r="694" ht="15.75" customHeight="1">
      <c r="J694" s="259"/>
    </row>
    <row r="695" ht="15.75" customHeight="1">
      <c r="J695" s="259"/>
    </row>
    <row r="696" ht="15.75" customHeight="1">
      <c r="J696" s="259"/>
    </row>
    <row r="697" ht="15.75" customHeight="1">
      <c r="J697" s="259"/>
    </row>
    <row r="698" ht="15.75" customHeight="1">
      <c r="J698" s="259"/>
    </row>
    <row r="699" ht="15.75" customHeight="1">
      <c r="J699" s="259"/>
    </row>
    <row r="700" ht="15.75" customHeight="1">
      <c r="J700" s="259"/>
    </row>
    <row r="701" ht="15.75" customHeight="1">
      <c r="J701" s="259"/>
    </row>
    <row r="702" ht="15.75" customHeight="1">
      <c r="J702" s="259"/>
    </row>
    <row r="703" ht="15.75" customHeight="1">
      <c r="J703" s="259"/>
    </row>
    <row r="704" ht="15.75" customHeight="1">
      <c r="J704" s="259"/>
    </row>
    <row r="705" ht="15.75" customHeight="1">
      <c r="J705" s="259"/>
    </row>
    <row r="706" ht="15.75" customHeight="1">
      <c r="J706" s="259"/>
    </row>
    <row r="707" ht="15.75" customHeight="1">
      <c r="J707" s="259"/>
    </row>
    <row r="708" ht="15.75" customHeight="1">
      <c r="J708" s="259"/>
    </row>
    <row r="709" ht="15.75" customHeight="1">
      <c r="J709" s="259"/>
    </row>
    <row r="710" ht="15.75" customHeight="1">
      <c r="J710" s="259"/>
    </row>
    <row r="711" ht="15.75" customHeight="1">
      <c r="J711" s="259"/>
    </row>
    <row r="712" ht="15.75" customHeight="1">
      <c r="J712" s="259"/>
    </row>
    <row r="713" ht="15.75" customHeight="1">
      <c r="J713" s="259"/>
    </row>
    <row r="714" ht="15.75" customHeight="1">
      <c r="J714" s="259"/>
    </row>
    <row r="715" ht="15.75" customHeight="1">
      <c r="J715" s="259"/>
    </row>
    <row r="716" ht="15.75" customHeight="1">
      <c r="J716" s="259"/>
    </row>
    <row r="717" ht="15.75" customHeight="1">
      <c r="J717" s="259"/>
    </row>
    <row r="718" ht="15.75" customHeight="1">
      <c r="J718" s="259"/>
    </row>
    <row r="719" ht="15.75" customHeight="1">
      <c r="J719" s="259"/>
    </row>
    <row r="720" ht="15.75" customHeight="1">
      <c r="J720" s="259"/>
    </row>
    <row r="721" ht="15.75" customHeight="1">
      <c r="J721" s="259"/>
    </row>
    <row r="722" ht="15.75" customHeight="1">
      <c r="J722" s="259"/>
    </row>
    <row r="723" ht="15.75" customHeight="1">
      <c r="J723" s="259"/>
    </row>
    <row r="724" ht="15.75" customHeight="1">
      <c r="J724" s="259"/>
    </row>
    <row r="725" ht="15.75" customHeight="1">
      <c r="J725" s="259"/>
    </row>
    <row r="726" ht="15.75" customHeight="1">
      <c r="J726" s="259"/>
    </row>
    <row r="727" ht="15.75" customHeight="1">
      <c r="J727" s="259"/>
    </row>
    <row r="728" ht="15.75" customHeight="1">
      <c r="J728" s="259"/>
    </row>
    <row r="729" ht="15.75" customHeight="1">
      <c r="J729" s="259"/>
    </row>
    <row r="730" ht="15.75" customHeight="1">
      <c r="J730" s="259"/>
    </row>
    <row r="731" ht="15.75" customHeight="1">
      <c r="J731" s="259"/>
    </row>
    <row r="732" ht="15.75" customHeight="1">
      <c r="J732" s="259"/>
    </row>
    <row r="733" ht="15.75" customHeight="1">
      <c r="J733" s="259"/>
    </row>
    <row r="734" ht="15.75" customHeight="1">
      <c r="J734" s="259"/>
    </row>
    <row r="735" ht="15.75" customHeight="1">
      <c r="J735" s="259"/>
    </row>
    <row r="736" ht="15.75" customHeight="1">
      <c r="J736" s="259"/>
    </row>
    <row r="737" ht="15.75" customHeight="1">
      <c r="J737" s="259"/>
    </row>
    <row r="738" ht="15.75" customHeight="1">
      <c r="J738" s="259"/>
    </row>
    <row r="739" ht="15.75" customHeight="1">
      <c r="J739" s="259"/>
    </row>
    <row r="740" ht="15.75" customHeight="1">
      <c r="J740" s="259"/>
    </row>
    <row r="741" ht="15.75" customHeight="1">
      <c r="J741" s="259"/>
    </row>
    <row r="742" ht="15.75" customHeight="1">
      <c r="J742" s="259"/>
    </row>
    <row r="743" ht="15.75" customHeight="1">
      <c r="J743" s="259"/>
    </row>
    <row r="744" ht="15.75" customHeight="1">
      <c r="J744" s="259"/>
    </row>
    <row r="745" ht="15.75" customHeight="1">
      <c r="J745" s="259"/>
    </row>
    <row r="746" ht="15.75" customHeight="1">
      <c r="J746" s="259"/>
    </row>
    <row r="747" ht="15.75" customHeight="1">
      <c r="J747" s="259"/>
    </row>
    <row r="748" ht="15.75" customHeight="1">
      <c r="J748" s="259"/>
    </row>
    <row r="749" ht="15.75" customHeight="1">
      <c r="J749" s="259"/>
    </row>
    <row r="750" ht="15.75" customHeight="1">
      <c r="J750" s="259"/>
    </row>
    <row r="751" ht="15.75" customHeight="1">
      <c r="J751" s="259"/>
    </row>
    <row r="752" ht="15.75" customHeight="1">
      <c r="J752" s="259"/>
    </row>
    <row r="753" ht="15.75" customHeight="1">
      <c r="J753" s="259"/>
    </row>
    <row r="754" ht="15.75" customHeight="1">
      <c r="J754" s="259"/>
    </row>
    <row r="755" ht="15.75" customHeight="1">
      <c r="J755" s="259"/>
    </row>
    <row r="756" ht="15.75" customHeight="1">
      <c r="J756" s="259"/>
    </row>
    <row r="757" ht="15.75" customHeight="1">
      <c r="J757" s="259"/>
    </row>
    <row r="758" ht="15.75" customHeight="1">
      <c r="J758" s="259"/>
    </row>
    <row r="759" ht="15.75" customHeight="1">
      <c r="J759" s="259"/>
    </row>
    <row r="760" ht="15.75" customHeight="1">
      <c r="J760" s="259"/>
    </row>
    <row r="761" ht="15.75" customHeight="1">
      <c r="J761" s="259"/>
    </row>
    <row r="762" ht="15.75" customHeight="1">
      <c r="J762" s="259"/>
    </row>
    <row r="763" ht="15.75" customHeight="1">
      <c r="J763" s="259"/>
    </row>
    <row r="764" ht="15.75" customHeight="1">
      <c r="J764" s="259"/>
    </row>
    <row r="765" ht="15.75" customHeight="1">
      <c r="J765" s="259"/>
    </row>
    <row r="766" ht="15.75" customHeight="1">
      <c r="J766" s="259"/>
    </row>
    <row r="767" ht="15.75" customHeight="1">
      <c r="J767" s="259"/>
    </row>
    <row r="768" ht="15.75" customHeight="1">
      <c r="J768" s="259"/>
    </row>
    <row r="769" ht="15.75" customHeight="1">
      <c r="J769" s="259"/>
    </row>
    <row r="770" ht="15.75" customHeight="1">
      <c r="J770" s="259"/>
    </row>
    <row r="771" ht="15.75" customHeight="1">
      <c r="J771" s="259"/>
    </row>
    <row r="772" ht="15.75" customHeight="1">
      <c r="J772" s="259"/>
    </row>
    <row r="773" ht="15.75" customHeight="1">
      <c r="J773" s="259"/>
    </row>
    <row r="774" ht="15.75" customHeight="1">
      <c r="J774" s="259"/>
    </row>
    <row r="775" ht="15.75" customHeight="1">
      <c r="J775" s="259"/>
    </row>
    <row r="776" ht="15.75" customHeight="1">
      <c r="J776" s="259"/>
    </row>
    <row r="777" ht="15.75" customHeight="1">
      <c r="J777" s="259"/>
    </row>
    <row r="778" ht="15.75" customHeight="1">
      <c r="J778" s="259"/>
    </row>
    <row r="779" ht="15.75" customHeight="1">
      <c r="J779" s="259"/>
    </row>
    <row r="780" ht="15.75" customHeight="1">
      <c r="J780" s="259"/>
    </row>
    <row r="781" ht="15.75" customHeight="1">
      <c r="J781" s="259"/>
    </row>
    <row r="782" ht="15.75" customHeight="1">
      <c r="J782" s="259"/>
    </row>
    <row r="783" ht="15.75" customHeight="1">
      <c r="J783" s="259"/>
    </row>
    <row r="784" ht="15.75" customHeight="1">
      <c r="J784" s="259"/>
    </row>
    <row r="785" ht="15.75" customHeight="1">
      <c r="J785" s="259"/>
    </row>
    <row r="786" ht="15.75" customHeight="1">
      <c r="J786" s="259"/>
    </row>
    <row r="787" ht="15.75" customHeight="1">
      <c r="J787" s="259"/>
    </row>
    <row r="788" ht="15.75" customHeight="1">
      <c r="J788" s="259"/>
    </row>
    <row r="789" ht="15.75" customHeight="1">
      <c r="J789" s="259"/>
    </row>
    <row r="790" ht="15.75" customHeight="1">
      <c r="J790" s="259"/>
    </row>
    <row r="791" ht="15.75" customHeight="1">
      <c r="J791" s="259"/>
    </row>
    <row r="792" ht="15.75" customHeight="1">
      <c r="J792" s="259"/>
    </row>
    <row r="793" ht="15.75" customHeight="1">
      <c r="J793" s="259"/>
    </row>
    <row r="794" ht="15.75" customHeight="1">
      <c r="J794" s="259"/>
    </row>
    <row r="795" ht="15.75" customHeight="1">
      <c r="J795" s="259"/>
    </row>
    <row r="796" ht="15.75" customHeight="1">
      <c r="J796" s="259"/>
    </row>
    <row r="797" ht="15.75" customHeight="1">
      <c r="J797" s="259"/>
    </row>
    <row r="798" ht="15.75" customHeight="1">
      <c r="J798" s="259"/>
    </row>
    <row r="799" ht="15.75" customHeight="1">
      <c r="J799" s="259"/>
    </row>
    <row r="800" ht="15.75" customHeight="1">
      <c r="J800" s="259"/>
    </row>
    <row r="801" ht="15.75" customHeight="1">
      <c r="J801" s="259"/>
    </row>
    <row r="802" ht="15.75" customHeight="1">
      <c r="J802" s="259"/>
    </row>
    <row r="803" ht="15.75" customHeight="1">
      <c r="J803" s="259"/>
    </row>
    <row r="804" ht="15.75" customHeight="1">
      <c r="J804" s="259"/>
    </row>
    <row r="805" ht="15.75" customHeight="1">
      <c r="J805" s="259"/>
    </row>
    <row r="806" ht="15.75" customHeight="1">
      <c r="J806" s="259"/>
    </row>
    <row r="807" ht="15.75" customHeight="1">
      <c r="J807" s="259"/>
    </row>
    <row r="808" ht="15.75" customHeight="1">
      <c r="J808" s="259"/>
    </row>
    <row r="809" ht="15.75" customHeight="1">
      <c r="J809" s="259"/>
    </row>
    <row r="810" ht="15.75" customHeight="1">
      <c r="J810" s="259"/>
    </row>
    <row r="811" ht="15.75" customHeight="1">
      <c r="J811" s="259"/>
    </row>
    <row r="812" ht="15.75" customHeight="1">
      <c r="J812" s="259"/>
    </row>
    <row r="813" ht="15.75" customHeight="1">
      <c r="J813" s="259"/>
    </row>
    <row r="814" ht="15.75" customHeight="1">
      <c r="J814" s="259"/>
    </row>
    <row r="815" ht="15.75" customHeight="1">
      <c r="J815" s="259"/>
    </row>
    <row r="816" ht="15.75" customHeight="1">
      <c r="J816" s="259"/>
    </row>
    <row r="817" ht="15.75" customHeight="1">
      <c r="J817" s="259"/>
    </row>
    <row r="818" ht="15.75" customHeight="1">
      <c r="J818" s="259"/>
    </row>
    <row r="819" ht="15.75" customHeight="1">
      <c r="J819" s="259"/>
    </row>
    <row r="820" ht="15.75" customHeight="1">
      <c r="J820" s="259"/>
    </row>
    <row r="821" ht="15.75" customHeight="1">
      <c r="J821" s="259"/>
    </row>
    <row r="822" ht="15.75" customHeight="1">
      <c r="J822" s="259"/>
    </row>
    <row r="823" ht="15.75" customHeight="1">
      <c r="J823" s="259"/>
    </row>
    <row r="824" ht="15.75" customHeight="1">
      <c r="J824" s="259"/>
    </row>
    <row r="825" ht="15.75" customHeight="1">
      <c r="J825" s="259"/>
    </row>
    <row r="826" ht="15.75" customHeight="1">
      <c r="J826" s="259"/>
    </row>
    <row r="827" ht="15.75" customHeight="1">
      <c r="J827" s="259"/>
    </row>
    <row r="828" ht="15.75" customHeight="1">
      <c r="J828" s="259"/>
    </row>
    <row r="829" ht="15.75" customHeight="1">
      <c r="J829" s="259"/>
    </row>
    <row r="830" ht="15.75" customHeight="1">
      <c r="J830" s="259"/>
    </row>
    <row r="831" ht="15.75" customHeight="1">
      <c r="J831" s="259"/>
    </row>
    <row r="832" ht="15.75" customHeight="1">
      <c r="J832" s="259"/>
    </row>
    <row r="833" ht="15.75" customHeight="1">
      <c r="J833" s="259"/>
    </row>
    <row r="834" ht="15.75" customHeight="1">
      <c r="J834" s="259"/>
    </row>
    <row r="835" ht="15.75" customHeight="1">
      <c r="J835" s="259"/>
    </row>
    <row r="836" ht="15.75" customHeight="1">
      <c r="J836" s="259"/>
    </row>
    <row r="837" ht="15.75" customHeight="1">
      <c r="J837" s="259"/>
    </row>
    <row r="838" ht="15.75" customHeight="1">
      <c r="J838" s="259"/>
    </row>
    <row r="839" ht="15.75" customHeight="1">
      <c r="J839" s="259"/>
    </row>
    <row r="840" ht="15.75" customHeight="1">
      <c r="J840" s="259"/>
    </row>
    <row r="841" ht="15.75" customHeight="1">
      <c r="J841" s="259"/>
    </row>
    <row r="842" ht="15.75" customHeight="1">
      <c r="J842" s="259"/>
    </row>
    <row r="843" ht="15.75" customHeight="1">
      <c r="J843" s="259"/>
    </row>
    <row r="844" ht="15.75" customHeight="1">
      <c r="J844" s="259"/>
    </row>
    <row r="845" ht="15.75" customHeight="1">
      <c r="J845" s="259"/>
    </row>
    <row r="846" ht="15.75" customHeight="1">
      <c r="J846" s="259"/>
    </row>
    <row r="847" ht="15.75" customHeight="1">
      <c r="J847" s="259"/>
    </row>
    <row r="848" ht="15.75" customHeight="1">
      <c r="J848" s="259"/>
    </row>
    <row r="849" ht="15.75" customHeight="1">
      <c r="J849" s="259"/>
    </row>
    <row r="850" ht="15.75" customHeight="1">
      <c r="J850" s="259"/>
    </row>
    <row r="851" ht="15.75" customHeight="1">
      <c r="J851" s="259"/>
    </row>
    <row r="852" ht="15.75" customHeight="1">
      <c r="J852" s="259"/>
    </row>
    <row r="853" ht="15.75" customHeight="1">
      <c r="J853" s="259"/>
    </row>
    <row r="854" ht="15.75" customHeight="1">
      <c r="J854" s="259"/>
    </row>
    <row r="855" ht="15.75" customHeight="1">
      <c r="J855" s="259"/>
    </row>
    <row r="856" ht="15.75" customHeight="1">
      <c r="J856" s="259"/>
    </row>
    <row r="857" ht="15.75" customHeight="1">
      <c r="J857" s="259"/>
    </row>
    <row r="858" ht="15.75" customHeight="1">
      <c r="J858" s="259"/>
    </row>
    <row r="859" ht="15.75" customHeight="1">
      <c r="J859" s="259"/>
    </row>
    <row r="860" ht="15.75" customHeight="1">
      <c r="J860" s="259"/>
    </row>
    <row r="861" ht="15.75" customHeight="1">
      <c r="J861" s="259"/>
    </row>
    <row r="862" ht="15.75" customHeight="1">
      <c r="J862" s="259"/>
    </row>
    <row r="863" ht="15.75" customHeight="1">
      <c r="J863" s="259"/>
    </row>
    <row r="864" ht="15.75" customHeight="1">
      <c r="J864" s="259"/>
    </row>
    <row r="865" ht="15.75" customHeight="1">
      <c r="J865" s="259"/>
    </row>
    <row r="866" ht="15.75" customHeight="1">
      <c r="J866" s="259"/>
    </row>
    <row r="867" ht="15.75" customHeight="1">
      <c r="J867" s="259"/>
    </row>
    <row r="868" ht="15.75" customHeight="1">
      <c r="J868" s="259"/>
    </row>
    <row r="869" ht="15.75" customHeight="1">
      <c r="J869" s="259"/>
    </row>
    <row r="870" ht="15.75" customHeight="1">
      <c r="J870" s="259"/>
    </row>
    <row r="871" ht="15.75" customHeight="1">
      <c r="J871" s="259"/>
    </row>
    <row r="872" ht="15.75" customHeight="1">
      <c r="J872" s="259"/>
    </row>
    <row r="873" ht="15.75" customHeight="1">
      <c r="J873" s="259"/>
    </row>
    <row r="874" ht="15.75" customHeight="1">
      <c r="J874" s="259"/>
    </row>
    <row r="875" ht="15.75" customHeight="1">
      <c r="J875" s="259"/>
    </row>
    <row r="876" ht="15.75" customHeight="1">
      <c r="J876" s="259"/>
    </row>
    <row r="877" ht="15.75" customHeight="1">
      <c r="J877" s="259"/>
    </row>
    <row r="878" ht="15.75" customHeight="1">
      <c r="J878" s="259"/>
    </row>
    <row r="879" ht="15.75" customHeight="1">
      <c r="J879" s="259"/>
    </row>
    <row r="880" ht="15.75" customHeight="1">
      <c r="J880" s="259"/>
    </row>
    <row r="881" ht="15.75" customHeight="1">
      <c r="J881" s="259"/>
    </row>
    <row r="882" ht="15.75" customHeight="1">
      <c r="J882" s="259"/>
    </row>
    <row r="883" ht="15.75" customHeight="1">
      <c r="J883" s="259"/>
    </row>
    <row r="884" ht="15.75" customHeight="1">
      <c r="J884" s="259"/>
    </row>
    <row r="885" ht="15.75" customHeight="1">
      <c r="J885" s="259"/>
    </row>
    <row r="886" ht="15.75" customHeight="1">
      <c r="J886" s="259"/>
    </row>
    <row r="887" ht="15.75" customHeight="1">
      <c r="J887" s="259"/>
    </row>
    <row r="888" ht="15.75" customHeight="1">
      <c r="J888" s="259"/>
    </row>
    <row r="889" ht="15.75" customHeight="1">
      <c r="J889" s="259"/>
    </row>
    <row r="890" ht="15.75" customHeight="1">
      <c r="J890" s="259"/>
    </row>
    <row r="891" ht="15.75" customHeight="1">
      <c r="J891" s="259"/>
    </row>
    <row r="892" ht="15.75" customHeight="1">
      <c r="J892" s="259"/>
    </row>
    <row r="893" ht="15.75" customHeight="1">
      <c r="J893" s="259"/>
    </row>
    <row r="894" ht="15.75" customHeight="1">
      <c r="J894" s="259"/>
    </row>
    <row r="895" ht="15.75" customHeight="1">
      <c r="J895" s="259"/>
    </row>
    <row r="896" ht="15.75" customHeight="1">
      <c r="J896" s="259"/>
    </row>
    <row r="897" ht="15.75" customHeight="1">
      <c r="J897" s="259"/>
    </row>
    <row r="898" ht="15.75" customHeight="1">
      <c r="J898" s="259"/>
    </row>
    <row r="899" ht="15.75" customHeight="1">
      <c r="J899" s="259"/>
    </row>
    <row r="900" ht="15.75" customHeight="1">
      <c r="J900" s="259"/>
    </row>
    <row r="901" ht="15.75" customHeight="1">
      <c r="J901" s="259"/>
    </row>
    <row r="902" ht="15.75" customHeight="1">
      <c r="J902" s="259"/>
    </row>
    <row r="903" ht="15.75" customHeight="1">
      <c r="J903" s="259"/>
    </row>
    <row r="904" ht="15.75" customHeight="1">
      <c r="J904" s="259"/>
    </row>
    <row r="905" ht="15.75" customHeight="1">
      <c r="J905" s="259"/>
    </row>
    <row r="906" ht="15.75" customHeight="1">
      <c r="J906" s="259"/>
    </row>
    <row r="907" ht="15.75" customHeight="1">
      <c r="J907" s="259"/>
    </row>
    <row r="908" ht="15.75" customHeight="1">
      <c r="J908" s="259"/>
    </row>
    <row r="909" ht="15.75" customHeight="1">
      <c r="J909" s="259"/>
    </row>
    <row r="910" ht="15.75" customHeight="1">
      <c r="J910" s="259"/>
    </row>
    <row r="911" ht="15.75" customHeight="1">
      <c r="J911" s="259"/>
    </row>
    <row r="912" ht="15.75" customHeight="1">
      <c r="J912" s="259"/>
    </row>
    <row r="913" ht="15.75" customHeight="1">
      <c r="J913" s="259"/>
    </row>
    <row r="914" ht="15.75" customHeight="1">
      <c r="J914" s="259"/>
    </row>
    <row r="915" ht="15.75" customHeight="1">
      <c r="J915" s="259"/>
    </row>
    <row r="916" ht="15.75" customHeight="1">
      <c r="J916" s="259"/>
    </row>
    <row r="917" ht="15.75" customHeight="1">
      <c r="J917" s="259"/>
    </row>
    <row r="918" ht="15.75" customHeight="1">
      <c r="J918" s="259"/>
    </row>
    <row r="919" ht="15.75" customHeight="1">
      <c r="J919" s="259"/>
    </row>
    <row r="920" ht="15.75" customHeight="1">
      <c r="J920" s="259"/>
    </row>
    <row r="921" ht="15.75" customHeight="1">
      <c r="J921" s="259"/>
    </row>
    <row r="922" ht="15.75" customHeight="1">
      <c r="J922" s="259"/>
    </row>
    <row r="923" ht="15.75" customHeight="1">
      <c r="J923" s="259"/>
    </row>
    <row r="924" ht="15.75" customHeight="1">
      <c r="J924" s="259"/>
    </row>
    <row r="925" ht="15.75" customHeight="1">
      <c r="J925" s="259"/>
    </row>
    <row r="926" ht="15.75" customHeight="1">
      <c r="J926" s="259"/>
    </row>
    <row r="927" ht="15.75" customHeight="1">
      <c r="J927" s="259"/>
    </row>
    <row r="928" ht="15.75" customHeight="1">
      <c r="J928" s="259"/>
    </row>
    <row r="929" ht="15.75" customHeight="1">
      <c r="J929" s="259"/>
    </row>
    <row r="930" ht="15.75" customHeight="1">
      <c r="J930" s="259"/>
    </row>
    <row r="931" ht="15.75" customHeight="1">
      <c r="J931" s="259"/>
    </row>
    <row r="932" ht="15.75" customHeight="1">
      <c r="J932" s="259"/>
    </row>
    <row r="933" ht="15.75" customHeight="1">
      <c r="J933" s="259"/>
    </row>
    <row r="934" ht="15.75" customHeight="1">
      <c r="J934" s="259"/>
    </row>
    <row r="935" ht="15.75" customHeight="1">
      <c r="J935" s="259"/>
    </row>
    <row r="936" ht="15.75" customHeight="1">
      <c r="J936" s="259"/>
    </row>
    <row r="937" ht="15.75" customHeight="1">
      <c r="J937" s="259"/>
    </row>
    <row r="938" ht="15.75" customHeight="1">
      <c r="J938" s="259"/>
    </row>
    <row r="939" ht="15.75" customHeight="1">
      <c r="J939" s="259"/>
    </row>
    <row r="940" ht="15.75" customHeight="1">
      <c r="J940" s="259"/>
    </row>
    <row r="941" ht="15.75" customHeight="1">
      <c r="J941" s="259"/>
    </row>
    <row r="942" ht="15.75" customHeight="1">
      <c r="J942" s="259"/>
    </row>
    <row r="943" ht="15.75" customHeight="1">
      <c r="J943" s="259"/>
    </row>
    <row r="944" ht="15.75" customHeight="1">
      <c r="J944" s="259"/>
    </row>
    <row r="945" ht="15.75" customHeight="1">
      <c r="J945" s="259"/>
    </row>
    <row r="946" ht="15.75" customHeight="1">
      <c r="J946" s="259"/>
    </row>
    <row r="947" ht="15.75" customHeight="1">
      <c r="J947" s="259"/>
    </row>
    <row r="948" ht="15.75" customHeight="1">
      <c r="J948" s="259"/>
    </row>
    <row r="949" ht="15.75" customHeight="1">
      <c r="J949" s="259"/>
    </row>
    <row r="950" ht="15.75" customHeight="1">
      <c r="J950" s="259"/>
    </row>
    <row r="951" ht="15.75" customHeight="1">
      <c r="J951" s="259"/>
    </row>
    <row r="952" ht="15.75" customHeight="1">
      <c r="J952" s="259"/>
    </row>
    <row r="953" ht="15.75" customHeight="1">
      <c r="J953" s="259"/>
    </row>
    <row r="954" ht="15.75" customHeight="1">
      <c r="J954" s="259"/>
    </row>
    <row r="955" ht="15.75" customHeight="1">
      <c r="J955" s="259"/>
    </row>
    <row r="956" ht="15.75" customHeight="1">
      <c r="J956" s="259"/>
    </row>
    <row r="957" ht="15.75" customHeight="1">
      <c r="J957" s="259"/>
    </row>
    <row r="958" ht="15.75" customHeight="1">
      <c r="J958" s="259"/>
    </row>
    <row r="959" ht="15.75" customHeight="1">
      <c r="J959" s="259"/>
    </row>
    <row r="960" ht="15.75" customHeight="1">
      <c r="J960" s="259"/>
    </row>
    <row r="961" ht="15.75" customHeight="1">
      <c r="J961" s="259"/>
    </row>
    <row r="962" ht="15.75" customHeight="1">
      <c r="J962" s="259"/>
    </row>
    <row r="963" ht="15.75" customHeight="1">
      <c r="J963" s="259"/>
    </row>
    <row r="964" ht="15.75" customHeight="1">
      <c r="J964" s="259"/>
    </row>
    <row r="965" ht="15.75" customHeight="1">
      <c r="J965" s="259"/>
    </row>
    <row r="966" ht="15.75" customHeight="1">
      <c r="J966" s="259"/>
    </row>
    <row r="967" ht="15.75" customHeight="1">
      <c r="J967" s="259"/>
    </row>
    <row r="968" ht="15.75" customHeight="1">
      <c r="J968" s="259"/>
    </row>
    <row r="969" ht="15.75" customHeight="1">
      <c r="J969" s="259"/>
    </row>
    <row r="970" ht="15.75" customHeight="1">
      <c r="J970" s="259"/>
    </row>
    <row r="971" ht="15.75" customHeight="1">
      <c r="J971" s="259"/>
    </row>
    <row r="972" ht="15.75" customHeight="1">
      <c r="J972" s="259"/>
    </row>
    <row r="973" ht="15.75" customHeight="1">
      <c r="J973" s="259"/>
    </row>
    <row r="974" ht="15.75" customHeight="1">
      <c r="J974" s="259"/>
    </row>
    <row r="975" ht="15.75" customHeight="1">
      <c r="J975" s="259"/>
    </row>
    <row r="976" ht="15.75" customHeight="1">
      <c r="J976" s="259"/>
    </row>
    <row r="977" ht="15.75" customHeight="1">
      <c r="J977" s="259"/>
    </row>
    <row r="978" ht="15.75" customHeight="1">
      <c r="J978" s="259"/>
    </row>
    <row r="979" ht="15.75" customHeight="1">
      <c r="J979" s="259"/>
    </row>
    <row r="980" ht="15.75" customHeight="1">
      <c r="J980" s="259"/>
    </row>
    <row r="981" ht="15.75" customHeight="1">
      <c r="J981" s="259"/>
    </row>
    <row r="982" ht="15.75" customHeight="1">
      <c r="J982" s="259"/>
    </row>
    <row r="983" ht="15.75" customHeight="1">
      <c r="J983" s="259"/>
    </row>
    <row r="984" ht="15.75" customHeight="1">
      <c r="J984" s="259"/>
    </row>
    <row r="985" ht="15.75" customHeight="1">
      <c r="J985" s="259"/>
    </row>
    <row r="986" ht="15.75" customHeight="1">
      <c r="J986" s="259"/>
    </row>
    <row r="987" ht="15.75" customHeight="1">
      <c r="J987" s="259"/>
    </row>
    <row r="988" ht="15.75" customHeight="1">
      <c r="J988" s="259"/>
    </row>
    <row r="989" ht="15.75" customHeight="1">
      <c r="J989" s="259"/>
    </row>
    <row r="990" ht="15.75" customHeight="1">
      <c r="J990" s="259"/>
    </row>
    <row r="991" ht="15.75" customHeight="1">
      <c r="J991" s="259"/>
    </row>
    <row r="992" ht="15.75" customHeight="1">
      <c r="J992" s="259"/>
    </row>
    <row r="993" ht="15.75" customHeight="1">
      <c r="J993" s="259"/>
    </row>
    <row r="994" ht="15.75" customHeight="1">
      <c r="J994" s="259"/>
    </row>
    <row r="995" ht="15.75" customHeight="1">
      <c r="J995" s="259"/>
    </row>
    <row r="996" ht="15.75" customHeight="1">
      <c r="J996" s="259"/>
    </row>
    <row r="997" ht="15.75" customHeight="1">
      <c r="J997" s="259"/>
    </row>
    <row r="998" ht="15.75" customHeight="1">
      <c r="J998" s="259"/>
    </row>
    <row r="999" ht="15.75" customHeight="1">
      <c r="J999" s="259"/>
    </row>
    <row r="1000" ht="15.75" customHeight="1">
      <c r="J1000" s="259"/>
    </row>
    <row r="1001" ht="15.75" customHeight="1">
      <c r="J1001" s="259"/>
    </row>
    <row r="1002" ht="15.75" customHeight="1">
      <c r="J1002" s="259"/>
    </row>
    <row r="1003" ht="15.75" customHeight="1">
      <c r="J1003" s="259"/>
    </row>
  </sheetData>
  <mergeCells count="1">
    <mergeCell ref="C2:I2"/>
  </mergeCells>
  <conditionalFormatting sqref="B13:B17">
    <cfRule type="expression" dxfId="5" priority="1">
      <formula>$A13="EQUIPAMENTO"</formula>
    </cfRule>
  </conditionalFormatting>
  <conditionalFormatting sqref="B13:B17">
    <cfRule type="expression" dxfId="5" priority="2">
      <formula>$A13="VEÍCULO (recém emplacado)"</formula>
    </cfRule>
  </conditionalFormatting>
  <conditionalFormatting sqref="B13:B17">
    <cfRule type="expression" dxfId="5" priority="3">
      <formula>$A13="VEÍCULO (emplacado + de 45 dias)"</formula>
    </cfRule>
  </conditionalFormatting>
  <conditionalFormatting sqref="J1:J1003">
    <cfRule type="colorScale" priority="4">
      <colorScale>
        <cfvo type="min"/>
        <cfvo type="max"/>
        <color rgb="FFFFFFFF"/>
        <color rgb="FF57BB8A"/>
      </colorScale>
    </cfRule>
  </conditionalFormatting>
  <conditionalFormatting sqref="J1:J1003">
    <cfRule type="colorScale" priority="5">
      <colorScale>
        <cfvo type="min"/>
        <cfvo type="max"/>
        <color rgb="FFFFFFFF"/>
        <color rgb="FF57BB8A"/>
      </colorScale>
    </cfRule>
  </conditionalFormatting>
  <conditionalFormatting sqref="J1:J1003">
    <cfRule type="colorScale" priority="6">
      <colorScale>
        <cfvo type="formula" val="OK"/>
        <cfvo type="max"/>
        <color rgb="FF38761D"/>
        <color rgb="FF57BB8A"/>
      </colorScale>
    </cfRule>
  </conditionalFormatting>
  <conditionalFormatting sqref="J6:J109">
    <cfRule type="colorScale" priority="7">
      <colorScale>
        <cfvo type="formula" val="OK"/>
        <cfvo type="formula" val="URGENTE"/>
        <cfvo type="formula" val="ATENÇÃO"/>
        <color rgb="FF6AA84F"/>
        <color rgb="FFCC0000"/>
        <color rgb="FFFFD966"/>
      </colorScale>
    </cfRule>
  </conditionalFormatting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3" width="16.57"/>
    <col customWidth="1" min="4" max="4" width="35.71"/>
    <col customWidth="1" min="6" max="6" width="36.71"/>
  </cols>
  <sheetData>
    <row r="1">
      <c r="A1" s="301" t="s">
        <v>6</v>
      </c>
      <c r="B1" s="301" t="s">
        <v>511</v>
      </c>
      <c r="C1" s="301" t="s">
        <v>139</v>
      </c>
      <c r="D1" s="302" t="s">
        <v>512</v>
      </c>
      <c r="E1" s="303" t="s">
        <v>513</v>
      </c>
      <c r="F1" s="303" t="s">
        <v>514</v>
      </c>
    </row>
    <row r="2">
      <c r="A2" s="304"/>
      <c r="B2" s="305"/>
      <c r="C2" s="305" t="s">
        <v>515</v>
      </c>
      <c r="D2" s="306">
        <v>9400.0</v>
      </c>
      <c r="E2" s="38" t="s">
        <v>243</v>
      </c>
      <c r="F2" s="307"/>
    </row>
    <row r="3">
      <c r="A3" s="304"/>
      <c r="B3" s="305"/>
      <c r="C3" s="305" t="s">
        <v>515</v>
      </c>
      <c r="D3" s="306">
        <v>350.0</v>
      </c>
      <c r="E3" s="38" t="s">
        <v>243</v>
      </c>
      <c r="F3" s="307"/>
    </row>
    <row r="4">
      <c r="A4" s="304"/>
      <c r="B4" s="305"/>
      <c r="C4" s="305" t="s">
        <v>161</v>
      </c>
      <c r="D4" s="306">
        <v>2132.0</v>
      </c>
      <c r="E4" s="38" t="s">
        <v>243</v>
      </c>
      <c r="F4" s="307"/>
    </row>
    <row r="5">
      <c r="A5" s="304"/>
      <c r="B5" s="305"/>
      <c r="C5" s="305" t="s">
        <v>161</v>
      </c>
      <c r="D5" s="306">
        <v>6000.0</v>
      </c>
      <c r="E5" s="38" t="s">
        <v>243</v>
      </c>
      <c r="F5" s="307"/>
    </row>
    <row r="6">
      <c r="A6" s="304"/>
      <c r="B6" s="305"/>
      <c r="C6" s="305" t="s">
        <v>516</v>
      </c>
      <c r="D6" s="306">
        <v>700.0</v>
      </c>
      <c r="E6" s="38" t="s">
        <v>242</v>
      </c>
      <c r="F6" s="307"/>
    </row>
    <row r="7">
      <c r="A7" s="304"/>
      <c r="B7" s="305"/>
      <c r="C7" s="305" t="s">
        <v>516</v>
      </c>
      <c r="D7" s="306">
        <v>700.0</v>
      </c>
      <c r="E7" s="38" t="s">
        <v>242</v>
      </c>
      <c r="F7" s="38" t="s">
        <v>517</v>
      </c>
    </row>
    <row r="8">
      <c r="A8" s="304"/>
      <c r="B8" s="304"/>
      <c r="C8" s="305" t="s">
        <v>518</v>
      </c>
      <c r="D8" s="306">
        <v>900.0</v>
      </c>
      <c r="E8" s="38" t="s">
        <v>243</v>
      </c>
      <c r="F8" s="307"/>
    </row>
    <row r="9">
      <c r="A9" s="308" t="s">
        <v>187</v>
      </c>
      <c r="B9" s="304"/>
      <c r="C9" s="305" t="s">
        <v>515</v>
      </c>
      <c r="D9" s="306" t="s">
        <v>519</v>
      </c>
      <c r="E9" s="38" t="s">
        <v>242</v>
      </c>
      <c r="F9" s="38" t="s">
        <v>520</v>
      </c>
    </row>
    <row r="10">
      <c r="A10" s="308" t="s">
        <v>187</v>
      </c>
      <c r="B10" s="304"/>
      <c r="C10" s="305" t="s">
        <v>515</v>
      </c>
      <c r="D10" s="306" t="s">
        <v>521</v>
      </c>
      <c r="E10" s="38" t="s">
        <v>242</v>
      </c>
      <c r="F10" s="38" t="s">
        <v>522</v>
      </c>
    </row>
    <row r="11">
      <c r="A11" s="309" t="s">
        <v>162</v>
      </c>
      <c r="B11" s="304"/>
      <c r="C11" s="305" t="s">
        <v>523</v>
      </c>
      <c r="D11" s="306" t="s">
        <v>524</v>
      </c>
      <c r="E11" s="38" t="s">
        <v>243</v>
      </c>
      <c r="F11" s="38" t="s">
        <v>525</v>
      </c>
    </row>
    <row r="12">
      <c r="A12" s="308" t="s">
        <v>189</v>
      </c>
      <c r="B12" s="304"/>
      <c r="C12" s="305" t="s">
        <v>516</v>
      </c>
      <c r="D12" s="306" t="s">
        <v>526</v>
      </c>
      <c r="E12" s="38" t="s">
        <v>243</v>
      </c>
      <c r="F12" s="38" t="s">
        <v>527</v>
      </c>
    </row>
    <row r="13">
      <c r="A13" s="308" t="s">
        <v>187</v>
      </c>
      <c r="B13" s="304"/>
      <c r="C13" s="305" t="s">
        <v>515</v>
      </c>
      <c r="D13" s="306" t="s">
        <v>528</v>
      </c>
      <c r="E13" s="38" t="s">
        <v>242</v>
      </c>
      <c r="F13" s="38" t="s">
        <v>529</v>
      </c>
    </row>
    <row r="14">
      <c r="A14" s="309" t="s">
        <v>159</v>
      </c>
      <c r="B14" s="304"/>
      <c r="C14" s="305" t="s">
        <v>161</v>
      </c>
      <c r="D14" s="306" t="s">
        <v>530</v>
      </c>
      <c r="E14" s="38" t="s">
        <v>242</v>
      </c>
      <c r="F14" s="38" t="s">
        <v>531</v>
      </c>
    </row>
    <row r="15">
      <c r="A15" s="309" t="s">
        <v>159</v>
      </c>
      <c r="B15" s="304"/>
      <c r="C15" s="305" t="s">
        <v>161</v>
      </c>
      <c r="D15" s="306" t="s">
        <v>532</v>
      </c>
      <c r="E15" s="38" t="s">
        <v>242</v>
      </c>
      <c r="F15" s="38" t="s">
        <v>533</v>
      </c>
    </row>
    <row r="16">
      <c r="A16" s="304"/>
      <c r="B16" s="304"/>
      <c r="C16" s="304"/>
      <c r="D16" s="310"/>
      <c r="E16" s="307"/>
      <c r="F16" s="307"/>
    </row>
    <row r="17">
      <c r="A17" s="304"/>
      <c r="B17" s="304"/>
      <c r="C17" s="304"/>
      <c r="D17" s="310"/>
      <c r="E17" s="307"/>
      <c r="F17" s="307"/>
    </row>
    <row r="18">
      <c r="A18" s="304"/>
      <c r="B18" s="304"/>
      <c r="C18" s="304"/>
      <c r="D18" s="310"/>
      <c r="E18" s="307"/>
      <c r="F18" s="307"/>
    </row>
    <row r="19">
      <c r="A19" s="304"/>
      <c r="B19" s="304"/>
      <c r="C19" s="304"/>
      <c r="D19" s="310"/>
      <c r="E19" s="307"/>
      <c r="F19" s="307"/>
    </row>
    <row r="20">
      <c r="A20" s="304"/>
      <c r="B20" s="304"/>
      <c r="C20" s="304"/>
      <c r="D20" s="310"/>
      <c r="E20" s="307"/>
      <c r="F20" s="307"/>
    </row>
    <row r="21">
      <c r="A21" s="304"/>
      <c r="B21" s="304"/>
      <c r="C21" s="304"/>
      <c r="D21" s="310"/>
      <c r="E21" s="307"/>
      <c r="F21" s="307"/>
    </row>
    <row r="22">
      <c r="A22" s="304"/>
      <c r="B22" s="304"/>
      <c r="C22" s="304"/>
      <c r="D22" s="310"/>
      <c r="E22" s="307"/>
      <c r="F22" s="307"/>
    </row>
    <row r="23">
      <c r="A23" s="304"/>
      <c r="B23" s="304"/>
      <c r="C23" s="304"/>
      <c r="D23" s="310"/>
      <c r="E23" s="307"/>
      <c r="F23" s="307"/>
    </row>
    <row r="24">
      <c r="A24" s="304"/>
      <c r="B24" s="304"/>
      <c r="C24" s="304"/>
      <c r="D24" s="310"/>
      <c r="E24" s="307"/>
      <c r="F24" s="307"/>
    </row>
    <row r="25">
      <c r="A25" s="304"/>
      <c r="B25" s="304"/>
      <c r="C25" s="304"/>
      <c r="D25" s="310"/>
      <c r="E25" s="307"/>
      <c r="F25" s="307"/>
    </row>
    <row r="26">
      <c r="A26" s="304"/>
      <c r="B26" s="304"/>
      <c r="C26" s="304"/>
      <c r="D26" s="310"/>
      <c r="E26" s="307"/>
      <c r="F26" s="307"/>
    </row>
    <row r="27">
      <c r="A27" s="304"/>
      <c r="B27" s="304"/>
      <c r="C27" s="304"/>
      <c r="D27" s="310"/>
      <c r="E27" s="307"/>
      <c r="F27" s="307"/>
    </row>
    <row r="28">
      <c r="A28" s="304"/>
      <c r="B28" s="304"/>
      <c r="C28" s="304"/>
      <c r="D28" s="310"/>
      <c r="E28" s="307"/>
      <c r="F28" s="307"/>
    </row>
    <row r="29">
      <c r="A29" s="304"/>
      <c r="B29" s="304"/>
      <c r="C29" s="304"/>
      <c r="D29" s="310"/>
      <c r="E29" s="307"/>
      <c r="F29" s="307"/>
    </row>
    <row r="30">
      <c r="A30" s="304"/>
      <c r="B30" s="304"/>
      <c r="C30" s="304"/>
      <c r="D30" s="310"/>
      <c r="E30" s="307"/>
      <c r="F30" s="307"/>
    </row>
    <row r="31">
      <c r="A31" s="304"/>
      <c r="B31" s="304"/>
      <c r="C31" s="304"/>
      <c r="D31" s="310"/>
      <c r="E31" s="307"/>
      <c r="F31" s="307"/>
    </row>
    <row r="32">
      <c r="A32" s="304"/>
      <c r="B32" s="304"/>
      <c r="C32" s="304"/>
      <c r="D32" s="310"/>
      <c r="E32" s="307"/>
      <c r="F32" s="307"/>
    </row>
    <row r="33">
      <c r="A33" s="304"/>
      <c r="B33" s="304"/>
      <c r="C33" s="304"/>
      <c r="D33" s="310"/>
      <c r="E33" s="307"/>
      <c r="F33" s="307"/>
    </row>
    <row r="34">
      <c r="A34" s="304"/>
      <c r="B34" s="304"/>
      <c r="C34" s="304"/>
      <c r="D34" s="310"/>
      <c r="E34" s="307"/>
      <c r="F34" s="307"/>
    </row>
    <row r="35">
      <c r="A35" s="304"/>
      <c r="B35" s="304"/>
      <c r="C35" s="304"/>
      <c r="D35" s="310"/>
      <c r="E35" s="307"/>
      <c r="F35" s="307"/>
    </row>
    <row r="36">
      <c r="A36" s="304"/>
      <c r="B36" s="304"/>
      <c r="C36" s="304"/>
      <c r="D36" s="310"/>
      <c r="E36" s="307"/>
      <c r="F36" s="307"/>
    </row>
    <row r="37">
      <c r="A37" s="304"/>
      <c r="B37" s="304"/>
      <c r="C37" s="304"/>
      <c r="D37" s="310"/>
      <c r="E37" s="307"/>
      <c r="F37" s="307"/>
    </row>
    <row r="38">
      <c r="A38" s="304"/>
      <c r="B38" s="304"/>
      <c r="C38" s="304"/>
      <c r="D38" s="310"/>
      <c r="E38" s="307"/>
      <c r="F38" s="307"/>
    </row>
    <row r="39">
      <c r="A39" s="304"/>
      <c r="B39" s="304"/>
      <c r="C39" s="304"/>
      <c r="D39" s="310"/>
      <c r="E39" s="307"/>
      <c r="F39" s="307"/>
    </row>
    <row r="40">
      <c r="A40" s="304"/>
      <c r="B40" s="304"/>
      <c r="C40" s="304"/>
      <c r="D40" s="310"/>
      <c r="E40" s="307"/>
      <c r="F40" s="307"/>
    </row>
    <row r="41">
      <c r="A41" s="304"/>
      <c r="B41" s="304"/>
      <c r="C41" s="304"/>
      <c r="D41" s="310"/>
      <c r="E41" s="307"/>
      <c r="F41" s="307"/>
    </row>
    <row r="42">
      <c r="A42" s="304"/>
      <c r="B42" s="304"/>
      <c r="C42" s="304"/>
      <c r="D42" s="310"/>
      <c r="E42" s="307"/>
      <c r="F42" s="307"/>
    </row>
    <row r="43">
      <c r="A43" s="304"/>
      <c r="B43" s="304"/>
      <c r="C43" s="304"/>
      <c r="D43" s="310"/>
      <c r="E43" s="307"/>
      <c r="F43" s="307"/>
    </row>
    <row r="44">
      <c r="A44" s="304"/>
      <c r="B44" s="304"/>
      <c r="C44" s="304"/>
      <c r="D44" s="310"/>
      <c r="E44" s="307"/>
      <c r="F44" s="307"/>
    </row>
    <row r="45">
      <c r="A45" s="304"/>
      <c r="B45" s="304"/>
      <c r="C45" s="304"/>
      <c r="D45" s="310"/>
      <c r="E45" s="307"/>
      <c r="F45" s="307"/>
    </row>
    <row r="46">
      <c r="A46" s="304"/>
      <c r="B46" s="304"/>
      <c r="C46" s="304"/>
      <c r="D46" s="310"/>
      <c r="E46" s="307"/>
      <c r="F46" s="307"/>
    </row>
    <row r="47">
      <c r="A47" s="304"/>
      <c r="B47" s="304"/>
      <c r="C47" s="304"/>
      <c r="D47" s="310"/>
      <c r="E47" s="307"/>
      <c r="F47" s="307"/>
    </row>
    <row r="48">
      <c r="A48" s="304"/>
      <c r="B48" s="304"/>
      <c r="C48" s="304"/>
      <c r="D48" s="310"/>
      <c r="E48" s="307"/>
      <c r="F48" s="307"/>
    </row>
    <row r="49">
      <c r="A49" s="304"/>
      <c r="B49" s="304"/>
      <c r="C49" s="304"/>
      <c r="D49" s="310"/>
      <c r="E49" s="307"/>
      <c r="F49" s="307"/>
    </row>
    <row r="50">
      <c r="A50" s="304"/>
      <c r="B50" s="304"/>
      <c r="C50" s="304"/>
      <c r="D50" s="310"/>
      <c r="E50" s="307"/>
      <c r="F50" s="307"/>
    </row>
    <row r="51">
      <c r="A51" s="304"/>
      <c r="B51" s="304"/>
      <c r="C51" s="304"/>
      <c r="D51" s="310"/>
      <c r="E51" s="307"/>
      <c r="F51" s="307"/>
    </row>
    <row r="52">
      <c r="A52" s="304"/>
      <c r="B52" s="304"/>
      <c r="C52" s="304"/>
      <c r="D52" s="310"/>
      <c r="E52" s="307"/>
      <c r="F52" s="307"/>
    </row>
    <row r="53">
      <c r="A53" s="304"/>
      <c r="B53" s="304"/>
      <c r="C53" s="304"/>
      <c r="D53" s="310"/>
      <c r="E53" s="307"/>
      <c r="F53" s="307"/>
    </row>
    <row r="54">
      <c r="A54" s="304"/>
      <c r="B54" s="304"/>
      <c r="C54" s="304"/>
      <c r="D54" s="310"/>
      <c r="E54" s="307"/>
      <c r="F54" s="307"/>
    </row>
    <row r="55">
      <c r="A55" s="304"/>
      <c r="B55" s="304"/>
      <c r="C55" s="304"/>
      <c r="D55" s="310"/>
      <c r="E55" s="307"/>
      <c r="F55" s="307"/>
    </row>
    <row r="56">
      <c r="A56" s="304"/>
      <c r="B56" s="304"/>
      <c r="C56" s="304"/>
      <c r="D56" s="310"/>
      <c r="E56" s="307"/>
      <c r="F56" s="307"/>
    </row>
    <row r="57">
      <c r="A57" s="304"/>
      <c r="B57" s="304"/>
      <c r="C57" s="304"/>
      <c r="D57" s="310"/>
      <c r="E57" s="307"/>
      <c r="F57" s="307"/>
    </row>
    <row r="58">
      <c r="A58" s="304"/>
      <c r="B58" s="304"/>
      <c r="C58" s="304"/>
      <c r="D58" s="310"/>
      <c r="E58" s="307"/>
      <c r="F58" s="307"/>
    </row>
    <row r="59">
      <c r="A59" s="304"/>
      <c r="B59" s="304"/>
      <c r="C59" s="304"/>
      <c r="D59" s="310"/>
      <c r="E59" s="307"/>
      <c r="F59" s="307"/>
    </row>
    <row r="60">
      <c r="A60" s="304"/>
      <c r="B60" s="304"/>
      <c r="C60" s="304"/>
      <c r="D60" s="310"/>
      <c r="E60" s="307"/>
      <c r="F60" s="307"/>
    </row>
    <row r="61">
      <c r="A61" s="304"/>
      <c r="B61" s="304"/>
      <c r="C61" s="304"/>
      <c r="D61" s="310"/>
      <c r="E61" s="307"/>
      <c r="F61" s="307"/>
    </row>
    <row r="62">
      <c r="A62" s="304"/>
      <c r="B62" s="304"/>
      <c r="C62" s="304"/>
      <c r="D62" s="310"/>
      <c r="E62" s="307"/>
      <c r="F62" s="307"/>
    </row>
    <row r="63">
      <c r="A63" s="304"/>
      <c r="B63" s="304"/>
      <c r="C63" s="304"/>
      <c r="D63" s="310"/>
      <c r="E63" s="307"/>
      <c r="F63" s="307"/>
    </row>
    <row r="64">
      <c r="A64" s="304"/>
      <c r="B64" s="304"/>
      <c r="C64" s="304"/>
      <c r="D64" s="310"/>
      <c r="E64" s="307"/>
      <c r="F64" s="307"/>
    </row>
    <row r="65">
      <c r="A65" s="304"/>
      <c r="B65" s="304"/>
      <c r="C65" s="304"/>
      <c r="D65" s="310"/>
      <c r="E65" s="307"/>
      <c r="F65" s="307"/>
    </row>
    <row r="66">
      <c r="A66" s="304"/>
      <c r="B66" s="304"/>
      <c r="C66" s="304"/>
      <c r="D66" s="310"/>
      <c r="E66" s="307"/>
      <c r="F66" s="307"/>
    </row>
    <row r="67">
      <c r="A67" s="304"/>
      <c r="B67" s="304"/>
      <c r="C67" s="304"/>
      <c r="D67" s="310"/>
      <c r="E67" s="307"/>
      <c r="F67" s="307"/>
    </row>
    <row r="68">
      <c r="A68" s="304"/>
      <c r="B68" s="304"/>
      <c r="C68" s="304"/>
      <c r="D68" s="310"/>
      <c r="E68" s="307"/>
      <c r="F68" s="307"/>
    </row>
    <row r="69">
      <c r="A69" s="304"/>
      <c r="B69" s="304"/>
      <c r="C69" s="304"/>
      <c r="D69" s="310"/>
      <c r="E69" s="307"/>
      <c r="F69" s="307"/>
    </row>
    <row r="70">
      <c r="A70" s="304"/>
      <c r="B70" s="304"/>
      <c r="C70" s="304"/>
      <c r="D70" s="310"/>
      <c r="E70" s="307"/>
      <c r="F70" s="307"/>
    </row>
    <row r="71">
      <c r="A71" s="304"/>
      <c r="B71" s="304"/>
      <c r="C71" s="304"/>
      <c r="D71" s="310"/>
      <c r="E71" s="307"/>
      <c r="F71" s="307"/>
    </row>
    <row r="72">
      <c r="A72" s="304"/>
      <c r="B72" s="304"/>
      <c r="C72" s="304"/>
      <c r="D72" s="310"/>
      <c r="E72" s="307"/>
      <c r="F72" s="307"/>
    </row>
    <row r="73">
      <c r="A73" s="304"/>
      <c r="B73" s="304"/>
      <c r="C73" s="304"/>
      <c r="D73" s="310"/>
      <c r="E73" s="307"/>
      <c r="F73" s="307"/>
    </row>
    <row r="74">
      <c r="A74" s="304"/>
      <c r="B74" s="304"/>
      <c r="C74" s="304"/>
      <c r="D74" s="310"/>
      <c r="E74" s="307"/>
      <c r="F74" s="307"/>
    </row>
    <row r="75">
      <c r="A75" s="304"/>
      <c r="B75" s="304"/>
      <c r="C75" s="304"/>
      <c r="D75" s="310"/>
      <c r="E75" s="307"/>
      <c r="F75" s="307"/>
    </row>
    <row r="76">
      <c r="A76" s="304"/>
      <c r="B76" s="304"/>
      <c r="C76" s="304"/>
      <c r="D76" s="310"/>
      <c r="E76" s="307"/>
      <c r="F76" s="307"/>
    </row>
    <row r="77">
      <c r="A77" s="304"/>
      <c r="B77" s="304"/>
      <c r="C77" s="304"/>
      <c r="D77" s="310"/>
      <c r="E77" s="307"/>
      <c r="F77" s="307"/>
    </row>
    <row r="78">
      <c r="A78" s="304"/>
      <c r="B78" s="304"/>
      <c r="C78" s="304"/>
      <c r="D78" s="310"/>
      <c r="E78" s="307"/>
      <c r="F78" s="307"/>
    </row>
    <row r="79">
      <c r="A79" s="304"/>
      <c r="B79" s="304"/>
      <c r="C79" s="304"/>
      <c r="D79" s="310"/>
      <c r="E79" s="307"/>
      <c r="F79" s="307"/>
    </row>
    <row r="80">
      <c r="A80" s="304"/>
      <c r="B80" s="304"/>
      <c r="C80" s="304"/>
      <c r="D80" s="310"/>
      <c r="E80" s="307"/>
      <c r="F80" s="307"/>
    </row>
    <row r="81">
      <c r="A81" s="304"/>
      <c r="B81" s="304"/>
      <c r="C81" s="304"/>
      <c r="D81" s="310"/>
      <c r="E81" s="307"/>
      <c r="F81" s="307"/>
    </row>
    <row r="82">
      <c r="A82" s="304"/>
      <c r="B82" s="304"/>
      <c r="C82" s="304"/>
      <c r="D82" s="310"/>
      <c r="E82" s="307"/>
      <c r="F82" s="307"/>
    </row>
    <row r="83">
      <c r="A83" s="304"/>
      <c r="B83" s="304"/>
      <c r="C83" s="304"/>
      <c r="D83" s="310"/>
      <c r="E83" s="307"/>
      <c r="F83" s="307"/>
    </row>
    <row r="84">
      <c r="A84" s="304"/>
      <c r="B84" s="304"/>
      <c r="C84" s="304"/>
      <c r="D84" s="310"/>
      <c r="E84" s="307"/>
      <c r="F84" s="307"/>
    </row>
    <row r="85">
      <c r="A85" s="304"/>
      <c r="B85" s="304"/>
      <c r="C85" s="304"/>
      <c r="D85" s="310"/>
      <c r="E85" s="307"/>
      <c r="F85" s="307"/>
    </row>
    <row r="86">
      <c r="A86" s="304"/>
      <c r="B86" s="304"/>
      <c r="C86" s="304"/>
      <c r="D86" s="310"/>
      <c r="E86" s="307"/>
      <c r="F86" s="307"/>
    </row>
    <row r="87">
      <c r="A87" s="304"/>
      <c r="B87" s="304"/>
      <c r="C87" s="304"/>
      <c r="D87" s="310"/>
      <c r="E87" s="307"/>
      <c r="F87" s="307"/>
    </row>
    <row r="88">
      <c r="A88" s="304"/>
      <c r="B88" s="304"/>
      <c r="C88" s="304"/>
      <c r="D88" s="310"/>
      <c r="E88" s="307"/>
      <c r="F88" s="307"/>
    </row>
    <row r="89">
      <c r="A89" s="304"/>
      <c r="B89" s="304"/>
      <c r="C89" s="304"/>
      <c r="D89" s="310"/>
      <c r="E89" s="307"/>
      <c r="F89" s="307"/>
    </row>
    <row r="90">
      <c r="A90" s="304"/>
      <c r="B90" s="304"/>
      <c r="C90" s="304"/>
      <c r="D90" s="310"/>
      <c r="E90" s="307"/>
      <c r="F90" s="307"/>
    </row>
    <row r="91">
      <c r="A91" s="304"/>
      <c r="B91" s="304"/>
      <c r="C91" s="304"/>
      <c r="D91" s="310"/>
      <c r="E91" s="307"/>
      <c r="F91" s="307"/>
    </row>
    <row r="92">
      <c r="A92" s="304"/>
      <c r="B92" s="304"/>
      <c r="C92" s="304"/>
      <c r="D92" s="310"/>
      <c r="E92" s="307"/>
      <c r="F92" s="307"/>
    </row>
    <row r="93">
      <c r="A93" s="304"/>
      <c r="B93" s="304"/>
      <c r="C93" s="304"/>
      <c r="D93" s="310"/>
      <c r="E93" s="307"/>
      <c r="F93" s="307"/>
    </row>
    <row r="94">
      <c r="A94" s="304"/>
      <c r="B94" s="304"/>
      <c r="C94" s="304"/>
      <c r="D94" s="310"/>
      <c r="E94" s="307"/>
      <c r="F94" s="307"/>
    </row>
    <row r="95">
      <c r="A95" s="304"/>
      <c r="B95" s="304"/>
      <c r="C95" s="304"/>
      <c r="D95" s="310"/>
      <c r="E95" s="307"/>
      <c r="F95" s="307"/>
    </row>
    <row r="96">
      <c r="A96" s="304"/>
      <c r="B96" s="304"/>
      <c r="C96" s="304"/>
      <c r="D96" s="310"/>
      <c r="E96" s="307"/>
      <c r="F96" s="307"/>
    </row>
    <row r="97">
      <c r="A97" s="304"/>
      <c r="B97" s="304"/>
      <c r="C97" s="304"/>
      <c r="D97" s="310"/>
      <c r="E97" s="307"/>
      <c r="F97" s="307"/>
    </row>
    <row r="98">
      <c r="A98" s="304"/>
      <c r="B98" s="304"/>
      <c r="C98" s="304"/>
      <c r="D98" s="310"/>
      <c r="E98" s="307"/>
      <c r="F98" s="307"/>
    </row>
    <row r="99">
      <c r="A99" s="304"/>
      <c r="B99" s="304"/>
      <c r="C99" s="304"/>
      <c r="D99" s="310"/>
      <c r="E99" s="307"/>
      <c r="F99" s="307"/>
    </row>
    <row r="100">
      <c r="A100" s="304"/>
      <c r="B100" s="304"/>
      <c r="C100" s="304"/>
      <c r="D100" s="310"/>
      <c r="E100" s="307"/>
      <c r="F100" s="307"/>
    </row>
    <row r="101">
      <c r="A101" s="304"/>
      <c r="B101" s="304"/>
      <c r="C101" s="304"/>
      <c r="D101" s="310"/>
      <c r="E101" s="307"/>
      <c r="F101" s="307"/>
    </row>
    <row r="102">
      <c r="A102" s="304"/>
      <c r="B102" s="304"/>
      <c r="C102" s="304"/>
      <c r="D102" s="310"/>
      <c r="E102" s="307"/>
      <c r="F102" s="307"/>
    </row>
    <row r="103">
      <c r="A103" s="304"/>
      <c r="B103" s="304"/>
      <c r="C103" s="304"/>
      <c r="D103" s="310"/>
      <c r="E103" s="307"/>
      <c r="F103" s="307"/>
    </row>
    <row r="104">
      <c r="A104" s="304"/>
      <c r="B104" s="304"/>
      <c r="C104" s="304"/>
      <c r="D104" s="310"/>
      <c r="E104" s="307"/>
      <c r="F104" s="307"/>
    </row>
    <row r="105">
      <c r="A105" s="304"/>
      <c r="B105" s="304"/>
      <c r="C105" s="304"/>
      <c r="D105" s="310"/>
      <c r="E105" s="307"/>
      <c r="F105" s="307"/>
    </row>
    <row r="106">
      <c r="A106" s="304"/>
      <c r="B106" s="304"/>
      <c r="C106" s="304"/>
      <c r="D106" s="310"/>
      <c r="E106" s="307"/>
      <c r="F106" s="307"/>
    </row>
    <row r="107">
      <c r="A107" s="304"/>
      <c r="B107" s="304"/>
      <c r="C107" s="304"/>
      <c r="D107" s="310"/>
      <c r="E107" s="307"/>
      <c r="F107" s="307"/>
    </row>
    <row r="108">
      <c r="A108" s="304"/>
      <c r="B108" s="304"/>
      <c r="C108" s="304"/>
      <c r="D108" s="310"/>
      <c r="E108" s="307"/>
      <c r="F108" s="307"/>
    </row>
    <row r="109">
      <c r="A109" s="304"/>
      <c r="B109" s="304"/>
      <c r="C109" s="304"/>
      <c r="D109" s="310"/>
      <c r="E109" s="307"/>
      <c r="F109" s="307"/>
    </row>
    <row r="110">
      <c r="A110" s="304"/>
      <c r="B110" s="304"/>
      <c r="C110" s="304"/>
      <c r="D110" s="310"/>
      <c r="E110" s="307"/>
      <c r="F110" s="307"/>
    </row>
    <row r="111">
      <c r="A111" s="304"/>
      <c r="B111" s="304"/>
      <c r="C111" s="304"/>
      <c r="D111" s="310"/>
      <c r="E111" s="307"/>
      <c r="F111" s="307"/>
    </row>
    <row r="112">
      <c r="A112" s="304"/>
      <c r="B112" s="304"/>
      <c r="C112" s="304"/>
      <c r="D112" s="310"/>
      <c r="E112" s="307"/>
      <c r="F112" s="307"/>
    </row>
    <row r="113">
      <c r="A113" s="304"/>
      <c r="B113" s="304"/>
      <c r="C113" s="304"/>
      <c r="D113" s="310"/>
      <c r="E113" s="307"/>
      <c r="F113" s="307"/>
    </row>
    <row r="114">
      <c r="A114" s="304"/>
      <c r="B114" s="304"/>
      <c r="C114" s="304"/>
      <c r="D114" s="310"/>
      <c r="E114" s="307"/>
      <c r="F114" s="307"/>
    </row>
    <row r="115">
      <c r="A115" s="304"/>
      <c r="B115" s="304"/>
      <c r="C115" s="304"/>
      <c r="D115" s="310"/>
      <c r="E115" s="307"/>
      <c r="F115" s="307"/>
    </row>
    <row r="116">
      <c r="A116" s="304"/>
      <c r="B116" s="304"/>
      <c r="C116" s="304"/>
      <c r="D116" s="310"/>
      <c r="E116" s="307"/>
      <c r="F116" s="307"/>
    </row>
    <row r="117">
      <c r="A117" s="304"/>
      <c r="B117" s="304"/>
      <c r="C117" s="304"/>
      <c r="D117" s="310"/>
      <c r="E117" s="307"/>
      <c r="F117" s="307"/>
    </row>
    <row r="118">
      <c r="A118" s="304"/>
      <c r="B118" s="304"/>
      <c r="C118" s="304"/>
      <c r="D118" s="310"/>
      <c r="E118" s="307"/>
      <c r="F118" s="307"/>
    </row>
    <row r="119">
      <c r="A119" s="304"/>
      <c r="B119" s="304"/>
      <c r="C119" s="304"/>
      <c r="D119" s="310"/>
      <c r="E119" s="307"/>
      <c r="F119" s="307"/>
    </row>
    <row r="120">
      <c r="A120" s="304"/>
      <c r="B120" s="304"/>
      <c r="C120" s="304"/>
      <c r="D120" s="310"/>
      <c r="E120" s="307"/>
      <c r="F120" s="307"/>
    </row>
    <row r="121">
      <c r="A121" s="304"/>
      <c r="B121" s="304"/>
      <c r="C121" s="304"/>
      <c r="D121" s="310"/>
      <c r="E121" s="307"/>
      <c r="F121" s="307"/>
    </row>
    <row r="122">
      <c r="A122" s="304"/>
      <c r="B122" s="304"/>
      <c r="C122" s="304"/>
      <c r="D122" s="310"/>
      <c r="E122" s="307"/>
      <c r="F122" s="307"/>
    </row>
    <row r="123">
      <c r="A123" s="304"/>
      <c r="B123" s="304"/>
      <c r="C123" s="304"/>
      <c r="D123" s="310"/>
      <c r="E123" s="307"/>
      <c r="F123" s="307"/>
    </row>
    <row r="124">
      <c r="A124" s="304"/>
      <c r="B124" s="304"/>
      <c r="C124" s="304"/>
      <c r="D124" s="310"/>
      <c r="E124" s="307"/>
      <c r="F124" s="307"/>
    </row>
    <row r="125">
      <c r="A125" s="304"/>
      <c r="B125" s="304"/>
      <c r="C125" s="304"/>
      <c r="D125" s="310"/>
      <c r="E125" s="307"/>
      <c r="F125" s="307"/>
    </row>
    <row r="126">
      <c r="A126" s="304"/>
      <c r="B126" s="304"/>
      <c r="C126" s="304"/>
      <c r="D126" s="310"/>
      <c r="E126" s="307"/>
      <c r="F126" s="307"/>
    </row>
    <row r="127">
      <c r="A127" s="304"/>
      <c r="B127" s="304"/>
      <c r="C127" s="304"/>
      <c r="D127" s="310"/>
      <c r="E127" s="307"/>
      <c r="F127" s="307"/>
    </row>
    <row r="128">
      <c r="A128" s="304"/>
      <c r="B128" s="304"/>
      <c r="C128" s="304"/>
      <c r="D128" s="310"/>
      <c r="E128" s="307"/>
      <c r="F128" s="307"/>
    </row>
    <row r="129">
      <c r="A129" s="304"/>
      <c r="B129" s="304"/>
      <c r="C129" s="304"/>
      <c r="D129" s="310"/>
      <c r="E129" s="307"/>
      <c r="F129" s="307"/>
    </row>
    <row r="130">
      <c r="A130" s="304"/>
      <c r="B130" s="304"/>
      <c r="C130" s="304"/>
      <c r="D130" s="310"/>
      <c r="E130" s="307"/>
      <c r="F130" s="307"/>
    </row>
    <row r="131">
      <c r="A131" s="304"/>
      <c r="B131" s="304"/>
      <c r="C131" s="304"/>
      <c r="D131" s="310"/>
      <c r="E131" s="307"/>
      <c r="F131" s="307"/>
    </row>
    <row r="132">
      <c r="A132" s="304"/>
      <c r="B132" s="304"/>
      <c r="C132" s="304"/>
      <c r="D132" s="310"/>
      <c r="E132" s="307"/>
      <c r="F132" s="307"/>
    </row>
    <row r="133">
      <c r="A133" s="304"/>
      <c r="B133" s="304"/>
      <c r="C133" s="304"/>
      <c r="D133" s="310"/>
      <c r="E133" s="307"/>
      <c r="F133" s="307"/>
    </row>
    <row r="134">
      <c r="A134" s="304"/>
      <c r="B134" s="304"/>
      <c r="C134" s="304"/>
      <c r="D134" s="310"/>
      <c r="E134" s="307"/>
      <c r="F134" s="307"/>
    </row>
    <row r="135">
      <c r="A135" s="304"/>
      <c r="B135" s="304"/>
      <c r="C135" s="304"/>
      <c r="D135" s="310"/>
      <c r="E135" s="307"/>
      <c r="F135" s="307"/>
    </row>
    <row r="136">
      <c r="A136" s="304"/>
      <c r="B136" s="304"/>
      <c r="C136" s="304"/>
      <c r="D136" s="310"/>
      <c r="E136" s="307"/>
      <c r="F136" s="307"/>
    </row>
    <row r="137">
      <c r="A137" s="304"/>
      <c r="B137" s="304"/>
      <c r="C137" s="304"/>
      <c r="D137" s="310"/>
      <c r="E137" s="307"/>
      <c r="F137" s="307"/>
    </row>
    <row r="138">
      <c r="A138" s="304"/>
      <c r="B138" s="304"/>
      <c r="C138" s="304"/>
      <c r="D138" s="310"/>
      <c r="E138" s="307"/>
      <c r="F138" s="307"/>
    </row>
    <row r="139">
      <c r="A139" s="304"/>
      <c r="B139" s="304"/>
      <c r="C139" s="304"/>
      <c r="D139" s="310"/>
      <c r="E139" s="307"/>
      <c r="F139" s="307"/>
    </row>
    <row r="140">
      <c r="A140" s="304"/>
      <c r="B140" s="304"/>
      <c r="C140" s="304"/>
      <c r="D140" s="310"/>
      <c r="E140" s="307"/>
      <c r="F140" s="307"/>
    </row>
    <row r="141">
      <c r="A141" s="304"/>
      <c r="B141" s="304"/>
      <c r="C141" s="304"/>
      <c r="D141" s="310"/>
      <c r="E141" s="307"/>
      <c r="F141" s="307"/>
    </row>
    <row r="142">
      <c r="A142" s="304"/>
      <c r="B142" s="304"/>
      <c r="C142" s="304"/>
      <c r="D142" s="310"/>
      <c r="E142" s="307"/>
      <c r="F142" s="307"/>
    </row>
    <row r="143">
      <c r="A143" s="304"/>
      <c r="B143" s="304"/>
      <c r="C143" s="304"/>
      <c r="D143" s="310"/>
      <c r="E143" s="307"/>
      <c r="F143" s="307"/>
    </row>
    <row r="144">
      <c r="A144" s="304"/>
      <c r="B144" s="304"/>
      <c r="C144" s="304"/>
      <c r="D144" s="310"/>
      <c r="E144" s="307"/>
      <c r="F144" s="307"/>
    </row>
    <row r="145">
      <c r="A145" s="304"/>
      <c r="B145" s="304"/>
      <c r="C145" s="304"/>
      <c r="D145" s="310"/>
      <c r="E145" s="307"/>
      <c r="F145" s="307"/>
    </row>
    <row r="146">
      <c r="A146" s="304"/>
      <c r="B146" s="304"/>
      <c r="C146" s="304"/>
      <c r="D146" s="310"/>
      <c r="E146" s="307"/>
      <c r="F146" s="307"/>
    </row>
    <row r="147">
      <c r="A147" s="304"/>
      <c r="B147" s="304"/>
      <c r="C147" s="304"/>
      <c r="D147" s="310"/>
      <c r="E147" s="307"/>
      <c r="F147" s="307"/>
    </row>
    <row r="148">
      <c r="A148" s="304"/>
      <c r="B148" s="304"/>
      <c r="C148" s="304"/>
      <c r="D148" s="310"/>
      <c r="E148" s="307"/>
      <c r="F148" s="307"/>
    </row>
    <row r="149">
      <c r="A149" s="304"/>
      <c r="B149" s="304"/>
      <c r="C149" s="304"/>
      <c r="D149" s="310"/>
      <c r="E149" s="307"/>
      <c r="F149" s="307"/>
    </row>
    <row r="150">
      <c r="A150" s="304"/>
      <c r="B150" s="304"/>
      <c r="C150" s="304"/>
      <c r="D150" s="310"/>
      <c r="E150" s="307"/>
      <c r="F150" s="307"/>
    </row>
    <row r="151">
      <c r="A151" s="304"/>
      <c r="B151" s="304"/>
      <c r="C151" s="304"/>
      <c r="D151" s="310"/>
      <c r="E151" s="307"/>
      <c r="F151" s="307"/>
    </row>
    <row r="152">
      <c r="A152" s="304"/>
      <c r="B152" s="304"/>
      <c r="C152" s="304"/>
      <c r="D152" s="310"/>
      <c r="E152" s="307"/>
      <c r="F152" s="307"/>
    </row>
    <row r="153">
      <c r="A153" s="304"/>
      <c r="B153" s="304"/>
      <c r="C153" s="304"/>
      <c r="D153" s="310"/>
      <c r="E153" s="307"/>
      <c r="F153" s="307"/>
    </row>
    <row r="154">
      <c r="A154" s="304"/>
      <c r="B154" s="304"/>
      <c r="C154" s="304"/>
      <c r="D154" s="310"/>
      <c r="E154" s="307"/>
      <c r="F154" s="307"/>
    </row>
    <row r="155">
      <c r="A155" s="304"/>
      <c r="B155" s="304"/>
      <c r="C155" s="304"/>
      <c r="D155" s="310"/>
      <c r="E155" s="307"/>
      <c r="F155" s="307"/>
    </row>
    <row r="156">
      <c r="A156" s="304"/>
      <c r="B156" s="304"/>
      <c r="C156" s="304"/>
      <c r="D156" s="310"/>
      <c r="E156" s="307"/>
      <c r="F156" s="307"/>
    </row>
    <row r="157">
      <c r="A157" s="304"/>
      <c r="B157" s="304"/>
      <c r="C157" s="304"/>
      <c r="D157" s="310"/>
      <c r="E157" s="307"/>
      <c r="F157" s="307"/>
    </row>
    <row r="158">
      <c r="A158" s="304"/>
      <c r="B158" s="304"/>
      <c r="C158" s="304"/>
      <c r="D158" s="310"/>
      <c r="E158" s="307"/>
      <c r="F158" s="307"/>
    </row>
    <row r="159">
      <c r="A159" s="304"/>
      <c r="B159" s="304"/>
      <c r="C159" s="304"/>
      <c r="D159" s="310"/>
      <c r="E159" s="307"/>
      <c r="F159" s="307"/>
    </row>
    <row r="160">
      <c r="A160" s="304"/>
      <c r="B160" s="304"/>
      <c r="C160" s="304"/>
      <c r="D160" s="310"/>
      <c r="E160" s="307"/>
      <c r="F160" s="307"/>
    </row>
    <row r="161">
      <c r="A161" s="304"/>
      <c r="B161" s="304"/>
      <c r="C161" s="304"/>
      <c r="D161" s="310"/>
      <c r="E161" s="307"/>
      <c r="F161" s="307"/>
    </row>
    <row r="162">
      <c r="A162" s="304"/>
      <c r="B162" s="304"/>
      <c r="C162" s="304"/>
      <c r="D162" s="310"/>
      <c r="E162" s="307"/>
      <c r="F162" s="307"/>
    </row>
    <row r="163">
      <c r="A163" s="304"/>
      <c r="B163" s="304"/>
      <c r="C163" s="304"/>
      <c r="D163" s="310"/>
      <c r="E163" s="307"/>
      <c r="F163" s="307"/>
    </row>
    <row r="164">
      <c r="A164" s="304"/>
      <c r="B164" s="304"/>
      <c r="C164" s="304"/>
      <c r="D164" s="310"/>
      <c r="E164" s="307"/>
      <c r="F164" s="307"/>
    </row>
    <row r="165">
      <c r="A165" s="304"/>
      <c r="B165" s="304"/>
      <c r="C165" s="304"/>
      <c r="D165" s="310"/>
      <c r="E165" s="307"/>
      <c r="F165" s="307"/>
    </row>
    <row r="166">
      <c r="A166" s="304"/>
      <c r="B166" s="304"/>
      <c r="C166" s="304"/>
      <c r="D166" s="310"/>
      <c r="E166" s="307"/>
      <c r="F166" s="307"/>
    </row>
    <row r="167">
      <c r="A167" s="304"/>
      <c r="B167" s="304"/>
      <c r="C167" s="304"/>
      <c r="D167" s="310"/>
      <c r="E167" s="307"/>
      <c r="F167" s="307"/>
    </row>
    <row r="168">
      <c r="A168" s="304"/>
      <c r="B168" s="304"/>
      <c r="C168" s="304"/>
      <c r="D168" s="310"/>
      <c r="E168" s="307"/>
      <c r="F168" s="307"/>
    </row>
    <row r="169">
      <c r="A169" s="304"/>
      <c r="B169" s="304"/>
      <c r="C169" s="304"/>
      <c r="D169" s="310"/>
      <c r="E169" s="307"/>
      <c r="F169" s="307"/>
    </row>
    <row r="170">
      <c r="A170" s="304"/>
      <c r="B170" s="304"/>
      <c r="C170" s="304"/>
      <c r="D170" s="310"/>
      <c r="E170" s="307"/>
      <c r="F170" s="307"/>
    </row>
    <row r="171">
      <c r="A171" s="304"/>
      <c r="B171" s="304"/>
      <c r="C171" s="304"/>
      <c r="D171" s="310"/>
      <c r="E171" s="307"/>
      <c r="F171" s="307"/>
    </row>
    <row r="172">
      <c r="A172" s="304"/>
      <c r="B172" s="304"/>
      <c r="C172" s="304"/>
      <c r="D172" s="310"/>
      <c r="E172" s="307"/>
      <c r="F172" s="307"/>
    </row>
    <row r="173">
      <c r="A173" s="304"/>
      <c r="B173" s="304"/>
      <c r="C173" s="304"/>
      <c r="D173" s="310"/>
      <c r="E173" s="307"/>
      <c r="F173" s="307"/>
    </row>
    <row r="174">
      <c r="A174" s="304"/>
      <c r="B174" s="304"/>
      <c r="C174" s="304"/>
      <c r="D174" s="310"/>
      <c r="E174" s="307"/>
      <c r="F174" s="307"/>
    </row>
    <row r="175">
      <c r="A175" s="304"/>
      <c r="B175" s="304"/>
      <c r="C175" s="304"/>
      <c r="D175" s="310"/>
      <c r="E175" s="307"/>
      <c r="F175" s="307"/>
    </row>
    <row r="176">
      <c r="A176" s="304"/>
      <c r="B176" s="304"/>
      <c r="C176" s="304"/>
      <c r="D176" s="310"/>
      <c r="E176" s="307"/>
      <c r="F176" s="307"/>
    </row>
    <row r="177">
      <c r="A177" s="304"/>
      <c r="B177" s="304"/>
      <c r="C177" s="304"/>
      <c r="D177" s="310"/>
      <c r="E177" s="307"/>
      <c r="F177" s="307"/>
    </row>
    <row r="178">
      <c r="A178" s="304"/>
      <c r="B178" s="304"/>
      <c r="C178" s="304"/>
      <c r="D178" s="310"/>
      <c r="E178" s="307"/>
      <c r="F178" s="307"/>
    </row>
    <row r="179">
      <c r="A179" s="304"/>
      <c r="B179" s="304"/>
      <c r="C179" s="304"/>
      <c r="D179" s="310"/>
      <c r="E179" s="307"/>
      <c r="F179" s="307"/>
    </row>
    <row r="180">
      <c r="A180" s="304"/>
      <c r="B180" s="304"/>
      <c r="C180" s="304"/>
      <c r="D180" s="310"/>
      <c r="E180" s="307"/>
      <c r="F180" s="307"/>
    </row>
    <row r="181">
      <c r="A181" s="304"/>
      <c r="B181" s="304"/>
      <c r="C181" s="304"/>
      <c r="D181" s="310"/>
      <c r="E181" s="307"/>
      <c r="F181" s="307"/>
    </row>
    <row r="182">
      <c r="A182" s="304"/>
      <c r="B182" s="304"/>
      <c r="C182" s="304"/>
      <c r="D182" s="310"/>
      <c r="E182" s="307"/>
      <c r="F182" s="307"/>
    </row>
    <row r="183">
      <c r="A183" s="304"/>
      <c r="B183" s="304"/>
      <c r="C183" s="304"/>
      <c r="D183" s="310"/>
      <c r="E183" s="307"/>
      <c r="F183" s="307"/>
    </row>
    <row r="184">
      <c r="A184" s="304"/>
      <c r="B184" s="304"/>
      <c r="C184" s="304"/>
      <c r="D184" s="310"/>
      <c r="E184" s="307"/>
      <c r="F184" s="307"/>
    </row>
    <row r="185">
      <c r="A185" s="304"/>
      <c r="B185" s="304"/>
      <c r="C185" s="304"/>
      <c r="D185" s="310"/>
      <c r="E185" s="307"/>
      <c r="F185" s="307"/>
    </row>
    <row r="186">
      <c r="A186" s="304"/>
      <c r="B186" s="304"/>
      <c r="C186" s="304"/>
      <c r="D186" s="310"/>
      <c r="E186" s="307"/>
      <c r="F186" s="307"/>
    </row>
    <row r="187">
      <c r="A187" s="304"/>
      <c r="B187" s="304"/>
      <c r="C187" s="304"/>
      <c r="D187" s="310"/>
      <c r="E187" s="307"/>
      <c r="F187" s="307"/>
    </row>
    <row r="188">
      <c r="A188" s="304"/>
      <c r="B188" s="304"/>
      <c r="C188" s="304"/>
      <c r="D188" s="310"/>
      <c r="E188" s="307"/>
      <c r="F188" s="307"/>
    </row>
    <row r="189">
      <c r="A189" s="304"/>
      <c r="B189" s="304"/>
      <c r="C189" s="304"/>
      <c r="D189" s="310"/>
      <c r="E189" s="307"/>
      <c r="F189" s="307"/>
    </row>
    <row r="190">
      <c r="A190" s="304"/>
      <c r="B190" s="304"/>
      <c r="C190" s="304"/>
      <c r="D190" s="310"/>
      <c r="E190" s="307"/>
      <c r="F190" s="307"/>
    </row>
    <row r="191">
      <c r="A191" s="304"/>
      <c r="B191" s="304"/>
      <c r="C191" s="304"/>
      <c r="D191" s="310"/>
      <c r="E191" s="307"/>
      <c r="F191" s="307"/>
    </row>
    <row r="192">
      <c r="A192" s="304"/>
      <c r="B192" s="304"/>
      <c r="C192" s="304"/>
      <c r="D192" s="310"/>
      <c r="E192" s="307"/>
      <c r="F192" s="307"/>
    </row>
    <row r="193">
      <c r="A193" s="304"/>
      <c r="B193" s="304"/>
      <c r="C193" s="304"/>
      <c r="D193" s="310"/>
      <c r="E193" s="307"/>
      <c r="F193" s="307"/>
    </row>
    <row r="194">
      <c r="A194" s="304"/>
      <c r="B194" s="304"/>
      <c r="C194" s="304"/>
      <c r="D194" s="310"/>
      <c r="E194" s="307"/>
      <c r="F194" s="307"/>
    </row>
    <row r="195">
      <c r="A195" s="304"/>
      <c r="B195" s="304"/>
      <c r="C195" s="304"/>
      <c r="D195" s="310"/>
      <c r="E195" s="307"/>
      <c r="F195" s="307"/>
    </row>
    <row r="196">
      <c r="A196" s="304"/>
      <c r="B196" s="304"/>
      <c r="C196" s="304"/>
      <c r="D196" s="310"/>
      <c r="E196" s="307"/>
      <c r="F196" s="307"/>
    </row>
    <row r="197">
      <c r="A197" s="304"/>
      <c r="B197" s="304"/>
      <c r="C197" s="304"/>
      <c r="D197" s="310"/>
      <c r="E197" s="307"/>
      <c r="F197" s="307"/>
    </row>
    <row r="198">
      <c r="A198" s="304"/>
      <c r="B198" s="304"/>
      <c r="C198" s="304"/>
      <c r="D198" s="310"/>
      <c r="E198" s="307"/>
      <c r="F198" s="307"/>
    </row>
    <row r="199">
      <c r="A199" s="304"/>
      <c r="B199" s="304"/>
      <c r="C199" s="304"/>
      <c r="D199" s="310"/>
      <c r="E199" s="307"/>
      <c r="F199" s="307"/>
    </row>
    <row r="200">
      <c r="A200" s="304"/>
      <c r="B200" s="304"/>
      <c r="C200" s="304"/>
      <c r="D200" s="310"/>
      <c r="E200" s="307"/>
      <c r="F200" s="307"/>
    </row>
    <row r="201">
      <c r="A201" s="304"/>
      <c r="B201" s="304"/>
      <c r="C201" s="304"/>
      <c r="D201" s="310"/>
      <c r="E201" s="307"/>
      <c r="F201" s="307"/>
    </row>
    <row r="202">
      <c r="A202" s="304"/>
      <c r="B202" s="304"/>
      <c r="C202" s="304"/>
      <c r="D202" s="310"/>
      <c r="E202" s="307"/>
      <c r="F202" s="307"/>
    </row>
    <row r="203">
      <c r="A203" s="304"/>
      <c r="B203" s="304"/>
      <c r="C203" s="304"/>
      <c r="D203" s="310"/>
      <c r="E203" s="307"/>
      <c r="F203" s="307"/>
    </row>
    <row r="204">
      <c r="A204" s="304"/>
      <c r="B204" s="304"/>
      <c r="C204" s="304"/>
      <c r="D204" s="310"/>
      <c r="E204" s="307"/>
      <c r="F204" s="307"/>
    </row>
    <row r="205">
      <c r="A205" s="304"/>
      <c r="B205" s="304"/>
      <c r="C205" s="304"/>
      <c r="D205" s="310"/>
      <c r="E205" s="307"/>
      <c r="F205" s="307"/>
    </row>
    <row r="206">
      <c r="A206" s="304"/>
      <c r="B206" s="304"/>
      <c r="C206" s="304"/>
      <c r="D206" s="310"/>
      <c r="E206" s="307"/>
      <c r="F206" s="307"/>
    </row>
    <row r="207">
      <c r="A207" s="304"/>
      <c r="B207" s="304"/>
      <c r="C207" s="304"/>
      <c r="D207" s="310"/>
      <c r="E207" s="307"/>
      <c r="F207" s="307"/>
    </row>
    <row r="208">
      <c r="A208" s="304"/>
      <c r="B208" s="304"/>
      <c r="C208" s="304"/>
      <c r="D208" s="310"/>
      <c r="E208" s="307"/>
      <c r="F208" s="307"/>
    </row>
    <row r="209">
      <c r="A209" s="304"/>
      <c r="B209" s="304"/>
      <c r="C209" s="304"/>
      <c r="D209" s="310"/>
      <c r="E209" s="307"/>
      <c r="F209" s="307"/>
    </row>
    <row r="210">
      <c r="A210" s="304"/>
      <c r="B210" s="304"/>
      <c r="C210" s="304"/>
      <c r="D210" s="310"/>
      <c r="E210" s="307"/>
      <c r="F210" s="307"/>
    </row>
    <row r="211">
      <c r="A211" s="304"/>
      <c r="B211" s="304"/>
      <c r="C211" s="304"/>
      <c r="D211" s="310"/>
      <c r="E211" s="307"/>
      <c r="F211" s="307"/>
    </row>
    <row r="212">
      <c r="A212" s="304"/>
      <c r="B212" s="304"/>
      <c r="C212" s="304"/>
      <c r="D212" s="310"/>
      <c r="E212" s="307"/>
      <c r="F212" s="307"/>
    </row>
    <row r="213">
      <c r="A213" s="304"/>
      <c r="B213" s="304"/>
      <c r="C213" s="304"/>
      <c r="D213" s="310"/>
      <c r="E213" s="307"/>
      <c r="F213" s="307"/>
    </row>
    <row r="214">
      <c r="A214" s="304"/>
      <c r="B214" s="304"/>
      <c r="C214" s="304"/>
      <c r="D214" s="310"/>
      <c r="E214" s="307"/>
      <c r="F214" s="307"/>
    </row>
    <row r="215">
      <c r="A215" s="304"/>
      <c r="B215" s="304"/>
      <c r="C215" s="304"/>
      <c r="D215" s="310"/>
      <c r="E215" s="307"/>
      <c r="F215" s="307"/>
    </row>
    <row r="216">
      <c r="A216" s="304"/>
      <c r="B216" s="304"/>
      <c r="C216" s="304"/>
      <c r="D216" s="310"/>
      <c r="E216" s="307"/>
      <c r="F216" s="307"/>
    </row>
    <row r="217">
      <c r="A217" s="304"/>
      <c r="B217" s="304"/>
      <c r="C217" s="304"/>
      <c r="D217" s="310"/>
      <c r="E217" s="307"/>
      <c r="F217" s="307"/>
    </row>
    <row r="218">
      <c r="A218" s="304"/>
      <c r="B218" s="304"/>
      <c r="C218" s="304"/>
      <c r="D218" s="310"/>
      <c r="E218" s="307"/>
      <c r="F218" s="307"/>
    </row>
    <row r="219">
      <c r="A219" s="304"/>
      <c r="B219" s="304"/>
      <c r="C219" s="304"/>
      <c r="D219" s="310"/>
      <c r="E219" s="307"/>
      <c r="F219" s="307"/>
    </row>
    <row r="220">
      <c r="A220" s="304"/>
      <c r="B220" s="304"/>
      <c r="C220" s="304"/>
      <c r="D220" s="310"/>
      <c r="E220" s="307"/>
      <c r="F220" s="307"/>
    </row>
    <row r="221">
      <c r="A221" s="304"/>
      <c r="B221" s="304"/>
      <c r="C221" s="304"/>
      <c r="D221" s="310"/>
      <c r="E221" s="307"/>
      <c r="F221" s="307"/>
    </row>
    <row r="222">
      <c r="A222" s="304"/>
      <c r="B222" s="304"/>
      <c r="C222" s="304"/>
      <c r="D222" s="310"/>
      <c r="E222" s="307"/>
      <c r="F222" s="307"/>
    </row>
    <row r="223">
      <c r="A223" s="304"/>
      <c r="B223" s="304"/>
      <c r="C223" s="304"/>
      <c r="D223" s="310"/>
      <c r="E223" s="307"/>
      <c r="F223" s="307"/>
    </row>
    <row r="224">
      <c r="A224" s="304"/>
      <c r="B224" s="304"/>
      <c r="C224" s="304"/>
      <c r="D224" s="310"/>
      <c r="E224" s="307"/>
      <c r="F224" s="307"/>
    </row>
    <row r="225">
      <c r="A225" s="304"/>
      <c r="B225" s="304"/>
      <c r="C225" s="304"/>
      <c r="D225" s="310"/>
      <c r="E225" s="307"/>
      <c r="F225" s="307"/>
    </row>
    <row r="226">
      <c r="A226" s="304"/>
      <c r="B226" s="304"/>
      <c r="C226" s="304"/>
      <c r="D226" s="310"/>
      <c r="E226" s="307"/>
      <c r="F226" s="307"/>
    </row>
    <row r="227">
      <c r="A227" s="304"/>
      <c r="B227" s="304"/>
      <c r="C227" s="304"/>
      <c r="D227" s="310"/>
      <c r="E227" s="307"/>
      <c r="F227" s="307"/>
    </row>
    <row r="228">
      <c r="A228" s="304"/>
      <c r="B228" s="304"/>
      <c r="C228" s="304"/>
      <c r="D228" s="310"/>
      <c r="E228" s="307"/>
      <c r="F228" s="307"/>
    </row>
    <row r="229">
      <c r="A229" s="304"/>
      <c r="B229" s="304"/>
      <c r="C229" s="304"/>
      <c r="D229" s="310"/>
      <c r="E229" s="307"/>
      <c r="F229" s="307"/>
    </row>
    <row r="230">
      <c r="A230" s="304"/>
      <c r="B230" s="304"/>
      <c r="C230" s="304"/>
      <c r="D230" s="310"/>
      <c r="E230" s="307"/>
      <c r="F230" s="307"/>
    </row>
    <row r="231">
      <c r="A231" s="304"/>
      <c r="B231" s="304"/>
      <c r="C231" s="304"/>
      <c r="D231" s="310"/>
      <c r="E231" s="307"/>
      <c r="F231" s="307"/>
    </row>
    <row r="232">
      <c r="A232" s="304"/>
      <c r="B232" s="304"/>
      <c r="C232" s="304"/>
      <c r="D232" s="310"/>
      <c r="E232" s="307"/>
      <c r="F232" s="307"/>
    </row>
    <row r="233">
      <c r="A233" s="304"/>
      <c r="B233" s="304"/>
      <c r="C233" s="304"/>
      <c r="D233" s="310"/>
      <c r="E233" s="307"/>
      <c r="F233" s="307"/>
    </row>
    <row r="234">
      <c r="A234" s="304"/>
      <c r="B234" s="304"/>
      <c r="C234" s="304"/>
      <c r="D234" s="310"/>
      <c r="E234" s="307"/>
      <c r="F234" s="307"/>
    </row>
    <row r="235">
      <c r="A235" s="304"/>
      <c r="B235" s="304"/>
      <c r="C235" s="304"/>
      <c r="D235" s="310"/>
      <c r="E235" s="307"/>
      <c r="F235" s="307"/>
    </row>
    <row r="236">
      <c r="A236" s="304"/>
      <c r="B236" s="304"/>
      <c r="C236" s="304"/>
      <c r="D236" s="310"/>
      <c r="E236" s="307"/>
      <c r="F236" s="307"/>
    </row>
    <row r="237">
      <c r="A237" s="304"/>
      <c r="B237" s="304"/>
      <c r="C237" s="304"/>
      <c r="D237" s="310"/>
      <c r="E237" s="307"/>
      <c r="F237" s="307"/>
    </row>
    <row r="238">
      <c r="A238" s="304"/>
      <c r="B238" s="304"/>
      <c r="C238" s="304"/>
      <c r="D238" s="310"/>
      <c r="E238" s="307"/>
      <c r="F238" s="307"/>
    </row>
    <row r="239">
      <c r="A239" s="304"/>
      <c r="B239" s="304"/>
      <c r="C239" s="304"/>
      <c r="D239" s="310"/>
      <c r="E239" s="307"/>
      <c r="F239" s="307"/>
    </row>
    <row r="240">
      <c r="A240" s="304"/>
      <c r="B240" s="304"/>
      <c r="C240" s="304"/>
      <c r="D240" s="310"/>
      <c r="E240" s="307"/>
      <c r="F240" s="307"/>
    </row>
    <row r="241">
      <c r="A241" s="304"/>
      <c r="B241" s="304"/>
      <c r="C241" s="304"/>
      <c r="D241" s="310"/>
      <c r="E241" s="307"/>
      <c r="F241" s="307"/>
    </row>
    <row r="242">
      <c r="A242" s="304"/>
      <c r="B242" s="304"/>
      <c r="C242" s="304"/>
      <c r="D242" s="310"/>
      <c r="E242" s="307"/>
      <c r="F242" s="307"/>
    </row>
    <row r="243">
      <c r="A243" s="304"/>
      <c r="B243" s="304"/>
      <c r="C243" s="304"/>
      <c r="D243" s="310"/>
      <c r="E243" s="307"/>
      <c r="F243" s="307"/>
    </row>
    <row r="244">
      <c r="A244" s="304"/>
      <c r="B244" s="304"/>
      <c r="C244" s="304"/>
      <c r="D244" s="310"/>
      <c r="E244" s="307"/>
      <c r="F244" s="307"/>
    </row>
    <row r="245">
      <c r="A245" s="304"/>
      <c r="B245" s="304"/>
      <c r="C245" s="304"/>
      <c r="D245" s="310"/>
      <c r="E245" s="307"/>
      <c r="F245" s="307"/>
    </row>
    <row r="246">
      <c r="A246" s="304"/>
      <c r="B246" s="304"/>
      <c r="C246" s="304"/>
      <c r="D246" s="310"/>
      <c r="E246" s="307"/>
      <c r="F246" s="307"/>
    </row>
    <row r="247">
      <c r="A247" s="304"/>
      <c r="B247" s="304"/>
      <c r="C247" s="304"/>
      <c r="D247" s="310"/>
      <c r="E247" s="307"/>
      <c r="F247" s="307"/>
    </row>
    <row r="248">
      <c r="A248" s="304"/>
      <c r="B248" s="304"/>
      <c r="C248" s="304"/>
      <c r="D248" s="310"/>
      <c r="E248" s="307"/>
      <c r="F248" s="307"/>
    </row>
    <row r="249">
      <c r="A249" s="304"/>
      <c r="B249" s="304"/>
      <c r="C249" s="304"/>
      <c r="D249" s="310"/>
      <c r="E249" s="307"/>
      <c r="F249" s="307"/>
    </row>
    <row r="250">
      <c r="A250" s="304"/>
      <c r="B250" s="304"/>
      <c r="C250" s="304"/>
      <c r="D250" s="310"/>
      <c r="E250" s="307"/>
      <c r="F250" s="307"/>
    </row>
    <row r="251">
      <c r="A251" s="304"/>
      <c r="B251" s="304"/>
      <c r="C251" s="304"/>
      <c r="D251" s="310"/>
      <c r="E251" s="307"/>
      <c r="F251" s="307"/>
    </row>
    <row r="252">
      <c r="A252" s="304"/>
      <c r="B252" s="304"/>
      <c r="C252" s="304"/>
      <c r="D252" s="310"/>
      <c r="E252" s="307"/>
      <c r="F252" s="307"/>
    </row>
    <row r="253">
      <c r="A253" s="304"/>
      <c r="B253" s="304"/>
      <c r="C253" s="304"/>
      <c r="D253" s="310"/>
      <c r="E253" s="307"/>
      <c r="F253" s="307"/>
    </row>
    <row r="254">
      <c r="A254" s="304"/>
      <c r="B254" s="304"/>
      <c r="C254" s="304"/>
      <c r="D254" s="310"/>
      <c r="E254" s="307"/>
      <c r="F254" s="307"/>
    </row>
    <row r="255">
      <c r="A255" s="304"/>
      <c r="B255" s="304"/>
      <c r="C255" s="304"/>
      <c r="D255" s="310"/>
      <c r="E255" s="307"/>
      <c r="F255" s="307"/>
    </row>
    <row r="256">
      <c r="A256" s="304"/>
      <c r="B256" s="304"/>
      <c r="C256" s="304"/>
      <c r="D256" s="310"/>
      <c r="E256" s="307"/>
      <c r="F256" s="307"/>
    </row>
    <row r="257">
      <c r="A257" s="304"/>
      <c r="B257" s="304"/>
      <c r="C257" s="304"/>
      <c r="D257" s="310"/>
      <c r="E257" s="307"/>
      <c r="F257" s="307"/>
    </row>
    <row r="258">
      <c r="A258" s="304"/>
      <c r="B258" s="304"/>
      <c r="C258" s="304"/>
      <c r="D258" s="310"/>
      <c r="E258" s="307"/>
      <c r="F258" s="307"/>
    </row>
    <row r="259">
      <c r="A259" s="304"/>
      <c r="B259" s="304"/>
      <c r="C259" s="304"/>
      <c r="D259" s="310"/>
      <c r="E259" s="307"/>
      <c r="F259" s="307"/>
    </row>
    <row r="260">
      <c r="A260" s="304"/>
      <c r="B260" s="304"/>
      <c r="C260" s="304"/>
      <c r="D260" s="310"/>
      <c r="E260" s="307"/>
      <c r="F260" s="307"/>
    </row>
    <row r="261">
      <c r="A261" s="304"/>
      <c r="B261" s="304"/>
      <c r="C261" s="304"/>
      <c r="D261" s="310"/>
      <c r="E261" s="307"/>
      <c r="F261" s="307"/>
    </row>
    <row r="262">
      <c r="A262" s="304"/>
      <c r="B262" s="304"/>
      <c r="C262" s="304"/>
      <c r="D262" s="310"/>
      <c r="E262" s="307"/>
      <c r="F262" s="307"/>
    </row>
    <row r="263">
      <c r="A263" s="304"/>
      <c r="B263" s="304"/>
      <c r="C263" s="304"/>
      <c r="D263" s="310"/>
      <c r="E263" s="307"/>
      <c r="F263" s="307"/>
    </row>
    <row r="264">
      <c r="A264" s="304"/>
      <c r="B264" s="304"/>
      <c r="C264" s="304"/>
      <c r="D264" s="310"/>
      <c r="E264" s="307"/>
      <c r="F264" s="307"/>
    </row>
    <row r="265">
      <c r="A265" s="304"/>
      <c r="B265" s="304"/>
      <c r="C265" s="304"/>
      <c r="D265" s="310"/>
      <c r="E265" s="307"/>
      <c r="F265" s="307"/>
    </row>
    <row r="266">
      <c r="A266" s="304"/>
      <c r="B266" s="304"/>
      <c r="C266" s="304"/>
      <c r="D266" s="310"/>
      <c r="E266" s="307"/>
      <c r="F266" s="307"/>
    </row>
    <row r="267">
      <c r="A267" s="304"/>
      <c r="B267" s="304"/>
      <c r="C267" s="304"/>
      <c r="D267" s="310"/>
      <c r="E267" s="307"/>
      <c r="F267" s="307"/>
    </row>
    <row r="268">
      <c r="A268" s="304"/>
      <c r="B268" s="304"/>
      <c r="C268" s="304"/>
      <c r="D268" s="310"/>
      <c r="E268" s="307"/>
      <c r="F268" s="307"/>
    </row>
    <row r="269">
      <c r="A269" s="304"/>
      <c r="B269" s="304"/>
      <c r="C269" s="304"/>
      <c r="D269" s="310"/>
      <c r="E269" s="307"/>
      <c r="F269" s="307"/>
    </row>
    <row r="270">
      <c r="A270" s="304"/>
      <c r="B270" s="304"/>
      <c r="C270" s="304"/>
      <c r="D270" s="310"/>
      <c r="E270" s="307"/>
      <c r="F270" s="307"/>
    </row>
    <row r="271">
      <c r="A271" s="304"/>
      <c r="B271" s="304"/>
      <c r="C271" s="304"/>
      <c r="D271" s="310"/>
      <c r="E271" s="307"/>
      <c r="F271" s="307"/>
    </row>
    <row r="272">
      <c r="A272" s="304"/>
      <c r="B272" s="304"/>
      <c r="C272" s="304"/>
      <c r="D272" s="310"/>
      <c r="E272" s="307"/>
      <c r="F272" s="307"/>
    </row>
    <row r="273">
      <c r="A273" s="304"/>
      <c r="B273" s="304"/>
      <c r="C273" s="304"/>
      <c r="D273" s="310"/>
      <c r="E273" s="307"/>
      <c r="F273" s="307"/>
    </row>
    <row r="274">
      <c r="A274" s="304"/>
      <c r="B274" s="304"/>
      <c r="C274" s="304"/>
      <c r="D274" s="310"/>
      <c r="E274" s="307"/>
      <c r="F274" s="307"/>
    </row>
    <row r="275">
      <c r="A275" s="304"/>
      <c r="B275" s="304"/>
      <c r="C275" s="304"/>
      <c r="D275" s="310"/>
      <c r="E275" s="307"/>
      <c r="F275" s="307"/>
    </row>
    <row r="276">
      <c r="A276" s="304"/>
      <c r="B276" s="304"/>
      <c r="C276" s="304"/>
      <c r="D276" s="310"/>
      <c r="E276" s="307"/>
      <c r="F276" s="307"/>
    </row>
    <row r="277">
      <c r="A277" s="304"/>
      <c r="B277" s="304"/>
      <c r="C277" s="304"/>
      <c r="D277" s="310"/>
      <c r="E277" s="307"/>
      <c r="F277" s="307"/>
    </row>
    <row r="278">
      <c r="A278" s="304"/>
      <c r="B278" s="304"/>
      <c r="C278" s="304"/>
      <c r="D278" s="310"/>
      <c r="E278" s="307"/>
      <c r="F278" s="307"/>
    </row>
    <row r="279">
      <c r="A279" s="304"/>
      <c r="B279" s="304"/>
      <c r="C279" s="304"/>
      <c r="D279" s="310"/>
      <c r="E279" s="307"/>
      <c r="F279" s="307"/>
    </row>
    <row r="280">
      <c r="A280" s="304"/>
      <c r="B280" s="304"/>
      <c r="C280" s="304"/>
      <c r="D280" s="310"/>
      <c r="E280" s="307"/>
      <c r="F280" s="307"/>
    </row>
    <row r="281">
      <c r="A281" s="304"/>
      <c r="B281" s="304"/>
      <c r="C281" s="304"/>
      <c r="D281" s="310"/>
      <c r="E281" s="307"/>
      <c r="F281" s="307"/>
    </row>
    <row r="282">
      <c r="A282" s="304"/>
      <c r="B282" s="304"/>
      <c r="C282" s="304"/>
      <c r="D282" s="310"/>
      <c r="E282" s="307"/>
      <c r="F282" s="307"/>
    </row>
    <row r="283">
      <c r="A283" s="304"/>
      <c r="B283" s="304"/>
      <c r="C283" s="304"/>
      <c r="D283" s="310"/>
      <c r="E283" s="307"/>
      <c r="F283" s="307"/>
    </row>
    <row r="284">
      <c r="A284" s="304"/>
      <c r="B284" s="304"/>
      <c r="C284" s="304"/>
      <c r="D284" s="310"/>
      <c r="E284" s="307"/>
      <c r="F284" s="307"/>
    </row>
    <row r="285">
      <c r="A285" s="304"/>
      <c r="B285" s="304"/>
      <c r="C285" s="304"/>
      <c r="D285" s="310"/>
      <c r="E285" s="307"/>
      <c r="F285" s="307"/>
    </row>
    <row r="286">
      <c r="A286" s="304"/>
      <c r="B286" s="304"/>
      <c r="C286" s="304"/>
      <c r="D286" s="310"/>
      <c r="E286" s="307"/>
      <c r="F286" s="307"/>
    </row>
    <row r="287">
      <c r="A287" s="304"/>
      <c r="B287" s="304"/>
      <c r="C287" s="304"/>
      <c r="D287" s="310"/>
      <c r="E287" s="307"/>
      <c r="F287" s="307"/>
    </row>
    <row r="288">
      <c r="A288" s="304"/>
      <c r="B288" s="304"/>
      <c r="C288" s="304"/>
      <c r="D288" s="310"/>
      <c r="E288" s="307"/>
      <c r="F288" s="307"/>
    </row>
    <row r="289">
      <c r="A289" s="304"/>
      <c r="B289" s="304"/>
      <c r="C289" s="304"/>
      <c r="D289" s="310"/>
      <c r="E289" s="307"/>
      <c r="F289" s="307"/>
    </row>
    <row r="290">
      <c r="A290" s="304"/>
      <c r="B290" s="304"/>
      <c r="C290" s="304"/>
      <c r="D290" s="310"/>
      <c r="E290" s="307"/>
      <c r="F290" s="307"/>
    </row>
    <row r="291">
      <c r="A291" s="304"/>
      <c r="B291" s="304"/>
      <c r="C291" s="304"/>
      <c r="D291" s="310"/>
      <c r="E291" s="307"/>
      <c r="F291" s="307"/>
    </row>
    <row r="292">
      <c r="A292" s="304"/>
      <c r="B292" s="304"/>
      <c r="C292" s="304"/>
      <c r="D292" s="310"/>
      <c r="E292" s="307"/>
      <c r="F292" s="307"/>
    </row>
    <row r="293">
      <c r="A293" s="304"/>
      <c r="B293" s="304"/>
      <c r="C293" s="304"/>
      <c r="D293" s="310"/>
      <c r="E293" s="307"/>
      <c r="F293" s="307"/>
    </row>
    <row r="294">
      <c r="A294" s="304"/>
      <c r="B294" s="304"/>
      <c r="C294" s="304"/>
      <c r="D294" s="310"/>
      <c r="E294" s="307"/>
      <c r="F294" s="307"/>
    </row>
    <row r="295">
      <c r="A295" s="304"/>
      <c r="B295" s="304"/>
      <c r="C295" s="304"/>
      <c r="D295" s="310"/>
      <c r="E295" s="307"/>
      <c r="F295" s="307"/>
    </row>
    <row r="296">
      <c r="A296" s="304"/>
      <c r="B296" s="304"/>
      <c r="C296" s="304"/>
      <c r="D296" s="310"/>
      <c r="E296" s="307"/>
      <c r="F296" s="307"/>
    </row>
    <row r="297">
      <c r="A297" s="304"/>
      <c r="B297" s="304"/>
      <c r="C297" s="304"/>
      <c r="D297" s="310"/>
      <c r="E297" s="307"/>
      <c r="F297" s="307"/>
    </row>
    <row r="298">
      <c r="A298" s="304"/>
      <c r="B298" s="304"/>
      <c r="C298" s="304"/>
      <c r="D298" s="310"/>
      <c r="E298" s="307"/>
      <c r="F298" s="307"/>
    </row>
    <row r="299">
      <c r="A299" s="304"/>
      <c r="B299" s="304"/>
      <c r="C299" s="304"/>
      <c r="D299" s="310"/>
      <c r="E299" s="307"/>
      <c r="F299" s="307"/>
    </row>
    <row r="300">
      <c r="A300" s="304"/>
      <c r="B300" s="304"/>
      <c r="C300" s="304"/>
      <c r="D300" s="310"/>
      <c r="E300" s="307"/>
      <c r="F300" s="307"/>
    </row>
    <row r="301">
      <c r="A301" s="304"/>
      <c r="B301" s="304"/>
      <c r="C301" s="304"/>
      <c r="D301" s="310"/>
      <c r="E301" s="307"/>
      <c r="F301" s="307"/>
    </row>
    <row r="302">
      <c r="A302" s="304"/>
      <c r="B302" s="304"/>
      <c r="C302" s="304"/>
      <c r="D302" s="310"/>
      <c r="E302" s="307"/>
      <c r="F302" s="307"/>
    </row>
    <row r="303">
      <c r="A303" s="304"/>
      <c r="B303" s="304"/>
      <c r="C303" s="304"/>
      <c r="D303" s="310"/>
      <c r="E303" s="307"/>
      <c r="F303" s="307"/>
    </row>
    <row r="304">
      <c r="A304" s="304"/>
      <c r="B304" s="304"/>
      <c r="C304" s="304"/>
      <c r="D304" s="310"/>
      <c r="E304" s="307"/>
      <c r="F304" s="307"/>
    </row>
    <row r="305">
      <c r="A305" s="304"/>
      <c r="B305" s="304"/>
      <c r="C305" s="304"/>
      <c r="D305" s="310"/>
      <c r="E305" s="307"/>
      <c r="F305" s="307"/>
    </row>
    <row r="306">
      <c r="A306" s="304"/>
      <c r="B306" s="304"/>
      <c r="C306" s="304"/>
      <c r="D306" s="310"/>
      <c r="E306" s="307"/>
      <c r="F306" s="307"/>
    </row>
    <row r="307">
      <c r="A307" s="304"/>
      <c r="B307" s="304"/>
      <c r="C307" s="304"/>
      <c r="D307" s="310"/>
      <c r="E307" s="307"/>
      <c r="F307" s="307"/>
    </row>
    <row r="308">
      <c r="A308" s="304"/>
      <c r="B308" s="304"/>
      <c r="C308" s="304"/>
      <c r="D308" s="310"/>
      <c r="E308" s="307"/>
      <c r="F308" s="307"/>
    </row>
    <row r="309">
      <c r="A309" s="304"/>
      <c r="B309" s="304"/>
      <c r="C309" s="304"/>
      <c r="D309" s="310"/>
      <c r="E309" s="307"/>
      <c r="F309" s="307"/>
    </row>
    <row r="310">
      <c r="A310" s="304"/>
      <c r="B310" s="304"/>
      <c r="C310" s="304"/>
      <c r="D310" s="310"/>
      <c r="E310" s="307"/>
      <c r="F310" s="307"/>
    </row>
    <row r="311">
      <c r="A311" s="304"/>
      <c r="B311" s="304"/>
      <c r="C311" s="304"/>
      <c r="D311" s="310"/>
      <c r="E311" s="307"/>
      <c r="F311" s="307"/>
    </row>
    <row r="312">
      <c r="A312" s="304"/>
      <c r="B312" s="304"/>
      <c r="C312" s="304"/>
      <c r="D312" s="310"/>
      <c r="E312" s="307"/>
      <c r="F312" s="307"/>
    </row>
    <row r="313">
      <c r="A313" s="304"/>
      <c r="B313" s="304"/>
      <c r="C313" s="304"/>
      <c r="D313" s="310"/>
      <c r="E313" s="307"/>
      <c r="F313" s="307"/>
    </row>
    <row r="314">
      <c r="A314" s="304"/>
      <c r="B314" s="304"/>
      <c r="C314" s="304"/>
      <c r="D314" s="310"/>
      <c r="E314" s="307"/>
      <c r="F314" s="307"/>
    </row>
    <row r="315">
      <c r="A315" s="304"/>
      <c r="B315" s="304"/>
      <c r="C315" s="304"/>
      <c r="D315" s="310"/>
      <c r="E315" s="307"/>
      <c r="F315" s="307"/>
    </row>
    <row r="316">
      <c r="A316" s="304"/>
      <c r="B316" s="304"/>
      <c r="C316" s="304"/>
      <c r="D316" s="310"/>
      <c r="E316" s="307"/>
      <c r="F316" s="307"/>
    </row>
    <row r="317">
      <c r="A317" s="304"/>
      <c r="B317" s="304"/>
      <c r="C317" s="304"/>
      <c r="D317" s="310"/>
      <c r="E317" s="307"/>
      <c r="F317" s="307"/>
    </row>
    <row r="318">
      <c r="A318" s="304"/>
      <c r="B318" s="304"/>
      <c r="C318" s="304"/>
      <c r="D318" s="310"/>
      <c r="E318" s="307"/>
      <c r="F318" s="307"/>
    </row>
    <row r="319">
      <c r="A319" s="304"/>
      <c r="B319" s="304"/>
      <c r="C319" s="304"/>
      <c r="D319" s="310"/>
      <c r="E319" s="307"/>
      <c r="F319" s="307"/>
    </row>
    <row r="320">
      <c r="A320" s="304"/>
      <c r="B320" s="304"/>
      <c r="C320" s="304"/>
      <c r="D320" s="310"/>
      <c r="E320" s="307"/>
      <c r="F320" s="307"/>
    </row>
    <row r="321">
      <c r="A321" s="304"/>
      <c r="B321" s="304"/>
      <c r="C321" s="304"/>
      <c r="D321" s="310"/>
      <c r="E321" s="307"/>
      <c r="F321" s="307"/>
    </row>
    <row r="322">
      <c r="A322" s="304"/>
      <c r="B322" s="304"/>
      <c r="C322" s="304"/>
      <c r="D322" s="310"/>
      <c r="E322" s="307"/>
      <c r="F322" s="307"/>
    </row>
    <row r="323">
      <c r="A323" s="304"/>
      <c r="B323" s="304"/>
      <c r="C323" s="304"/>
      <c r="D323" s="310"/>
      <c r="E323" s="307"/>
      <c r="F323" s="307"/>
    </row>
    <row r="324">
      <c r="A324" s="304"/>
      <c r="B324" s="304"/>
      <c r="C324" s="304"/>
      <c r="D324" s="310"/>
      <c r="E324" s="307"/>
      <c r="F324" s="307"/>
    </row>
    <row r="325">
      <c r="A325" s="304"/>
      <c r="B325" s="304"/>
      <c r="C325" s="304"/>
      <c r="D325" s="310"/>
      <c r="E325" s="307"/>
      <c r="F325" s="307"/>
    </row>
    <row r="326">
      <c r="A326" s="304"/>
      <c r="B326" s="304"/>
      <c r="C326" s="304"/>
      <c r="D326" s="310"/>
      <c r="E326" s="307"/>
      <c r="F326" s="307"/>
    </row>
    <row r="327">
      <c r="A327" s="304"/>
      <c r="B327" s="304"/>
      <c r="C327" s="304"/>
      <c r="D327" s="310"/>
      <c r="E327" s="307"/>
      <c r="F327" s="307"/>
    </row>
    <row r="328">
      <c r="A328" s="304"/>
      <c r="B328" s="304"/>
      <c r="C328" s="304"/>
      <c r="D328" s="310"/>
      <c r="E328" s="307"/>
      <c r="F328" s="307"/>
    </row>
    <row r="329">
      <c r="A329" s="304"/>
      <c r="B329" s="304"/>
      <c r="C329" s="304"/>
      <c r="D329" s="310"/>
      <c r="E329" s="307"/>
      <c r="F329" s="307"/>
    </row>
    <row r="330">
      <c r="A330" s="304"/>
      <c r="B330" s="304"/>
      <c r="C330" s="304"/>
      <c r="D330" s="310"/>
      <c r="E330" s="307"/>
      <c r="F330" s="307"/>
    </row>
    <row r="331">
      <c r="A331" s="304"/>
      <c r="B331" s="304"/>
      <c r="C331" s="304"/>
      <c r="D331" s="310"/>
      <c r="E331" s="307"/>
      <c r="F331" s="307"/>
    </row>
    <row r="332">
      <c r="A332" s="304"/>
      <c r="B332" s="304"/>
      <c r="C332" s="304"/>
      <c r="D332" s="310"/>
      <c r="E332" s="307"/>
      <c r="F332" s="307"/>
    </row>
    <row r="333">
      <c r="A333" s="304"/>
      <c r="B333" s="304"/>
      <c r="C333" s="304"/>
      <c r="D333" s="310"/>
      <c r="E333" s="307"/>
      <c r="F333" s="307"/>
    </row>
    <row r="334">
      <c r="A334" s="304"/>
      <c r="B334" s="304"/>
      <c r="C334" s="304"/>
      <c r="D334" s="310"/>
      <c r="E334" s="307"/>
      <c r="F334" s="307"/>
    </row>
    <row r="335">
      <c r="A335" s="304"/>
      <c r="B335" s="304"/>
      <c r="C335" s="304"/>
      <c r="D335" s="310"/>
      <c r="E335" s="307"/>
      <c r="F335" s="307"/>
    </row>
    <row r="336">
      <c r="A336" s="304"/>
      <c r="B336" s="304"/>
      <c r="C336" s="304"/>
      <c r="D336" s="310"/>
      <c r="E336" s="307"/>
      <c r="F336" s="307"/>
    </row>
    <row r="337">
      <c r="A337" s="304"/>
      <c r="B337" s="304"/>
      <c r="C337" s="304"/>
      <c r="D337" s="310"/>
      <c r="E337" s="307"/>
      <c r="F337" s="307"/>
    </row>
    <row r="338">
      <c r="A338" s="304"/>
      <c r="B338" s="304"/>
      <c r="C338" s="304"/>
      <c r="D338" s="310"/>
      <c r="E338" s="307"/>
      <c r="F338" s="307"/>
    </row>
    <row r="339">
      <c r="A339" s="304"/>
      <c r="B339" s="304"/>
      <c r="C339" s="304"/>
      <c r="D339" s="310"/>
      <c r="E339" s="307"/>
      <c r="F339" s="307"/>
    </row>
    <row r="340">
      <c r="A340" s="304"/>
      <c r="B340" s="304"/>
      <c r="C340" s="304"/>
      <c r="D340" s="310"/>
      <c r="E340" s="307"/>
      <c r="F340" s="307"/>
    </row>
    <row r="341">
      <c r="A341" s="304"/>
      <c r="B341" s="304"/>
      <c r="C341" s="304"/>
      <c r="D341" s="310"/>
      <c r="E341" s="307"/>
      <c r="F341" s="307"/>
    </row>
    <row r="342">
      <c r="A342" s="304"/>
      <c r="B342" s="304"/>
      <c r="C342" s="304"/>
      <c r="D342" s="310"/>
      <c r="E342" s="307"/>
      <c r="F342" s="307"/>
    </row>
    <row r="343">
      <c r="A343" s="304"/>
      <c r="B343" s="304"/>
      <c r="C343" s="304"/>
      <c r="D343" s="310"/>
      <c r="E343" s="307"/>
      <c r="F343" s="307"/>
    </row>
    <row r="344">
      <c r="A344" s="304"/>
      <c r="B344" s="304"/>
      <c r="C344" s="304"/>
      <c r="D344" s="310"/>
      <c r="E344" s="307"/>
      <c r="F344" s="307"/>
    </row>
    <row r="345">
      <c r="A345" s="304"/>
      <c r="B345" s="304"/>
      <c r="C345" s="304"/>
      <c r="D345" s="310"/>
      <c r="E345" s="307"/>
      <c r="F345" s="307"/>
    </row>
    <row r="346">
      <c r="A346" s="304"/>
      <c r="B346" s="304"/>
      <c r="C346" s="304"/>
      <c r="D346" s="310"/>
      <c r="E346" s="307"/>
      <c r="F346" s="307"/>
    </row>
    <row r="347">
      <c r="A347" s="304"/>
      <c r="B347" s="304"/>
      <c r="C347" s="304"/>
      <c r="D347" s="310"/>
      <c r="E347" s="307"/>
      <c r="F347" s="307"/>
    </row>
    <row r="348">
      <c r="A348" s="304"/>
      <c r="B348" s="304"/>
      <c r="C348" s="304"/>
      <c r="D348" s="310"/>
      <c r="E348" s="307"/>
      <c r="F348" s="307"/>
    </row>
    <row r="349">
      <c r="A349" s="304"/>
      <c r="B349" s="304"/>
      <c r="C349" s="304"/>
      <c r="D349" s="310"/>
      <c r="E349" s="307"/>
      <c r="F349" s="307"/>
    </row>
    <row r="350">
      <c r="A350" s="304"/>
      <c r="B350" s="304"/>
      <c r="C350" s="304"/>
      <c r="D350" s="310"/>
      <c r="E350" s="307"/>
      <c r="F350" s="307"/>
    </row>
    <row r="351">
      <c r="A351" s="304"/>
      <c r="B351" s="304"/>
      <c r="C351" s="304"/>
      <c r="D351" s="310"/>
      <c r="E351" s="307"/>
      <c r="F351" s="307"/>
    </row>
    <row r="352">
      <c r="A352" s="304"/>
      <c r="B352" s="304"/>
      <c r="C352" s="304"/>
      <c r="D352" s="310"/>
      <c r="E352" s="307"/>
      <c r="F352" s="307"/>
    </row>
    <row r="353">
      <c r="A353" s="304"/>
      <c r="B353" s="304"/>
      <c r="C353" s="304"/>
      <c r="D353" s="310"/>
      <c r="E353" s="307"/>
      <c r="F353" s="307"/>
    </row>
    <row r="354">
      <c r="A354" s="304"/>
      <c r="B354" s="304"/>
      <c r="C354" s="304"/>
      <c r="D354" s="310"/>
      <c r="E354" s="307"/>
      <c r="F354" s="307"/>
    </row>
    <row r="355">
      <c r="A355" s="304"/>
      <c r="B355" s="304"/>
      <c r="C355" s="304"/>
      <c r="D355" s="310"/>
      <c r="E355" s="307"/>
      <c r="F355" s="307"/>
    </row>
    <row r="356">
      <c r="A356" s="304"/>
      <c r="B356" s="304"/>
      <c r="C356" s="304"/>
      <c r="D356" s="310"/>
      <c r="E356" s="307"/>
      <c r="F356" s="307"/>
    </row>
    <row r="357">
      <c r="A357" s="304"/>
      <c r="B357" s="304"/>
      <c r="C357" s="304"/>
      <c r="D357" s="310"/>
      <c r="E357" s="307"/>
      <c r="F357" s="307"/>
    </row>
    <row r="358">
      <c r="A358" s="304"/>
      <c r="B358" s="304"/>
      <c r="C358" s="304"/>
      <c r="D358" s="310"/>
      <c r="E358" s="307"/>
      <c r="F358" s="307"/>
    </row>
    <row r="359">
      <c r="A359" s="304"/>
      <c r="B359" s="304"/>
      <c r="C359" s="304"/>
      <c r="D359" s="310"/>
      <c r="E359" s="307"/>
      <c r="F359" s="307"/>
    </row>
    <row r="360">
      <c r="A360" s="304"/>
      <c r="B360" s="304"/>
      <c r="C360" s="304"/>
      <c r="D360" s="310"/>
      <c r="E360" s="307"/>
      <c r="F360" s="307"/>
    </row>
    <row r="361">
      <c r="A361" s="304"/>
      <c r="B361" s="304"/>
      <c r="C361" s="304"/>
      <c r="D361" s="310"/>
      <c r="E361" s="307"/>
      <c r="F361" s="307"/>
    </row>
    <row r="362">
      <c r="A362" s="304"/>
      <c r="B362" s="304"/>
      <c r="C362" s="304"/>
      <c r="D362" s="310"/>
      <c r="E362" s="307"/>
      <c r="F362" s="307"/>
    </row>
    <row r="363">
      <c r="A363" s="304"/>
      <c r="B363" s="304"/>
      <c r="C363" s="304"/>
      <c r="D363" s="310"/>
      <c r="E363" s="307"/>
      <c r="F363" s="307"/>
    </row>
    <row r="364">
      <c r="A364" s="304"/>
      <c r="B364" s="304"/>
      <c r="C364" s="304"/>
      <c r="D364" s="310"/>
      <c r="E364" s="307"/>
      <c r="F364" s="307"/>
    </row>
    <row r="365">
      <c r="A365" s="304"/>
      <c r="B365" s="304"/>
      <c r="C365" s="304"/>
      <c r="D365" s="310"/>
      <c r="E365" s="307"/>
      <c r="F365" s="307"/>
    </row>
    <row r="366">
      <c r="A366" s="304"/>
      <c r="B366" s="304"/>
      <c r="C366" s="304"/>
      <c r="D366" s="310"/>
      <c r="E366" s="307"/>
      <c r="F366" s="307"/>
    </row>
    <row r="367">
      <c r="A367" s="304"/>
      <c r="B367" s="304"/>
      <c r="C367" s="304"/>
      <c r="D367" s="310"/>
      <c r="E367" s="307"/>
      <c r="F367" s="307"/>
    </row>
    <row r="368">
      <c r="A368" s="304"/>
      <c r="B368" s="304"/>
      <c r="C368" s="304"/>
      <c r="D368" s="310"/>
      <c r="E368" s="307"/>
      <c r="F368" s="307"/>
    </row>
    <row r="369">
      <c r="A369" s="304"/>
      <c r="B369" s="304"/>
      <c r="C369" s="304"/>
      <c r="D369" s="310"/>
      <c r="E369" s="307"/>
      <c r="F369" s="307"/>
    </row>
    <row r="370">
      <c r="A370" s="304"/>
      <c r="B370" s="304"/>
      <c r="C370" s="304"/>
      <c r="D370" s="310"/>
      <c r="E370" s="307"/>
      <c r="F370" s="307"/>
    </row>
    <row r="371">
      <c r="A371" s="304"/>
      <c r="B371" s="304"/>
      <c r="C371" s="304"/>
      <c r="D371" s="310"/>
      <c r="E371" s="307"/>
      <c r="F371" s="307"/>
    </row>
    <row r="372">
      <c r="A372" s="304"/>
      <c r="B372" s="304"/>
      <c r="C372" s="304"/>
      <c r="D372" s="310"/>
      <c r="E372" s="307"/>
      <c r="F372" s="307"/>
    </row>
    <row r="373">
      <c r="A373" s="304"/>
      <c r="B373" s="304"/>
      <c r="C373" s="304"/>
      <c r="D373" s="310"/>
      <c r="E373" s="307"/>
      <c r="F373" s="307"/>
    </row>
    <row r="374">
      <c r="A374" s="304"/>
      <c r="B374" s="304"/>
      <c r="C374" s="304"/>
      <c r="D374" s="310"/>
      <c r="E374" s="307"/>
      <c r="F374" s="307"/>
    </row>
    <row r="375">
      <c r="A375" s="304"/>
      <c r="B375" s="304"/>
      <c r="C375" s="304"/>
      <c r="D375" s="310"/>
      <c r="E375" s="307"/>
      <c r="F375" s="307"/>
    </row>
    <row r="376">
      <c r="A376" s="304"/>
      <c r="B376" s="304"/>
      <c r="C376" s="304"/>
      <c r="D376" s="310"/>
      <c r="E376" s="307"/>
      <c r="F376" s="307"/>
    </row>
    <row r="377">
      <c r="A377" s="304"/>
      <c r="B377" s="304"/>
      <c r="C377" s="304"/>
      <c r="D377" s="310"/>
      <c r="E377" s="307"/>
      <c r="F377" s="307"/>
    </row>
    <row r="378">
      <c r="A378" s="304"/>
      <c r="B378" s="304"/>
      <c r="C378" s="304"/>
      <c r="D378" s="310"/>
      <c r="E378" s="307"/>
      <c r="F378" s="307"/>
    </row>
    <row r="379">
      <c r="A379" s="304"/>
      <c r="B379" s="304"/>
      <c r="C379" s="304"/>
      <c r="D379" s="310"/>
      <c r="E379" s="307"/>
      <c r="F379" s="307"/>
    </row>
    <row r="380">
      <c r="A380" s="304"/>
      <c r="B380" s="304"/>
      <c r="C380" s="304"/>
      <c r="D380" s="310"/>
      <c r="E380" s="307"/>
      <c r="F380" s="307"/>
    </row>
    <row r="381">
      <c r="A381" s="304"/>
      <c r="B381" s="304"/>
      <c r="C381" s="304"/>
      <c r="D381" s="310"/>
      <c r="E381" s="307"/>
      <c r="F381" s="307"/>
    </row>
    <row r="382">
      <c r="A382" s="304"/>
      <c r="B382" s="304"/>
      <c r="C382" s="304"/>
      <c r="D382" s="310"/>
      <c r="E382" s="307"/>
      <c r="F382" s="307"/>
    </row>
    <row r="383">
      <c r="A383" s="304"/>
      <c r="B383" s="304"/>
      <c r="C383" s="304"/>
      <c r="D383" s="310"/>
      <c r="E383" s="307"/>
      <c r="F383" s="307"/>
    </row>
    <row r="384">
      <c r="A384" s="304"/>
      <c r="B384" s="304"/>
      <c r="C384" s="304"/>
      <c r="D384" s="310"/>
      <c r="E384" s="307"/>
      <c r="F384" s="307"/>
    </row>
    <row r="385">
      <c r="A385" s="304"/>
      <c r="B385" s="304"/>
      <c r="C385" s="304"/>
      <c r="D385" s="310"/>
      <c r="E385" s="307"/>
      <c r="F385" s="307"/>
    </row>
    <row r="386">
      <c r="A386" s="304"/>
      <c r="B386" s="304"/>
      <c r="C386" s="304"/>
      <c r="D386" s="310"/>
      <c r="E386" s="307"/>
      <c r="F386" s="307"/>
    </row>
    <row r="387">
      <c r="A387" s="304"/>
      <c r="B387" s="304"/>
      <c r="C387" s="304"/>
      <c r="D387" s="310"/>
      <c r="E387" s="307"/>
      <c r="F387" s="307"/>
    </row>
    <row r="388">
      <c r="A388" s="304"/>
      <c r="B388" s="304"/>
      <c r="C388" s="304"/>
      <c r="D388" s="310"/>
      <c r="E388" s="307"/>
      <c r="F388" s="307"/>
    </row>
    <row r="389">
      <c r="A389" s="304"/>
      <c r="B389" s="304"/>
      <c r="C389" s="304"/>
      <c r="D389" s="310"/>
      <c r="E389" s="307"/>
      <c r="F389" s="307"/>
    </row>
    <row r="390">
      <c r="A390" s="304"/>
      <c r="B390" s="304"/>
      <c r="C390" s="304"/>
      <c r="D390" s="310"/>
      <c r="E390" s="307"/>
      <c r="F390" s="307"/>
    </row>
    <row r="391">
      <c r="A391" s="304"/>
      <c r="B391" s="304"/>
      <c r="C391" s="304"/>
      <c r="D391" s="310"/>
      <c r="E391" s="307"/>
      <c r="F391" s="307"/>
    </row>
    <row r="392">
      <c r="A392" s="304"/>
      <c r="B392" s="304"/>
      <c r="C392" s="304"/>
      <c r="D392" s="310"/>
      <c r="E392" s="307"/>
      <c r="F392" s="307"/>
    </row>
    <row r="393">
      <c r="A393" s="304"/>
      <c r="B393" s="304"/>
      <c r="C393" s="304"/>
      <c r="D393" s="310"/>
      <c r="E393" s="307"/>
      <c r="F393" s="307"/>
    </row>
    <row r="394">
      <c r="A394" s="304"/>
      <c r="B394" s="304"/>
      <c r="C394" s="304"/>
      <c r="D394" s="310"/>
      <c r="E394" s="307"/>
      <c r="F394" s="307"/>
    </row>
    <row r="395">
      <c r="A395" s="304"/>
      <c r="B395" s="304"/>
      <c r="C395" s="304"/>
      <c r="D395" s="310"/>
      <c r="E395" s="307"/>
      <c r="F395" s="307"/>
    </row>
    <row r="396">
      <c r="A396" s="304"/>
      <c r="B396" s="304"/>
      <c r="C396" s="304"/>
      <c r="D396" s="310"/>
      <c r="E396" s="307"/>
      <c r="F396" s="307"/>
    </row>
    <row r="397">
      <c r="A397" s="304"/>
      <c r="B397" s="304"/>
      <c r="C397" s="304"/>
      <c r="D397" s="310"/>
      <c r="E397" s="307"/>
      <c r="F397" s="307"/>
    </row>
    <row r="398">
      <c r="A398" s="304"/>
      <c r="B398" s="304"/>
      <c r="C398" s="304"/>
      <c r="D398" s="310"/>
      <c r="E398" s="307"/>
      <c r="F398" s="307"/>
    </row>
    <row r="399">
      <c r="A399" s="304"/>
      <c r="B399" s="304"/>
      <c r="C399" s="304"/>
      <c r="D399" s="310"/>
      <c r="E399" s="307"/>
      <c r="F399" s="307"/>
    </row>
    <row r="400">
      <c r="A400" s="304"/>
      <c r="B400" s="304"/>
      <c r="C400" s="304"/>
      <c r="D400" s="310"/>
      <c r="E400" s="307"/>
      <c r="F400" s="307"/>
    </row>
    <row r="401">
      <c r="A401" s="304"/>
      <c r="B401" s="304"/>
      <c r="C401" s="304"/>
      <c r="D401" s="310"/>
      <c r="E401" s="307"/>
      <c r="F401" s="307"/>
    </row>
    <row r="402">
      <c r="A402" s="304"/>
      <c r="B402" s="304"/>
      <c r="C402" s="304"/>
      <c r="D402" s="310"/>
      <c r="E402" s="307"/>
      <c r="F402" s="307"/>
    </row>
    <row r="403">
      <c r="A403" s="304"/>
      <c r="B403" s="304"/>
      <c r="C403" s="304"/>
      <c r="D403" s="310"/>
      <c r="E403" s="307"/>
      <c r="F403" s="307"/>
    </row>
    <row r="404">
      <c r="A404" s="304"/>
      <c r="B404" s="304"/>
      <c r="C404" s="304"/>
      <c r="D404" s="310"/>
      <c r="E404" s="307"/>
      <c r="F404" s="307"/>
    </row>
    <row r="405">
      <c r="A405" s="304"/>
      <c r="B405" s="304"/>
      <c r="C405" s="304"/>
      <c r="D405" s="310"/>
      <c r="E405" s="307"/>
      <c r="F405" s="307"/>
    </row>
    <row r="406">
      <c r="A406" s="304"/>
      <c r="B406" s="304"/>
      <c r="C406" s="304"/>
      <c r="D406" s="310"/>
      <c r="E406" s="307"/>
      <c r="F406" s="307"/>
    </row>
    <row r="407">
      <c r="A407" s="304"/>
      <c r="B407" s="304"/>
      <c r="C407" s="304"/>
      <c r="D407" s="310"/>
      <c r="E407" s="307"/>
      <c r="F407" s="307"/>
    </row>
    <row r="408">
      <c r="A408" s="304"/>
      <c r="B408" s="304"/>
      <c r="C408" s="304"/>
      <c r="D408" s="310"/>
      <c r="E408" s="307"/>
      <c r="F408" s="307"/>
    </row>
    <row r="409">
      <c r="A409" s="304"/>
      <c r="B409" s="304"/>
      <c r="C409" s="304"/>
      <c r="D409" s="310"/>
      <c r="E409" s="307"/>
      <c r="F409" s="307"/>
    </row>
    <row r="410">
      <c r="A410" s="304"/>
      <c r="B410" s="304"/>
      <c r="C410" s="304"/>
      <c r="D410" s="310"/>
      <c r="E410" s="307"/>
      <c r="F410" s="307"/>
    </row>
    <row r="411">
      <c r="A411" s="304"/>
      <c r="B411" s="304"/>
      <c r="C411" s="304"/>
      <c r="D411" s="310"/>
      <c r="E411" s="307"/>
      <c r="F411" s="307"/>
    </row>
    <row r="412">
      <c r="A412" s="304"/>
      <c r="B412" s="304"/>
      <c r="C412" s="304"/>
      <c r="D412" s="310"/>
      <c r="E412" s="307"/>
      <c r="F412" s="307"/>
    </row>
    <row r="413">
      <c r="A413" s="304"/>
      <c r="B413" s="304"/>
      <c r="C413" s="304"/>
      <c r="D413" s="310"/>
      <c r="E413" s="307"/>
      <c r="F413" s="307"/>
    </row>
    <row r="414">
      <c r="A414" s="304"/>
      <c r="B414" s="304"/>
      <c r="C414" s="304"/>
      <c r="D414" s="310"/>
      <c r="E414" s="307"/>
      <c r="F414" s="307"/>
    </row>
    <row r="415">
      <c r="A415" s="304"/>
      <c r="B415" s="304"/>
      <c r="C415" s="304"/>
      <c r="D415" s="310"/>
      <c r="E415" s="307"/>
      <c r="F415" s="307"/>
    </row>
    <row r="416">
      <c r="A416" s="304"/>
      <c r="B416" s="304"/>
      <c r="C416" s="304"/>
      <c r="D416" s="310"/>
      <c r="E416" s="307"/>
      <c r="F416" s="307"/>
    </row>
    <row r="417">
      <c r="A417" s="304"/>
      <c r="B417" s="304"/>
      <c r="C417" s="304"/>
      <c r="D417" s="310"/>
      <c r="E417" s="307"/>
      <c r="F417" s="307"/>
    </row>
    <row r="418">
      <c r="A418" s="304"/>
      <c r="B418" s="304"/>
      <c r="C418" s="304"/>
      <c r="D418" s="310"/>
      <c r="E418" s="307"/>
      <c r="F418" s="307"/>
    </row>
    <row r="419">
      <c r="A419" s="304"/>
      <c r="B419" s="304"/>
      <c r="C419" s="304"/>
      <c r="D419" s="310"/>
      <c r="E419" s="307"/>
      <c r="F419" s="307"/>
    </row>
    <row r="420">
      <c r="A420" s="304"/>
      <c r="B420" s="304"/>
      <c r="C420" s="304"/>
      <c r="D420" s="310"/>
      <c r="E420" s="307"/>
      <c r="F420" s="307"/>
    </row>
    <row r="421">
      <c r="A421" s="304"/>
      <c r="B421" s="304"/>
      <c r="C421" s="304"/>
      <c r="D421" s="310"/>
      <c r="E421" s="307"/>
      <c r="F421" s="307"/>
    </row>
    <row r="422">
      <c r="A422" s="304"/>
      <c r="B422" s="304"/>
      <c r="C422" s="304"/>
      <c r="D422" s="310"/>
      <c r="E422" s="307"/>
      <c r="F422" s="307"/>
    </row>
    <row r="423">
      <c r="A423" s="304"/>
      <c r="B423" s="304"/>
      <c r="C423" s="304"/>
      <c r="D423" s="310"/>
      <c r="E423" s="307"/>
      <c r="F423" s="307"/>
    </row>
    <row r="424">
      <c r="A424" s="304"/>
      <c r="B424" s="304"/>
      <c r="C424" s="304"/>
      <c r="D424" s="310"/>
      <c r="E424" s="307"/>
      <c r="F424" s="307"/>
    </row>
    <row r="425">
      <c r="A425" s="304"/>
      <c r="B425" s="304"/>
      <c r="C425" s="304"/>
      <c r="D425" s="310"/>
      <c r="E425" s="307"/>
      <c r="F425" s="307"/>
    </row>
    <row r="426">
      <c r="A426" s="304"/>
      <c r="B426" s="304"/>
      <c r="C426" s="304"/>
      <c r="D426" s="310"/>
      <c r="E426" s="307"/>
      <c r="F426" s="307"/>
    </row>
    <row r="427">
      <c r="A427" s="304"/>
      <c r="B427" s="304"/>
      <c r="C427" s="304"/>
      <c r="D427" s="310"/>
      <c r="E427" s="307"/>
      <c r="F427" s="307"/>
    </row>
    <row r="428">
      <c r="A428" s="304"/>
      <c r="B428" s="304"/>
      <c r="C428" s="304"/>
      <c r="D428" s="310"/>
      <c r="E428" s="307"/>
      <c r="F428" s="307"/>
    </row>
    <row r="429">
      <c r="A429" s="304"/>
      <c r="B429" s="304"/>
      <c r="C429" s="304"/>
      <c r="D429" s="310"/>
      <c r="E429" s="307"/>
      <c r="F429" s="307"/>
    </row>
    <row r="430">
      <c r="A430" s="304"/>
      <c r="B430" s="304"/>
      <c r="C430" s="304"/>
      <c r="D430" s="310"/>
      <c r="E430" s="307"/>
      <c r="F430" s="307"/>
    </row>
    <row r="431">
      <c r="A431" s="304"/>
      <c r="B431" s="304"/>
      <c r="C431" s="304"/>
      <c r="D431" s="310"/>
      <c r="E431" s="307"/>
      <c r="F431" s="307"/>
    </row>
    <row r="432">
      <c r="A432" s="304"/>
      <c r="B432" s="304"/>
      <c r="C432" s="304"/>
      <c r="D432" s="310"/>
      <c r="E432" s="307"/>
      <c r="F432" s="307"/>
    </row>
    <row r="433">
      <c r="A433" s="304"/>
      <c r="B433" s="304"/>
      <c r="C433" s="304"/>
      <c r="D433" s="310"/>
      <c r="E433" s="307"/>
      <c r="F433" s="307"/>
    </row>
    <row r="434">
      <c r="A434" s="304"/>
      <c r="B434" s="304"/>
      <c r="C434" s="304"/>
      <c r="D434" s="310"/>
      <c r="E434" s="307"/>
      <c r="F434" s="307"/>
    </row>
    <row r="435">
      <c r="A435" s="304"/>
      <c r="B435" s="304"/>
      <c r="C435" s="304"/>
      <c r="D435" s="310"/>
      <c r="E435" s="307"/>
      <c r="F435" s="307"/>
    </row>
    <row r="436">
      <c r="A436" s="304"/>
      <c r="B436" s="304"/>
      <c r="C436" s="304"/>
      <c r="D436" s="310"/>
      <c r="E436" s="307"/>
      <c r="F436" s="307"/>
    </row>
    <row r="437">
      <c r="A437" s="304"/>
      <c r="B437" s="304"/>
      <c r="C437" s="304"/>
      <c r="D437" s="310"/>
      <c r="E437" s="307"/>
      <c r="F437" s="307"/>
    </row>
    <row r="438">
      <c r="A438" s="304"/>
      <c r="B438" s="304"/>
      <c r="C438" s="304"/>
      <c r="D438" s="310"/>
      <c r="E438" s="307"/>
      <c r="F438" s="307"/>
    </row>
    <row r="439">
      <c r="A439" s="304"/>
      <c r="B439" s="304"/>
      <c r="C439" s="304"/>
      <c r="D439" s="310"/>
      <c r="E439" s="307"/>
      <c r="F439" s="307"/>
    </row>
    <row r="440">
      <c r="A440" s="304"/>
      <c r="B440" s="304"/>
      <c r="C440" s="304"/>
      <c r="D440" s="310"/>
      <c r="E440" s="307"/>
      <c r="F440" s="307"/>
    </row>
    <row r="441">
      <c r="A441" s="304"/>
      <c r="B441" s="304"/>
      <c r="C441" s="304"/>
      <c r="D441" s="310"/>
      <c r="E441" s="307"/>
      <c r="F441" s="307"/>
    </row>
    <row r="442">
      <c r="A442" s="304"/>
      <c r="B442" s="304"/>
      <c r="C442" s="304"/>
      <c r="D442" s="310"/>
      <c r="E442" s="307"/>
      <c r="F442" s="307"/>
    </row>
    <row r="443">
      <c r="A443" s="304"/>
      <c r="B443" s="304"/>
      <c r="C443" s="304"/>
      <c r="D443" s="310"/>
      <c r="E443" s="307"/>
      <c r="F443" s="307"/>
    </row>
    <row r="444">
      <c r="A444" s="304"/>
      <c r="B444" s="304"/>
      <c r="C444" s="304"/>
      <c r="D444" s="310"/>
      <c r="E444" s="307"/>
      <c r="F444" s="307"/>
    </row>
    <row r="445">
      <c r="A445" s="304"/>
      <c r="B445" s="304"/>
      <c r="C445" s="304"/>
      <c r="D445" s="310"/>
      <c r="E445" s="307"/>
      <c r="F445" s="307"/>
    </row>
    <row r="446">
      <c r="A446" s="304"/>
      <c r="B446" s="304"/>
      <c r="C446" s="304"/>
      <c r="D446" s="310"/>
      <c r="E446" s="307"/>
      <c r="F446" s="307"/>
    </row>
    <row r="447">
      <c r="A447" s="304"/>
      <c r="B447" s="304"/>
      <c r="C447" s="304"/>
      <c r="D447" s="310"/>
      <c r="E447" s="307"/>
      <c r="F447" s="307"/>
    </row>
    <row r="448">
      <c r="A448" s="304"/>
      <c r="B448" s="304"/>
      <c r="C448" s="304"/>
      <c r="D448" s="310"/>
      <c r="E448" s="307"/>
      <c r="F448" s="307"/>
    </row>
    <row r="449">
      <c r="A449" s="304"/>
      <c r="B449" s="304"/>
      <c r="C449" s="304"/>
      <c r="D449" s="310"/>
      <c r="E449" s="307"/>
      <c r="F449" s="307"/>
    </row>
    <row r="450">
      <c r="A450" s="304"/>
      <c r="B450" s="304"/>
      <c r="C450" s="304"/>
      <c r="D450" s="310"/>
      <c r="E450" s="307"/>
      <c r="F450" s="307"/>
    </row>
    <row r="451">
      <c r="A451" s="304"/>
      <c r="B451" s="304"/>
      <c r="C451" s="304"/>
      <c r="D451" s="310"/>
      <c r="E451" s="307"/>
      <c r="F451" s="307"/>
    </row>
    <row r="452">
      <c r="A452" s="304"/>
      <c r="B452" s="304"/>
      <c r="C452" s="304"/>
      <c r="D452" s="310"/>
      <c r="E452" s="307"/>
      <c r="F452" s="307"/>
    </row>
    <row r="453">
      <c r="A453" s="304"/>
      <c r="B453" s="304"/>
      <c r="C453" s="304"/>
      <c r="D453" s="310"/>
      <c r="E453" s="307"/>
      <c r="F453" s="307"/>
    </row>
    <row r="454">
      <c r="A454" s="304"/>
      <c r="B454" s="304"/>
      <c r="C454" s="304"/>
      <c r="D454" s="310"/>
      <c r="E454" s="307"/>
      <c r="F454" s="307"/>
    </row>
    <row r="455">
      <c r="A455" s="304"/>
      <c r="B455" s="304"/>
      <c r="C455" s="304"/>
      <c r="D455" s="310"/>
      <c r="E455" s="307"/>
      <c r="F455" s="307"/>
    </row>
    <row r="456">
      <c r="A456" s="304"/>
      <c r="B456" s="304"/>
      <c r="C456" s="304"/>
      <c r="D456" s="310"/>
      <c r="E456" s="307"/>
      <c r="F456" s="307"/>
    </row>
    <row r="457">
      <c r="A457" s="304"/>
      <c r="B457" s="304"/>
      <c r="C457" s="304"/>
      <c r="D457" s="310"/>
      <c r="E457" s="307"/>
      <c r="F457" s="307"/>
    </row>
    <row r="458">
      <c r="A458" s="304"/>
      <c r="B458" s="304"/>
      <c r="C458" s="304"/>
      <c r="D458" s="310"/>
      <c r="E458" s="307"/>
      <c r="F458" s="307"/>
    </row>
    <row r="459">
      <c r="A459" s="304"/>
      <c r="B459" s="304"/>
      <c r="C459" s="304"/>
      <c r="D459" s="310"/>
      <c r="E459" s="307"/>
      <c r="F459" s="307"/>
    </row>
    <row r="460">
      <c r="A460" s="304"/>
      <c r="B460" s="304"/>
      <c r="C460" s="304"/>
      <c r="D460" s="310"/>
      <c r="E460" s="307"/>
      <c r="F460" s="307"/>
    </row>
    <row r="461">
      <c r="A461" s="304"/>
      <c r="B461" s="304"/>
      <c r="C461" s="304"/>
      <c r="D461" s="310"/>
      <c r="E461" s="307"/>
      <c r="F461" s="307"/>
    </row>
    <row r="462">
      <c r="A462" s="304"/>
      <c r="B462" s="304"/>
      <c r="C462" s="304"/>
      <c r="D462" s="310"/>
      <c r="E462" s="307"/>
      <c r="F462" s="307"/>
    </row>
    <row r="463">
      <c r="A463" s="304"/>
      <c r="B463" s="304"/>
      <c r="C463" s="304"/>
      <c r="D463" s="310"/>
      <c r="E463" s="307"/>
      <c r="F463" s="307"/>
    </row>
    <row r="464">
      <c r="A464" s="304"/>
      <c r="B464" s="304"/>
      <c r="C464" s="304"/>
      <c r="D464" s="310"/>
      <c r="E464" s="307"/>
      <c r="F464" s="307"/>
    </row>
    <row r="465">
      <c r="A465" s="304"/>
      <c r="B465" s="304"/>
      <c r="C465" s="304"/>
      <c r="D465" s="310"/>
      <c r="E465" s="307"/>
      <c r="F465" s="307"/>
    </row>
    <row r="466">
      <c r="A466" s="304"/>
      <c r="B466" s="304"/>
      <c r="C466" s="304"/>
      <c r="D466" s="310"/>
      <c r="E466" s="307"/>
      <c r="F466" s="307"/>
    </row>
    <row r="467">
      <c r="A467" s="304"/>
      <c r="B467" s="304"/>
      <c r="C467" s="304"/>
      <c r="D467" s="310"/>
      <c r="E467" s="307"/>
      <c r="F467" s="307"/>
    </row>
    <row r="468">
      <c r="A468" s="304"/>
      <c r="B468" s="304"/>
      <c r="C468" s="304"/>
      <c r="D468" s="310"/>
      <c r="E468" s="307"/>
      <c r="F468" s="307"/>
    </row>
    <row r="469">
      <c r="A469" s="304"/>
      <c r="B469" s="304"/>
      <c r="C469" s="304"/>
      <c r="D469" s="310"/>
      <c r="E469" s="307"/>
      <c r="F469" s="307"/>
    </row>
    <row r="470">
      <c r="A470" s="304"/>
      <c r="B470" s="304"/>
      <c r="C470" s="304"/>
      <c r="D470" s="310"/>
      <c r="E470" s="307"/>
      <c r="F470" s="307"/>
    </row>
    <row r="471">
      <c r="A471" s="304"/>
      <c r="B471" s="304"/>
      <c r="C471" s="304"/>
      <c r="D471" s="310"/>
      <c r="E471" s="307"/>
      <c r="F471" s="307"/>
    </row>
    <row r="472">
      <c r="A472" s="304"/>
      <c r="B472" s="304"/>
      <c r="C472" s="304"/>
      <c r="D472" s="310"/>
      <c r="E472" s="307"/>
      <c r="F472" s="307"/>
    </row>
    <row r="473">
      <c r="A473" s="304"/>
      <c r="B473" s="304"/>
      <c r="C473" s="304"/>
      <c r="D473" s="310"/>
      <c r="E473" s="307"/>
      <c r="F473" s="307"/>
    </row>
    <row r="474">
      <c r="A474" s="304"/>
      <c r="B474" s="304"/>
      <c r="C474" s="304"/>
      <c r="D474" s="310"/>
      <c r="E474" s="307"/>
      <c r="F474" s="307"/>
    </row>
    <row r="475">
      <c r="A475" s="304"/>
      <c r="B475" s="304"/>
      <c r="C475" s="304"/>
      <c r="D475" s="310"/>
      <c r="E475" s="307"/>
      <c r="F475" s="307"/>
    </row>
    <row r="476">
      <c r="A476" s="304"/>
      <c r="B476" s="304"/>
      <c r="C476" s="304"/>
      <c r="D476" s="310"/>
      <c r="E476" s="307"/>
      <c r="F476" s="307"/>
    </row>
    <row r="477">
      <c r="A477" s="304"/>
      <c r="B477" s="304"/>
      <c r="C477" s="304"/>
      <c r="D477" s="310"/>
      <c r="E477" s="307"/>
      <c r="F477" s="307"/>
    </row>
    <row r="478">
      <c r="A478" s="304"/>
      <c r="B478" s="304"/>
      <c r="C478" s="304"/>
      <c r="D478" s="310"/>
      <c r="E478" s="307"/>
      <c r="F478" s="307"/>
    </row>
    <row r="479">
      <c r="A479" s="304"/>
      <c r="B479" s="304"/>
      <c r="C479" s="304"/>
      <c r="D479" s="310"/>
      <c r="E479" s="307"/>
      <c r="F479" s="307"/>
    </row>
    <row r="480">
      <c r="A480" s="304"/>
      <c r="B480" s="304"/>
      <c r="C480" s="304"/>
      <c r="D480" s="310"/>
      <c r="E480" s="307"/>
      <c r="F480" s="307"/>
    </row>
    <row r="481">
      <c r="A481" s="304"/>
      <c r="B481" s="304"/>
      <c r="C481" s="304"/>
      <c r="D481" s="310"/>
      <c r="E481" s="307"/>
      <c r="F481" s="307"/>
    </row>
    <row r="482">
      <c r="A482" s="304"/>
      <c r="B482" s="304"/>
      <c r="C482" s="304"/>
      <c r="D482" s="310"/>
      <c r="E482" s="307"/>
      <c r="F482" s="307"/>
    </row>
    <row r="483">
      <c r="A483" s="304"/>
      <c r="B483" s="304"/>
      <c r="C483" s="304"/>
      <c r="D483" s="310"/>
      <c r="E483" s="307"/>
      <c r="F483" s="307"/>
    </row>
    <row r="484">
      <c r="A484" s="304"/>
      <c r="B484" s="304"/>
      <c r="C484" s="304"/>
      <c r="D484" s="310"/>
      <c r="E484" s="307"/>
      <c r="F484" s="307"/>
    </row>
    <row r="485">
      <c r="A485" s="304"/>
      <c r="B485" s="304"/>
      <c r="C485" s="304"/>
      <c r="D485" s="310"/>
      <c r="E485" s="307"/>
      <c r="F485" s="307"/>
    </row>
    <row r="486">
      <c r="A486" s="304"/>
      <c r="B486" s="304"/>
      <c r="C486" s="304"/>
      <c r="D486" s="310"/>
      <c r="E486" s="307"/>
      <c r="F486" s="307"/>
    </row>
    <row r="487">
      <c r="A487" s="304"/>
      <c r="B487" s="304"/>
      <c r="C487" s="304"/>
      <c r="D487" s="310"/>
      <c r="E487" s="307"/>
      <c r="F487" s="307"/>
    </row>
    <row r="488">
      <c r="A488" s="304"/>
      <c r="B488" s="304"/>
      <c r="C488" s="304"/>
      <c r="D488" s="310"/>
      <c r="E488" s="307"/>
      <c r="F488" s="307"/>
    </row>
    <row r="489">
      <c r="A489" s="304"/>
      <c r="B489" s="304"/>
      <c r="C489" s="304"/>
      <c r="D489" s="310"/>
      <c r="E489" s="307"/>
      <c r="F489" s="307"/>
    </row>
    <row r="490">
      <c r="A490" s="304"/>
      <c r="B490" s="304"/>
      <c r="C490" s="304"/>
      <c r="D490" s="310"/>
      <c r="E490" s="307"/>
      <c r="F490" s="307"/>
    </row>
    <row r="491">
      <c r="A491" s="304"/>
      <c r="B491" s="304"/>
      <c r="C491" s="304"/>
      <c r="D491" s="310"/>
      <c r="E491" s="307"/>
      <c r="F491" s="307"/>
    </row>
    <row r="492">
      <c r="A492" s="304"/>
      <c r="B492" s="304"/>
      <c r="C492" s="304"/>
      <c r="D492" s="310"/>
      <c r="E492" s="307"/>
      <c r="F492" s="307"/>
    </row>
    <row r="493">
      <c r="A493" s="304"/>
      <c r="B493" s="304"/>
      <c r="C493" s="304"/>
      <c r="D493" s="310"/>
      <c r="E493" s="307"/>
      <c r="F493" s="307"/>
    </row>
    <row r="494">
      <c r="A494" s="304"/>
      <c r="B494" s="304"/>
      <c r="C494" s="304"/>
      <c r="D494" s="310"/>
      <c r="E494" s="307"/>
      <c r="F494" s="307"/>
    </row>
    <row r="495">
      <c r="A495" s="304"/>
      <c r="B495" s="304"/>
      <c r="C495" s="304"/>
      <c r="D495" s="310"/>
      <c r="E495" s="307"/>
      <c r="F495" s="307"/>
    </row>
    <row r="496">
      <c r="A496" s="304"/>
      <c r="B496" s="304"/>
      <c r="C496" s="304"/>
      <c r="D496" s="310"/>
      <c r="E496" s="307"/>
      <c r="F496" s="307"/>
    </row>
    <row r="497">
      <c r="A497" s="304"/>
      <c r="B497" s="304"/>
      <c r="C497" s="304"/>
      <c r="D497" s="310"/>
      <c r="E497" s="307"/>
      <c r="F497" s="307"/>
    </row>
    <row r="498">
      <c r="A498" s="304"/>
      <c r="B498" s="304"/>
      <c r="C498" s="304"/>
      <c r="D498" s="310"/>
      <c r="E498" s="307"/>
      <c r="F498" s="307"/>
    </row>
    <row r="499">
      <c r="A499" s="304"/>
      <c r="B499" s="304"/>
      <c r="C499" s="304"/>
      <c r="D499" s="310"/>
      <c r="E499" s="307"/>
      <c r="F499" s="307"/>
    </row>
    <row r="500">
      <c r="A500" s="304"/>
      <c r="B500" s="304"/>
      <c r="C500" s="304"/>
      <c r="D500" s="310"/>
      <c r="E500" s="307"/>
      <c r="F500" s="307"/>
    </row>
    <row r="501">
      <c r="A501" s="304"/>
      <c r="B501" s="304"/>
      <c r="C501" s="304"/>
      <c r="D501" s="310"/>
      <c r="E501" s="307"/>
      <c r="F501" s="307"/>
    </row>
    <row r="502">
      <c r="A502" s="304"/>
      <c r="B502" s="304"/>
      <c r="C502" s="304"/>
      <c r="D502" s="310"/>
      <c r="E502" s="307"/>
      <c r="F502" s="307"/>
    </row>
    <row r="503">
      <c r="A503" s="304"/>
      <c r="B503" s="304"/>
      <c r="C503" s="304"/>
      <c r="D503" s="310"/>
      <c r="E503" s="307"/>
      <c r="F503" s="307"/>
    </row>
    <row r="504">
      <c r="A504" s="304"/>
      <c r="B504" s="304"/>
      <c r="C504" s="304"/>
      <c r="D504" s="310"/>
      <c r="E504" s="307"/>
      <c r="F504" s="307"/>
    </row>
    <row r="505">
      <c r="A505" s="304"/>
      <c r="B505" s="304"/>
      <c r="C505" s="304"/>
      <c r="D505" s="310"/>
      <c r="E505" s="307"/>
      <c r="F505" s="307"/>
    </row>
    <row r="506">
      <c r="A506" s="304"/>
      <c r="B506" s="304"/>
      <c r="C506" s="304"/>
      <c r="D506" s="310"/>
      <c r="E506" s="307"/>
      <c r="F506" s="307"/>
    </row>
    <row r="507">
      <c r="A507" s="304"/>
      <c r="B507" s="304"/>
      <c r="C507" s="304"/>
      <c r="D507" s="310"/>
      <c r="E507" s="307"/>
      <c r="F507" s="307"/>
    </row>
    <row r="508">
      <c r="A508" s="304"/>
      <c r="B508" s="304"/>
      <c r="C508" s="304"/>
      <c r="D508" s="310"/>
      <c r="E508" s="307"/>
      <c r="F508" s="307"/>
    </row>
    <row r="509">
      <c r="A509" s="304"/>
      <c r="B509" s="304"/>
      <c r="C509" s="304"/>
      <c r="D509" s="310"/>
      <c r="E509" s="307"/>
      <c r="F509" s="307"/>
    </row>
    <row r="510">
      <c r="A510" s="304"/>
      <c r="B510" s="304"/>
      <c r="C510" s="304"/>
      <c r="D510" s="310"/>
      <c r="E510" s="307"/>
      <c r="F510" s="307"/>
    </row>
    <row r="511">
      <c r="A511" s="304"/>
      <c r="B511" s="304"/>
      <c r="C511" s="304"/>
      <c r="D511" s="310"/>
      <c r="E511" s="307"/>
      <c r="F511" s="307"/>
    </row>
    <row r="512">
      <c r="A512" s="304"/>
      <c r="B512" s="304"/>
      <c r="C512" s="304"/>
      <c r="D512" s="310"/>
      <c r="E512" s="307"/>
      <c r="F512" s="307"/>
    </row>
    <row r="513">
      <c r="A513" s="304"/>
      <c r="B513" s="304"/>
      <c r="C513" s="304"/>
      <c r="D513" s="310"/>
      <c r="E513" s="307"/>
      <c r="F513" s="307"/>
    </row>
    <row r="514">
      <c r="A514" s="304"/>
      <c r="B514" s="304"/>
      <c r="C514" s="304"/>
      <c r="D514" s="310"/>
      <c r="E514" s="307"/>
      <c r="F514" s="307"/>
    </row>
    <row r="515">
      <c r="A515" s="304"/>
      <c r="B515" s="304"/>
      <c r="C515" s="304"/>
      <c r="D515" s="310"/>
      <c r="E515" s="307"/>
      <c r="F515" s="307"/>
    </row>
    <row r="516">
      <c r="A516" s="304"/>
      <c r="B516" s="304"/>
      <c r="C516" s="304"/>
      <c r="D516" s="310"/>
      <c r="E516" s="307"/>
      <c r="F516" s="307"/>
    </row>
    <row r="517">
      <c r="A517" s="304"/>
      <c r="B517" s="304"/>
      <c r="C517" s="304"/>
      <c r="D517" s="310"/>
      <c r="E517" s="307"/>
      <c r="F517" s="307"/>
    </row>
    <row r="518">
      <c r="A518" s="304"/>
      <c r="B518" s="304"/>
      <c r="C518" s="304"/>
      <c r="D518" s="310"/>
      <c r="E518" s="307"/>
      <c r="F518" s="307"/>
    </row>
    <row r="519">
      <c r="A519" s="304"/>
      <c r="B519" s="304"/>
      <c r="C519" s="304"/>
      <c r="D519" s="310"/>
      <c r="E519" s="307"/>
      <c r="F519" s="307"/>
    </row>
    <row r="520">
      <c r="A520" s="304"/>
      <c r="B520" s="304"/>
      <c r="C520" s="304"/>
      <c r="D520" s="310"/>
      <c r="E520" s="307"/>
      <c r="F520" s="307"/>
    </row>
    <row r="521">
      <c r="A521" s="304"/>
      <c r="B521" s="304"/>
      <c r="C521" s="304"/>
      <c r="D521" s="310"/>
      <c r="E521" s="307"/>
      <c r="F521" s="307"/>
    </row>
    <row r="522">
      <c r="A522" s="304"/>
      <c r="B522" s="304"/>
      <c r="C522" s="304"/>
      <c r="D522" s="310"/>
      <c r="E522" s="307"/>
      <c r="F522" s="307"/>
    </row>
    <row r="523">
      <c r="A523" s="304"/>
      <c r="B523" s="304"/>
      <c r="C523" s="304"/>
      <c r="D523" s="310"/>
      <c r="E523" s="307"/>
      <c r="F523" s="307"/>
    </row>
    <row r="524">
      <c r="A524" s="304"/>
      <c r="B524" s="304"/>
      <c r="C524" s="304"/>
      <c r="D524" s="310"/>
      <c r="E524" s="307"/>
      <c r="F524" s="307"/>
    </row>
    <row r="525">
      <c r="A525" s="304"/>
      <c r="B525" s="304"/>
      <c r="C525" s="304"/>
      <c r="D525" s="310"/>
      <c r="E525" s="307"/>
      <c r="F525" s="307"/>
    </row>
    <row r="526">
      <c r="A526" s="304"/>
      <c r="B526" s="304"/>
      <c r="C526" s="304"/>
      <c r="D526" s="310"/>
      <c r="E526" s="307"/>
      <c r="F526" s="307"/>
    </row>
    <row r="527">
      <c r="A527" s="304"/>
      <c r="B527" s="304"/>
      <c r="C527" s="304"/>
      <c r="D527" s="310"/>
      <c r="E527" s="307"/>
      <c r="F527" s="307"/>
    </row>
    <row r="528">
      <c r="A528" s="304"/>
      <c r="B528" s="304"/>
      <c r="C528" s="304"/>
      <c r="D528" s="310"/>
      <c r="E528" s="307"/>
      <c r="F528" s="307"/>
    </row>
    <row r="529">
      <c r="A529" s="304"/>
      <c r="B529" s="304"/>
      <c r="C529" s="304"/>
      <c r="D529" s="310"/>
      <c r="E529" s="307"/>
      <c r="F529" s="307"/>
    </row>
    <row r="530">
      <c r="A530" s="304"/>
      <c r="B530" s="304"/>
      <c r="C530" s="304"/>
      <c r="D530" s="310"/>
      <c r="E530" s="307"/>
      <c r="F530" s="307"/>
    </row>
    <row r="531">
      <c r="A531" s="304"/>
      <c r="B531" s="304"/>
      <c r="C531" s="304"/>
      <c r="D531" s="310"/>
      <c r="E531" s="307"/>
      <c r="F531" s="307"/>
    </row>
    <row r="532">
      <c r="A532" s="304"/>
      <c r="B532" s="304"/>
      <c r="C532" s="304"/>
      <c r="D532" s="310"/>
      <c r="E532" s="307"/>
      <c r="F532" s="307"/>
    </row>
    <row r="533">
      <c r="A533" s="304"/>
      <c r="B533" s="304"/>
      <c r="C533" s="304"/>
      <c r="D533" s="310"/>
      <c r="E533" s="307"/>
      <c r="F533" s="307"/>
    </row>
    <row r="534">
      <c r="A534" s="304"/>
      <c r="B534" s="304"/>
      <c r="C534" s="304"/>
      <c r="D534" s="310"/>
      <c r="E534" s="307"/>
      <c r="F534" s="307"/>
    </row>
    <row r="535">
      <c r="A535" s="304"/>
      <c r="B535" s="304"/>
      <c r="C535" s="304"/>
      <c r="D535" s="310"/>
      <c r="E535" s="307"/>
      <c r="F535" s="307"/>
    </row>
    <row r="536">
      <c r="A536" s="304"/>
      <c r="B536" s="304"/>
      <c r="C536" s="304"/>
      <c r="D536" s="310"/>
      <c r="E536" s="307"/>
      <c r="F536" s="307"/>
    </row>
    <row r="537">
      <c r="A537" s="304"/>
      <c r="B537" s="304"/>
      <c r="C537" s="304"/>
      <c r="D537" s="310"/>
      <c r="E537" s="307"/>
      <c r="F537" s="307"/>
    </row>
    <row r="538">
      <c r="A538" s="304"/>
      <c r="B538" s="304"/>
      <c r="C538" s="304"/>
      <c r="D538" s="310"/>
      <c r="E538" s="307"/>
      <c r="F538" s="307"/>
    </row>
    <row r="539">
      <c r="A539" s="304"/>
      <c r="B539" s="304"/>
      <c r="C539" s="304"/>
      <c r="D539" s="310"/>
      <c r="E539" s="307"/>
      <c r="F539" s="307"/>
    </row>
    <row r="540">
      <c r="A540" s="304"/>
      <c r="B540" s="304"/>
      <c r="C540" s="304"/>
      <c r="D540" s="310"/>
      <c r="E540" s="307"/>
      <c r="F540" s="307"/>
    </row>
    <row r="541">
      <c r="A541" s="304"/>
      <c r="B541" s="304"/>
      <c r="C541" s="304"/>
      <c r="D541" s="310"/>
      <c r="E541" s="307"/>
      <c r="F541" s="307"/>
    </row>
    <row r="542">
      <c r="A542" s="304"/>
      <c r="B542" s="304"/>
      <c r="C542" s="304"/>
      <c r="D542" s="310"/>
      <c r="E542" s="307"/>
      <c r="F542" s="307"/>
    </row>
    <row r="543">
      <c r="A543" s="304"/>
      <c r="B543" s="304"/>
      <c r="C543" s="304"/>
      <c r="D543" s="310"/>
      <c r="E543" s="307"/>
      <c r="F543" s="307"/>
    </row>
    <row r="544">
      <c r="A544" s="304"/>
      <c r="B544" s="304"/>
      <c r="C544" s="304"/>
      <c r="D544" s="310"/>
      <c r="E544" s="307"/>
      <c r="F544" s="307"/>
    </row>
    <row r="545">
      <c r="A545" s="304"/>
      <c r="B545" s="304"/>
      <c r="C545" s="304"/>
      <c r="D545" s="310"/>
      <c r="E545" s="307"/>
      <c r="F545" s="307"/>
    </row>
    <row r="546">
      <c r="A546" s="304"/>
      <c r="B546" s="304"/>
      <c r="C546" s="304"/>
      <c r="D546" s="310"/>
      <c r="E546" s="307"/>
      <c r="F546" s="307"/>
    </row>
    <row r="547">
      <c r="A547" s="304"/>
      <c r="B547" s="304"/>
      <c r="C547" s="304"/>
      <c r="D547" s="310"/>
      <c r="E547" s="307"/>
      <c r="F547" s="307"/>
    </row>
    <row r="548">
      <c r="A548" s="304"/>
      <c r="B548" s="304"/>
      <c r="C548" s="304"/>
      <c r="D548" s="310"/>
      <c r="E548" s="307"/>
      <c r="F548" s="307"/>
    </row>
    <row r="549">
      <c r="A549" s="304"/>
      <c r="B549" s="304"/>
      <c r="C549" s="304"/>
      <c r="D549" s="310"/>
      <c r="E549" s="307"/>
      <c r="F549" s="307"/>
    </row>
    <row r="550">
      <c r="A550" s="304"/>
      <c r="B550" s="304"/>
      <c r="C550" s="304"/>
      <c r="D550" s="310"/>
      <c r="E550" s="307"/>
      <c r="F550" s="307"/>
    </row>
    <row r="551">
      <c r="A551" s="304"/>
      <c r="B551" s="304"/>
      <c r="C551" s="304"/>
      <c r="D551" s="310"/>
      <c r="E551" s="307"/>
      <c r="F551" s="307"/>
    </row>
    <row r="552">
      <c r="A552" s="304"/>
      <c r="B552" s="304"/>
      <c r="C552" s="304"/>
      <c r="D552" s="310"/>
      <c r="E552" s="307"/>
      <c r="F552" s="307"/>
    </row>
    <row r="553">
      <c r="A553" s="304"/>
      <c r="B553" s="304"/>
      <c r="C553" s="304"/>
      <c r="D553" s="310"/>
      <c r="E553" s="307"/>
      <c r="F553" s="307"/>
    </row>
    <row r="554">
      <c r="A554" s="304"/>
      <c r="B554" s="304"/>
      <c r="C554" s="304"/>
      <c r="D554" s="310"/>
      <c r="E554" s="307"/>
      <c r="F554" s="307"/>
    </row>
    <row r="555">
      <c r="A555" s="304"/>
      <c r="B555" s="304"/>
      <c r="C555" s="304"/>
      <c r="D555" s="310"/>
      <c r="E555" s="307"/>
      <c r="F555" s="307"/>
    </row>
    <row r="556">
      <c r="A556" s="304"/>
      <c r="B556" s="304"/>
      <c r="C556" s="304"/>
      <c r="D556" s="310"/>
      <c r="E556" s="307"/>
      <c r="F556" s="307"/>
    </row>
    <row r="557">
      <c r="A557" s="304"/>
      <c r="B557" s="304"/>
      <c r="C557" s="304"/>
      <c r="D557" s="310"/>
      <c r="E557" s="307"/>
      <c r="F557" s="307"/>
    </row>
    <row r="558">
      <c r="A558" s="304"/>
      <c r="B558" s="304"/>
      <c r="C558" s="304"/>
      <c r="D558" s="310"/>
      <c r="E558" s="307"/>
      <c r="F558" s="307"/>
    </row>
    <row r="559">
      <c r="A559" s="304"/>
      <c r="B559" s="304"/>
      <c r="C559" s="304"/>
      <c r="D559" s="310"/>
      <c r="E559" s="307"/>
      <c r="F559" s="307"/>
    </row>
    <row r="560">
      <c r="A560" s="304"/>
      <c r="B560" s="304"/>
      <c r="C560" s="304"/>
      <c r="D560" s="310"/>
      <c r="E560" s="307"/>
      <c r="F560" s="307"/>
    </row>
    <row r="561">
      <c r="A561" s="304"/>
      <c r="B561" s="304"/>
      <c r="C561" s="304"/>
      <c r="D561" s="310"/>
      <c r="E561" s="307"/>
      <c r="F561" s="307"/>
    </row>
    <row r="562">
      <c r="A562" s="304"/>
      <c r="B562" s="304"/>
      <c r="C562" s="304"/>
      <c r="D562" s="310"/>
      <c r="E562" s="307"/>
      <c r="F562" s="307"/>
    </row>
    <row r="563">
      <c r="A563" s="304"/>
      <c r="B563" s="304"/>
      <c r="C563" s="304"/>
      <c r="D563" s="310"/>
      <c r="E563" s="307"/>
      <c r="F563" s="307"/>
    </row>
    <row r="564">
      <c r="A564" s="304"/>
      <c r="B564" s="304"/>
      <c r="C564" s="304"/>
      <c r="D564" s="310"/>
      <c r="E564" s="307"/>
      <c r="F564" s="307"/>
    </row>
    <row r="565">
      <c r="A565" s="304"/>
      <c r="B565" s="304"/>
      <c r="C565" s="304"/>
      <c r="D565" s="310"/>
      <c r="E565" s="307"/>
      <c r="F565" s="307"/>
    </row>
    <row r="566">
      <c r="A566" s="304"/>
      <c r="B566" s="304"/>
      <c r="C566" s="304"/>
      <c r="D566" s="310"/>
      <c r="E566" s="307"/>
      <c r="F566" s="307"/>
    </row>
    <row r="567">
      <c r="A567" s="304"/>
      <c r="B567" s="304"/>
      <c r="C567" s="304"/>
      <c r="D567" s="310"/>
      <c r="E567" s="307"/>
      <c r="F567" s="307"/>
    </row>
    <row r="568">
      <c r="A568" s="304"/>
      <c r="B568" s="304"/>
      <c r="C568" s="304"/>
      <c r="D568" s="310"/>
      <c r="E568" s="307"/>
      <c r="F568" s="307"/>
    </row>
    <row r="569">
      <c r="A569" s="304"/>
      <c r="B569" s="304"/>
      <c r="C569" s="304"/>
      <c r="D569" s="310"/>
      <c r="E569" s="307"/>
      <c r="F569" s="307"/>
    </row>
    <row r="570">
      <c r="A570" s="304"/>
      <c r="B570" s="304"/>
      <c r="C570" s="304"/>
      <c r="D570" s="310"/>
      <c r="E570" s="307"/>
      <c r="F570" s="307"/>
    </row>
    <row r="571">
      <c r="A571" s="304"/>
      <c r="B571" s="304"/>
      <c r="C571" s="304"/>
      <c r="D571" s="310"/>
      <c r="E571" s="307"/>
      <c r="F571" s="307"/>
    </row>
    <row r="572">
      <c r="A572" s="304"/>
      <c r="B572" s="304"/>
      <c r="C572" s="304"/>
      <c r="D572" s="310"/>
      <c r="E572" s="307"/>
      <c r="F572" s="307"/>
    </row>
    <row r="573">
      <c r="A573" s="304"/>
      <c r="B573" s="304"/>
      <c r="C573" s="304"/>
      <c r="D573" s="310"/>
      <c r="E573" s="307"/>
      <c r="F573" s="307"/>
    </row>
    <row r="574">
      <c r="A574" s="304"/>
      <c r="B574" s="304"/>
      <c r="C574" s="304"/>
      <c r="D574" s="310"/>
      <c r="E574" s="307"/>
      <c r="F574" s="307"/>
    </row>
    <row r="575">
      <c r="A575" s="304"/>
      <c r="B575" s="304"/>
      <c r="C575" s="304"/>
      <c r="D575" s="310"/>
      <c r="E575" s="307"/>
      <c r="F575" s="307"/>
    </row>
    <row r="576">
      <c r="A576" s="304"/>
      <c r="B576" s="304"/>
      <c r="C576" s="304"/>
      <c r="D576" s="310"/>
      <c r="E576" s="307"/>
      <c r="F576" s="307"/>
    </row>
    <row r="577">
      <c r="A577" s="304"/>
      <c r="B577" s="304"/>
      <c r="C577" s="304"/>
      <c r="D577" s="310"/>
      <c r="E577" s="307"/>
      <c r="F577" s="307"/>
    </row>
    <row r="578">
      <c r="A578" s="304"/>
      <c r="B578" s="304"/>
      <c r="C578" s="304"/>
      <c r="D578" s="310"/>
      <c r="E578" s="307"/>
      <c r="F578" s="307"/>
    </row>
    <row r="579">
      <c r="A579" s="304"/>
      <c r="B579" s="304"/>
      <c r="C579" s="304"/>
      <c r="D579" s="310"/>
      <c r="E579" s="307"/>
      <c r="F579" s="307"/>
    </row>
    <row r="580">
      <c r="A580" s="304"/>
      <c r="B580" s="304"/>
      <c r="C580" s="304"/>
      <c r="D580" s="310"/>
      <c r="E580" s="307"/>
      <c r="F580" s="307"/>
    </row>
    <row r="581">
      <c r="A581" s="304"/>
      <c r="B581" s="304"/>
      <c r="C581" s="304"/>
      <c r="D581" s="310"/>
      <c r="E581" s="307"/>
      <c r="F581" s="307"/>
    </row>
    <row r="582">
      <c r="A582" s="304"/>
      <c r="B582" s="304"/>
      <c r="C582" s="304"/>
      <c r="D582" s="310"/>
      <c r="E582" s="307"/>
      <c r="F582" s="307"/>
    </row>
    <row r="583">
      <c r="A583" s="304"/>
      <c r="B583" s="304"/>
      <c r="C583" s="304"/>
      <c r="D583" s="310"/>
      <c r="E583" s="307"/>
      <c r="F583" s="307"/>
    </row>
    <row r="584">
      <c r="A584" s="304"/>
      <c r="B584" s="304"/>
      <c r="C584" s="304"/>
      <c r="D584" s="310"/>
      <c r="E584" s="307"/>
      <c r="F584" s="307"/>
    </row>
    <row r="585">
      <c r="A585" s="304"/>
      <c r="B585" s="304"/>
      <c r="C585" s="304"/>
      <c r="D585" s="310"/>
      <c r="E585" s="307"/>
      <c r="F585" s="307"/>
    </row>
    <row r="586">
      <c r="A586" s="304"/>
      <c r="B586" s="304"/>
      <c r="C586" s="304"/>
      <c r="D586" s="310"/>
      <c r="E586" s="307"/>
      <c r="F586" s="307"/>
    </row>
    <row r="587">
      <c r="A587" s="304"/>
      <c r="B587" s="304"/>
      <c r="C587" s="304"/>
      <c r="D587" s="310"/>
      <c r="E587" s="307"/>
      <c r="F587" s="307"/>
    </row>
    <row r="588">
      <c r="A588" s="304"/>
      <c r="B588" s="304"/>
      <c r="C588" s="304"/>
      <c r="D588" s="310"/>
      <c r="E588" s="307"/>
      <c r="F588" s="307"/>
    </row>
    <row r="589">
      <c r="A589" s="304"/>
      <c r="B589" s="304"/>
      <c r="C589" s="304"/>
      <c r="D589" s="310"/>
      <c r="E589" s="307"/>
      <c r="F589" s="307"/>
    </row>
    <row r="590">
      <c r="A590" s="304"/>
      <c r="B590" s="304"/>
      <c r="C590" s="304"/>
      <c r="D590" s="310"/>
      <c r="E590" s="307"/>
      <c r="F590" s="307"/>
    </row>
    <row r="591">
      <c r="A591" s="304"/>
      <c r="B591" s="304"/>
      <c r="C591" s="304"/>
      <c r="D591" s="310"/>
      <c r="E591" s="307"/>
      <c r="F591" s="307"/>
    </row>
    <row r="592">
      <c r="A592" s="304"/>
      <c r="B592" s="304"/>
      <c r="C592" s="304"/>
      <c r="D592" s="310"/>
      <c r="E592" s="307"/>
      <c r="F592" s="307"/>
    </row>
    <row r="593">
      <c r="A593" s="304"/>
      <c r="B593" s="304"/>
      <c r="C593" s="304"/>
      <c r="D593" s="310"/>
      <c r="E593" s="307"/>
      <c r="F593" s="307"/>
    </row>
    <row r="594">
      <c r="A594" s="304"/>
      <c r="B594" s="304"/>
      <c r="C594" s="304"/>
      <c r="D594" s="310"/>
      <c r="E594" s="307"/>
      <c r="F594" s="307"/>
    </row>
    <row r="595">
      <c r="A595" s="304"/>
      <c r="B595" s="304"/>
      <c r="C595" s="304"/>
      <c r="D595" s="310"/>
      <c r="E595" s="307"/>
      <c r="F595" s="307"/>
    </row>
    <row r="596">
      <c r="A596" s="304"/>
      <c r="B596" s="304"/>
      <c r="C596" s="304"/>
      <c r="D596" s="310"/>
      <c r="E596" s="307"/>
      <c r="F596" s="307"/>
    </row>
    <row r="597">
      <c r="A597" s="304"/>
      <c r="B597" s="304"/>
      <c r="C597" s="304"/>
      <c r="D597" s="310"/>
      <c r="E597" s="307"/>
      <c r="F597" s="307"/>
    </row>
    <row r="598">
      <c r="A598" s="304"/>
      <c r="B598" s="304"/>
      <c r="C598" s="304"/>
      <c r="D598" s="310"/>
      <c r="E598" s="307"/>
      <c r="F598" s="307"/>
    </row>
    <row r="599">
      <c r="A599" s="304"/>
      <c r="B599" s="304"/>
      <c r="C599" s="304"/>
      <c r="D599" s="310"/>
      <c r="E599" s="307"/>
      <c r="F599" s="307"/>
    </row>
    <row r="600">
      <c r="A600" s="304"/>
      <c r="B600" s="304"/>
      <c r="C600" s="304"/>
      <c r="D600" s="310"/>
      <c r="E600" s="307"/>
      <c r="F600" s="307"/>
    </row>
    <row r="601">
      <c r="A601" s="304"/>
      <c r="B601" s="304"/>
      <c r="C601" s="304"/>
      <c r="D601" s="310"/>
      <c r="E601" s="307"/>
      <c r="F601" s="307"/>
    </row>
    <row r="602">
      <c r="A602" s="304"/>
      <c r="B602" s="304"/>
      <c r="C602" s="304"/>
      <c r="D602" s="310"/>
      <c r="E602" s="307"/>
      <c r="F602" s="307"/>
    </row>
    <row r="603">
      <c r="A603" s="304"/>
      <c r="B603" s="304"/>
      <c r="C603" s="304"/>
      <c r="D603" s="310"/>
      <c r="E603" s="307"/>
      <c r="F603" s="307"/>
    </row>
    <row r="604">
      <c r="A604" s="304"/>
      <c r="B604" s="304"/>
      <c r="C604" s="304"/>
      <c r="D604" s="310"/>
      <c r="E604" s="307"/>
      <c r="F604" s="307"/>
    </row>
    <row r="605">
      <c r="A605" s="304"/>
      <c r="B605" s="304"/>
      <c r="C605" s="304"/>
      <c r="D605" s="310"/>
      <c r="E605" s="307"/>
      <c r="F605" s="307"/>
    </row>
    <row r="606">
      <c r="A606" s="304"/>
      <c r="B606" s="304"/>
      <c r="C606" s="304"/>
      <c r="D606" s="310"/>
      <c r="E606" s="307"/>
      <c r="F606" s="307"/>
    </row>
    <row r="607">
      <c r="A607" s="304"/>
      <c r="B607" s="304"/>
      <c r="C607" s="304"/>
      <c r="D607" s="310"/>
      <c r="E607" s="307"/>
      <c r="F607" s="307"/>
    </row>
    <row r="608">
      <c r="A608" s="304"/>
      <c r="B608" s="304"/>
      <c r="C608" s="304"/>
      <c r="D608" s="310"/>
      <c r="E608" s="307"/>
      <c r="F608" s="307"/>
    </row>
    <row r="609">
      <c r="A609" s="304"/>
      <c r="B609" s="304"/>
      <c r="C609" s="304"/>
      <c r="D609" s="310"/>
      <c r="E609" s="307"/>
      <c r="F609" s="307"/>
    </row>
    <row r="610">
      <c r="A610" s="304"/>
      <c r="B610" s="304"/>
      <c r="C610" s="304"/>
      <c r="D610" s="310"/>
      <c r="E610" s="307"/>
      <c r="F610" s="307"/>
    </row>
    <row r="611">
      <c r="A611" s="304"/>
      <c r="B611" s="304"/>
      <c r="C611" s="304"/>
      <c r="D611" s="310"/>
      <c r="E611" s="307"/>
      <c r="F611" s="307"/>
    </row>
    <row r="612">
      <c r="A612" s="304"/>
      <c r="B612" s="304"/>
      <c r="C612" s="304"/>
      <c r="D612" s="310"/>
      <c r="E612" s="307"/>
      <c r="F612" s="307"/>
    </row>
    <row r="613">
      <c r="A613" s="304"/>
      <c r="B613" s="304"/>
      <c r="C613" s="304"/>
      <c r="D613" s="310"/>
      <c r="E613" s="307"/>
      <c r="F613" s="307"/>
    </row>
    <row r="614">
      <c r="A614" s="304"/>
      <c r="B614" s="304"/>
      <c r="C614" s="304"/>
      <c r="D614" s="310"/>
      <c r="E614" s="307"/>
      <c r="F614" s="307"/>
    </row>
    <row r="615">
      <c r="A615" s="304"/>
      <c r="B615" s="304"/>
      <c r="C615" s="304"/>
      <c r="D615" s="310"/>
      <c r="E615" s="307"/>
      <c r="F615" s="307"/>
    </row>
    <row r="616">
      <c r="A616" s="304"/>
      <c r="B616" s="304"/>
      <c r="C616" s="304"/>
      <c r="D616" s="310"/>
      <c r="E616" s="307"/>
      <c r="F616" s="307"/>
    </row>
    <row r="617">
      <c r="A617" s="304"/>
      <c r="B617" s="304"/>
      <c r="C617" s="304"/>
      <c r="D617" s="310"/>
      <c r="E617" s="307"/>
      <c r="F617" s="307"/>
    </row>
    <row r="618">
      <c r="A618" s="304"/>
      <c r="B618" s="304"/>
      <c r="C618" s="304"/>
      <c r="D618" s="310"/>
      <c r="E618" s="307"/>
      <c r="F618" s="307"/>
    </row>
    <row r="619">
      <c r="A619" s="304"/>
      <c r="B619" s="304"/>
      <c r="C619" s="304"/>
      <c r="D619" s="310"/>
      <c r="E619" s="307"/>
      <c r="F619" s="307"/>
    </row>
    <row r="620">
      <c r="A620" s="304"/>
      <c r="B620" s="304"/>
      <c r="C620" s="304"/>
      <c r="D620" s="310"/>
      <c r="E620" s="307"/>
      <c r="F620" s="307"/>
    </row>
    <row r="621">
      <c r="A621" s="304"/>
      <c r="B621" s="304"/>
      <c r="C621" s="304"/>
      <c r="D621" s="310"/>
      <c r="E621" s="307"/>
      <c r="F621" s="307"/>
    </row>
    <row r="622">
      <c r="A622" s="304"/>
      <c r="B622" s="304"/>
      <c r="C622" s="304"/>
      <c r="D622" s="310"/>
      <c r="E622" s="307"/>
      <c r="F622" s="307"/>
    </row>
    <row r="623">
      <c r="A623" s="304"/>
      <c r="B623" s="304"/>
      <c r="C623" s="304"/>
      <c r="D623" s="310"/>
      <c r="E623" s="307"/>
      <c r="F623" s="307"/>
    </row>
    <row r="624">
      <c r="A624" s="304"/>
      <c r="B624" s="304"/>
      <c r="C624" s="304"/>
      <c r="D624" s="310"/>
      <c r="E624" s="307"/>
      <c r="F624" s="307"/>
    </row>
    <row r="625">
      <c r="A625" s="304"/>
      <c r="B625" s="304"/>
      <c r="C625" s="304"/>
      <c r="D625" s="310"/>
      <c r="E625" s="307"/>
      <c r="F625" s="307"/>
    </row>
    <row r="626">
      <c r="A626" s="304"/>
      <c r="B626" s="304"/>
      <c r="C626" s="304"/>
      <c r="D626" s="310"/>
      <c r="E626" s="307"/>
      <c r="F626" s="307"/>
    </row>
    <row r="627">
      <c r="A627" s="304"/>
      <c r="B627" s="304"/>
      <c r="C627" s="304"/>
      <c r="D627" s="310"/>
      <c r="E627" s="307"/>
      <c r="F627" s="307"/>
    </row>
    <row r="628">
      <c r="A628" s="304"/>
      <c r="B628" s="304"/>
      <c r="C628" s="304"/>
      <c r="D628" s="310"/>
      <c r="E628" s="307"/>
      <c r="F628" s="307"/>
    </row>
    <row r="629">
      <c r="A629" s="304"/>
      <c r="B629" s="304"/>
      <c r="C629" s="304"/>
      <c r="D629" s="310"/>
      <c r="E629" s="307"/>
      <c r="F629" s="307"/>
    </row>
    <row r="630">
      <c r="A630" s="304"/>
      <c r="B630" s="304"/>
      <c r="C630" s="304"/>
      <c r="D630" s="310"/>
      <c r="E630" s="307"/>
      <c r="F630" s="307"/>
    </row>
    <row r="631">
      <c r="A631" s="304"/>
      <c r="B631" s="304"/>
      <c r="C631" s="304"/>
      <c r="D631" s="310"/>
      <c r="E631" s="307"/>
      <c r="F631" s="307"/>
    </row>
    <row r="632">
      <c r="A632" s="304"/>
      <c r="B632" s="304"/>
      <c r="C632" s="304"/>
      <c r="D632" s="310"/>
      <c r="E632" s="307"/>
      <c r="F632" s="307"/>
    </row>
    <row r="633">
      <c r="A633" s="304"/>
      <c r="B633" s="304"/>
      <c r="C633" s="304"/>
      <c r="D633" s="310"/>
      <c r="E633" s="307"/>
      <c r="F633" s="307"/>
    </row>
    <row r="634">
      <c r="A634" s="304"/>
      <c r="B634" s="304"/>
      <c r="C634" s="304"/>
      <c r="D634" s="310"/>
      <c r="E634" s="307"/>
      <c r="F634" s="307"/>
    </row>
    <row r="635">
      <c r="A635" s="304"/>
      <c r="B635" s="304"/>
      <c r="C635" s="304"/>
      <c r="D635" s="310"/>
      <c r="E635" s="307"/>
      <c r="F635" s="307"/>
    </row>
    <row r="636">
      <c r="A636" s="304"/>
      <c r="B636" s="304"/>
      <c r="C636" s="304"/>
      <c r="D636" s="310"/>
      <c r="E636" s="307"/>
      <c r="F636" s="307"/>
    </row>
    <row r="637">
      <c r="A637" s="304"/>
      <c r="B637" s="304"/>
      <c r="C637" s="304"/>
      <c r="D637" s="310"/>
      <c r="E637" s="307"/>
      <c r="F637" s="307"/>
    </row>
    <row r="638">
      <c r="A638" s="304"/>
      <c r="B638" s="304"/>
      <c r="C638" s="304"/>
      <c r="D638" s="310"/>
      <c r="E638" s="307"/>
      <c r="F638" s="307"/>
    </row>
    <row r="639">
      <c r="A639" s="304"/>
      <c r="B639" s="304"/>
      <c r="C639" s="304"/>
      <c r="D639" s="310"/>
      <c r="E639" s="307"/>
      <c r="F639" s="307"/>
    </row>
    <row r="640">
      <c r="A640" s="304"/>
      <c r="B640" s="304"/>
      <c r="C640" s="304"/>
      <c r="D640" s="310"/>
      <c r="E640" s="307"/>
      <c r="F640" s="307"/>
    </row>
    <row r="641">
      <c r="A641" s="304"/>
      <c r="B641" s="304"/>
      <c r="C641" s="304"/>
      <c r="D641" s="310"/>
      <c r="E641" s="307"/>
      <c r="F641" s="307"/>
    </row>
    <row r="642">
      <c r="A642" s="304"/>
      <c r="B642" s="304"/>
      <c r="C642" s="304"/>
      <c r="D642" s="310"/>
      <c r="E642" s="307"/>
      <c r="F642" s="307"/>
    </row>
    <row r="643">
      <c r="A643" s="304"/>
      <c r="B643" s="304"/>
      <c r="C643" s="304"/>
      <c r="D643" s="310"/>
      <c r="E643" s="307"/>
      <c r="F643" s="307"/>
    </row>
    <row r="644">
      <c r="A644" s="304"/>
      <c r="B644" s="304"/>
      <c r="C644" s="304"/>
      <c r="D644" s="310"/>
      <c r="E644" s="307"/>
      <c r="F644" s="307"/>
    </row>
    <row r="645">
      <c r="A645" s="304"/>
      <c r="B645" s="304"/>
      <c r="C645" s="304"/>
      <c r="D645" s="310"/>
      <c r="E645" s="307"/>
      <c r="F645" s="307"/>
    </row>
    <row r="646">
      <c r="A646" s="304"/>
      <c r="B646" s="304"/>
      <c r="C646" s="304"/>
      <c r="D646" s="310"/>
      <c r="E646" s="307"/>
      <c r="F646" s="307"/>
    </row>
    <row r="647">
      <c r="A647" s="304"/>
      <c r="B647" s="304"/>
      <c r="C647" s="304"/>
      <c r="D647" s="310"/>
      <c r="E647" s="307"/>
      <c r="F647" s="307"/>
    </row>
    <row r="648">
      <c r="A648" s="304"/>
      <c r="B648" s="304"/>
      <c r="C648" s="304"/>
      <c r="D648" s="310"/>
      <c r="E648" s="307"/>
      <c r="F648" s="307"/>
    </row>
    <row r="649">
      <c r="A649" s="304"/>
      <c r="B649" s="304"/>
      <c r="C649" s="304"/>
      <c r="D649" s="310"/>
      <c r="E649" s="307"/>
      <c r="F649" s="307"/>
    </row>
    <row r="650">
      <c r="A650" s="304"/>
      <c r="B650" s="304"/>
      <c r="C650" s="304"/>
      <c r="D650" s="310"/>
      <c r="E650" s="307"/>
      <c r="F650" s="307"/>
    </row>
    <row r="651">
      <c r="A651" s="304"/>
      <c r="B651" s="304"/>
      <c r="C651" s="304"/>
      <c r="D651" s="310"/>
      <c r="E651" s="307"/>
      <c r="F651" s="307"/>
    </row>
    <row r="652">
      <c r="A652" s="304"/>
      <c r="B652" s="304"/>
      <c r="C652" s="304"/>
      <c r="D652" s="310"/>
      <c r="E652" s="307"/>
      <c r="F652" s="307"/>
    </row>
    <row r="653">
      <c r="A653" s="304"/>
      <c r="B653" s="304"/>
      <c r="C653" s="304"/>
      <c r="D653" s="310"/>
      <c r="E653" s="307"/>
      <c r="F653" s="307"/>
    </row>
    <row r="654">
      <c r="A654" s="304"/>
      <c r="B654" s="304"/>
      <c r="C654" s="304"/>
      <c r="D654" s="310"/>
      <c r="E654" s="307"/>
      <c r="F654" s="307"/>
    </row>
    <row r="655">
      <c r="A655" s="304"/>
      <c r="B655" s="304"/>
      <c r="C655" s="304"/>
      <c r="D655" s="310"/>
      <c r="E655" s="307"/>
      <c r="F655" s="307"/>
    </row>
    <row r="656">
      <c r="A656" s="304"/>
      <c r="B656" s="304"/>
      <c r="C656" s="304"/>
      <c r="D656" s="310"/>
      <c r="E656" s="307"/>
      <c r="F656" s="307"/>
    </row>
    <row r="657">
      <c r="A657" s="304"/>
      <c r="B657" s="304"/>
      <c r="C657" s="304"/>
      <c r="D657" s="310"/>
      <c r="E657" s="307"/>
      <c r="F657" s="307"/>
    </row>
    <row r="658">
      <c r="A658" s="304"/>
      <c r="B658" s="304"/>
      <c r="C658" s="304"/>
      <c r="D658" s="310"/>
      <c r="E658" s="307"/>
      <c r="F658" s="307"/>
    </row>
    <row r="659">
      <c r="A659" s="304"/>
      <c r="B659" s="304"/>
      <c r="C659" s="304"/>
      <c r="D659" s="310"/>
      <c r="E659" s="307"/>
      <c r="F659" s="307"/>
    </row>
    <row r="660">
      <c r="A660" s="304"/>
      <c r="B660" s="304"/>
      <c r="C660" s="304"/>
      <c r="D660" s="310"/>
      <c r="E660" s="307"/>
      <c r="F660" s="307"/>
    </row>
    <row r="661">
      <c r="A661" s="304"/>
      <c r="B661" s="304"/>
      <c r="C661" s="304"/>
      <c r="D661" s="310"/>
      <c r="E661" s="307"/>
      <c r="F661" s="307"/>
    </row>
    <row r="662">
      <c r="A662" s="304"/>
      <c r="B662" s="304"/>
      <c r="C662" s="304"/>
      <c r="D662" s="310"/>
      <c r="E662" s="307"/>
      <c r="F662" s="307"/>
    </row>
    <row r="663">
      <c r="A663" s="304"/>
      <c r="B663" s="304"/>
      <c r="C663" s="304"/>
      <c r="D663" s="310"/>
      <c r="E663" s="307"/>
      <c r="F663" s="307"/>
    </row>
    <row r="664">
      <c r="A664" s="304"/>
      <c r="B664" s="304"/>
      <c r="C664" s="304"/>
      <c r="D664" s="310"/>
      <c r="E664" s="307"/>
      <c r="F664" s="307"/>
    </row>
    <row r="665">
      <c r="A665" s="304"/>
      <c r="B665" s="304"/>
      <c r="C665" s="304"/>
      <c r="D665" s="310"/>
      <c r="E665" s="307"/>
      <c r="F665" s="307"/>
    </row>
    <row r="666">
      <c r="A666" s="304"/>
      <c r="B666" s="304"/>
      <c r="C666" s="304"/>
      <c r="D666" s="310"/>
      <c r="E666" s="307"/>
      <c r="F666" s="307"/>
    </row>
    <row r="667">
      <c r="A667" s="304"/>
      <c r="B667" s="304"/>
      <c r="C667" s="304"/>
      <c r="D667" s="310"/>
      <c r="E667" s="307"/>
      <c r="F667" s="307"/>
    </row>
    <row r="668">
      <c r="A668" s="304"/>
      <c r="B668" s="304"/>
      <c r="C668" s="304"/>
      <c r="D668" s="310"/>
      <c r="E668" s="307"/>
      <c r="F668" s="307"/>
    </row>
    <row r="669">
      <c r="A669" s="304"/>
      <c r="B669" s="304"/>
      <c r="C669" s="304"/>
      <c r="D669" s="310"/>
      <c r="E669" s="307"/>
      <c r="F669" s="307"/>
    </row>
    <row r="670">
      <c r="A670" s="304"/>
      <c r="B670" s="304"/>
      <c r="C670" s="304"/>
      <c r="D670" s="310"/>
      <c r="E670" s="307"/>
      <c r="F670" s="307"/>
    </row>
    <row r="671">
      <c r="A671" s="304"/>
      <c r="B671" s="304"/>
      <c r="C671" s="304"/>
      <c r="D671" s="310"/>
      <c r="E671" s="307"/>
      <c r="F671" s="307"/>
    </row>
    <row r="672">
      <c r="A672" s="304"/>
      <c r="B672" s="304"/>
      <c r="C672" s="304"/>
      <c r="D672" s="310"/>
      <c r="E672" s="307"/>
      <c r="F672" s="307"/>
    </row>
    <row r="673">
      <c r="A673" s="304"/>
      <c r="B673" s="304"/>
      <c r="C673" s="304"/>
      <c r="D673" s="310"/>
      <c r="E673" s="307"/>
      <c r="F673" s="307"/>
    </row>
    <row r="674">
      <c r="A674" s="304"/>
      <c r="B674" s="304"/>
      <c r="C674" s="304"/>
      <c r="D674" s="310"/>
      <c r="E674" s="307"/>
      <c r="F674" s="307"/>
    </row>
    <row r="675">
      <c r="A675" s="304"/>
      <c r="B675" s="304"/>
      <c r="C675" s="304"/>
      <c r="D675" s="310"/>
      <c r="E675" s="307"/>
      <c r="F675" s="307"/>
    </row>
    <row r="676">
      <c r="A676" s="304"/>
      <c r="B676" s="304"/>
      <c r="C676" s="304"/>
      <c r="D676" s="310"/>
      <c r="E676" s="307"/>
      <c r="F676" s="307"/>
    </row>
    <row r="677">
      <c r="A677" s="304"/>
      <c r="B677" s="304"/>
      <c r="C677" s="304"/>
      <c r="D677" s="310"/>
      <c r="E677" s="307"/>
      <c r="F677" s="307"/>
    </row>
    <row r="678">
      <c r="A678" s="304"/>
      <c r="B678" s="304"/>
      <c r="C678" s="304"/>
      <c r="D678" s="310"/>
      <c r="E678" s="307"/>
      <c r="F678" s="307"/>
    </row>
    <row r="679">
      <c r="A679" s="304"/>
      <c r="B679" s="304"/>
      <c r="C679" s="304"/>
      <c r="D679" s="310"/>
      <c r="E679" s="307"/>
      <c r="F679" s="307"/>
    </row>
    <row r="680">
      <c r="A680" s="304"/>
      <c r="B680" s="304"/>
      <c r="C680" s="304"/>
      <c r="D680" s="310"/>
      <c r="E680" s="307"/>
      <c r="F680" s="307"/>
    </row>
    <row r="681">
      <c r="A681" s="304"/>
      <c r="B681" s="304"/>
      <c r="C681" s="304"/>
      <c r="D681" s="310"/>
      <c r="E681" s="307"/>
      <c r="F681" s="307"/>
    </row>
    <row r="682">
      <c r="A682" s="304"/>
      <c r="B682" s="304"/>
      <c r="C682" s="304"/>
      <c r="D682" s="310"/>
      <c r="E682" s="307"/>
      <c r="F682" s="307"/>
    </row>
    <row r="683">
      <c r="A683" s="304"/>
      <c r="B683" s="304"/>
      <c r="C683" s="304"/>
      <c r="D683" s="310"/>
      <c r="E683" s="307"/>
      <c r="F683" s="307"/>
    </row>
    <row r="684">
      <c r="A684" s="304"/>
      <c r="B684" s="304"/>
      <c r="C684" s="304"/>
      <c r="D684" s="310"/>
      <c r="E684" s="307"/>
      <c r="F684" s="307"/>
    </row>
    <row r="685">
      <c r="A685" s="304"/>
      <c r="B685" s="304"/>
      <c r="C685" s="304"/>
      <c r="D685" s="310"/>
      <c r="E685" s="307"/>
      <c r="F685" s="307"/>
    </row>
    <row r="686">
      <c r="A686" s="304"/>
      <c r="B686" s="304"/>
      <c r="C686" s="304"/>
      <c r="D686" s="310"/>
      <c r="E686" s="307"/>
      <c r="F686" s="307"/>
    </row>
    <row r="687">
      <c r="A687" s="304"/>
      <c r="B687" s="304"/>
      <c r="C687" s="304"/>
      <c r="D687" s="310"/>
      <c r="E687" s="307"/>
      <c r="F687" s="307"/>
    </row>
    <row r="688">
      <c r="A688" s="304"/>
      <c r="B688" s="304"/>
      <c r="C688" s="304"/>
      <c r="D688" s="310"/>
      <c r="E688" s="307"/>
      <c r="F688" s="307"/>
    </row>
    <row r="689">
      <c r="A689" s="304"/>
      <c r="B689" s="304"/>
      <c r="C689" s="304"/>
      <c r="D689" s="310"/>
      <c r="E689" s="307"/>
      <c r="F689" s="307"/>
    </row>
    <row r="690">
      <c r="A690" s="304"/>
      <c r="B690" s="304"/>
      <c r="C690" s="304"/>
      <c r="D690" s="310"/>
      <c r="E690" s="307"/>
      <c r="F690" s="307"/>
    </row>
    <row r="691">
      <c r="A691" s="304"/>
      <c r="B691" s="304"/>
      <c r="C691" s="304"/>
      <c r="D691" s="310"/>
      <c r="E691" s="307"/>
      <c r="F691" s="307"/>
    </row>
    <row r="692">
      <c r="A692" s="304"/>
      <c r="B692" s="304"/>
      <c r="C692" s="304"/>
      <c r="D692" s="310"/>
      <c r="E692" s="307"/>
      <c r="F692" s="307"/>
    </row>
    <row r="693">
      <c r="A693" s="304"/>
      <c r="B693" s="304"/>
      <c r="C693" s="304"/>
      <c r="D693" s="310"/>
      <c r="E693" s="307"/>
      <c r="F693" s="307"/>
    </row>
    <row r="694">
      <c r="A694" s="304"/>
      <c r="B694" s="304"/>
      <c r="C694" s="304"/>
      <c r="D694" s="310"/>
      <c r="E694" s="307"/>
      <c r="F694" s="307"/>
    </row>
    <row r="695">
      <c r="A695" s="304"/>
      <c r="B695" s="304"/>
      <c r="C695" s="304"/>
      <c r="D695" s="310"/>
      <c r="E695" s="307"/>
      <c r="F695" s="307"/>
    </row>
    <row r="696">
      <c r="A696" s="304"/>
      <c r="B696" s="304"/>
      <c r="C696" s="304"/>
      <c r="D696" s="310"/>
      <c r="E696" s="307"/>
      <c r="F696" s="307"/>
    </row>
    <row r="697">
      <c r="A697" s="304"/>
      <c r="B697" s="304"/>
      <c r="C697" s="304"/>
      <c r="D697" s="310"/>
      <c r="E697" s="307"/>
      <c r="F697" s="307"/>
    </row>
    <row r="698">
      <c r="A698" s="304"/>
      <c r="B698" s="304"/>
      <c r="C698" s="304"/>
      <c r="D698" s="310"/>
      <c r="E698" s="307"/>
      <c r="F698" s="307"/>
    </row>
    <row r="699">
      <c r="A699" s="304"/>
      <c r="B699" s="304"/>
      <c r="C699" s="304"/>
      <c r="D699" s="310"/>
      <c r="E699" s="307"/>
      <c r="F699" s="307"/>
    </row>
    <row r="700">
      <c r="A700" s="304"/>
      <c r="B700" s="304"/>
      <c r="C700" s="304"/>
      <c r="D700" s="310"/>
      <c r="E700" s="307"/>
      <c r="F700" s="307"/>
    </row>
    <row r="701">
      <c r="A701" s="304"/>
      <c r="B701" s="304"/>
      <c r="C701" s="304"/>
      <c r="D701" s="310"/>
      <c r="E701" s="307"/>
      <c r="F701" s="307"/>
    </row>
    <row r="702">
      <c r="A702" s="304"/>
      <c r="B702" s="304"/>
      <c r="C702" s="304"/>
      <c r="D702" s="310"/>
      <c r="E702" s="307"/>
      <c r="F702" s="307"/>
    </row>
    <row r="703">
      <c r="A703" s="304"/>
      <c r="B703" s="304"/>
      <c r="C703" s="304"/>
      <c r="D703" s="310"/>
      <c r="E703" s="307"/>
      <c r="F703" s="307"/>
    </row>
    <row r="704">
      <c r="A704" s="304"/>
      <c r="B704" s="304"/>
      <c r="C704" s="304"/>
      <c r="D704" s="310"/>
      <c r="E704" s="307"/>
      <c r="F704" s="307"/>
    </row>
    <row r="705">
      <c r="A705" s="304"/>
      <c r="B705" s="304"/>
      <c r="C705" s="304"/>
      <c r="D705" s="310"/>
      <c r="E705" s="307"/>
      <c r="F705" s="307"/>
    </row>
    <row r="706">
      <c r="A706" s="304"/>
      <c r="B706" s="304"/>
      <c r="C706" s="304"/>
      <c r="D706" s="310"/>
      <c r="E706" s="307"/>
      <c r="F706" s="307"/>
    </row>
    <row r="707">
      <c r="A707" s="304"/>
      <c r="B707" s="304"/>
      <c r="C707" s="304"/>
      <c r="D707" s="310"/>
      <c r="E707" s="307"/>
      <c r="F707" s="307"/>
    </row>
    <row r="708">
      <c r="A708" s="304"/>
      <c r="B708" s="304"/>
      <c r="C708" s="304"/>
      <c r="D708" s="310"/>
      <c r="E708" s="307"/>
      <c r="F708" s="307"/>
    </row>
    <row r="709">
      <c r="A709" s="304"/>
      <c r="B709" s="304"/>
      <c r="C709" s="304"/>
      <c r="D709" s="310"/>
      <c r="E709" s="307"/>
      <c r="F709" s="307"/>
    </row>
    <row r="710">
      <c r="A710" s="304"/>
      <c r="B710" s="304"/>
      <c r="C710" s="304"/>
      <c r="D710" s="310"/>
      <c r="E710" s="307"/>
      <c r="F710" s="307"/>
    </row>
    <row r="711">
      <c r="A711" s="304"/>
      <c r="B711" s="304"/>
      <c r="C711" s="304"/>
      <c r="D711" s="310"/>
      <c r="E711" s="307"/>
      <c r="F711" s="307"/>
    </row>
    <row r="712">
      <c r="A712" s="304"/>
      <c r="B712" s="304"/>
      <c r="C712" s="304"/>
      <c r="D712" s="310"/>
      <c r="E712" s="307"/>
      <c r="F712" s="307"/>
    </row>
    <row r="713">
      <c r="A713" s="304"/>
      <c r="B713" s="304"/>
      <c r="C713" s="304"/>
      <c r="D713" s="310"/>
      <c r="E713" s="307"/>
      <c r="F713" s="307"/>
    </row>
    <row r="714">
      <c r="A714" s="304"/>
      <c r="B714" s="304"/>
      <c r="C714" s="304"/>
      <c r="D714" s="310"/>
      <c r="E714" s="307"/>
      <c r="F714" s="307"/>
    </row>
    <row r="715">
      <c r="A715" s="304"/>
      <c r="B715" s="304"/>
      <c r="C715" s="304"/>
      <c r="D715" s="310"/>
      <c r="E715" s="307"/>
      <c r="F715" s="307"/>
    </row>
    <row r="716">
      <c r="A716" s="304"/>
      <c r="B716" s="304"/>
      <c r="C716" s="304"/>
      <c r="D716" s="310"/>
      <c r="E716" s="307"/>
      <c r="F716" s="307"/>
    </row>
    <row r="717">
      <c r="A717" s="304"/>
      <c r="B717" s="304"/>
      <c r="C717" s="304"/>
      <c r="D717" s="310"/>
      <c r="E717" s="307"/>
      <c r="F717" s="307"/>
    </row>
    <row r="718">
      <c r="A718" s="304"/>
      <c r="B718" s="304"/>
      <c r="C718" s="304"/>
      <c r="D718" s="310"/>
      <c r="E718" s="307"/>
      <c r="F718" s="307"/>
    </row>
    <row r="719">
      <c r="A719" s="304"/>
      <c r="B719" s="304"/>
      <c r="C719" s="304"/>
      <c r="D719" s="310"/>
      <c r="E719" s="307"/>
      <c r="F719" s="307"/>
    </row>
    <row r="720">
      <c r="A720" s="304"/>
      <c r="B720" s="304"/>
      <c r="C720" s="304"/>
      <c r="D720" s="310"/>
      <c r="E720" s="307"/>
      <c r="F720" s="307"/>
    </row>
    <row r="721">
      <c r="A721" s="304"/>
      <c r="B721" s="304"/>
      <c r="C721" s="304"/>
      <c r="D721" s="310"/>
      <c r="E721" s="307"/>
      <c r="F721" s="307"/>
    </row>
    <row r="722">
      <c r="A722" s="304"/>
      <c r="B722" s="304"/>
      <c r="C722" s="304"/>
      <c r="D722" s="310"/>
      <c r="E722" s="307"/>
      <c r="F722" s="307"/>
    </row>
    <row r="723">
      <c r="A723" s="304"/>
      <c r="B723" s="304"/>
      <c r="C723" s="304"/>
      <c r="D723" s="310"/>
      <c r="E723" s="307"/>
      <c r="F723" s="307"/>
    </row>
    <row r="724">
      <c r="A724" s="304"/>
      <c r="B724" s="304"/>
      <c r="C724" s="304"/>
      <c r="D724" s="310"/>
      <c r="E724" s="307"/>
      <c r="F724" s="307"/>
    </row>
    <row r="725">
      <c r="A725" s="304"/>
      <c r="B725" s="304"/>
      <c r="C725" s="304"/>
      <c r="D725" s="310"/>
      <c r="E725" s="307"/>
      <c r="F725" s="307"/>
    </row>
    <row r="726">
      <c r="A726" s="304"/>
      <c r="B726" s="304"/>
      <c r="C726" s="304"/>
      <c r="D726" s="310"/>
      <c r="E726" s="307"/>
      <c r="F726" s="307"/>
    </row>
    <row r="727">
      <c r="A727" s="304"/>
      <c r="B727" s="304"/>
      <c r="C727" s="304"/>
      <c r="D727" s="310"/>
      <c r="E727" s="307"/>
      <c r="F727" s="307"/>
    </row>
    <row r="728">
      <c r="A728" s="304"/>
      <c r="B728" s="304"/>
      <c r="C728" s="304"/>
      <c r="D728" s="310"/>
      <c r="E728" s="307"/>
      <c r="F728" s="307"/>
    </row>
    <row r="729">
      <c r="A729" s="304"/>
      <c r="B729" s="304"/>
      <c r="C729" s="304"/>
      <c r="D729" s="310"/>
      <c r="E729" s="307"/>
      <c r="F729" s="307"/>
    </row>
    <row r="730">
      <c r="A730" s="304"/>
      <c r="B730" s="304"/>
      <c r="C730" s="304"/>
      <c r="D730" s="310"/>
      <c r="E730" s="307"/>
      <c r="F730" s="307"/>
    </row>
    <row r="731">
      <c r="A731" s="304"/>
      <c r="B731" s="304"/>
      <c r="C731" s="304"/>
      <c r="D731" s="310"/>
      <c r="E731" s="307"/>
      <c r="F731" s="307"/>
    </row>
    <row r="732">
      <c r="A732" s="304"/>
      <c r="B732" s="304"/>
      <c r="C732" s="304"/>
      <c r="D732" s="310"/>
      <c r="E732" s="307"/>
      <c r="F732" s="307"/>
    </row>
    <row r="733">
      <c r="A733" s="304"/>
      <c r="B733" s="304"/>
      <c r="C733" s="304"/>
      <c r="D733" s="310"/>
      <c r="E733" s="307"/>
      <c r="F733" s="307"/>
    </row>
    <row r="734">
      <c r="A734" s="304"/>
      <c r="B734" s="304"/>
      <c r="C734" s="304"/>
      <c r="D734" s="310"/>
      <c r="E734" s="307"/>
      <c r="F734" s="307"/>
    </row>
    <row r="735">
      <c r="A735" s="304"/>
      <c r="B735" s="304"/>
      <c r="C735" s="304"/>
      <c r="D735" s="310"/>
      <c r="E735" s="307"/>
      <c r="F735" s="307"/>
    </row>
    <row r="736">
      <c r="A736" s="304"/>
      <c r="B736" s="304"/>
      <c r="C736" s="304"/>
      <c r="D736" s="310"/>
      <c r="E736" s="307"/>
      <c r="F736" s="307"/>
    </row>
    <row r="737">
      <c r="A737" s="304"/>
      <c r="B737" s="304"/>
      <c r="C737" s="304"/>
      <c r="D737" s="310"/>
      <c r="E737" s="307"/>
      <c r="F737" s="307"/>
    </row>
    <row r="738">
      <c r="A738" s="304"/>
      <c r="B738" s="304"/>
      <c r="C738" s="304"/>
      <c r="D738" s="310"/>
      <c r="E738" s="307"/>
      <c r="F738" s="307"/>
    </row>
    <row r="739">
      <c r="A739" s="304"/>
      <c r="B739" s="304"/>
      <c r="C739" s="304"/>
      <c r="D739" s="310"/>
      <c r="E739" s="307"/>
      <c r="F739" s="307"/>
    </row>
    <row r="740">
      <c r="A740" s="304"/>
      <c r="B740" s="304"/>
      <c r="C740" s="304"/>
      <c r="D740" s="310"/>
      <c r="E740" s="307"/>
      <c r="F740" s="307"/>
    </row>
    <row r="741">
      <c r="A741" s="304"/>
      <c r="B741" s="304"/>
      <c r="C741" s="304"/>
      <c r="D741" s="310"/>
      <c r="E741" s="307"/>
      <c r="F741" s="307"/>
    </row>
    <row r="742">
      <c r="A742" s="304"/>
      <c r="B742" s="304"/>
      <c r="C742" s="304"/>
      <c r="D742" s="310"/>
      <c r="E742" s="307"/>
      <c r="F742" s="307"/>
    </row>
    <row r="743">
      <c r="A743" s="304"/>
      <c r="B743" s="304"/>
      <c r="C743" s="304"/>
      <c r="D743" s="310"/>
      <c r="E743" s="307"/>
      <c r="F743" s="307"/>
    </row>
    <row r="744">
      <c r="A744" s="304"/>
      <c r="B744" s="304"/>
      <c r="C744" s="304"/>
      <c r="D744" s="310"/>
      <c r="E744" s="307"/>
      <c r="F744" s="307"/>
    </row>
    <row r="745">
      <c r="A745" s="304"/>
      <c r="B745" s="304"/>
      <c r="C745" s="304"/>
      <c r="D745" s="310"/>
      <c r="E745" s="307"/>
      <c r="F745" s="307"/>
    </row>
    <row r="746">
      <c r="A746" s="304"/>
      <c r="B746" s="304"/>
      <c r="C746" s="304"/>
      <c r="D746" s="310"/>
      <c r="E746" s="307"/>
      <c r="F746" s="307"/>
    </row>
    <row r="747">
      <c r="A747" s="304"/>
      <c r="B747" s="304"/>
      <c r="C747" s="304"/>
      <c r="D747" s="310"/>
      <c r="E747" s="307"/>
      <c r="F747" s="307"/>
    </row>
    <row r="748">
      <c r="A748" s="304"/>
      <c r="B748" s="304"/>
      <c r="C748" s="304"/>
      <c r="D748" s="310"/>
      <c r="E748" s="307"/>
      <c r="F748" s="307"/>
    </row>
    <row r="749">
      <c r="A749" s="304"/>
      <c r="B749" s="304"/>
      <c r="C749" s="304"/>
      <c r="D749" s="310"/>
      <c r="E749" s="307"/>
      <c r="F749" s="307"/>
    </row>
    <row r="750">
      <c r="A750" s="304"/>
      <c r="B750" s="304"/>
      <c r="C750" s="304"/>
      <c r="D750" s="310"/>
      <c r="E750" s="307"/>
      <c r="F750" s="307"/>
    </row>
    <row r="751">
      <c r="A751" s="304"/>
      <c r="B751" s="304"/>
      <c r="C751" s="304"/>
      <c r="D751" s="310"/>
      <c r="E751" s="307"/>
      <c r="F751" s="307"/>
    </row>
    <row r="752">
      <c r="A752" s="304"/>
      <c r="B752" s="304"/>
      <c r="C752" s="304"/>
      <c r="D752" s="310"/>
      <c r="E752" s="307"/>
      <c r="F752" s="307"/>
    </row>
    <row r="753">
      <c r="A753" s="304"/>
      <c r="B753" s="304"/>
      <c r="C753" s="304"/>
      <c r="D753" s="310"/>
      <c r="E753" s="307"/>
      <c r="F753" s="307"/>
    </row>
    <row r="754">
      <c r="A754" s="304"/>
      <c r="B754" s="304"/>
      <c r="C754" s="304"/>
      <c r="D754" s="310"/>
      <c r="E754" s="307"/>
      <c r="F754" s="307"/>
    </row>
    <row r="755">
      <c r="A755" s="304"/>
      <c r="B755" s="304"/>
      <c r="C755" s="304"/>
      <c r="D755" s="310"/>
      <c r="E755" s="307"/>
      <c r="F755" s="307"/>
    </row>
    <row r="756">
      <c r="A756" s="304"/>
      <c r="B756" s="304"/>
      <c r="C756" s="304"/>
      <c r="D756" s="310"/>
      <c r="E756" s="307"/>
      <c r="F756" s="307"/>
    </row>
    <row r="757">
      <c r="A757" s="304"/>
      <c r="B757" s="304"/>
      <c r="C757" s="304"/>
      <c r="D757" s="310"/>
      <c r="E757" s="307"/>
      <c r="F757" s="307"/>
    </row>
    <row r="758">
      <c r="A758" s="304"/>
      <c r="B758" s="304"/>
      <c r="C758" s="304"/>
      <c r="D758" s="310"/>
      <c r="E758" s="307"/>
      <c r="F758" s="307"/>
    </row>
    <row r="759">
      <c r="A759" s="304"/>
      <c r="B759" s="304"/>
      <c r="C759" s="304"/>
      <c r="D759" s="310"/>
      <c r="E759" s="307"/>
      <c r="F759" s="307"/>
    </row>
    <row r="760">
      <c r="A760" s="304"/>
      <c r="B760" s="304"/>
      <c r="C760" s="304"/>
      <c r="D760" s="310"/>
      <c r="E760" s="307"/>
      <c r="F760" s="307"/>
    </row>
    <row r="761">
      <c r="A761" s="304"/>
      <c r="B761" s="304"/>
      <c r="C761" s="304"/>
      <c r="D761" s="310"/>
      <c r="E761" s="307"/>
      <c r="F761" s="307"/>
    </row>
    <row r="762">
      <c r="A762" s="304"/>
      <c r="B762" s="304"/>
      <c r="C762" s="304"/>
      <c r="D762" s="310"/>
      <c r="E762" s="307"/>
      <c r="F762" s="307"/>
    </row>
    <row r="763">
      <c r="A763" s="304"/>
      <c r="B763" s="304"/>
      <c r="C763" s="304"/>
      <c r="D763" s="310"/>
      <c r="E763" s="307"/>
      <c r="F763" s="307"/>
    </row>
    <row r="764">
      <c r="A764" s="304"/>
      <c r="B764" s="304"/>
      <c r="C764" s="304"/>
      <c r="D764" s="310"/>
      <c r="E764" s="307"/>
      <c r="F764" s="307"/>
    </row>
    <row r="765">
      <c r="A765" s="304"/>
      <c r="B765" s="304"/>
      <c r="C765" s="304"/>
      <c r="D765" s="310"/>
      <c r="E765" s="307"/>
      <c r="F765" s="307"/>
    </row>
    <row r="766">
      <c r="A766" s="304"/>
      <c r="B766" s="304"/>
      <c r="C766" s="304"/>
      <c r="D766" s="310"/>
      <c r="E766" s="307"/>
      <c r="F766" s="307"/>
    </row>
    <row r="767">
      <c r="A767" s="304"/>
      <c r="B767" s="304"/>
      <c r="C767" s="304"/>
      <c r="D767" s="310"/>
      <c r="E767" s="307"/>
      <c r="F767" s="307"/>
    </row>
    <row r="768">
      <c r="A768" s="304"/>
      <c r="B768" s="304"/>
      <c r="C768" s="304"/>
      <c r="D768" s="310"/>
      <c r="E768" s="307"/>
      <c r="F768" s="307"/>
    </row>
    <row r="769">
      <c r="A769" s="304"/>
      <c r="B769" s="304"/>
      <c r="C769" s="304"/>
      <c r="D769" s="310"/>
      <c r="E769" s="307"/>
      <c r="F769" s="307"/>
    </row>
    <row r="770">
      <c r="A770" s="304"/>
      <c r="B770" s="304"/>
      <c r="C770" s="304"/>
      <c r="D770" s="310"/>
      <c r="E770" s="307"/>
      <c r="F770" s="307"/>
    </row>
    <row r="771">
      <c r="A771" s="304"/>
      <c r="B771" s="304"/>
      <c r="C771" s="304"/>
      <c r="D771" s="310"/>
      <c r="E771" s="307"/>
      <c r="F771" s="307"/>
    </row>
    <row r="772">
      <c r="A772" s="304"/>
      <c r="B772" s="304"/>
      <c r="C772" s="304"/>
      <c r="D772" s="310"/>
      <c r="E772" s="307"/>
      <c r="F772" s="307"/>
    </row>
    <row r="773">
      <c r="A773" s="304"/>
      <c r="B773" s="304"/>
      <c r="C773" s="304"/>
      <c r="D773" s="310"/>
      <c r="E773" s="307"/>
      <c r="F773" s="307"/>
    </row>
    <row r="774">
      <c r="A774" s="304"/>
      <c r="B774" s="304"/>
      <c r="C774" s="304"/>
      <c r="D774" s="310"/>
      <c r="E774" s="307"/>
      <c r="F774" s="307"/>
    </row>
    <row r="775">
      <c r="A775" s="304"/>
      <c r="B775" s="304"/>
      <c r="C775" s="304"/>
      <c r="D775" s="310"/>
      <c r="E775" s="307"/>
      <c r="F775" s="307"/>
    </row>
    <row r="776">
      <c r="A776" s="304"/>
      <c r="B776" s="304"/>
      <c r="C776" s="304"/>
      <c r="D776" s="310"/>
      <c r="E776" s="307"/>
      <c r="F776" s="307"/>
    </row>
    <row r="777">
      <c r="A777" s="304"/>
      <c r="B777" s="304"/>
      <c r="C777" s="304"/>
      <c r="D777" s="310"/>
      <c r="E777" s="307"/>
      <c r="F777" s="307"/>
    </row>
    <row r="778">
      <c r="A778" s="304"/>
      <c r="B778" s="304"/>
      <c r="C778" s="304"/>
      <c r="D778" s="310"/>
      <c r="E778" s="307"/>
      <c r="F778" s="307"/>
    </row>
    <row r="779">
      <c r="A779" s="304"/>
      <c r="B779" s="304"/>
      <c r="C779" s="304"/>
      <c r="D779" s="310"/>
      <c r="E779" s="307"/>
      <c r="F779" s="307"/>
    </row>
    <row r="780">
      <c r="A780" s="304"/>
      <c r="B780" s="304"/>
      <c r="C780" s="304"/>
      <c r="D780" s="310"/>
      <c r="E780" s="307"/>
      <c r="F780" s="307"/>
    </row>
    <row r="781">
      <c r="A781" s="304"/>
      <c r="B781" s="304"/>
      <c r="C781" s="304"/>
      <c r="D781" s="310"/>
      <c r="E781" s="307"/>
      <c r="F781" s="307"/>
    </row>
    <row r="782">
      <c r="A782" s="304"/>
      <c r="B782" s="304"/>
      <c r="C782" s="304"/>
      <c r="D782" s="310"/>
      <c r="E782" s="307"/>
      <c r="F782" s="307"/>
    </row>
    <row r="783">
      <c r="A783" s="304"/>
      <c r="B783" s="304"/>
      <c r="C783" s="304"/>
      <c r="D783" s="310"/>
      <c r="E783" s="307"/>
      <c r="F783" s="307"/>
    </row>
    <row r="784">
      <c r="A784" s="304"/>
      <c r="B784" s="304"/>
      <c r="C784" s="304"/>
      <c r="D784" s="310"/>
      <c r="E784" s="307"/>
      <c r="F784" s="307"/>
    </row>
    <row r="785">
      <c r="A785" s="304"/>
      <c r="B785" s="304"/>
      <c r="C785" s="304"/>
      <c r="D785" s="310"/>
      <c r="E785" s="307"/>
      <c r="F785" s="307"/>
    </row>
    <row r="786">
      <c r="A786" s="304"/>
      <c r="B786" s="304"/>
      <c r="C786" s="304"/>
      <c r="D786" s="310"/>
      <c r="E786" s="307"/>
      <c r="F786" s="307"/>
    </row>
    <row r="787">
      <c r="A787" s="304"/>
      <c r="B787" s="304"/>
      <c r="C787" s="304"/>
      <c r="D787" s="310"/>
      <c r="E787" s="307"/>
      <c r="F787" s="307"/>
    </row>
    <row r="788">
      <c r="A788" s="304"/>
      <c r="B788" s="304"/>
      <c r="C788" s="304"/>
      <c r="D788" s="310"/>
      <c r="E788" s="307"/>
      <c r="F788" s="307"/>
    </row>
    <row r="789">
      <c r="A789" s="304"/>
      <c r="B789" s="304"/>
      <c r="C789" s="304"/>
      <c r="D789" s="310"/>
      <c r="E789" s="307"/>
      <c r="F789" s="307"/>
    </row>
    <row r="790">
      <c r="A790" s="304"/>
      <c r="B790" s="304"/>
      <c r="C790" s="304"/>
      <c r="D790" s="310"/>
      <c r="E790" s="307"/>
      <c r="F790" s="307"/>
    </row>
    <row r="791">
      <c r="A791" s="304"/>
      <c r="B791" s="304"/>
      <c r="C791" s="304"/>
      <c r="D791" s="310"/>
      <c r="E791" s="307"/>
      <c r="F791" s="307"/>
    </row>
    <row r="792">
      <c r="A792" s="304"/>
      <c r="B792" s="304"/>
      <c r="C792" s="304"/>
      <c r="D792" s="310"/>
      <c r="E792" s="307"/>
      <c r="F792" s="307"/>
    </row>
    <row r="793">
      <c r="A793" s="304"/>
      <c r="B793" s="304"/>
      <c r="C793" s="304"/>
      <c r="D793" s="310"/>
      <c r="E793" s="307"/>
      <c r="F793" s="307"/>
    </row>
    <row r="794">
      <c r="A794" s="304"/>
      <c r="B794" s="304"/>
      <c r="C794" s="304"/>
      <c r="D794" s="310"/>
      <c r="E794" s="307"/>
      <c r="F794" s="307"/>
    </row>
    <row r="795">
      <c r="A795" s="304"/>
      <c r="B795" s="304"/>
      <c r="C795" s="304"/>
      <c r="D795" s="310"/>
      <c r="E795" s="307"/>
      <c r="F795" s="307"/>
    </row>
    <row r="796">
      <c r="A796" s="304"/>
      <c r="B796" s="304"/>
      <c r="C796" s="304"/>
      <c r="D796" s="310"/>
      <c r="E796" s="307"/>
      <c r="F796" s="307"/>
    </row>
    <row r="797">
      <c r="A797" s="304"/>
      <c r="B797" s="304"/>
      <c r="C797" s="304"/>
      <c r="D797" s="310"/>
      <c r="E797" s="307"/>
      <c r="F797" s="307"/>
    </row>
    <row r="798">
      <c r="A798" s="304"/>
      <c r="B798" s="304"/>
      <c r="C798" s="304"/>
      <c r="D798" s="310"/>
      <c r="E798" s="307"/>
      <c r="F798" s="307"/>
    </row>
    <row r="799">
      <c r="A799" s="304"/>
      <c r="B799" s="304"/>
      <c r="C799" s="304"/>
      <c r="D799" s="310"/>
      <c r="E799" s="307"/>
      <c r="F799" s="307"/>
    </row>
    <row r="800">
      <c r="A800" s="304"/>
      <c r="B800" s="304"/>
      <c r="C800" s="304"/>
      <c r="D800" s="310"/>
      <c r="E800" s="307"/>
      <c r="F800" s="307"/>
    </row>
    <row r="801">
      <c r="A801" s="304"/>
      <c r="B801" s="304"/>
      <c r="C801" s="304"/>
      <c r="D801" s="310"/>
      <c r="E801" s="307"/>
      <c r="F801" s="307"/>
    </row>
    <row r="802">
      <c r="A802" s="304"/>
      <c r="B802" s="304"/>
      <c r="C802" s="304"/>
      <c r="D802" s="310"/>
      <c r="E802" s="307"/>
      <c r="F802" s="307"/>
    </row>
    <row r="803">
      <c r="A803" s="304"/>
      <c r="B803" s="304"/>
      <c r="C803" s="304"/>
      <c r="D803" s="310"/>
      <c r="E803" s="307"/>
      <c r="F803" s="307"/>
    </row>
    <row r="804">
      <c r="A804" s="304"/>
      <c r="B804" s="304"/>
      <c r="C804" s="304"/>
      <c r="D804" s="310"/>
      <c r="E804" s="307"/>
      <c r="F804" s="307"/>
    </row>
    <row r="805">
      <c r="A805" s="304"/>
      <c r="B805" s="304"/>
      <c r="C805" s="304"/>
      <c r="D805" s="310"/>
      <c r="E805" s="307"/>
      <c r="F805" s="307"/>
    </row>
    <row r="806">
      <c r="A806" s="304"/>
      <c r="B806" s="304"/>
      <c r="C806" s="304"/>
      <c r="D806" s="310"/>
      <c r="E806" s="307"/>
      <c r="F806" s="307"/>
    </row>
    <row r="807">
      <c r="A807" s="304"/>
      <c r="B807" s="304"/>
      <c r="C807" s="304"/>
      <c r="D807" s="310"/>
      <c r="E807" s="307"/>
      <c r="F807" s="307"/>
    </row>
    <row r="808">
      <c r="A808" s="304"/>
      <c r="B808" s="304"/>
      <c r="C808" s="304"/>
      <c r="D808" s="310"/>
      <c r="E808" s="307"/>
      <c r="F808" s="307"/>
    </row>
    <row r="809">
      <c r="A809" s="304"/>
      <c r="B809" s="304"/>
      <c r="C809" s="304"/>
      <c r="D809" s="310"/>
      <c r="E809" s="307"/>
      <c r="F809" s="307"/>
    </row>
    <row r="810">
      <c r="A810" s="304"/>
      <c r="B810" s="304"/>
      <c r="C810" s="304"/>
      <c r="D810" s="310"/>
      <c r="E810" s="307"/>
      <c r="F810" s="307"/>
    </row>
    <row r="811">
      <c r="A811" s="304"/>
      <c r="B811" s="304"/>
      <c r="C811" s="304"/>
      <c r="D811" s="310"/>
      <c r="E811" s="307"/>
      <c r="F811" s="307"/>
    </row>
    <row r="812">
      <c r="A812" s="304"/>
      <c r="B812" s="304"/>
      <c r="C812" s="304"/>
      <c r="D812" s="310"/>
      <c r="E812" s="307"/>
      <c r="F812" s="307"/>
    </row>
    <row r="813">
      <c r="A813" s="304"/>
      <c r="B813" s="304"/>
      <c r="C813" s="304"/>
      <c r="D813" s="310"/>
      <c r="E813" s="307"/>
      <c r="F813" s="307"/>
    </row>
    <row r="814">
      <c r="A814" s="304"/>
      <c r="B814" s="304"/>
      <c r="C814" s="304"/>
      <c r="D814" s="310"/>
      <c r="E814" s="307"/>
      <c r="F814" s="307"/>
    </row>
    <row r="815">
      <c r="A815" s="304"/>
      <c r="B815" s="304"/>
      <c r="C815" s="304"/>
      <c r="D815" s="310"/>
      <c r="E815" s="307"/>
      <c r="F815" s="307"/>
    </row>
    <row r="816">
      <c r="A816" s="304"/>
      <c r="B816" s="304"/>
      <c r="C816" s="304"/>
      <c r="D816" s="310"/>
      <c r="E816" s="307"/>
      <c r="F816" s="307"/>
    </row>
    <row r="817">
      <c r="A817" s="304"/>
      <c r="B817" s="304"/>
      <c r="C817" s="304"/>
      <c r="D817" s="310"/>
      <c r="E817" s="307"/>
      <c r="F817" s="307"/>
    </row>
    <row r="818">
      <c r="A818" s="304"/>
      <c r="B818" s="304"/>
      <c r="C818" s="304"/>
      <c r="D818" s="310"/>
      <c r="E818" s="307"/>
      <c r="F818" s="307"/>
    </row>
    <row r="819">
      <c r="A819" s="304"/>
      <c r="B819" s="304"/>
      <c r="C819" s="304"/>
      <c r="D819" s="310"/>
      <c r="E819" s="307"/>
      <c r="F819" s="307"/>
    </row>
    <row r="820">
      <c r="A820" s="304"/>
      <c r="B820" s="304"/>
      <c r="C820" s="304"/>
      <c r="D820" s="310"/>
      <c r="E820" s="307"/>
      <c r="F820" s="307"/>
    </row>
    <row r="821">
      <c r="A821" s="304"/>
      <c r="B821" s="304"/>
      <c r="C821" s="304"/>
      <c r="D821" s="310"/>
      <c r="E821" s="307"/>
      <c r="F821" s="307"/>
    </row>
    <row r="822">
      <c r="A822" s="304"/>
      <c r="B822" s="304"/>
      <c r="C822" s="304"/>
      <c r="D822" s="310"/>
      <c r="E822" s="307"/>
      <c r="F822" s="307"/>
    </row>
    <row r="823">
      <c r="A823" s="304"/>
      <c r="B823" s="304"/>
      <c r="C823" s="304"/>
      <c r="D823" s="310"/>
      <c r="E823" s="307"/>
      <c r="F823" s="307"/>
    </row>
    <row r="824">
      <c r="A824" s="304"/>
      <c r="B824" s="304"/>
      <c r="C824" s="304"/>
      <c r="D824" s="310"/>
      <c r="E824" s="307"/>
      <c r="F824" s="307"/>
    </row>
    <row r="825">
      <c r="A825" s="304"/>
      <c r="B825" s="304"/>
      <c r="C825" s="304"/>
      <c r="D825" s="310"/>
      <c r="E825" s="307"/>
      <c r="F825" s="307"/>
    </row>
    <row r="826">
      <c r="A826" s="304"/>
      <c r="B826" s="304"/>
      <c r="C826" s="304"/>
      <c r="D826" s="310"/>
      <c r="E826" s="307"/>
      <c r="F826" s="307"/>
    </row>
    <row r="827">
      <c r="A827" s="304"/>
      <c r="B827" s="304"/>
      <c r="C827" s="304"/>
      <c r="D827" s="310"/>
      <c r="E827" s="307"/>
      <c r="F827" s="307"/>
    </row>
    <row r="828">
      <c r="A828" s="304"/>
      <c r="B828" s="304"/>
      <c r="C828" s="304"/>
      <c r="D828" s="310"/>
      <c r="E828" s="307"/>
      <c r="F828" s="307"/>
    </row>
    <row r="829">
      <c r="A829" s="304"/>
      <c r="B829" s="304"/>
      <c r="C829" s="304"/>
      <c r="D829" s="310"/>
      <c r="E829" s="307"/>
      <c r="F829" s="307"/>
    </row>
    <row r="830">
      <c r="A830" s="304"/>
      <c r="B830" s="304"/>
      <c r="C830" s="304"/>
      <c r="D830" s="310"/>
      <c r="E830" s="307"/>
      <c r="F830" s="307"/>
    </row>
    <row r="831">
      <c r="A831" s="304"/>
      <c r="B831" s="304"/>
      <c r="C831" s="304"/>
      <c r="D831" s="310"/>
      <c r="E831" s="307"/>
      <c r="F831" s="307"/>
    </row>
    <row r="832">
      <c r="A832" s="304"/>
      <c r="B832" s="304"/>
      <c r="C832" s="304"/>
      <c r="D832" s="310"/>
      <c r="E832" s="307"/>
      <c r="F832" s="307"/>
    </row>
    <row r="833">
      <c r="A833" s="304"/>
      <c r="B833" s="304"/>
      <c r="C833" s="304"/>
      <c r="D833" s="310"/>
      <c r="E833" s="307"/>
      <c r="F833" s="307"/>
    </row>
    <row r="834">
      <c r="A834" s="304"/>
      <c r="B834" s="304"/>
      <c r="C834" s="304"/>
      <c r="D834" s="310"/>
      <c r="E834" s="307"/>
      <c r="F834" s="307"/>
    </row>
    <row r="835">
      <c r="A835" s="304"/>
      <c r="B835" s="304"/>
      <c r="C835" s="304"/>
      <c r="D835" s="310"/>
      <c r="E835" s="307"/>
      <c r="F835" s="307"/>
    </row>
    <row r="836">
      <c r="A836" s="304"/>
      <c r="B836" s="304"/>
      <c r="C836" s="304"/>
      <c r="D836" s="310"/>
      <c r="E836" s="307"/>
      <c r="F836" s="307"/>
    </row>
    <row r="837">
      <c r="A837" s="304"/>
      <c r="B837" s="304"/>
      <c r="C837" s="304"/>
      <c r="D837" s="310"/>
      <c r="E837" s="307"/>
      <c r="F837" s="307"/>
    </row>
    <row r="838">
      <c r="A838" s="304"/>
      <c r="B838" s="304"/>
      <c r="C838" s="304"/>
      <c r="D838" s="310"/>
      <c r="E838" s="307"/>
      <c r="F838" s="307"/>
    </row>
    <row r="839">
      <c r="A839" s="304"/>
      <c r="B839" s="304"/>
      <c r="C839" s="304"/>
      <c r="D839" s="310"/>
      <c r="E839" s="307"/>
      <c r="F839" s="307"/>
    </row>
    <row r="840">
      <c r="A840" s="304"/>
      <c r="B840" s="304"/>
      <c r="C840" s="304"/>
      <c r="D840" s="310"/>
      <c r="E840" s="307"/>
      <c r="F840" s="307"/>
    </row>
    <row r="841">
      <c r="A841" s="304"/>
      <c r="B841" s="304"/>
      <c r="C841" s="304"/>
      <c r="D841" s="310"/>
      <c r="E841" s="307"/>
      <c r="F841" s="307"/>
    </row>
    <row r="842">
      <c r="A842" s="304"/>
      <c r="B842" s="304"/>
      <c r="C842" s="304"/>
      <c r="D842" s="310"/>
      <c r="E842" s="307"/>
      <c r="F842" s="307"/>
    </row>
    <row r="843">
      <c r="A843" s="304"/>
      <c r="B843" s="304"/>
      <c r="C843" s="304"/>
      <c r="D843" s="310"/>
      <c r="E843" s="307"/>
      <c r="F843" s="307"/>
    </row>
    <row r="844">
      <c r="A844" s="304"/>
      <c r="B844" s="304"/>
      <c r="C844" s="304"/>
      <c r="D844" s="310"/>
      <c r="E844" s="307"/>
      <c r="F844" s="307"/>
    </row>
    <row r="845">
      <c r="A845" s="304"/>
      <c r="B845" s="304"/>
      <c r="C845" s="304"/>
      <c r="D845" s="310"/>
      <c r="E845" s="307"/>
      <c r="F845" s="307"/>
    </row>
    <row r="846">
      <c r="A846" s="304"/>
      <c r="B846" s="304"/>
      <c r="C846" s="304"/>
      <c r="D846" s="310"/>
      <c r="E846" s="307"/>
      <c r="F846" s="307"/>
    </row>
    <row r="847">
      <c r="A847" s="304"/>
      <c r="B847" s="304"/>
      <c r="C847" s="304"/>
      <c r="D847" s="310"/>
      <c r="E847" s="307"/>
      <c r="F847" s="307"/>
    </row>
    <row r="848">
      <c r="A848" s="304"/>
      <c r="B848" s="304"/>
      <c r="C848" s="304"/>
      <c r="D848" s="310"/>
      <c r="E848" s="307"/>
      <c r="F848" s="307"/>
    </row>
    <row r="849">
      <c r="A849" s="304"/>
      <c r="B849" s="304"/>
      <c r="C849" s="304"/>
      <c r="D849" s="310"/>
      <c r="E849" s="307"/>
      <c r="F849" s="307"/>
    </row>
    <row r="850">
      <c r="A850" s="304"/>
      <c r="B850" s="304"/>
      <c r="C850" s="304"/>
      <c r="D850" s="310"/>
      <c r="E850" s="307"/>
      <c r="F850" s="307"/>
    </row>
    <row r="851">
      <c r="A851" s="304"/>
      <c r="B851" s="304"/>
      <c r="C851" s="304"/>
      <c r="D851" s="310"/>
      <c r="E851" s="307"/>
      <c r="F851" s="307"/>
    </row>
    <row r="852">
      <c r="A852" s="304"/>
      <c r="B852" s="304"/>
      <c r="C852" s="304"/>
      <c r="D852" s="310"/>
      <c r="E852" s="307"/>
      <c r="F852" s="307"/>
    </row>
    <row r="853">
      <c r="A853" s="304"/>
      <c r="B853" s="304"/>
      <c r="C853" s="304"/>
      <c r="D853" s="310"/>
      <c r="E853" s="307"/>
      <c r="F853" s="307"/>
    </row>
    <row r="854">
      <c r="A854" s="304"/>
      <c r="B854" s="304"/>
      <c r="C854" s="304"/>
      <c r="D854" s="310"/>
      <c r="E854" s="307"/>
      <c r="F854" s="307"/>
    </row>
    <row r="855">
      <c r="A855" s="304"/>
      <c r="B855" s="304"/>
      <c r="C855" s="304"/>
      <c r="D855" s="310"/>
      <c r="E855" s="307"/>
      <c r="F855" s="307"/>
    </row>
    <row r="856">
      <c r="A856" s="304"/>
      <c r="B856" s="304"/>
      <c r="C856" s="304"/>
      <c r="D856" s="310"/>
      <c r="E856" s="307"/>
      <c r="F856" s="307"/>
    </row>
    <row r="857">
      <c r="A857" s="304"/>
      <c r="B857" s="304"/>
      <c r="C857" s="304"/>
      <c r="D857" s="310"/>
      <c r="E857" s="307"/>
      <c r="F857" s="307"/>
    </row>
    <row r="858">
      <c r="A858" s="304"/>
      <c r="B858" s="304"/>
      <c r="C858" s="304"/>
      <c r="D858" s="310"/>
      <c r="E858" s="307"/>
      <c r="F858" s="307"/>
    </row>
    <row r="859">
      <c r="A859" s="304"/>
      <c r="B859" s="304"/>
      <c r="C859" s="304"/>
      <c r="D859" s="310"/>
      <c r="E859" s="307"/>
      <c r="F859" s="307"/>
    </row>
    <row r="860">
      <c r="A860" s="304"/>
      <c r="B860" s="304"/>
      <c r="C860" s="304"/>
      <c r="D860" s="310"/>
      <c r="E860" s="307"/>
      <c r="F860" s="307"/>
    </row>
    <row r="861">
      <c r="A861" s="304"/>
      <c r="B861" s="304"/>
      <c r="C861" s="304"/>
      <c r="D861" s="310"/>
      <c r="E861" s="307"/>
      <c r="F861" s="307"/>
    </row>
    <row r="862">
      <c r="A862" s="304"/>
      <c r="B862" s="304"/>
      <c r="C862" s="304"/>
      <c r="D862" s="310"/>
      <c r="E862" s="307"/>
      <c r="F862" s="307"/>
    </row>
    <row r="863">
      <c r="A863" s="304"/>
      <c r="B863" s="304"/>
      <c r="C863" s="304"/>
      <c r="D863" s="310"/>
      <c r="E863" s="307"/>
      <c r="F863" s="307"/>
    </row>
    <row r="864">
      <c r="A864" s="304"/>
      <c r="B864" s="304"/>
      <c r="C864" s="304"/>
      <c r="D864" s="310"/>
      <c r="E864" s="307"/>
      <c r="F864" s="307"/>
    </row>
    <row r="865">
      <c r="A865" s="304"/>
      <c r="B865" s="304"/>
      <c r="C865" s="304"/>
      <c r="D865" s="310"/>
      <c r="E865" s="307"/>
      <c r="F865" s="307"/>
    </row>
    <row r="866">
      <c r="A866" s="304"/>
      <c r="B866" s="304"/>
      <c r="C866" s="304"/>
      <c r="D866" s="310"/>
      <c r="E866" s="307"/>
      <c r="F866" s="307"/>
    </row>
    <row r="867">
      <c r="A867" s="304"/>
      <c r="B867" s="304"/>
      <c r="C867" s="304"/>
      <c r="D867" s="310"/>
      <c r="E867" s="307"/>
      <c r="F867" s="307"/>
    </row>
    <row r="868">
      <c r="A868" s="304"/>
      <c r="B868" s="304"/>
      <c r="C868" s="304"/>
      <c r="D868" s="310"/>
      <c r="E868" s="307"/>
      <c r="F868" s="307"/>
    </row>
    <row r="869">
      <c r="A869" s="304"/>
      <c r="B869" s="304"/>
      <c r="C869" s="304"/>
      <c r="D869" s="310"/>
      <c r="E869" s="307"/>
      <c r="F869" s="307"/>
    </row>
    <row r="870">
      <c r="A870" s="304"/>
      <c r="B870" s="304"/>
      <c r="C870" s="304"/>
      <c r="D870" s="310"/>
      <c r="E870" s="307"/>
      <c r="F870" s="307"/>
    </row>
    <row r="871">
      <c r="A871" s="304"/>
      <c r="B871" s="304"/>
      <c r="C871" s="304"/>
      <c r="D871" s="310"/>
      <c r="E871" s="307"/>
      <c r="F871" s="307"/>
    </row>
    <row r="872">
      <c r="A872" s="304"/>
      <c r="B872" s="304"/>
      <c r="C872" s="304"/>
      <c r="D872" s="310"/>
      <c r="E872" s="307"/>
      <c r="F872" s="307"/>
    </row>
    <row r="873">
      <c r="A873" s="304"/>
      <c r="B873" s="304"/>
      <c r="C873" s="304"/>
      <c r="D873" s="310"/>
      <c r="E873" s="307"/>
      <c r="F873" s="307"/>
    </row>
    <row r="874">
      <c r="A874" s="304"/>
      <c r="B874" s="304"/>
      <c r="C874" s="304"/>
      <c r="D874" s="310"/>
      <c r="E874" s="307"/>
      <c r="F874" s="307"/>
    </row>
    <row r="875">
      <c r="A875" s="304"/>
      <c r="B875" s="304"/>
      <c r="C875" s="304"/>
      <c r="D875" s="310"/>
      <c r="E875" s="307"/>
      <c r="F875" s="307"/>
    </row>
    <row r="876">
      <c r="A876" s="304"/>
      <c r="B876" s="304"/>
      <c r="C876" s="304"/>
      <c r="D876" s="310"/>
      <c r="E876" s="307"/>
      <c r="F876" s="307"/>
    </row>
    <row r="877">
      <c r="A877" s="304"/>
      <c r="B877" s="304"/>
      <c r="C877" s="304"/>
      <c r="D877" s="310"/>
      <c r="E877" s="307"/>
      <c r="F877" s="307"/>
    </row>
    <row r="878">
      <c r="A878" s="304"/>
      <c r="B878" s="304"/>
      <c r="C878" s="304"/>
      <c r="D878" s="310"/>
      <c r="E878" s="307"/>
      <c r="F878" s="307"/>
    </row>
    <row r="879">
      <c r="A879" s="304"/>
      <c r="B879" s="304"/>
      <c r="C879" s="304"/>
      <c r="D879" s="310"/>
      <c r="E879" s="307"/>
      <c r="F879" s="307"/>
    </row>
    <row r="880">
      <c r="A880" s="304"/>
      <c r="B880" s="304"/>
      <c r="C880" s="304"/>
      <c r="D880" s="310"/>
      <c r="E880" s="307"/>
      <c r="F880" s="307"/>
    </row>
    <row r="881">
      <c r="A881" s="304"/>
      <c r="B881" s="304"/>
      <c r="C881" s="304"/>
      <c r="D881" s="310"/>
      <c r="E881" s="307"/>
      <c r="F881" s="307"/>
    </row>
    <row r="882">
      <c r="A882" s="304"/>
      <c r="B882" s="304"/>
      <c r="C882" s="304"/>
      <c r="D882" s="310"/>
      <c r="E882" s="307"/>
      <c r="F882" s="307"/>
    </row>
    <row r="883">
      <c r="A883" s="304"/>
      <c r="B883" s="304"/>
      <c r="C883" s="304"/>
      <c r="D883" s="310"/>
      <c r="E883" s="307"/>
      <c r="F883" s="307"/>
    </row>
    <row r="884">
      <c r="A884" s="304"/>
      <c r="B884" s="304"/>
      <c r="C884" s="304"/>
      <c r="D884" s="310"/>
      <c r="E884" s="307"/>
      <c r="F884" s="307"/>
    </row>
    <row r="885">
      <c r="A885" s="304"/>
      <c r="B885" s="304"/>
      <c r="C885" s="304"/>
      <c r="D885" s="310"/>
      <c r="E885" s="307"/>
      <c r="F885" s="307"/>
    </row>
    <row r="886">
      <c r="A886" s="304"/>
      <c r="B886" s="304"/>
      <c r="C886" s="304"/>
      <c r="D886" s="310"/>
      <c r="E886" s="307"/>
      <c r="F886" s="307"/>
    </row>
    <row r="887">
      <c r="A887" s="304"/>
      <c r="B887" s="304"/>
      <c r="C887" s="304"/>
      <c r="D887" s="310"/>
      <c r="E887" s="307"/>
      <c r="F887" s="307"/>
    </row>
    <row r="888">
      <c r="A888" s="304"/>
      <c r="B888" s="304"/>
      <c r="C888" s="304"/>
      <c r="D888" s="310"/>
      <c r="E888" s="307"/>
      <c r="F888" s="307"/>
    </row>
    <row r="889">
      <c r="A889" s="304"/>
      <c r="B889" s="304"/>
      <c r="C889" s="304"/>
      <c r="D889" s="310"/>
      <c r="E889" s="307"/>
      <c r="F889" s="307"/>
    </row>
    <row r="890">
      <c r="A890" s="304"/>
      <c r="B890" s="304"/>
      <c r="C890" s="304"/>
      <c r="D890" s="310"/>
      <c r="E890" s="307"/>
      <c r="F890" s="307"/>
    </row>
    <row r="891">
      <c r="A891" s="304"/>
      <c r="B891" s="304"/>
      <c r="C891" s="304"/>
      <c r="D891" s="310"/>
      <c r="E891" s="307"/>
      <c r="F891" s="307"/>
    </row>
    <row r="892">
      <c r="A892" s="304"/>
      <c r="B892" s="304"/>
      <c r="C892" s="304"/>
      <c r="D892" s="310"/>
      <c r="E892" s="307"/>
      <c r="F892" s="307"/>
    </row>
    <row r="893">
      <c r="A893" s="304"/>
      <c r="B893" s="304"/>
      <c r="C893" s="304"/>
      <c r="D893" s="310"/>
      <c r="E893" s="307"/>
      <c r="F893" s="307"/>
    </row>
    <row r="894">
      <c r="A894" s="304"/>
      <c r="B894" s="304"/>
      <c r="C894" s="304"/>
      <c r="D894" s="310"/>
      <c r="E894" s="307"/>
      <c r="F894" s="307"/>
    </row>
    <row r="895">
      <c r="A895" s="304"/>
      <c r="B895" s="304"/>
      <c r="C895" s="304"/>
      <c r="D895" s="310"/>
      <c r="E895" s="307"/>
      <c r="F895" s="307"/>
    </row>
    <row r="896">
      <c r="A896" s="304"/>
      <c r="B896" s="304"/>
      <c r="C896" s="304"/>
      <c r="D896" s="310"/>
      <c r="E896" s="307"/>
      <c r="F896" s="307"/>
    </row>
    <row r="897">
      <c r="A897" s="304"/>
      <c r="B897" s="304"/>
      <c r="C897" s="304"/>
      <c r="D897" s="310"/>
      <c r="E897" s="307"/>
      <c r="F897" s="307"/>
    </row>
    <row r="898">
      <c r="A898" s="304"/>
      <c r="B898" s="304"/>
      <c r="C898" s="304"/>
      <c r="D898" s="310"/>
      <c r="E898" s="307"/>
      <c r="F898" s="307"/>
    </row>
    <row r="899">
      <c r="A899" s="304"/>
      <c r="B899" s="304"/>
      <c r="C899" s="304"/>
      <c r="D899" s="310"/>
      <c r="E899" s="307"/>
      <c r="F899" s="307"/>
    </row>
    <row r="900">
      <c r="A900" s="304"/>
      <c r="B900" s="304"/>
      <c r="C900" s="304"/>
      <c r="D900" s="310"/>
      <c r="E900" s="307"/>
      <c r="F900" s="307"/>
    </row>
    <row r="901">
      <c r="A901" s="304"/>
      <c r="B901" s="304"/>
      <c r="C901" s="304"/>
      <c r="D901" s="310"/>
      <c r="E901" s="307"/>
      <c r="F901" s="307"/>
    </row>
    <row r="902">
      <c r="A902" s="304"/>
      <c r="B902" s="304"/>
      <c r="C902" s="304"/>
      <c r="D902" s="310"/>
      <c r="E902" s="307"/>
      <c r="F902" s="307"/>
    </row>
    <row r="903">
      <c r="A903" s="304"/>
      <c r="B903" s="304"/>
      <c r="C903" s="304"/>
      <c r="D903" s="310"/>
      <c r="E903" s="307"/>
      <c r="F903" s="307"/>
    </row>
    <row r="904">
      <c r="A904" s="304"/>
      <c r="B904" s="304"/>
      <c r="C904" s="304"/>
      <c r="D904" s="310"/>
      <c r="E904" s="307"/>
      <c r="F904" s="307"/>
    </row>
    <row r="905">
      <c r="A905" s="304"/>
      <c r="B905" s="304"/>
      <c r="C905" s="304"/>
      <c r="D905" s="310"/>
      <c r="E905" s="307"/>
      <c r="F905" s="307"/>
    </row>
    <row r="906">
      <c r="A906" s="304"/>
      <c r="B906" s="304"/>
      <c r="C906" s="304"/>
      <c r="D906" s="310"/>
      <c r="E906" s="307"/>
      <c r="F906" s="307"/>
    </row>
    <row r="907">
      <c r="A907" s="304"/>
      <c r="B907" s="304"/>
      <c r="C907" s="304"/>
      <c r="D907" s="310"/>
      <c r="E907" s="307"/>
      <c r="F907" s="307"/>
    </row>
    <row r="908">
      <c r="A908" s="304"/>
      <c r="B908" s="304"/>
      <c r="C908" s="304"/>
      <c r="D908" s="310"/>
      <c r="E908" s="307"/>
      <c r="F908" s="307"/>
    </row>
    <row r="909">
      <c r="A909" s="304"/>
      <c r="B909" s="304"/>
      <c r="C909" s="304"/>
      <c r="D909" s="310"/>
      <c r="E909" s="307"/>
      <c r="F909" s="307"/>
    </row>
    <row r="910">
      <c r="A910" s="304"/>
      <c r="B910" s="304"/>
      <c r="C910" s="304"/>
      <c r="D910" s="310"/>
      <c r="E910" s="307"/>
      <c r="F910" s="307"/>
    </row>
    <row r="911">
      <c r="A911" s="304"/>
      <c r="B911" s="304"/>
      <c r="C911" s="304"/>
      <c r="D911" s="310"/>
      <c r="E911" s="307"/>
      <c r="F911" s="307"/>
    </row>
    <row r="912">
      <c r="A912" s="304"/>
      <c r="B912" s="304"/>
      <c r="C912" s="304"/>
      <c r="D912" s="310"/>
      <c r="E912" s="307"/>
      <c r="F912" s="307"/>
    </row>
    <row r="913">
      <c r="A913" s="304"/>
      <c r="B913" s="304"/>
      <c r="C913" s="304"/>
      <c r="D913" s="310"/>
      <c r="E913" s="307"/>
      <c r="F913" s="307"/>
    </row>
    <row r="914">
      <c r="A914" s="304"/>
      <c r="B914" s="304"/>
      <c r="C914" s="304"/>
      <c r="D914" s="310"/>
      <c r="E914" s="307"/>
      <c r="F914" s="307"/>
    </row>
    <row r="915">
      <c r="A915" s="304"/>
      <c r="B915" s="304"/>
      <c r="C915" s="304"/>
      <c r="D915" s="310"/>
      <c r="E915" s="307"/>
      <c r="F915" s="307"/>
    </row>
    <row r="916">
      <c r="A916" s="304"/>
      <c r="B916" s="304"/>
      <c r="C916" s="304"/>
      <c r="D916" s="310"/>
      <c r="E916" s="307"/>
      <c r="F916" s="307"/>
    </row>
    <row r="917">
      <c r="A917" s="304"/>
      <c r="B917" s="304"/>
      <c r="C917" s="304"/>
      <c r="D917" s="310"/>
      <c r="E917" s="307"/>
      <c r="F917" s="307"/>
    </row>
    <row r="918">
      <c r="A918" s="304"/>
      <c r="B918" s="304"/>
      <c r="C918" s="304"/>
      <c r="D918" s="310"/>
      <c r="E918" s="307"/>
      <c r="F918" s="307"/>
    </row>
    <row r="919">
      <c r="A919" s="304"/>
      <c r="B919" s="304"/>
      <c r="C919" s="304"/>
      <c r="D919" s="310"/>
      <c r="E919" s="307"/>
      <c r="F919" s="307"/>
    </row>
    <row r="920">
      <c r="A920" s="304"/>
      <c r="B920" s="304"/>
      <c r="C920" s="304"/>
      <c r="D920" s="310"/>
      <c r="E920" s="307"/>
      <c r="F920" s="307"/>
    </row>
    <row r="921">
      <c r="A921" s="304"/>
      <c r="B921" s="304"/>
      <c r="C921" s="304"/>
      <c r="D921" s="310"/>
      <c r="E921" s="307"/>
      <c r="F921" s="307"/>
    </row>
    <row r="922">
      <c r="A922" s="304"/>
      <c r="B922" s="304"/>
      <c r="C922" s="304"/>
      <c r="D922" s="310"/>
      <c r="E922" s="307"/>
      <c r="F922" s="307"/>
    </row>
    <row r="923">
      <c r="A923" s="304"/>
      <c r="B923" s="304"/>
      <c r="C923" s="304"/>
      <c r="D923" s="310"/>
      <c r="E923" s="307"/>
      <c r="F923" s="307"/>
    </row>
    <row r="924">
      <c r="A924" s="304"/>
      <c r="B924" s="304"/>
      <c r="C924" s="304"/>
      <c r="D924" s="310"/>
      <c r="E924" s="307"/>
      <c r="F924" s="307"/>
    </row>
    <row r="925">
      <c r="A925" s="304"/>
      <c r="B925" s="304"/>
      <c r="C925" s="304"/>
      <c r="D925" s="310"/>
      <c r="E925" s="307"/>
      <c r="F925" s="307"/>
    </row>
    <row r="926">
      <c r="A926" s="304"/>
      <c r="B926" s="304"/>
      <c r="C926" s="304"/>
      <c r="D926" s="310"/>
      <c r="E926" s="307"/>
      <c r="F926" s="307"/>
    </row>
    <row r="927">
      <c r="A927" s="304"/>
      <c r="B927" s="304"/>
      <c r="C927" s="304"/>
      <c r="D927" s="310"/>
      <c r="E927" s="307"/>
      <c r="F927" s="307"/>
    </row>
    <row r="928">
      <c r="A928" s="304"/>
      <c r="B928" s="304"/>
      <c r="C928" s="304"/>
      <c r="D928" s="310"/>
      <c r="E928" s="307"/>
      <c r="F928" s="307"/>
    </row>
    <row r="929">
      <c r="A929" s="304"/>
      <c r="B929" s="304"/>
      <c r="C929" s="304"/>
      <c r="D929" s="310"/>
      <c r="E929" s="307"/>
      <c r="F929" s="307"/>
    </row>
    <row r="930">
      <c r="A930" s="304"/>
      <c r="B930" s="304"/>
      <c r="C930" s="304"/>
      <c r="D930" s="310"/>
      <c r="E930" s="307"/>
      <c r="F930" s="307"/>
    </row>
    <row r="931">
      <c r="A931" s="304"/>
      <c r="B931" s="304"/>
      <c r="C931" s="304"/>
      <c r="D931" s="310"/>
      <c r="E931" s="307"/>
      <c r="F931" s="307"/>
    </row>
    <row r="932">
      <c r="A932" s="304"/>
      <c r="B932" s="304"/>
      <c r="C932" s="304"/>
      <c r="D932" s="310"/>
      <c r="E932" s="307"/>
      <c r="F932" s="307"/>
    </row>
    <row r="933">
      <c r="A933" s="304"/>
      <c r="B933" s="304"/>
      <c r="C933" s="304"/>
      <c r="D933" s="310"/>
      <c r="E933" s="307"/>
      <c r="F933" s="307"/>
    </row>
    <row r="934">
      <c r="A934" s="304"/>
      <c r="B934" s="304"/>
      <c r="C934" s="304"/>
      <c r="D934" s="310"/>
      <c r="E934" s="307"/>
      <c r="F934" s="307"/>
    </row>
    <row r="935">
      <c r="A935" s="304"/>
      <c r="B935" s="304"/>
      <c r="C935" s="304"/>
      <c r="D935" s="310"/>
      <c r="E935" s="307"/>
      <c r="F935" s="307"/>
    </row>
    <row r="936">
      <c r="A936" s="304"/>
      <c r="B936" s="304"/>
      <c r="C936" s="304"/>
      <c r="D936" s="310"/>
      <c r="E936" s="307"/>
      <c r="F936" s="307"/>
    </row>
    <row r="937">
      <c r="A937" s="304"/>
      <c r="B937" s="304"/>
      <c r="C937" s="304"/>
      <c r="D937" s="310"/>
      <c r="E937" s="307"/>
      <c r="F937" s="307"/>
    </row>
    <row r="938">
      <c r="A938" s="304"/>
      <c r="B938" s="304"/>
      <c r="C938" s="304"/>
      <c r="D938" s="310"/>
      <c r="E938" s="307"/>
      <c r="F938" s="307"/>
    </row>
    <row r="939">
      <c r="A939" s="304"/>
      <c r="B939" s="304"/>
      <c r="C939" s="304"/>
      <c r="D939" s="310"/>
      <c r="E939" s="307"/>
      <c r="F939" s="307"/>
    </row>
    <row r="940">
      <c r="A940" s="304"/>
      <c r="B940" s="304"/>
      <c r="C940" s="304"/>
      <c r="D940" s="310"/>
      <c r="E940" s="307"/>
      <c r="F940" s="307"/>
    </row>
    <row r="941">
      <c r="A941" s="304"/>
      <c r="B941" s="304"/>
      <c r="C941" s="304"/>
      <c r="D941" s="310"/>
      <c r="E941" s="307"/>
      <c r="F941" s="307"/>
    </row>
    <row r="942">
      <c r="A942" s="304"/>
      <c r="B942" s="304"/>
      <c r="C942" s="304"/>
      <c r="D942" s="310"/>
      <c r="E942" s="307"/>
      <c r="F942" s="307"/>
    </row>
    <row r="943">
      <c r="A943" s="304"/>
      <c r="B943" s="304"/>
      <c r="C943" s="304"/>
      <c r="D943" s="310"/>
      <c r="E943" s="307"/>
      <c r="F943" s="307"/>
    </row>
    <row r="944">
      <c r="A944" s="304"/>
      <c r="B944" s="304"/>
      <c r="C944" s="304"/>
      <c r="D944" s="310"/>
      <c r="E944" s="307"/>
      <c r="F944" s="307"/>
    </row>
    <row r="945">
      <c r="A945" s="304"/>
      <c r="B945" s="304"/>
      <c r="C945" s="304"/>
      <c r="D945" s="310"/>
      <c r="E945" s="307"/>
      <c r="F945" s="307"/>
    </row>
    <row r="946">
      <c r="A946" s="304"/>
      <c r="B946" s="304"/>
      <c r="C946" s="304"/>
      <c r="D946" s="310"/>
      <c r="E946" s="307"/>
      <c r="F946" s="307"/>
    </row>
    <row r="947">
      <c r="A947" s="304"/>
      <c r="B947" s="304"/>
      <c r="C947" s="304"/>
      <c r="D947" s="310"/>
      <c r="E947" s="307"/>
      <c r="F947" s="307"/>
    </row>
    <row r="948">
      <c r="A948" s="304"/>
      <c r="B948" s="304"/>
      <c r="C948" s="304"/>
      <c r="D948" s="310"/>
      <c r="E948" s="307"/>
      <c r="F948" s="307"/>
    </row>
    <row r="949">
      <c r="A949" s="304"/>
      <c r="B949" s="304"/>
      <c r="C949" s="304"/>
      <c r="D949" s="310"/>
      <c r="E949" s="307"/>
      <c r="F949" s="307"/>
    </row>
    <row r="950">
      <c r="A950" s="304"/>
      <c r="B950" s="304"/>
      <c r="C950" s="304"/>
      <c r="D950" s="310"/>
      <c r="E950" s="307"/>
      <c r="F950" s="307"/>
    </row>
    <row r="951">
      <c r="A951" s="304"/>
      <c r="B951" s="304"/>
      <c r="C951" s="304"/>
      <c r="D951" s="310"/>
      <c r="E951" s="307"/>
      <c r="F951" s="307"/>
    </row>
    <row r="952">
      <c r="A952" s="304"/>
      <c r="B952" s="304"/>
      <c r="C952" s="304"/>
      <c r="D952" s="310"/>
      <c r="E952" s="307"/>
      <c r="F952" s="307"/>
    </row>
    <row r="953">
      <c r="A953" s="304"/>
      <c r="B953" s="304"/>
      <c r="C953" s="304"/>
      <c r="D953" s="310"/>
      <c r="E953" s="307"/>
      <c r="F953" s="307"/>
    </row>
    <row r="954">
      <c r="A954" s="304"/>
      <c r="B954" s="304"/>
      <c r="C954" s="304"/>
      <c r="D954" s="310"/>
      <c r="E954" s="307"/>
      <c r="F954" s="307"/>
    </row>
    <row r="955">
      <c r="A955" s="304"/>
      <c r="B955" s="304"/>
      <c r="C955" s="304"/>
      <c r="D955" s="310"/>
      <c r="E955" s="307"/>
      <c r="F955" s="307"/>
    </row>
    <row r="956">
      <c r="A956" s="304"/>
      <c r="B956" s="304"/>
      <c r="C956" s="304"/>
      <c r="D956" s="310"/>
      <c r="E956" s="307"/>
      <c r="F956" s="307"/>
    </row>
    <row r="957">
      <c r="A957" s="304"/>
      <c r="B957" s="304"/>
      <c r="C957" s="304"/>
      <c r="D957" s="310"/>
      <c r="E957" s="307"/>
      <c r="F957" s="307"/>
    </row>
    <row r="958">
      <c r="A958" s="304"/>
      <c r="B958" s="304"/>
      <c r="C958" s="304"/>
      <c r="D958" s="310"/>
      <c r="E958" s="307"/>
      <c r="F958" s="307"/>
    </row>
    <row r="959">
      <c r="A959" s="304"/>
      <c r="B959" s="304"/>
      <c r="C959" s="304"/>
      <c r="D959" s="310"/>
      <c r="E959" s="307"/>
      <c r="F959" s="307"/>
    </row>
    <row r="960">
      <c r="A960" s="304"/>
      <c r="B960" s="304"/>
      <c r="C960" s="304"/>
      <c r="D960" s="310"/>
      <c r="E960" s="307"/>
      <c r="F960" s="307"/>
    </row>
    <row r="961">
      <c r="A961" s="304"/>
      <c r="B961" s="304"/>
      <c r="C961" s="304"/>
      <c r="D961" s="310"/>
      <c r="E961" s="307"/>
      <c r="F961" s="307"/>
    </row>
    <row r="962">
      <c r="A962" s="304"/>
      <c r="B962" s="304"/>
      <c r="C962" s="304"/>
      <c r="D962" s="310"/>
      <c r="E962" s="307"/>
      <c r="F962" s="307"/>
    </row>
    <row r="963">
      <c r="A963" s="304"/>
      <c r="B963" s="304"/>
      <c r="C963" s="304"/>
      <c r="D963" s="310"/>
      <c r="E963" s="307"/>
      <c r="F963" s="307"/>
    </row>
    <row r="964">
      <c r="A964" s="304"/>
      <c r="B964" s="304"/>
      <c r="C964" s="304"/>
      <c r="D964" s="310"/>
      <c r="E964" s="307"/>
      <c r="F964" s="307"/>
    </row>
    <row r="965">
      <c r="A965" s="304"/>
      <c r="B965" s="304"/>
      <c r="C965" s="304"/>
      <c r="D965" s="310"/>
      <c r="E965" s="307"/>
      <c r="F965" s="307"/>
    </row>
    <row r="966">
      <c r="A966" s="304"/>
      <c r="B966" s="304"/>
      <c r="C966" s="304"/>
      <c r="D966" s="310"/>
      <c r="E966" s="307"/>
      <c r="F966" s="307"/>
    </row>
    <row r="967">
      <c r="A967" s="304"/>
      <c r="B967" s="304"/>
      <c r="C967" s="304"/>
      <c r="D967" s="310"/>
      <c r="E967" s="307"/>
      <c r="F967" s="307"/>
    </row>
    <row r="968">
      <c r="A968" s="304"/>
      <c r="B968" s="304"/>
      <c r="C968" s="304"/>
      <c r="D968" s="310"/>
      <c r="E968" s="307"/>
      <c r="F968" s="307"/>
    </row>
    <row r="969">
      <c r="A969" s="304"/>
      <c r="B969" s="304"/>
      <c r="C969" s="304"/>
      <c r="D969" s="310"/>
      <c r="E969" s="307"/>
      <c r="F969" s="307"/>
    </row>
    <row r="970">
      <c r="A970" s="304"/>
      <c r="B970" s="304"/>
      <c r="C970" s="304"/>
      <c r="D970" s="310"/>
      <c r="E970" s="307"/>
      <c r="F970" s="307"/>
    </row>
    <row r="971">
      <c r="A971" s="304"/>
      <c r="B971" s="304"/>
      <c r="C971" s="304"/>
      <c r="D971" s="310"/>
      <c r="E971" s="307"/>
      <c r="F971" s="307"/>
    </row>
    <row r="972">
      <c r="A972" s="304"/>
      <c r="B972" s="304"/>
      <c r="C972" s="304"/>
      <c r="D972" s="310"/>
      <c r="E972" s="307"/>
      <c r="F972" s="307"/>
    </row>
    <row r="973">
      <c r="A973" s="304"/>
      <c r="B973" s="304"/>
      <c r="C973" s="304"/>
      <c r="D973" s="310"/>
      <c r="E973" s="307"/>
      <c r="F973" s="307"/>
    </row>
    <row r="974">
      <c r="A974" s="304"/>
      <c r="B974" s="304"/>
      <c r="C974" s="304"/>
      <c r="D974" s="310"/>
      <c r="E974" s="307"/>
      <c r="F974" s="307"/>
    </row>
    <row r="975">
      <c r="A975" s="304"/>
      <c r="B975" s="304"/>
      <c r="C975" s="304"/>
      <c r="D975" s="310"/>
      <c r="E975" s="307"/>
      <c r="F975" s="307"/>
    </row>
    <row r="976">
      <c r="A976" s="304"/>
      <c r="B976" s="304"/>
      <c r="C976" s="304"/>
      <c r="D976" s="310"/>
      <c r="E976" s="307"/>
      <c r="F976" s="307"/>
    </row>
    <row r="977">
      <c r="A977" s="304"/>
      <c r="B977" s="304"/>
      <c r="C977" s="304"/>
      <c r="D977" s="310"/>
      <c r="E977" s="307"/>
      <c r="F977" s="307"/>
    </row>
    <row r="978">
      <c r="A978" s="304"/>
      <c r="B978" s="304"/>
      <c r="C978" s="304"/>
      <c r="D978" s="310"/>
      <c r="E978" s="307"/>
      <c r="F978" s="307"/>
    </row>
    <row r="979">
      <c r="A979" s="304"/>
      <c r="B979" s="304"/>
      <c r="C979" s="304"/>
      <c r="D979" s="310"/>
      <c r="E979" s="307"/>
      <c r="F979" s="307"/>
    </row>
    <row r="980">
      <c r="A980" s="304"/>
      <c r="B980" s="304"/>
      <c r="C980" s="304"/>
      <c r="D980" s="310"/>
      <c r="E980" s="307"/>
      <c r="F980" s="307"/>
    </row>
    <row r="981">
      <c r="A981" s="304"/>
      <c r="B981" s="304"/>
      <c r="C981" s="304"/>
      <c r="D981" s="310"/>
      <c r="E981" s="307"/>
      <c r="F981" s="307"/>
    </row>
    <row r="982">
      <c r="A982" s="304"/>
      <c r="B982" s="304"/>
      <c r="C982" s="304"/>
      <c r="D982" s="310"/>
      <c r="E982" s="307"/>
      <c r="F982" s="307"/>
    </row>
    <row r="983">
      <c r="A983" s="304"/>
      <c r="B983" s="304"/>
      <c r="C983" s="304"/>
      <c r="D983" s="310"/>
      <c r="E983" s="307"/>
      <c r="F983" s="307"/>
    </row>
    <row r="984">
      <c r="A984" s="304"/>
      <c r="B984" s="304"/>
      <c r="C984" s="304"/>
      <c r="D984" s="310"/>
      <c r="E984" s="307"/>
      <c r="F984" s="307"/>
    </row>
    <row r="985">
      <c r="A985" s="304"/>
      <c r="B985" s="304"/>
      <c r="C985" s="304"/>
      <c r="D985" s="310"/>
      <c r="E985" s="307"/>
      <c r="F985" s="307"/>
    </row>
    <row r="986">
      <c r="A986" s="304"/>
      <c r="B986" s="304"/>
      <c r="C986" s="304"/>
      <c r="D986" s="310"/>
      <c r="E986" s="307"/>
      <c r="F986" s="307"/>
    </row>
    <row r="987">
      <c r="A987" s="304"/>
      <c r="B987" s="304"/>
      <c r="C987" s="304"/>
      <c r="D987" s="310"/>
      <c r="E987" s="307"/>
      <c r="F987" s="307"/>
    </row>
    <row r="988">
      <c r="A988" s="304"/>
      <c r="B988" s="304"/>
      <c r="C988" s="304"/>
      <c r="D988" s="310"/>
      <c r="E988" s="307"/>
      <c r="F988" s="307"/>
    </row>
    <row r="989">
      <c r="A989" s="304"/>
      <c r="B989" s="304"/>
      <c r="C989" s="304"/>
      <c r="D989" s="310"/>
      <c r="E989" s="307"/>
      <c r="F989" s="307"/>
    </row>
    <row r="990">
      <c r="A990" s="304"/>
      <c r="B990" s="304"/>
      <c r="C990" s="304"/>
      <c r="D990" s="310"/>
      <c r="E990" s="307"/>
      <c r="F990" s="307"/>
    </row>
    <row r="991">
      <c r="A991" s="304"/>
      <c r="B991" s="304"/>
      <c r="C991" s="304"/>
      <c r="D991" s="310"/>
      <c r="E991" s="307"/>
      <c r="F991" s="307"/>
    </row>
    <row r="992">
      <c r="A992" s="304"/>
      <c r="B992" s="304"/>
      <c r="C992" s="304"/>
      <c r="D992" s="310"/>
      <c r="E992" s="307"/>
      <c r="F992" s="307"/>
    </row>
    <row r="993">
      <c r="A993" s="304"/>
      <c r="B993" s="304"/>
      <c r="C993" s="304"/>
      <c r="D993" s="310"/>
      <c r="E993" s="307"/>
      <c r="F993" s="307"/>
    </row>
    <row r="994">
      <c r="A994" s="304"/>
      <c r="B994" s="304"/>
      <c r="C994" s="304"/>
      <c r="D994" s="310"/>
      <c r="E994" s="307"/>
      <c r="F994" s="307"/>
    </row>
    <row r="995">
      <c r="A995" s="304"/>
      <c r="B995" s="304"/>
      <c r="C995" s="304"/>
      <c r="D995" s="310"/>
      <c r="E995" s="307"/>
      <c r="F995" s="307"/>
    </row>
    <row r="996">
      <c r="A996" s="304"/>
      <c r="B996" s="304"/>
      <c r="C996" s="304"/>
      <c r="D996" s="310"/>
      <c r="E996" s="307"/>
      <c r="F996" s="307"/>
    </row>
    <row r="997">
      <c r="A997" s="304"/>
      <c r="B997" s="304"/>
      <c r="C997" s="304"/>
      <c r="D997" s="310"/>
      <c r="E997" s="307"/>
      <c r="F997" s="307"/>
    </row>
    <row r="998">
      <c r="A998" s="304"/>
      <c r="B998" s="304"/>
      <c r="C998" s="304"/>
      <c r="D998" s="310"/>
      <c r="E998" s="307"/>
      <c r="F998" s="307"/>
    </row>
    <row r="999">
      <c r="A999" s="304"/>
      <c r="B999" s="304"/>
      <c r="C999" s="304"/>
      <c r="D999" s="310"/>
      <c r="E999" s="307"/>
      <c r="F999" s="307"/>
    </row>
    <row r="1000">
      <c r="A1000" s="304"/>
      <c r="B1000" s="304"/>
      <c r="C1000" s="304"/>
      <c r="D1000" s="310"/>
      <c r="E1000" s="307"/>
      <c r="F1000" s="30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38.0"/>
    <col customWidth="1" min="3" max="3" width="27.57"/>
    <col customWidth="1" min="4" max="4" width="31.86"/>
    <col customWidth="1" min="5" max="5" width="25.43"/>
    <col customWidth="1" min="6" max="26" width="9.14"/>
  </cols>
  <sheetData>
    <row r="1" ht="15.0" customHeight="1">
      <c r="A1" s="90"/>
      <c r="B1" s="90"/>
      <c r="C1" s="311"/>
      <c r="D1" s="311"/>
      <c r="E1" s="311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15.0" customHeight="1">
      <c r="A2" s="90"/>
      <c r="B2" s="90"/>
      <c r="C2" s="311"/>
      <c r="D2" s="311"/>
      <c r="E2" s="311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15.0" customHeight="1">
      <c r="A3" s="90"/>
      <c r="B3" s="90"/>
      <c r="C3" s="85" t="s">
        <v>534</v>
      </c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>
      <c r="A4" s="90"/>
      <c r="B4" s="90"/>
      <c r="C4" s="85"/>
      <c r="D4" s="85"/>
      <c r="E4" s="85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>
      <c r="A5" s="90"/>
      <c r="B5" s="312" t="s">
        <v>69</v>
      </c>
      <c r="C5" s="312" t="s">
        <v>535</v>
      </c>
      <c r="D5" s="312" t="s">
        <v>536</v>
      </c>
      <c r="E5" s="312" t="s">
        <v>7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>
      <c r="A6" s="145"/>
      <c r="B6" s="313" t="s">
        <v>537</v>
      </c>
      <c r="C6" s="314">
        <v>48169.0</v>
      </c>
      <c r="D6" s="297" t="s">
        <v>183</v>
      </c>
      <c r="E6" s="31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</row>
    <row r="7">
      <c r="A7" s="145"/>
      <c r="B7" s="316"/>
      <c r="C7" s="316"/>
      <c r="D7" s="316"/>
      <c r="E7" s="317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>
      <c r="A8" s="145"/>
      <c r="B8" s="313" t="s">
        <v>84</v>
      </c>
      <c r="C8" s="318">
        <v>47978.0</v>
      </c>
      <c r="D8" s="319" t="s">
        <v>155</v>
      </c>
      <c r="E8" s="320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>
      <c r="A9" s="145"/>
      <c r="B9" s="316"/>
      <c r="C9" s="316"/>
      <c r="D9" s="316"/>
      <c r="E9" s="317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>
      <c r="A10" s="145"/>
      <c r="B10" s="313" t="s">
        <v>538</v>
      </c>
      <c r="C10" s="321">
        <v>48966.0</v>
      </c>
      <c r="D10" s="319" t="s">
        <v>157</v>
      </c>
      <c r="E10" s="320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</row>
    <row r="11">
      <c r="A11" s="145"/>
      <c r="B11" s="316"/>
      <c r="C11" s="316"/>
      <c r="D11" s="316"/>
      <c r="E11" s="317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>
      <c r="A12" s="145"/>
      <c r="B12" s="313" t="s">
        <v>161</v>
      </c>
      <c r="C12" s="322" t="s">
        <v>539</v>
      </c>
      <c r="D12" s="313" t="s">
        <v>159</v>
      </c>
      <c r="E12" s="320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>
      <c r="A13" s="145"/>
      <c r="B13" s="316"/>
      <c r="C13" s="316"/>
      <c r="D13" s="316"/>
      <c r="E13" s="317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>
      <c r="A14" s="145"/>
      <c r="B14" s="313" t="s">
        <v>458</v>
      </c>
      <c r="C14" s="323">
        <v>49128.0</v>
      </c>
      <c r="D14" s="319" t="s">
        <v>162</v>
      </c>
      <c r="E14" s="320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>
      <c r="A15" s="145"/>
      <c r="B15" s="316"/>
      <c r="C15" s="316"/>
      <c r="D15" s="316"/>
      <c r="E15" s="317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>
      <c r="A16" s="145"/>
      <c r="B16" s="313" t="s">
        <v>540</v>
      </c>
      <c r="C16" s="323">
        <v>49343.0</v>
      </c>
      <c r="D16" s="319" t="s">
        <v>164</v>
      </c>
      <c r="E16" s="320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>
      <c r="A17" s="145"/>
      <c r="B17" s="316"/>
      <c r="C17" s="316"/>
      <c r="D17" s="316"/>
      <c r="E17" s="317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>
      <c r="A18" s="145"/>
      <c r="B18" s="313" t="s">
        <v>541</v>
      </c>
      <c r="C18" s="324">
        <v>46049.0</v>
      </c>
      <c r="D18" s="325" t="s">
        <v>189</v>
      </c>
      <c r="E18" s="320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>
      <c r="A19" s="145"/>
      <c r="B19" s="316"/>
      <c r="C19" s="316"/>
      <c r="D19" s="316"/>
      <c r="E19" s="317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>
      <c r="A20" s="145"/>
      <c r="B20" s="326" t="s">
        <v>542</v>
      </c>
      <c r="C20" s="327">
        <v>48903.0</v>
      </c>
      <c r="D20" s="297" t="s">
        <v>192</v>
      </c>
      <c r="E20" s="320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ht="15.75" customHeight="1">
      <c r="A21" s="145"/>
      <c r="B21" s="316"/>
      <c r="C21" s="316"/>
      <c r="D21" s="316"/>
      <c r="E21" s="317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ht="15.75" customHeight="1">
      <c r="A22" s="145"/>
      <c r="B22" s="313" t="s">
        <v>96</v>
      </c>
      <c r="C22" s="328">
        <v>49706.0</v>
      </c>
      <c r="D22" s="319" t="s">
        <v>543</v>
      </c>
      <c r="E22" s="320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ht="15.75" customHeight="1">
      <c r="A23" s="145"/>
      <c r="B23" s="316"/>
      <c r="C23" s="316"/>
      <c r="D23" s="316"/>
      <c r="E23" s="317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ht="15.75" customHeight="1">
      <c r="A24" s="145"/>
      <c r="B24" s="313" t="s">
        <v>75</v>
      </c>
      <c r="C24" s="318">
        <v>46821.0</v>
      </c>
      <c r="D24" s="313" t="s">
        <v>544</v>
      </c>
      <c r="E24" s="320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ht="15.75" customHeight="1">
      <c r="A25" s="145"/>
      <c r="B25" s="316"/>
      <c r="C25" s="316"/>
      <c r="D25" s="316"/>
      <c r="E25" s="317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ht="15.75" customHeight="1">
      <c r="A26" s="145"/>
      <c r="B26" s="313" t="s">
        <v>545</v>
      </c>
      <c r="C26" s="318">
        <v>46221.0</v>
      </c>
      <c r="D26" s="313" t="s">
        <v>546</v>
      </c>
      <c r="E26" s="320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ht="15.75" customHeight="1">
      <c r="A27" s="145"/>
      <c r="B27" s="316"/>
      <c r="C27" s="316"/>
      <c r="D27" s="316"/>
      <c r="E27" s="317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ht="15.75" customHeight="1">
      <c r="A28" s="90"/>
      <c r="B28" s="313" t="s">
        <v>77</v>
      </c>
      <c r="C28" s="318">
        <v>49080.0</v>
      </c>
      <c r="D28" s="329" t="s">
        <v>547</v>
      </c>
      <c r="E28" s="33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5.75" customHeight="1">
      <c r="A29" s="90"/>
      <c r="B29" s="316"/>
      <c r="C29" s="331"/>
      <c r="D29" s="316"/>
      <c r="E29" s="332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5.75" customHeight="1">
      <c r="A30" s="90"/>
      <c r="B30" s="326" t="s">
        <v>548</v>
      </c>
      <c r="C30" s="333">
        <v>48933.0</v>
      </c>
      <c r="D30" s="297" t="s">
        <v>185</v>
      </c>
      <c r="E30" s="33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5.75" customHeight="1">
      <c r="A31" s="90"/>
      <c r="B31" s="316"/>
      <c r="C31" s="331"/>
      <c r="D31" s="316"/>
      <c r="E31" s="332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5.75" customHeight="1">
      <c r="A32" s="90"/>
      <c r="B32" s="326" t="s">
        <v>549</v>
      </c>
      <c r="C32" s="334">
        <v>48117.0</v>
      </c>
      <c r="D32" s="297" t="s">
        <v>550</v>
      </c>
      <c r="E32" s="33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5.75" customHeight="1">
      <c r="A33" s="90"/>
      <c r="B33" s="316"/>
      <c r="C33" s="331"/>
      <c r="D33" s="316"/>
      <c r="E33" s="332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5.75" customHeight="1">
      <c r="A34" s="90"/>
      <c r="B34" s="326" t="s">
        <v>551</v>
      </c>
      <c r="C34" s="333">
        <v>48181.0</v>
      </c>
      <c r="D34" s="297" t="s">
        <v>178</v>
      </c>
      <c r="E34" s="33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5.75" customHeight="1">
      <c r="A35" s="90"/>
      <c r="B35" s="316"/>
      <c r="C35" s="331"/>
      <c r="D35" s="316"/>
      <c r="E35" s="332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5.75" customHeight="1">
      <c r="A36" s="90"/>
      <c r="B36" s="326" t="s">
        <v>552</v>
      </c>
      <c r="C36" s="333">
        <v>49939.0</v>
      </c>
      <c r="D36" s="297" t="s">
        <v>149</v>
      </c>
      <c r="E36" s="33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5.75" customHeight="1">
      <c r="A37" s="90"/>
      <c r="B37" s="316"/>
      <c r="C37" s="331"/>
      <c r="D37" s="316"/>
      <c r="E37" s="332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5.75" customHeight="1">
      <c r="A38" s="90"/>
      <c r="B38" s="326" t="s">
        <v>553</v>
      </c>
      <c r="C38" s="333">
        <v>48710.0</v>
      </c>
      <c r="D38" s="297" t="s">
        <v>447</v>
      </c>
      <c r="E38" s="33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5.75" customHeight="1">
      <c r="A39" s="90"/>
      <c r="B39" s="316"/>
      <c r="C39" s="331"/>
      <c r="D39" s="316"/>
      <c r="E39" s="332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5.75" customHeight="1">
      <c r="A40" s="90"/>
      <c r="B40" s="313"/>
      <c r="C40" s="333"/>
      <c r="D40" s="313"/>
      <c r="E40" s="33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5.75" customHeight="1">
      <c r="A41" s="90"/>
      <c r="B41" s="316"/>
      <c r="C41" s="331"/>
      <c r="D41" s="316"/>
      <c r="E41" s="332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5.75" customHeight="1">
      <c r="A42" s="90"/>
      <c r="B42" s="313"/>
      <c r="C42" s="333"/>
      <c r="D42" s="313"/>
      <c r="E42" s="33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5.75" customHeight="1">
      <c r="A43" s="90"/>
      <c r="B43" s="90"/>
      <c r="C43" s="90"/>
      <c r="D43" s="90"/>
      <c r="E43" s="147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5.75" customHeight="1">
      <c r="A44" s="90"/>
      <c r="B44" s="90"/>
      <c r="C44" s="90"/>
      <c r="D44" s="90"/>
      <c r="E44" s="147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5.75" customHeight="1">
      <c r="A45" s="90"/>
      <c r="B45" s="90"/>
      <c r="C45" s="90"/>
      <c r="D45" s="90"/>
      <c r="E45" s="147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5.75" customHeight="1">
      <c r="A46" s="90"/>
      <c r="B46" s="90"/>
      <c r="C46" s="90"/>
      <c r="D46" s="90"/>
      <c r="E46" s="147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5.75" customHeight="1">
      <c r="A47" s="90"/>
      <c r="B47" s="90"/>
      <c r="C47" s="90"/>
      <c r="D47" s="90"/>
      <c r="E47" s="147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5.75" customHeight="1">
      <c r="A48" s="90"/>
      <c r="B48" s="90"/>
      <c r="C48" s="90"/>
      <c r="D48" s="90"/>
      <c r="E48" s="147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5.75" customHeight="1">
      <c r="A49" s="90"/>
      <c r="B49" s="90"/>
      <c r="C49" s="90"/>
      <c r="D49" s="90"/>
      <c r="E49" s="147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5.75" customHeight="1">
      <c r="A50" s="90"/>
      <c r="B50" s="90"/>
      <c r="C50" s="90"/>
      <c r="D50" s="90"/>
      <c r="E50" s="147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5.75" customHeight="1">
      <c r="A51" s="90"/>
      <c r="B51" s="90"/>
      <c r="C51" s="90"/>
      <c r="D51" s="90"/>
      <c r="E51" s="147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5.75" customHeight="1">
      <c r="A52" s="90"/>
      <c r="B52" s="90"/>
      <c r="C52" s="90"/>
      <c r="D52" s="90"/>
      <c r="E52" s="147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5.75" customHeight="1">
      <c r="A53" s="90"/>
      <c r="B53" s="90"/>
      <c r="C53" s="90"/>
      <c r="D53" s="90"/>
      <c r="E53" s="147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5.75" customHeight="1">
      <c r="A54" s="90"/>
      <c r="B54" s="90"/>
      <c r="C54" s="90"/>
      <c r="D54" s="90"/>
      <c r="E54" s="147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5.75" customHeight="1">
      <c r="A55" s="90"/>
      <c r="B55" s="90"/>
      <c r="C55" s="90"/>
      <c r="D55" s="90"/>
      <c r="E55" s="147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5.75" customHeight="1">
      <c r="A56" s="90"/>
      <c r="B56" s="90"/>
      <c r="C56" s="90"/>
      <c r="D56" s="90"/>
      <c r="E56" s="147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5.75" customHeight="1">
      <c r="A57" s="90"/>
      <c r="B57" s="90"/>
      <c r="C57" s="90"/>
      <c r="D57" s="90"/>
      <c r="E57" s="147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5.75" customHeight="1">
      <c r="A58" s="90"/>
      <c r="B58" s="90"/>
      <c r="C58" s="90"/>
      <c r="D58" s="90"/>
      <c r="E58" s="147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5.75" customHeight="1">
      <c r="A59" s="90"/>
      <c r="B59" s="90"/>
      <c r="C59" s="90"/>
      <c r="D59" s="90"/>
      <c r="E59" s="147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5.75" customHeight="1">
      <c r="A60" s="90"/>
      <c r="B60" s="90"/>
      <c r="C60" s="90"/>
      <c r="D60" s="90"/>
      <c r="E60" s="147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5.75" customHeight="1">
      <c r="A61" s="90"/>
      <c r="B61" s="90"/>
      <c r="C61" s="90"/>
      <c r="D61" s="90"/>
      <c r="E61" s="147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5.75" customHeight="1">
      <c r="A62" s="90"/>
      <c r="B62" s="90"/>
      <c r="C62" s="90"/>
      <c r="D62" s="90"/>
      <c r="E62" s="147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5.75" customHeight="1">
      <c r="A63" s="90"/>
      <c r="B63" s="90"/>
      <c r="C63" s="90"/>
      <c r="D63" s="90"/>
      <c r="E63" s="147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5.75" customHeight="1">
      <c r="A64" s="90"/>
      <c r="B64" s="90"/>
      <c r="C64" s="90"/>
      <c r="D64" s="90"/>
      <c r="E64" s="147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5.75" customHeight="1">
      <c r="A65" s="90"/>
      <c r="B65" s="90"/>
      <c r="C65" s="90"/>
      <c r="D65" s="90"/>
      <c r="E65" s="147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5.75" customHeight="1">
      <c r="A66" s="90"/>
      <c r="B66" s="90"/>
      <c r="C66" s="90"/>
      <c r="D66" s="90"/>
      <c r="E66" s="147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5.75" customHeight="1">
      <c r="A67" s="90"/>
      <c r="B67" s="90"/>
      <c r="C67" s="90"/>
      <c r="D67" s="90"/>
      <c r="E67" s="147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5.75" customHeight="1">
      <c r="A68" s="90"/>
      <c r="B68" s="90"/>
      <c r="C68" s="90"/>
      <c r="D68" s="90"/>
      <c r="E68" s="147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ht="15.75" customHeight="1">
      <c r="A69" s="90"/>
      <c r="B69" s="90"/>
      <c r="C69" s="90"/>
      <c r="D69" s="90"/>
      <c r="E69" s="147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5.75" customHeight="1">
      <c r="A70" s="90"/>
      <c r="B70" s="90"/>
      <c r="C70" s="90"/>
      <c r="D70" s="90"/>
      <c r="E70" s="147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5.75" customHeight="1">
      <c r="A71" s="90"/>
      <c r="B71" s="90"/>
      <c r="C71" s="90"/>
      <c r="D71" s="90"/>
      <c r="E71" s="147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ht="15.75" customHeight="1">
      <c r="A72" s="90"/>
      <c r="B72" s="90"/>
      <c r="C72" s="90"/>
      <c r="D72" s="90"/>
      <c r="E72" s="147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ht="15.75" customHeight="1">
      <c r="A73" s="90"/>
      <c r="B73" s="90"/>
      <c r="C73" s="90"/>
      <c r="D73" s="90"/>
      <c r="E73" s="147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ht="15.75" customHeight="1">
      <c r="A74" s="90"/>
      <c r="B74" s="90"/>
      <c r="C74" s="90"/>
      <c r="D74" s="90"/>
      <c r="E74" s="147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ht="15.75" customHeight="1">
      <c r="A75" s="90"/>
      <c r="B75" s="90"/>
      <c r="C75" s="90"/>
      <c r="D75" s="90"/>
      <c r="E75" s="147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ht="15.75" customHeight="1">
      <c r="A76" s="90"/>
      <c r="B76" s="90"/>
      <c r="C76" s="90"/>
      <c r="D76" s="90"/>
      <c r="E76" s="147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ht="15.75" customHeight="1">
      <c r="A77" s="90"/>
      <c r="B77" s="90"/>
      <c r="C77" s="90"/>
      <c r="D77" s="90"/>
      <c r="E77" s="147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ht="15.75" customHeight="1">
      <c r="A78" s="90"/>
      <c r="B78" s="90"/>
      <c r="C78" s="90"/>
      <c r="D78" s="90"/>
      <c r="E78" s="147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ht="15.75" customHeight="1">
      <c r="A79" s="90"/>
      <c r="B79" s="90"/>
      <c r="C79" s="90"/>
      <c r="D79" s="90"/>
      <c r="E79" s="147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ht="15.75" customHeight="1">
      <c r="A80" s="90"/>
      <c r="B80" s="90"/>
      <c r="C80" s="90"/>
      <c r="D80" s="90"/>
      <c r="E80" s="147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ht="15.75" customHeight="1">
      <c r="A81" s="90"/>
      <c r="B81" s="90"/>
      <c r="C81" s="90"/>
      <c r="D81" s="90"/>
      <c r="E81" s="147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ht="15.75" customHeight="1">
      <c r="A82" s="90"/>
      <c r="B82" s="90"/>
      <c r="C82" s="90"/>
      <c r="D82" s="90"/>
      <c r="E82" s="147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ht="15.75" customHeight="1">
      <c r="A83" s="90"/>
      <c r="B83" s="90"/>
      <c r="C83" s="90"/>
      <c r="D83" s="90"/>
      <c r="E83" s="147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ht="15.75" customHeight="1">
      <c r="A84" s="90"/>
      <c r="B84" s="90"/>
      <c r="C84" s="90"/>
      <c r="D84" s="90"/>
      <c r="E84" s="147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ht="15.75" customHeight="1">
      <c r="A85" s="90"/>
      <c r="B85" s="90"/>
      <c r="C85" s="90"/>
      <c r="D85" s="90"/>
      <c r="E85" s="147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ht="15.75" customHeight="1">
      <c r="A86" s="90"/>
      <c r="B86" s="90"/>
      <c r="C86" s="90"/>
      <c r="D86" s="90"/>
      <c r="E86" s="147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ht="15.75" customHeight="1">
      <c r="A87" s="90"/>
      <c r="B87" s="90"/>
      <c r="C87" s="90"/>
      <c r="D87" s="90"/>
      <c r="E87" s="147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ht="15.75" customHeight="1">
      <c r="A88" s="90"/>
      <c r="B88" s="90"/>
      <c r="C88" s="90"/>
      <c r="D88" s="90"/>
      <c r="E88" s="147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ht="15.75" customHeight="1">
      <c r="A89" s="90"/>
      <c r="B89" s="90"/>
      <c r="C89" s="90"/>
      <c r="D89" s="90"/>
      <c r="E89" s="147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ht="15.75" customHeight="1">
      <c r="A90" s="90"/>
      <c r="B90" s="90"/>
      <c r="C90" s="90"/>
      <c r="D90" s="90"/>
      <c r="E90" s="147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ht="15.75" customHeight="1">
      <c r="A91" s="90"/>
      <c r="B91" s="90"/>
      <c r="C91" s="90"/>
      <c r="D91" s="90"/>
      <c r="E91" s="147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ht="15.75" customHeight="1">
      <c r="A92" s="90"/>
      <c r="B92" s="90"/>
      <c r="C92" s="90"/>
      <c r="D92" s="90"/>
      <c r="E92" s="147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ht="15.75" customHeight="1">
      <c r="A93" s="90"/>
      <c r="B93" s="90"/>
      <c r="C93" s="90"/>
      <c r="D93" s="90"/>
      <c r="E93" s="147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ht="15.75" customHeight="1">
      <c r="A94" s="90"/>
      <c r="B94" s="90"/>
      <c r="C94" s="90"/>
      <c r="D94" s="90"/>
      <c r="E94" s="147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ht="15.75" customHeight="1">
      <c r="A95" s="90"/>
      <c r="B95" s="90"/>
      <c r="C95" s="90"/>
      <c r="D95" s="90"/>
      <c r="E95" s="147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ht="15.75" customHeight="1">
      <c r="A96" s="90"/>
      <c r="B96" s="90"/>
      <c r="C96" s="90"/>
      <c r="D96" s="90"/>
      <c r="E96" s="147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ht="15.75" customHeight="1">
      <c r="A97" s="90"/>
      <c r="B97" s="90"/>
      <c r="C97" s="90"/>
      <c r="D97" s="90"/>
      <c r="E97" s="147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ht="15.75" customHeight="1">
      <c r="A98" s="90"/>
      <c r="B98" s="90"/>
      <c r="C98" s="90"/>
      <c r="D98" s="90"/>
      <c r="E98" s="147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ht="15.75" customHeight="1">
      <c r="A99" s="90"/>
      <c r="B99" s="90"/>
      <c r="C99" s="90"/>
      <c r="D99" s="90"/>
      <c r="E99" s="147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ht="15.75" customHeight="1">
      <c r="A100" s="90"/>
      <c r="B100" s="90"/>
      <c r="C100" s="90"/>
      <c r="D100" s="90"/>
      <c r="E100" s="147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ht="15.75" customHeight="1">
      <c r="A101" s="90"/>
      <c r="B101" s="90"/>
      <c r="C101" s="90"/>
      <c r="D101" s="90"/>
      <c r="E101" s="147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ht="15.75" customHeight="1">
      <c r="A102" s="90"/>
      <c r="B102" s="90"/>
      <c r="C102" s="90"/>
      <c r="D102" s="90"/>
      <c r="E102" s="147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ht="15.75" customHeight="1">
      <c r="A103" s="90"/>
      <c r="B103" s="90"/>
      <c r="C103" s="90"/>
      <c r="D103" s="90"/>
      <c r="E103" s="147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ht="15.75" customHeight="1">
      <c r="A104" s="90"/>
      <c r="B104" s="90"/>
      <c r="C104" s="90"/>
      <c r="D104" s="90"/>
      <c r="E104" s="147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ht="15.75" customHeight="1">
      <c r="A105" s="90"/>
      <c r="B105" s="90"/>
      <c r="C105" s="90"/>
      <c r="D105" s="90"/>
      <c r="E105" s="147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ht="15.75" customHeight="1">
      <c r="A106" s="90"/>
      <c r="B106" s="90"/>
      <c r="C106" s="90"/>
      <c r="D106" s="90"/>
      <c r="E106" s="147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ht="15.75" customHeight="1">
      <c r="A107" s="90"/>
      <c r="B107" s="90"/>
      <c r="C107" s="90"/>
      <c r="D107" s="90"/>
      <c r="E107" s="147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ht="15.75" customHeight="1">
      <c r="A108" s="90"/>
      <c r="B108" s="90"/>
      <c r="C108" s="90"/>
      <c r="D108" s="90"/>
      <c r="E108" s="147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ht="15.75" customHeight="1">
      <c r="A109" s="90"/>
      <c r="B109" s="90"/>
      <c r="C109" s="90"/>
      <c r="D109" s="90"/>
      <c r="E109" s="147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ht="15.75" customHeight="1">
      <c r="A110" s="90"/>
      <c r="B110" s="90"/>
      <c r="C110" s="90"/>
      <c r="D110" s="90"/>
      <c r="E110" s="147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ht="15.75" customHeight="1">
      <c r="A111" s="90"/>
      <c r="B111" s="90"/>
      <c r="C111" s="90"/>
      <c r="D111" s="90"/>
      <c r="E111" s="147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ht="15.75" customHeight="1">
      <c r="A112" s="90"/>
      <c r="B112" s="90"/>
      <c r="C112" s="90"/>
      <c r="D112" s="90"/>
      <c r="E112" s="147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ht="15.75" customHeight="1">
      <c r="A113" s="90"/>
      <c r="B113" s="90"/>
      <c r="C113" s="90"/>
      <c r="D113" s="90"/>
      <c r="E113" s="147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ht="15.75" customHeight="1">
      <c r="A114" s="90"/>
      <c r="B114" s="90"/>
      <c r="C114" s="90"/>
      <c r="D114" s="90"/>
      <c r="E114" s="147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ht="15.75" customHeight="1">
      <c r="A115" s="90"/>
      <c r="B115" s="90"/>
      <c r="C115" s="90"/>
      <c r="D115" s="90"/>
      <c r="E115" s="147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ht="15.75" customHeight="1">
      <c r="A116" s="90"/>
      <c r="B116" s="90"/>
      <c r="C116" s="90"/>
      <c r="D116" s="90"/>
      <c r="E116" s="147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ht="15.75" customHeight="1">
      <c r="A117" s="90"/>
      <c r="B117" s="90"/>
      <c r="C117" s="90"/>
      <c r="D117" s="90"/>
      <c r="E117" s="147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ht="10.5" customHeight="1">
      <c r="A118" s="149"/>
      <c r="B118" s="149"/>
      <c r="C118" s="149"/>
      <c r="D118" s="149"/>
      <c r="E118" s="153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ht="15.75" customHeight="1">
      <c r="A119" s="90"/>
      <c r="B119" s="90"/>
      <c r="C119" s="90"/>
      <c r="D119" s="90"/>
      <c r="E119" s="147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ht="15.75" customHeight="1">
      <c r="A120" s="90"/>
      <c r="B120" s="90"/>
      <c r="C120" s="90"/>
      <c r="D120" s="90"/>
      <c r="E120" s="147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ht="15.75" customHeight="1">
      <c r="A121" s="90"/>
      <c r="B121" s="90"/>
      <c r="C121" s="90"/>
      <c r="D121" s="90"/>
      <c r="E121" s="147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ht="15.75" customHeight="1">
      <c r="A122" s="90"/>
      <c r="B122" s="90"/>
      <c r="C122" s="90"/>
      <c r="D122" s="90"/>
      <c r="E122" s="147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ht="15.75" customHeight="1">
      <c r="A123" s="90"/>
      <c r="B123" s="90"/>
      <c r="C123" s="90"/>
      <c r="D123" s="90"/>
      <c r="E123" s="147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ht="15.75" customHeight="1">
      <c r="A124" s="90"/>
      <c r="B124" s="90"/>
      <c r="C124" s="90"/>
      <c r="D124" s="90"/>
      <c r="E124" s="147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ht="15.75" customHeight="1">
      <c r="A125" s="90"/>
      <c r="B125" s="90"/>
      <c r="C125" s="90"/>
      <c r="D125" s="90"/>
      <c r="E125" s="147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ht="15.75" customHeight="1">
      <c r="A126" s="90"/>
      <c r="B126" s="90"/>
      <c r="C126" s="90"/>
      <c r="D126" s="90"/>
      <c r="E126" s="147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ht="15.75" customHeight="1">
      <c r="A127" s="90"/>
      <c r="B127" s="90"/>
      <c r="C127" s="90"/>
      <c r="D127" s="90"/>
      <c r="E127" s="147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ht="15.75" customHeight="1">
      <c r="A128" s="90"/>
      <c r="B128" s="90"/>
      <c r="C128" s="90"/>
      <c r="D128" s="90"/>
      <c r="E128" s="147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ht="15.75" customHeight="1">
      <c r="A129" s="90"/>
      <c r="B129" s="90"/>
      <c r="C129" s="90"/>
      <c r="D129" s="90"/>
      <c r="E129" s="147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ht="15.75" customHeight="1">
      <c r="A130" s="90"/>
      <c r="B130" s="90"/>
      <c r="C130" s="90"/>
      <c r="D130" s="90"/>
      <c r="E130" s="147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ht="15.75" customHeight="1">
      <c r="A131" s="90"/>
      <c r="B131" s="90"/>
      <c r="C131" s="90"/>
      <c r="D131" s="90"/>
      <c r="E131" s="147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ht="15.75" customHeight="1">
      <c r="A132" s="90"/>
      <c r="B132" s="90"/>
      <c r="C132" s="90"/>
      <c r="D132" s="90"/>
      <c r="E132" s="147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ht="15.75" customHeight="1">
      <c r="A133" s="90"/>
      <c r="B133" s="90"/>
      <c r="C133" s="90"/>
      <c r="D133" s="90"/>
      <c r="E133" s="147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ht="15.75" customHeight="1">
      <c r="A134" s="90"/>
      <c r="B134" s="90"/>
      <c r="C134" s="90"/>
      <c r="D134" s="90"/>
      <c r="E134" s="147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ht="15.75" customHeight="1">
      <c r="A135" s="90"/>
      <c r="B135" s="90"/>
      <c r="C135" s="90"/>
      <c r="D135" s="90"/>
      <c r="E135" s="147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ht="15.75" customHeight="1">
      <c r="A136" s="90"/>
      <c r="B136" s="90"/>
      <c r="C136" s="90"/>
      <c r="D136" s="90"/>
      <c r="E136" s="147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ht="15.75" customHeight="1">
      <c r="A137" s="90"/>
      <c r="B137" s="90"/>
      <c r="C137" s="90"/>
      <c r="D137" s="90"/>
      <c r="E137" s="147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ht="15.75" customHeight="1">
      <c r="A138" s="90"/>
      <c r="B138" s="90"/>
      <c r="C138" s="90"/>
      <c r="D138" s="90"/>
      <c r="E138" s="147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ht="15.75" customHeight="1">
      <c r="A139" s="90"/>
      <c r="B139" s="90"/>
      <c r="C139" s="90"/>
      <c r="D139" s="90"/>
      <c r="E139" s="147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ht="15.75" customHeight="1">
      <c r="A140" s="90"/>
      <c r="B140" s="90"/>
      <c r="C140" s="90"/>
      <c r="D140" s="90"/>
      <c r="E140" s="147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ht="15.75" customHeight="1">
      <c r="A141" s="90"/>
      <c r="B141" s="90"/>
      <c r="C141" s="90"/>
      <c r="D141" s="90"/>
      <c r="E141" s="147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ht="15.75" customHeight="1">
      <c r="A142" s="90"/>
      <c r="B142" s="90"/>
      <c r="C142" s="90"/>
      <c r="D142" s="90"/>
      <c r="E142" s="147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ht="15.75" customHeight="1">
      <c r="A143" s="90"/>
      <c r="B143" s="90"/>
      <c r="C143" s="90"/>
      <c r="D143" s="90"/>
      <c r="E143" s="147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ht="15.75" customHeight="1">
      <c r="A144" s="90"/>
      <c r="B144" s="90"/>
      <c r="C144" s="90"/>
      <c r="D144" s="90"/>
      <c r="E144" s="147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ht="15.75" customHeight="1">
      <c r="A145" s="90"/>
      <c r="B145" s="90"/>
      <c r="C145" s="90"/>
      <c r="D145" s="90"/>
      <c r="E145" s="147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ht="15.75" customHeight="1">
      <c r="A146" s="90"/>
      <c r="B146" s="90"/>
      <c r="C146" s="90"/>
      <c r="D146" s="90"/>
      <c r="E146" s="147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ht="15.75" customHeight="1">
      <c r="A147" s="90"/>
      <c r="B147" s="90"/>
      <c r="C147" s="90"/>
      <c r="D147" s="90"/>
      <c r="E147" s="147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ht="15.75" customHeight="1">
      <c r="A148" s="90"/>
      <c r="B148" s="90"/>
      <c r="C148" s="90"/>
      <c r="D148" s="90"/>
      <c r="E148" s="147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ht="15.75" customHeight="1">
      <c r="A149" s="90"/>
      <c r="B149" s="90"/>
      <c r="C149" s="90"/>
      <c r="D149" s="90"/>
      <c r="E149" s="147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ht="15.75" customHeight="1">
      <c r="A150" s="90"/>
      <c r="B150" s="90"/>
      <c r="C150" s="90"/>
      <c r="D150" s="90"/>
      <c r="E150" s="147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ht="15.75" customHeight="1">
      <c r="A151" s="90"/>
      <c r="B151" s="90"/>
      <c r="C151" s="90"/>
      <c r="D151" s="90"/>
      <c r="E151" s="147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ht="15.75" customHeight="1">
      <c r="A152" s="90"/>
      <c r="B152" s="90"/>
      <c r="C152" s="90"/>
      <c r="D152" s="90"/>
      <c r="E152" s="147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ht="15.75" customHeight="1">
      <c r="A153" s="90"/>
      <c r="B153" s="90"/>
      <c r="C153" s="90"/>
      <c r="D153" s="90"/>
      <c r="E153" s="147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ht="15.75" customHeight="1">
      <c r="A154" s="90"/>
      <c r="B154" s="90"/>
      <c r="C154" s="90"/>
      <c r="D154" s="90"/>
      <c r="E154" s="147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ht="15.75" customHeight="1">
      <c r="A155" s="90"/>
      <c r="B155" s="90"/>
      <c r="C155" s="90"/>
      <c r="D155" s="90"/>
      <c r="E155" s="147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ht="15.75" customHeight="1">
      <c r="A156" s="90"/>
      <c r="B156" s="90"/>
      <c r="C156" s="90"/>
      <c r="D156" s="90"/>
      <c r="E156" s="147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ht="15.75" customHeight="1">
      <c r="A157" s="90"/>
      <c r="B157" s="90"/>
      <c r="C157" s="90"/>
      <c r="D157" s="90"/>
      <c r="E157" s="147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ht="15.75" customHeight="1">
      <c r="A158" s="90"/>
      <c r="B158" s="90"/>
      <c r="C158" s="90"/>
      <c r="D158" s="90"/>
      <c r="E158" s="147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ht="15.75" customHeight="1">
      <c r="A159" s="90"/>
      <c r="B159" s="90"/>
      <c r="C159" s="90"/>
      <c r="D159" s="90"/>
      <c r="E159" s="147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ht="15.75" customHeight="1">
      <c r="A160" s="90"/>
      <c r="B160" s="90"/>
      <c r="C160" s="90"/>
      <c r="D160" s="90"/>
      <c r="E160" s="147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ht="15.75" customHeight="1">
      <c r="A161" s="90"/>
      <c r="B161" s="90"/>
      <c r="C161" s="90"/>
      <c r="D161" s="90"/>
      <c r="E161" s="147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ht="15.75" customHeight="1">
      <c r="A162" s="90"/>
      <c r="B162" s="90"/>
      <c r="C162" s="90"/>
      <c r="D162" s="90"/>
      <c r="E162" s="147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ht="15.75" customHeight="1">
      <c r="A163" s="90"/>
      <c r="B163" s="90"/>
      <c r="C163" s="90"/>
      <c r="D163" s="90"/>
      <c r="E163" s="147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ht="15.75" customHeight="1">
      <c r="A164" s="90"/>
      <c r="B164" s="90"/>
      <c r="C164" s="90"/>
      <c r="D164" s="90"/>
      <c r="E164" s="147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ht="15.75" customHeight="1">
      <c r="A165" s="90"/>
      <c r="B165" s="90"/>
      <c r="C165" s="90"/>
      <c r="D165" s="90"/>
      <c r="E165" s="147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ht="15.75" customHeight="1">
      <c r="A166" s="90"/>
      <c r="B166" s="90"/>
      <c r="C166" s="90"/>
      <c r="D166" s="90"/>
      <c r="E166" s="147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ht="15.75" customHeight="1">
      <c r="A167" s="90"/>
      <c r="B167" s="90"/>
      <c r="C167" s="90"/>
      <c r="D167" s="90"/>
      <c r="E167" s="147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ht="15.75" customHeight="1">
      <c r="A168" s="90"/>
      <c r="B168" s="90"/>
      <c r="C168" s="90"/>
      <c r="D168" s="90"/>
      <c r="E168" s="147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ht="15.75" customHeight="1">
      <c r="A169" s="90"/>
      <c r="B169" s="90"/>
      <c r="C169" s="90"/>
      <c r="D169" s="90"/>
      <c r="E169" s="147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ht="15.75" customHeight="1">
      <c r="A170" s="90"/>
      <c r="B170" s="90"/>
      <c r="C170" s="90"/>
      <c r="D170" s="90"/>
      <c r="E170" s="147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ht="15.75" customHeight="1">
      <c r="A171" s="90"/>
      <c r="B171" s="90"/>
      <c r="C171" s="90"/>
      <c r="D171" s="90"/>
      <c r="E171" s="147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ht="15.75" customHeight="1">
      <c r="A172" s="90"/>
      <c r="B172" s="90"/>
      <c r="C172" s="90"/>
      <c r="D172" s="90"/>
      <c r="E172" s="147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ht="15.75" customHeight="1">
      <c r="A173" s="90"/>
      <c r="B173" s="90"/>
      <c r="C173" s="90"/>
      <c r="D173" s="90"/>
      <c r="E173" s="147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ht="15.75" customHeight="1">
      <c r="A174" s="90"/>
      <c r="B174" s="90"/>
      <c r="C174" s="90"/>
      <c r="D174" s="90"/>
      <c r="E174" s="147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ht="15.75" customHeight="1">
      <c r="A175" s="90"/>
      <c r="B175" s="90"/>
      <c r="C175" s="90"/>
      <c r="D175" s="90"/>
      <c r="E175" s="147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ht="15.75" customHeight="1">
      <c r="A176" s="90"/>
      <c r="B176" s="90"/>
      <c r="C176" s="90"/>
      <c r="D176" s="90"/>
      <c r="E176" s="147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ht="15.75" customHeight="1">
      <c r="A177" s="90"/>
      <c r="B177" s="90"/>
      <c r="C177" s="90"/>
      <c r="D177" s="90"/>
      <c r="E177" s="147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ht="15.75" customHeight="1">
      <c r="A178" s="90"/>
      <c r="B178" s="90"/>
      <c r="C178" s="90"/>
      <c r="D178" s="90"/>
      <c r="E178" s="147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ht="15.75" customHeight="1">
      <c r="A179" s="90"/>
      <c r="B179" s="90"/>
      <c r="C179" s="90"/>
      <c r="D179" s="90"/>
      <c r="E179" s="147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ht="15.75" customHeight="1">
      <c r="A180" s="90"/>
      <c r="B180" s="90"/>
      <c r="C180" s="90"/>
      <c r="D180" s="90"/>
      <c r="E180" s="147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ht="15.75" customHeight="1">
      <c r="A181" s="90"/>
      <c r="B181" s="90"/>
      <c r="C181" s="90"/>
      <c r="D181" s="90"/>
      <c r="E181" s="147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ht="15.75" customHeight="1">
      <c r="A182" s="90"/>
      <c r="B182" s="90"/>
      <c r="C182" s="90"/>
      <c r="D182" s="90"/>
      <c r="E182" s="147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ht="15.75" customHeight="1">
      <c r="A183" s="90"/>
      <c r="B183" s="90"/>
      <c r="C183" s="90"/>
      <c r="D183" s="90"/>
      <c r="E183" s="147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ht="15.75" customHeight="1">
      <c r="A184" s="90"/>
      <c r="B184" s="90"/>
      <c r="C184" s="90"/>
      <c r="D184" s="90"/>
      <c r="E184" s="147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ht="15.75" customHeight="1">
      <c r="A185" s="90"/>
      <c r="B185" s="90"/>
      <c r="C185" s="90"/>
      <c r="D185" s="90"/>
      <c r="E185" s="147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ht="15.75" customHeight="1">
      <c r="A186" s="90"/>
      <c r="B186" s="90"/>
      <c r="C186" s="90"/>
      <c r="D186" s="90"/>
      <c r="E186" s="147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ht="15.75" customHeight="1">
      <c r="A187" s="90"/>
      <c r="B187" s="90"/>
      <c r="C187" s="90"/>
      <c r="D187" s="90"/>
      <c r="E187" s="147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ht="15.75" customHeight="1">
      <c r="A188" s="90"/>
      <c r="B188" s="90"/>
      <c r="C188" s="90"/>
      <c r="D188" s="90"/>
      <c r="E188" s="147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ht="15.75" customHeight="1">
      <c r="A189" s="90"/>
      <c r="B189" s="90"/>
      <c r="C189" s="90"/>
      <c r="D189" s="90"/>
      <c r="E189" s="147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ht="15.75" customHeight="1">
      <c r="A190" s="90"/>
      <c r="B190" s="90"/>
      <c r="C190" s="90"/>
      <c r="D190" s="90"/>
      <c r="E190" s="147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ht="15.75" customHeight="1">
      <c r="A191" s="90"/>
      <c r="B191" s="90"/>
      <c r="C191" s="90"/>
      <c r="D191" s="90"/>
      <c r="E191" s="147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ht="15.75" customHeight="1">
      <c r="A192" s="90"/>
      <c r="B192" s="90"/>
      <c r="C192" s="90"/>
      <c r="D192" s="90"/>
      <c r="E192" s="147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ht="15.75" customHeight="1">
      <c r="A193" s="90"/>
      <c r="B193" s="90"/>
      <c r="C193" s="90"/>
      <c r="D193" s="90"/>
      <c r="E193" s="147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ht="15.75" customHeight="1">
      <c r="A194" s="90"/>
      <c r="B194" s="90"/>
      <c r="C194" s="90"/>
      <c r="D194" s="90"/>
      <c r="E194" s="147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ht="15.75" customHeight="1">
      <c r="A195" s="90"/>
      <c r="B195" s="90"/>
      <c r="C195" s="90"/>
      <c r="D195" s="90"/>
      <c r="E195" s="147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ht="15.75" customHeight="1">
      <c r="A196" s="90"/>
      <c r="B196" s="90"/>
      <c r="C196" s="90"/>
      <c r="D196" s="90"/>
      <c r="E196" s="147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ht="15.75" customHeight="1">
      <c r="A197" s="90"/>
      <c r="B197" s="90"/>
      <c r="C197" s="90"/>
      <c r="D197" s="90"/>
      <c r="E197" s="147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ht="15.75" customHeight="1">
      <c r="A198" s="90"/>
      <c r="B198" s="90"/>
      <c r="C198" s="90"/>
      <c r="D198" s="90"/>
      <c r="E198" s="147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ht="15.75" customHeight="1">
      <c r="A199" s="90"/>
      <c r="B199" s="90"/>
      <c r="C199" s="90"/>
      <c r="D199" s="90"/>
      <c r="E199" s="147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ht="15.75" customHeight="1">
      <c r="A200" s="90"/>
      <c r="B200" s="90"/>
      <c r="C200" s="90"/>
      <c r="D200" s="90"/>
      <c r="E200" s="147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ht="15.75" customHeight="1">
      <c r="A201" s="90"/>
      <c r="B201" s="90"/>
      <c r="C201" s="90"/>
      <c r="D201" s="90"/>
      <c r="E201" s="147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ht="15.75" customHeight="1">
      <c r="A202" s="90"/>
      <c r="B202" s="90"/>
      <c r="C202" s="90"/>
      <c r="D202" s="90"/>
      <c r="E202" s="147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ht="15.75" customHeight="1">
      <c r="A203" s="90"/>
      <c r="B203" s="90"/>
      <c r="C203" s="90"/>
      <c r="D203" s="90"/>
      <c r="E203" s="147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ht="15.75" customHeight="1">
      <c r="A204" s="90"/>
      <c r="B204" s="90"/>
      <c r="C204" s="90"/>
      <c r="D204" s="90"/>
      <c r="E204" s="147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ht="15.75" customHeight="1">
      <c r="A205" s="90"/>
      <c r="B205" s="90"/>
      <c r="C205" s="90"/>
      <c r="D205" s="90"/>
      <c r="E205" s="147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ht="15.75" customHeight="1">
      <c r="A206" s="90"/>
      <c r="B206" s="90"/>
      <c r="C206" s="90"/>
      <c r="D206" s="90"/>
      <c r="E206" s="147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ht="15.75" customHeight="1">
      <c r="A207" s="90"/>
      <c r="B207" s="90"/>
      <c r="C207" s="90"/>
      <c r="D207" s="90"/>
      <c r="E207" s="147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ht="15.75" customHeight="1">
      <c r="A208" s="90"/>
      <c r="B208" s="90"/>
      <c r="C208" s="90"/>
      <c r="D208" s="90"/>
      <c r="E208" s="147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ht="15.75" customHeight="1">
      <c r="A209" s="90"/>
      <c r="B209" s="90"/>
      <c r="C209" s="90"/>
      <c r="D209" s="90"/>
      <c r="E209" s="147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ht="15.75" customHeight="1">
      <c r="A210" s="90"/>
      <c r="B210" s="90"/>
      <c r="C210" s="90"/>
      <c r="D210" s="90"/>
      <c r="E210" s="147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ht="15.75" customHeight="1">
      <c r="A211" s="90"/>
      <c r="B211" s="90"/>
      <c r="C211" s="90"/>
      <c r="D211" s="90"/>
      <c r="E211" s="147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ht="15.75" customHeight="1">
      <c r="A212" s="90"/>
      <c r="B212" s="90"/>
      <c r="C212" s="90"/>
      <c r="D212" s="90"/>
      <c r="E212" s="147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ht="15.75" customHeight="1">
      <c r="A213" s="90"/>
      <c r="B213" s="90"/>
      <c r="C213" s="90"/>
      <c r="D213" s="90"/>
      <c r="E213" s="147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ht="15.75" customHeight="1">
      <c r="A214" s="90"/>
      <c r="B214" s="90"/>
      <c r="C214" s="90"/>
      <c r="D214" s="90"/>
      <c r="E214" s="147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ht="15.75" customHeight="1">
      <c r="A215" s="90"/>
      <c r="B215" s="90"/>
      <c r="C215" s="90"/>
      <c r="D215" s="90"/>
      <c r="E215" s="147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ht="15.75" customHeight="1">
      <c r="A216" s="90"/>
      <c r="B216" s="90"/>
      <c r="C216" s="90"/>
      <c r="D216" s="90"/>
      <c r="E216" s="147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ht="15.75" customHeight="1">
      <c r="A217" s="90"/>
      <c r="B217" s="90"/>
      <c r="C217" s="90"/>
      <c r="D217" s="90"/>
      <c r="E217" s="147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ht="15.75" customHeight="1">
      <c r="A218" s="90"/>
      <c r="B218" s="90"/>
      <c r="C218" s="90"/>
      <c r="D218" s="90"/>
      <c r="E218" s="147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ht="15.75" customHeight="1">
      <c r="A219" s="90"/>
      <c r="B219" s="90"/>
      <c r="C219" s="90"/>
      <c r="D219" s="90"/>
      <c r="E219" s="147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ht="15.75" customHeight="1">
      <c r="A220" s="90"/>
      <c r="B220" s="90"/>
      <c r="C220" s="90"/>
      <c r="D220" s="90"/>
      <c r="E220" s="147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ht="15.75" customHeight="1">
      <c r="A221" s="90"/>
      <c r="B221" s="90"/>
      <c r="C221" s="90"/>
      <c r="D221" s="90"/>
      <c r="E221" s="147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ht="15.75" customHeight="1">
      <c r="A222" s="90"/>
      <c r="B222" s="90"/>
      <c r="C222" s="90"/>
      <c r="D222" s="90"/>
      <c r="E222" s="147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ht="15.75" customHeight="1">
      <c r="A223" s="90"/>
      <c r="B223" s="90"/>
      <c r="C223" s="90"/>
      <c r="D223" s="90"/>
      <c r="E223" s="147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ht="15.75" customHeight="1">
      <c r="A224" s="90"/>
      <c r="B224" s="90"/>
      <c r="C224" s="90"/>
      <c r="D224" s="90"/>
      <c r="E224" s="147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ht="15.75" customHeight="1">
      <c r="A225" s="90"/>
      <c r="B225" s="90"/>
      <c r="C225" s="90"/>
      <c r="D225" s="90"/>
      <c r="E225" s="147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ht="15.75" customHeight="1">
      <c r="A226" s="90"/>
      <c r="B226" s="90"/>
      <c r="C226" s="90"/>
      <c r="D226" s="90"/>
      <c r="E226" s="147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ht="15.75" customHeight="1">
      <c r="A227" s="90"/>
      <c r="B227" s="90"/>
      <c r="C227" s="90"/>
      <c r="D227" s="90"/>
      <c r="E227" s="147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ht="15.75" customHeight="1">
      <c r="A228" s="90"/>
      <c r="B228" s="90"/>
      <c r="C228" s="90"/>
      <c r="D228" s="90"/>
      <c r="E228" s="147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ht="15.75" customHeight="1">
      <c r="A229" s="90"/>
      <c r="B229" s="90"/>
      <c r="C229" s="90"/>
      <c r="D229" s="90"/>
      <c r="E229" s="147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ht="15.75" customHeight="1">
      <c r="A230" s="90"/>
      <c r="B230" s="90"/>
      <c r="C230" s="90"/>
      <c r="D230" s="90"/>
      <c r="E230" s="147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ht="15.75" customHeight="1">
      <c r="A231" s="90"/>
      <c r="B231" s="90"/>
      <c r="C231" s="90"/>
      <c r="D231" s="90"/>
      <c r="E231" s="147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ht="15.75" customHeight="1">
      <c r="A232" s="90"/>
      <c r="B232" s="90"/>
      <c r="C232" s="90"/>
      <c r="D232" s="90"/>
      <c r="E232" s="147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ht="15.75" customHeight="1">
      <c r="A233" s="90"/>
      <c r="B233" s="90"/>
      <c r="C233" s="90"/>
      <c r="D233" s="90"/>
      <c r="E233" s="147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ht="15.75" customHeight="1">
      <c r="A234" s="90"/>
      <c r="B234" s="90"/>
      <c r="C234" s="90"/>
      <c r="D234" s="90"/>
      <c r="E234" s="147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ht="15.75" customHeight="1">
      <c r="A235" s="90"/>
      <c r="B235" s="90"/>
      <c r="C235" s="90"/>
      <c r="D235" s="90"/>
      <c r="E235" s="147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ht="15.75" customHeight="1">
      <c r="A236" s="90"/>
      <c r="B236" s="90"/>
      <c r="C236" s="90"/>
      <c r="D236" s="90"/>
      <c r="E236" s="147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ht="15.75" customHeight="1">
      <c r="A237" s="90"/>
      <c r="B237" s="90"/>
      <c r="C237" s="90"/>
      <c r="D237" s="90"/>
      <c r="E237" s="147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ht="15.75" customHeight="1">
      <c r="A238" s="90"/>
      <c r="B238" s="90"/>
      <c r="C238" s="90"/>
      <c r="D238" s="90"/>
      <c r="E238" s="147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ht="15.75" customHeight="1">
      <c r="A239" s="90"/>
      <c r="B239" s="90"/>
      <c r="C239" s="90"/>
      <c r="D239" s="90"/>
      <c r="E239" s="147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ht="15.75" customHeight="1">
      <c r="A240" s="90"/>
      <c r="B240" s="90"/>
      <c r="C240" s="90"/>
      <c r="D240" s="90"/>
      <c r="E240" s="147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ht="15.75" customHeight="1">
      <c r="A241" s="90"/>
      <c r="B241" s="90"/>
      <c r="C241" s="90"/>
      <c r="D241" s="90"/>
      <c r="E241" s="147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ht="15.75" customHeight="1">
      <c r="A242" s="90"/>
      <c r="B242" s="90"/>
      <c r="C242" s="90"/>
      <c r="D242" s="90"/>
      <c r="E242" s="147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ht="15.75" customHeight="1">
      <c r="A243" s="90"/>
      <c r="B243" s="90"/>
      <c r="C243" s="90"/>
      <c r="D243" s="90"/>
      <c r="E243" s="147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ht="15.75" customHeight="1">
      <c r="A244" s="90"/>
      <c r="B244" s="90"/>
      <c r="C244" s="90"/>
      <c r="D244" s="90"/>
      <c r="E244" s="147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 ht="15.75" customHeight="1">
      <c r="A245" s="90"/>
      <c r="B245" s="90"/>
      <c r="C245" s="90"/>
      <c r="D245" s="90"/>
      <c r="E245" s="147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 ht="15.75" customHeight="1">
      <c r="A246" s="90"/>
      <c r="B246" s="90"/>
      <c r="C246" s="90"/>
      <c r="D246" s="90"/>
      <c r="E246" s="147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 ht="15.75" customHeight="1">
      <c r="A247" s="90"/>
      <c r="B247" s="90"/>
      <c r="C247" s="90"/>
      <c r="D247" s="90"/>
      <c r="E247" s="147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 ht="15.75" customHeight="1">
      <c r="A248" s="90"/>
      <c r="B248" s="90"/>
      <c r="C248" s="90"/>
      <c r="D248" s="90"/>
      <c r="E248" s="147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 ht="15.75" customHeight="1">
      <c r="A249" s="90"/>
      <c r="B249" s="90"/>
      <c r="C249" s="90"/>
      <c r="D249" s="90"/>
      <c r="E249" s="147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 ht="15.75" customHeight="1">
      <c r="A250" s="90"/>
      <c r="B250" s="90"/>
      <c r="C250" s="90"/>
      <c r="D250" s="90"/>
      <c r="E250" s="147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 ht="15.75" customHeight="1">
      <c r="A251" s="90"/>
      <c r="B251" s="90"/>
      <c r="C251" s="90"/>
      <c r="D251" s="90"/>
      <c r="E251" s="147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 ht="15.75" customHeight="1">
      <c r="A252" s="90"/>
      <c r="B252" s="90"/>
      <c r="C252" s="90"/>
      <c r="D252" s="90"/>
      <c r="E252" s="147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 ht="15.75" customHeight="1">
      <c r="A253" s="90"/>
      <c r="B253" s="90"/>
      <c r="C253" s="90"/>
      <c r="D253" s="90"/>
      <c r="E253" s="147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 ht="15.75" customHeight="1">
      <c r="A254" s="90"/>
      <c r="B254" s="90"/>
      <c r="C254" s="90"/>
      <c r="D254" s="90"/>
      <c r="E254" s="147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 ht="15.75" customHeight="1">
      <c r="A255" s="90"/>
      <c r="B255" s="90"/>
      <c r="C255" s="90"/>
      <c r="D255" s="90"/>
      <c r="E255" s="147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 ht="15.75" customHeight="1">
      <c r="A256" s="90"/>
      <c r="B256" s="90"/>
      <c r="C256" s="90"/>
      <c r="D256" s="90"/>
      <c r="E256" s="147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 ht="15.75" customHeight="1">
      <c r="A257" s="90"/>
      <c r="B257" s="90"/>
      <c r="C257" s="90"/>
      <c r="D257" s="90"/>
      <c r="E257" s="147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 ht="15.75" customHeight="1">
      <c r="A258" s="90"/>
      <c r="B258" s="90"/>
      <c r="C258" s="90"/>
      <c r="D258" s="90"/>
      <c r="E258" s="147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 ht="15.75" customHeight="1">
      <c r="A259" s="90"/>
      <c r="B259" s="90"/>
      <c r="C259" s="90"/>
      <c r="D259" s="90"/>
      <c r="E259" s="147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 ht="15.75" customHeight="1">
      <c r="A260" s="90"/>
      <c r="B260" s="90"/>
      <c r="C260" s="90"/>
      <c r="D260" s="90"/>
      <c r="E260" s="147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 ht="15.75" customHeight="1">
      <c r="A261" s="90"/>
      <c r="B261" s="90"/>
      <c r="C261" s="90"/>
      <c r="D261" s="90"/>
      <c r="E261" s="147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 ht="15.75" customHeight="1">
      <c r="A262" s="90"/>
      <c r="B262" s="90"/>
      <c r="C262" s="90"/>
      <c r="D262" s="90"/>
      <c r="E262" s="147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 ht="15.75" customHeight="1">
      <c r="A263" s="90"/>
      <c r="B263" s="90"/>
      <c r="C263" s="90"/>
      <c r="D263" s="90"/>
      <c r="E263" s="147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 ht="15.75" customHeight="1">
      <c r="A264" s="90"/>
      <c r="B264" s="90"/>
      <c r="C264" s="90"/>
      <c r="D264" s="90"/>
      <c r="E264" s="147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 ht="15.75" customHeight="1">
      <c r="A265" s="90"/>
      <c r="B265" s="90"/>
      <c r="C265" s="90"/>
      <c r="D265" s="90"/>
      <c r="E265" s="147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 ht="15.75" customHeight="1">
      <c r="A266" s="90"/>
      <c r="B266" s="90"/>
      <c r="C266" s="90"/>
      <c r="D266" s="90"/>
      <c r="E266" s="147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 ht="15.75" customHeight="1">
      <c r="A267" s="90"/>
      <c r="B267" s="90"/>
      <c r="C267" s="90"/>
      <c r="D267" s="90"/>
      <c r="E267" s="147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 ht="15.75" customHeight="1">
      <c r="A268" s="90"/>
      <c r="B268" s="90"/>
      <c r="C268" s="90"/>
      <c r="D268" s="90"/>
      <c r="E268" s="147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 ht="15.75" customHeight="1">
      <c r="A269" s="90"/>
      <c r="B269" s="90"/>
      <c r="C269" s="90"/>
      <c r="D269" s="90"/>
      <c r="E269" s="147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 ht="15.75" customHeight="1">
      <c r="A270" s="90"/>
      <c r="B270" s="90"/>
      <c r="C270" s="90"/>
      <c r="D270" s="90"/>
      <c r="E270" s="147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 ht="15.75" customHeight="1">
      <c r="A271" s="90"/>
      <c r="B271" s="90"/>
      <c r="C271" s="90"/>
      <c r="D271" s="90"/>
      <c r="E271" s="147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 ht="15.75" customHeight="1">
      <c r="A272" s="90"/>
      <c r="B272" s="90"/>
      <c r="C272" s="90"/>
      <c r="D272" s="90"/>
      <c r="E272" s="147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 ht="15.75" customHeight="1">
      <c r="A273" s="90"/>
      <c r="B273" s="90"/>
      <c r="C273" s="90"/>
      <c r="D273" s="90"/>
      <c r="E273" s="147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 ht="15.75" customHeight="1">
      <c r="A274" s="90"/>
      <c r="B274" s="90"/>
      <c r="C274" s="90"/>
      <c r="D274" s="90"/>
      <c r="E274" s="147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 ht="15.75" customHeight="1">
      <c r="A275" s="90"/>
      <c r="B275" s="90"/>
      <c r="C275" s="90"/>
      <c r="D275" s="90"/>
      <c r="E275" s="147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 ht="15.75" customHeight="1">
      <c r="A276" s="90"/>
      <c r="B276" s="90"/>
      <c r="C276" s="90"/>
      <c r="D276" s="90"/>
      <c r="E276" s="147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 ht="15.75" customHeight="1">
      <c r="A277" s="90"/>
      <c r="B277" s="90"/>
      <c r="C277" s="90"/>
      <c r="D277" s="90"/>
      <c r="E277" s="147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 ht="15.75" customHeight="1">
      <c r="A278" s="90"/>
      <c r="B278" s="90"/>
      <c r="C278" s="90"/>
      <c r="D278" s="90"/>
      <c r="E278" s="147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 ht="15.75" customHeight="1">
      <c r="A279" s="90"/>
      <c r="B279" s="90"/>
      <c r="C279" s="90"/>
      <c r="D279" s="90"/>
      <c r="E279" s="147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 ht="15.75" customHeight="1">
      <c r="A280" s="90"/>
      <c r="B280" s="90"/>
      <c r="C280" s="90"/>
      <c r="D280" s="90"/>
      <c r="E280" s="147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 ht="15.75" customHeight="1">
      <c r="A281" s="90"/>
      <c r="B281" s="90"/>
      <c r="C281" s="90"/>
      <c r="D281" s="90"/>
      <c r="E281" s="147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 ht="15.75" customHeight="1">
      <c r="A282" s="90"/>
      <c r="B282" s="90"/>
      <c r="C282" s="90"/>
      <c r="D282" s="90"/>
      <c r="E282" s="147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</row>
    <row r="283" ht="15.75" customHeight="1">
      <c r="A283" s="90"/>
      <c r="B283" s="90"/>
      <c r="C283" s="90"/>
      <c r="D283" s="90"/>
      <c r="E283" s="147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</row>
    <row r="284" ht="15.75" customHeight="1">
      <c r="A284" s="90"/>
      <c r="B284" s="90"/>
      <c r="C284" s="90"/>
      <c r="D284" s="90"/>
      <c r="E284" s="147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</row>
    <row r="285" ht="15.75" customHeight="1">
      <c r="A285" s="90"/>
      <c r="B285" s="90"/>
      <c r="C285" s="90"/>
      <c r="D285" s="90"/>
      <c r="E285" s="147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 ht="15.75" customHeight="1">
      <c r="A286" s="90"/>
      <c r="B286" s="90"/>
      <c r="C286" s="90"/>
      <c r="D286" s="90"/>
      <c r="E286" s="147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 ht="15.75" customHeight="1">
      <c r="A287" s="90"/>
      <c r="B287" s="90"/>
      <c r="C287" s="90"/>
      <c r="D287" s="90"/>
      <c r="E287" s="147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 ht="15.75" customHeight="1">
      <c r="A288" s="90"/>
      <c r="B288" s="90"/>
      <c r="C288" s="90"/>
      <c r="D288" s="90"/>
      <c r="E288" s="147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</row>
    <row r="289" ht="15.75" customHeight="1">
      <c r="A289" s="90"/>
      <c r="B289" s="90"/>
      <c r="C289" s="90"/>
      <c r="D289" s="90"/>
      <c r="E289" s="147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</row>
    <row r="290" ht="15.75" customHeight="1">
      <c r="A290" s="90"/>
      <c r="B290" s="90"/>
      <c r="C290" s="90"/>
      <c r="D290" s="90"/>
      <c r="E290" s="147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</row>
    <row r="291" ht="15.75" customHeight="1">
      <c r="A291" s="90"/>
      <c r="B291" s="90"/>
      <c r="C291" s="90"/>
      <c r="D291" s="90"/>
      <c r="E291" s="147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</row>
    <row r="292" ht="15.75" customHeight="1">
      <c r="A292" s="90"/>
      <c r="B292" s="90"/>
      <c r="C292" s="90"/>
      <c r="D292" s="90"/>
      <c r="E292" s="147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</row>
    <row r="293" ht="15.75" customHeight="1">
      <c r="A293" s="90"/>
      <c r="B293" s="90"/>
      <c r="C293" s="90"/>
      <c r="D293" s="90"/>
      <c r="E293" s="147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 ht="15.75" customHeight="1">
      <c r="A294" s="90"/>
      <c r="B294" s="90"/>
      <c r="C294" s="90"/>
      <c r="D294" s="90"/>
      <c r="E294" s="147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 ht="15.75" customHeight="1">
      <c r="A295" s="90"/>
      <c r="B295" s="90"/>
      <c r="C295" s="90"/>
      <c r="D295" s="90"/>
      <c r="E295" s="147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</row>
    <row r="296" ht="15.75" customHeight="1">
      <c r="A296" s="90"/>
      <c r="B296" s="90"/>
      <c r="C296" s="90"/>
      <c r="D296" s="90"/>
      <c r="E296" s="147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 ht="15.75" customHeight="1">
      <c r="A297" s="90"/>
      <c r="B297" s="90"/>
      <c r="C297" s="90"/>
      <c r="D297" s="90"/>
      <c r="E297" s="147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</row>
    <row r="298" ht="15.75" customHeight="1">
      <c r="A298" s="90"/>
      <c r="B298" s="90"/>
      <c r="C298" s="90"/>
      <c r="D298" s="90"/>
      <c r="E298" s="147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</row>
    <row r="299" ht="15.75" customHeight="1">
      <c r="A299" s="90"/>
      <c r="B299" s="90"/>
      <c r="C299" s="90"/>
      <c r="D299" s="90"/>
      <c r="E299" s="147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</row>
    <row r="300" ht="15.75" customHeight="1">
      <c r="A300" s="90"/>
      <c r="B300" s="90"/>
      <c r="C300" s="90"/>
      <c r="D300" s="90"/>
      <c r="E300" s="147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</row>
    <row r="301" ht="15.75" customHeight="1">
      <c r="A301" s="90"/>
      <c r="B301" s="90"/>
      <c r="C301" s="90"/>
      <c r="D301" s="90"/>
      <c r="E301" s="147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</row>
    <row r="302" ht="15.75" customHeight="1">
      <c r="A302" s="90"/>
      <c r="B302" s="90"/>
      <c r="C302" s="90"/>
      <c r="D302" s="90"/>
      <c r="E302" s="147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 ht="15.75" customHeight="1">
      <c r="A303" s="90"/>
      <c r="B303" s="90"/>
      <c r="C303" s="90"/>
      <c r="D303" s="90"/>
      <c r="E303" s="147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 ht="15.75" customHeight="1">
      <c r="A304" s="90"/>
      <c r="B304" s="90"/>
      <c r="C304" s="90"/>
      <c r="D304" s="90"/>
      <c r="E304" s="147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</row>
    <row r="305" ht="15.75" customHeight="1">
      <c r="A305" s="90"/>
      <c r="B305" s="90"/>
      <c r="C305" s="90"/>
      <c r="D305" s="90"/>
      <c r="E305" s="147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</row>
    <row r="306" ht="15.75" customHeight="1">
      <c r="A306" s="90"/>
      <c r="B306" s="90"/>
      <c r="C306" s="90"/>
      <c r="D306" s="90"/>
      <c r="E306" s="147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</row>
    <row r="307" ht="15.75" customHeight="1">
      <c r="A307" s="90"/>
      <c r="B307" s="90"/>
      <c r="C307" s="90"/>
      <c r="D307" s="90"/>
      <c r="E307" s="147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</row>
    <row r="308" ht="15.75" customHeight="1">
      <c r="A308" s="90"/>
      <c r="B308" s="90"/>
      <c r="C308" s="90"/>
      <c r="D308" s="90"/>
      <c r="E308" s="147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</row>
    <row r="309" ht="15.75" customHeight="1">
      <c r="A309" s="90"/>
      <c r="B309" s="90"/>
      <c r="C309" s="90"/>
      <c r="D309" s="90"/>
      <c r="E309" s="147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 ht="15.75" customHeight="1">
      <c r="A310" s="90"/>
      <c r="B310" s="90"/>
      <c r="C310" s="90"/>
      <c r="D310" s="90"/>
      <c r="E310" s="147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</row>
    <row r="311" ht="15.75" customHeight="1">
      <c r="A311" s="90"/>
      <c r="B311" s="90"/>
      <c r="C311" s="90"/>
      <c r="D311" s="90"/>
      <c r="E311" s="147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</row>
    <row r="312" ht="15.75" customHeight="1">
      <c r="A312" s="90"/>
      <c r="B312" s="90"/>
      <c r="C312" s="90"/>
      <c r="D312" s="90"/>
      <c r="E312" s="147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</row>
    <row r="313" ht="15.75" customHeight="1">
      <c r="A313" s="90"/>
      <c r="B313" s="90"/>
      <c r="C313" s="90"/>
      <c r="D313" s="90"/>
      <c r="E313" s="147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 ht="15.75" customHeight="1">
      <c r="A314" s="90"/>
      <c r="B314" s="90"/>
      <c r="C314" s="90"/>
      <c r="D314" s="90"/>
      <c r="E314" s="147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</row>
    <row r="315" ht="15.75" customHeight="1">
      <c r="A315" s="90"/>
      <c r="B315" s="90"/>
      <c r="C315" s="90"/>
      <c r="D315" s="90"/>
      <c r="E315" s="147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</row>
    <row r="316" ht="15.75" customHeight="1">
      <c r="A316" s="90"/>
      <c r="B316" s="90"/>
      <c r="C316" s="90"/>
      <c r="D316" s="90"/>
      <c r="E316" s="147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 ht="15.75" customHeight="1">
      <c r="A317" s="90"/>
      <c r="B317" s="90"/>
      <c r="C317" s="90"/>
      <c r="D317" s="90"/>
      <c r="E317" s="147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 ht="15.75" customHeight="1">
      <c r="A318" s="90"/>
      <c r="B318" s="90"/>
      <c r="C318" s="90"/>
      <c r="D318" s="90"/>
      <c r="E318" s="147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</row>
    <row r="319" ht="15.75" customHeight="1">
      <c r="A319" s="90"/>
      <c r="B319" s="90"/>
      <c r="C319" s="90"/>
      <c r="D319" s="90"/>
      <c r="E319" s="147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</row>
    <row r="320" ht="15.75" customHeight="1">
      <c r="A320" s="90"/>
      <c r="B320" s="90"/>
      <c r="C320" s="90"/>
      <c r="D320" s="90"/>
      <c r="E320" s="147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</row>
    <row r="321" ht="15.75" customHeight="1">
      <c r="A321" s="90"/>
      <c r="B321" s="90"/>
      <c r="C321" s="90"/>
      <c r="D321" s="90"/>
      <c r="E321" s="147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</row>
    <row r="322" ht="15.75" customHeight="1">
      <c r="A322" s="90"/>
      <c r="B322" s="90"/>
      <c r="C322" s="90"/>
      <c r="D322" s="90"/>
      <c r="E322" s="147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</row>
    <row r="323" ht="15.75" customHeight="1">
      <c r="A323" s="90"/>
      <c r="B323" s="90"/>
      <c r="C323" s="90"/>
      <c r="D323" s="90"/>
      <c r="E323" s="147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</row>
    <row r="324" ht="15.75" customHeight="1">
      <c r="A324" s="90"/>
      <c r="B324" s="90"/>
      <c r="C324" s="90"/>
      <c r="D324" s="90"/>
      <c r="E324" s="147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</row>
    <row r="325" ht="15.75" customHeight="1">
      <c r="A325" s="90"/>
      <c r="B325" s="90"/>
      <c r="C325" s="90"/>
      <c r="D325" s="90"/>
      <c r="E325" s="147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 ht="15.75" customHeight="1">
      <c r="A326" s="90"/>
      <c r="B326" s="90"/>
      <c r="C326" s="90"/>
      <c r="D326" s="90"/>
      <c r="E326" s="147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</row>
    <row r="327" ht="15.75" customHeight="1">
      <c r="A327" s="90"/>
      <c r="B327" s="90"/>
      <c r="C327" s="90"/>
      <c r="D327" s="90"/>
      <c r="E327" s="147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</row>
    <row r="328" ht="15.75" customHeight="1">
      <c r="A328" s="90"/>
      <c r="B328" s="90"/>
      <c r="C328" s="90"/>
      <c r="D328" s="90"/>
      <c r="E328" s="147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 ht="15.75" customHeight="1">
      <c r="A329" s="90"/>
      <c r="B329" s="90"/>
      <c r="C329" s="90"/>
      <c r="D329" s="90"/>
      <c r="E329" s="147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 ht="15.75" customHeight="1">
      <c r="A330" s="90"/>
      <c r="B330" s="90"/>
      <c r="C330" s="90"/>
      <c r="D330" s="90"/>
      <c r="E330" s="147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</row>
    <row r="331" ht="15.75" customHeight="1">
      <c r="A331" s="90"/>
      <c r="B331" s="90"/>
      <c r="C331" s="90"/>
      <c r="D331" s="90"/>
      <c r="E331" s="147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</row>
    <row r="332" ht="15.75" customHeight="1">
      <c r="A332" s="90"/>
      <c r="B332" s="90"/>
      <c r="C332" s="90"/>
      <c r="D332" s="90"/>
      <c r="E332" s="147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</row>
    <row r="333" ht="15.75" customHeight="1">
      <c r="A333" s="90"/>
      <c r="B333" s="90"/>
      <c r="C333" s="90"/>
      <c r="D333" s="90"/>
      <c r="E333" s="147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</row>
    <row r="334" ht="15.75" customHeight="1">
      <c r="A334" s="90"/>
      <c r="B334" s="90"/>
      <c r="C334" s="90"/>
      <c r="D334" s="90"/>
      <c r="E334" s="147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</row>
    <row r="335" ht="15.75" customHeight="1">
      <c r="A335" s="90"/>
      <c r="B335" s="90"/>
      <c r="C335" s="90"/>
      <c r="D335" s="90"/>
      <c r="E335" s="147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 ht="15.75" customHeight="1">
      <c r="A336" s="90"/>
      <c r="B336" s="90"/>
      <c r="C336" s="90"/>
      <c r="D336" s="90"/>
      <c r="E336" s="147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</row>
    <row r="337" ht="15.75" customHeight="1">
      <c r="A337" s="90"/>
      <c r="B337" s="90"/>
      <c r="C337" s="90"/>
      <c r="D337" s="90"/>
      <c r="E337" s="147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</row>
    <row r="338" ht="15.75" customHeight="1">
      <c r="A338" s="90"/>
      <c r="B338" s="90"/>
      <c r="C338" s="90"/>
      <c r="D338" s="90"/>
      <c r="E338" s="147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</row>
    <row r="339" ht="15.75" customHeight="1">
      <c r="A339" s="90"/>
      <c r="B339" s="90"/>
      <c r="C339" s="90"/>
      <c r="D339" s="90"/>
      <c r="E339" s="147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</row>
    <row r="340" ht="15.75" customHeight="1">
      <c r="A340" s="90"/>
      <c r="B340" s="90"/>
      <c r="C340" s="90"/>
      <c r="D340" s="90"/>
      <c r="E340" s="147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 ht="15.75" customHeight="1">
      <c r="A341" s="90"/>
      <c r="B341" s="90"/>
      <c r="C341" s="90"/>
      <c r="D341" s="90"/>
      <c r="E341" s="147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</row>
    <row r="342" ht="15.75" customHeight="1">
      <c r="A342" s="90"/>
      <c r="B342" s="90"/>
      <c r="C342" s="90"/>
      <c r="D342" s="90"/>
      <c r="E342" s="147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</row>
    <row r="343" ht="15.75" customHeight="1">
      <c r="A343" s="90"/>
      <c r="B343" s="90"/>
      <c r="C343" s="90"/>
      <c r="D343" s="90"/>
      <c r="E343" s="147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</row>
    <row r="344" ht="15.75" customHeight="1">
      <c r="A344" s="90"/>
      <c r="B344" s="90"/>
      <c r="C344" s="90"/>
      <c r="D344" s="90"/>
      <c r="E344" s="147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</row>
    <row r="345" ht="15.75" customHeight="1">
      <c r="A345" s="90"/>
      <c r="B345" s="90"/>
      <c r="C345" s="90"/>
      <c r="D345" s="90"/>
      <c r="E345" s="147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</row>
    <row r="346" ht="15.75" customHeight="1">
      <c r="A346" s="90"/>
      <c r="B346" s="90"/>
      <c r="C346" s="90"/>
      <c r="D346" s="90"/>
      <c r="E346" s="147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 ht="15.75" customHeight="1">
      <c r="A347" s="90"/>
      <c r="B347" s="90"/>
      <c r="C347" s="90"/>
      <c r="D347" s="90"/>
      <c r="E347" s="147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 ht="15.75" customHeight="1">
      <c r="A348" s="90"/>
      <c r="B348" s="90"/>
      <c r="C348" s="90"/>
      <c r="D348" s="90"/>
      <c r="E348" s="147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 ht="15.75" customHeight="1">
      <c r="A349" s="90"/>
      <c r="B349" s="90"/>
      <c r="C349" s="90"/>
      <c r="D349" s="90"/>
      <c r="E349" s="147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 ht="15.75" customHeight="1">
      <c r="A350" s="90"/>
      <c r="B350" s="90"/>
      <c r="C350" s="90"/>
      <c r="D350" s="90"/>
      <c r="E350" s="147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 ht="15.75" customHeight="1">
      <c r="A351" s="90"/>
      <c r="B351" s="90"/>
      <c r="C351" s="90"/>
      <c r="D351" s="90"/>
      <c r="E351" s="147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 ht="15.75" customHeight="1">
      <c r="A352" s="90"/>
      <c r="B352" s="90"/>
      <c r="C352" s="90"/>
      <c r="D352" s="90"/>
      <c r="E352" s="147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 ht="15.75" customHeight="1">
      <c r="A353" s="90"/>
      <c r="B353" s="90"/>
      <c r="C353" s="90"/>
      <c r="D353" s="90"/>
      <c r="E353" s="147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</row>
    <row r="354" ht="15.75" customHeight="1">
      <c r="A354" s="90"/>
      <c r="B354" s="90"/>
      <c r="C354" s="90"/>
      <c r="D354" s="90"/>
      <c r="E354" s="147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 ht="15.75" customHeight="1">
      <c r="A355" s="90"/>
      <c r="B355" s="90"/>
      <c r="C355" s="90"/>
      <c r="D355" s="90"/>
      <c r="E355" s="147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</row>
    <row r="356" ht="15.75" customHeight="1">
      <c r="A356" s="90"/>
      <c r="B356" s="90"/>
      <c r="C356" s="90"/>
      <c r="D356" s="90"/>
      <c r="E356" s="147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</row>
    <row r="357" ht="15.75" customHeight="1">
      <c r="A357" s="90"/>
      <c r="B357" s="90"/>
      <c r="C357" s="90"/>
      <c r="D357" s="90"/>
      <c r="E357" s="147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 ht="15.75" customHeight="1">
      <c r="A358" s="90"/>
      <c r="B358" s="90"/>
      <c r="C358" s="90"/>
      <c r="D358" s="90"/>
      <c r="E358" s="147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 ht="15.75" customHeight="1">
      <c r="A359" s="90"/>
      <c r="B359" s="90"/>
      <c r="C359" s="90"/>
      <c r="D359" s="90"/>
      <c r="E359" s="147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</row>
    <row r="360" ht="15.75" customHeight="1">
      <c r="A360" s="90"/>
      <c r="B360" s="90"/>
      <c r="C360" s="90"/>
      <c r="D360" s="90"/>
      <c r="E360" s="147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</row>
    <row r="361" ht="15.75" customHeight="1">
      <c r="A361" s="90"/>
      <c r="B361" s="90"/>
      <c r="C361" s="90"/>
      <c r="D361" s="90"/>
      <c r="E361" s="147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</row>
    <row r="362" ht="15.75" customHeight="1">
      <c r="A362" s="90"/>
      <c r="B362" s="90"/>
      <c r="C362" s="90"/>
      <c r="D362" s="90"/>
      <c r="E362" s="147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 ht="15.75" customHeight="1">
      <c r="A363" s="90"/>
      <c r="B363" s="90"/>
      <c r="C363" s="90"/>
      <c r="D363" s="90"/>
      <c r="E363" s="147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</row>
    <row r="364" ht="15.75" customHeight="1">
      <c r="A364" s="90"/>
      <c r="B364" s="90"/>
      <c r="C364" s="90"/>
      <c r="D364" s="90"/>
      <c r="E364" s="147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</row>
    <row r="365" ht="15.75" customHeight="1">
      <c r="A365" s="90"/>
      <c r="B365" s="90"/>
      <c r="C365" s="90"/>
      <c r="D365" s="90"/>
      <c r="E365" s="147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</row>
    <row r="366" ht="15.75" customHeight="1">
      <c r="A366" s="90"/>
      <c r="B366" s="90"/>
      <c r="C366" s="90"/>
      <c r="D366" s="90"/>
      <c r="E366" s="147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</row>
    <row r="367" ht="15.75" customHeight="1">
      <c r="A367" s="90"/>
      <c r="B367" s="90"/>
      <c r="C367" s="90"/>
      <c r="D367" s="90"/>
      <c r="E367" s="147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 ht="15.75" customHeight="1">
      <c r="A368" s="90"/>
      <c r="B368" s="90"/>
      <c r="C368" s="90"/>
      <c r="D368" s="90"/>
      <c r="E368" s="147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</row>
    <row r="369" ht="15.75" customHeight="1">
      <c r="A369" s="90"/>
      <c r="B369" s="90"/>
      <c r="C369" s="90"/>
      <c r="D369" s="90"/>
      <c r="E369" s="147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</row>
    <row r="370" ht="15.75" customHeight="1">
      <c r="A370" s="90"/>
      <c r="B370" s="90"/>
      <c r="C370" s="90"/>
      <c r="D370" s="90"/>
      <c r="E370" s="147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</row>
    <row r="371" ht="15.75" customHeight="1">
      <c r="A371" s="90"/>
      <c r="B371" s="90"/>
      <c r="C371" s="90"/>
      <c r="D371" s="90"/>
      <c r="E371" s="147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</row>
    <row r="372" ht="15.75" customHeight="1">
      <c r="A372" s="90"/>
      <c r="B372" s="90"/>
      <c r="C372" s="90"/>
      <c r="D372" s="90"/>
      <c r="E372" s="147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</row>
    <row r="373" ht="15.75" customHeight="1">
      <c r="A373" s="90"/>
      <c r="B373" s="90"/>
      <c r="C373" s="90"/>
      <c r="D373" s="90"/>
      <c r="E373" s="147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 ht="15.75" customHeight="1">
      <c r="A374" s="90"/>
      <c r="B374" s="90"/>
      <c r="C374" s="90"/>
      <c r="D374" s="90"/>
      <c r="E374" s="147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 ht="15.75" customHeight="1">
      <c r="A375" s="90"/>
      <c r="B375" s="90"/>
      <c r="C375" s="90"/>
      <c r="D375" s="90"/>
      <c r="E375" s="147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 ht="15.75" customHeight="1">
      <c r="A376" s="90"/>
      <c r="B376" s="90"/>
      <c r="C376" s="90"/>
      <c r="D376" s="90"/>
      <c r="E376" s="147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</row>
    <row r="377" ht="15.75" customHeight="1">
      <c r="A377" s="90"/>
      <c r="B377" s="90"/>
      <c r="C377" s="90"/>
      <c r="D377" s="90"/>
      <c r="E377" s="147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</row>
    <row r="378" ht="15.75" customHeight="1">
      <c r="A378" s="90"/>
      <c r="B378" s="90"/>
      <c r="C378" s="90"/>
      <c r="D378" s="90"/>
      <c r="E378" s="147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</row>
    <row r="379" ht="15.75" customHeight="1">
      <c r="A379" s="90"/>
      <c r="B379" s="90"/>
      <c r="C379" s="90"/>
      <c r="D379" s="90"/>
      <c r="E379" s="147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</row>
    <row r="380" ht="15.75" customHeight="1">
      <c r="A380" s="90"/>
      <c r="B380" s="90"/>
      <c r="C380" s="90"/>
      <c r="D380" s="90"/>
      <c r="E380" s="147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 ht="15.75" customHeight="1">
      <c r="A381" s="90"/>
      <c r="B381" s="90"/>
      <c r="C381" s="90"/>
      <c r="D381" s="90"/>
      <c r="E381" s="147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</row>
    <row r="382" ht="15.75" customHeight="1">
      <c r="A382" s="90"/>
      <c r="B382" s="90"/>
      <c r="C382" s="90"/>
      <c r="D382" s="90"/>
      <c r="E382" s="147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</row>
    <row r="383" ht="15.75" customHeight="1">
      <c r="A383" s="90"/>
      <c r="B383" s="90"/>
      <c r="C383" s="90"/>
      <c r="D383" s="90"/>
      <c r="E383" s="147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</row>
    <row r="384" ht="15.75" customHeight="1">
      <c r="A384" s="90"/>
      <c r="B384" s="90"/>
      <c r="C384" s="90"/>
      <c r="D384" s="90"/>
      <c r="E384" s="147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</row>
    <row r="385" ht="15.75" customHeight="1">
      <c r="A385" s="90"/>
      <c r="B385" s="90"/>
      <c r="C385" s="90"/>
      <c r="D385" s="90"/>
      <c r="E385" s="147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</row>
    <row r="386" ht="15.75" customHeight="1">
      <c r="A386" s="90"/>
      <c r="B386" s="90"/>
      <c r="C386" s="90"/>
      <c r="D386" s="90"/>
      <c r="E386" s="147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</row>
    <row r="387" ht="15.75" customHeight="1">
      <c r="A387" s="90"/>
      <c r="B387" s="90"/>
      <c r="C387" s="90"/>
      <c r="D387" s="90"/>
      <c r="E387" s="147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</row>
    <row r="388" ht="15.75" customHeight="1">
      <c r="A388" s="90"/>
      <c r="B388" s="90"/>
      <c r="C388" s="90"/>
      <c r="D388" s="90"/>
      <c r="E388" s="147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</row>
    <row r="389" ht="15.75" customHeight="1">
      <c r="A389" s="90"/>
      <c r="B389" s="90"/>
      <c r="C389" s="90"/>
      <c r="D389" s="90"/>
      <c r="E389" s="147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 ht="15.75" customHeight="1">
      <c r="A390" s="90"/>
      <c r="B390" s="90"/>
      <c r="C390" s="90"/>
      <c r="D390" s="90"/>
      <c r="E390" s="147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</row>
    <row r="391" ht="15.75" customHeight="1">
      <c r="A391" s="90"/>
      <c r="B391" s="90"/>
      <c r="C391" s="90"/>
      <c r="D391" s="90"/>
      <c r="E391" s="147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</row>
    <row r="392" ht="15.75" customHeight="1">
      <c r="A392" s="90"/>
      <c r="B392" s="90"/>
      <c r="C392" s="90"/>
      <c r="D392" s="90"/>
      <c r="E392" s="147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</row>
    <row r="393" ht="15.75" customHeight="1">
      <c r="A393" s="90"/>
      <c r="B393" s="90"/>
      <c r="C393" s="90"/>
      <c r="D393" s="90"/>
      <c r="E393" s="147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</row>
    <row r="394" ht="15.75" customHeight="1">
      <c r="A394" s="90"/>
      <c r="B394" s="90"/>
      <c r="C394" s="90"/>
      <c r="D394" s="90"/>
      <c r="E394" s="147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</row>
    <row r="395" ht="15.75" customHeight="1">
      <c r="A395" s="90"/>
      <c r="B395" s="90"/>
      <c r="C395" s="90"/>
      <c r="D395" s="90"/>
      <c r="E395" s="147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</row>
    <row r="396" ht="15.75" customHeight="1">
      <c r="A396" s="90"/>
      <c r="B396" s="90"/>
      <c r="C396" s="90"/>
      <c r="D396" s="90"/>
      <c r="E396" s="147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</row>
    <row r="397" ht="15.75" customHeight="1">
      <c r="A397" s="90"/>
      <c r="B397" s="90"/>
      <c r="C397" s="90"/>
      <c r="D397" s="90"/>
      <c r="E397" s="147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</row>
    <row r="398" ht="15.75" customHeight="1">
      <c r="A398" s="90"/>
      <c r="B398" s="90"/>
      <c r="C398" s="90"/>
      <c r="D398" s="90"/>
      <c r="E398" s="147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</row>
    <row r="399" ht="15.75" customHeight="1">
      <c r="A399" s="90"/>
      <c r="B399" s="90"/>
      <c r="C399" s="90"/>
      <c r="D399" s="90"/>
      <c r="E399" s="147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 ht="15.75" customHeight="1">
      <c r="A400" s="90"/>
      <c r="B400" s="90"/>
      <c r="C400" s="90"/>
      <c r="D400" s="90"/>
      <c r="E400" s="147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</row>
    <row r="401" ht="15.75" customHeight="1">
      <c r="A401" s="90"/>
      <c r="B401" s="90"/>
      <c r="C401" s="90"/>
      <c r="D401" s="90"/>
      <c r="E401" s="147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</row>
    <row r="402" ht="15.75" customHeight="1">
      <c r="A402" s="90"/>
      <c r="B402" s="90"/>
      <c r="C402" s="90"/>
      <c r="D402" s="90"/>
      <c r="E402" s="147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 ht="15.75" customHeight="1">
      <c r="A403" s="90"/>
      <c r="B403" s="90"/>
      <c r="C403" s="90"/>
      <c r="D403" s="90"/>
      <c r="E403" s="147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</row>
    <row r="404" ht="15.75" customHeight="1">
      <c r="A404" s="90"/>
      <c r="B404" s="90"/>
      <c r="C404" s="90"/>
      <c r="D404" s="90"/>
      <c r="E404" s="147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</row>
    <row r="405" ht="15.75" customHeight="1">
      <c r="A405" s="90"/>
      <c r="B405" s="90"/>
      <c r="C405" s="90"/>
      <c r="D405" s="90"/>
      <c r="E405" s="147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</row>
    <row r="406" ht="15.75" customHeight="1">
      <c r="A406" s="90"/>
      <c r="B406" s="90"/>
      <c r="C406" s="90"/>
      <c r="D406" s="90"/>
      <c r="E406" s="147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</row>
    <row r="407" ht="15.75" customHeight="1">
      <c r="A407" s="90"/>
      <c r="B407" s="90"/>
      <c r="C407" s="90"/>
      <c r="D407" s="90"/>
      <c r="E407" s="147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 ht="15.75" customHeight="1">
      <c r="A408" s="90"/>
      <c r="B408" s="90"/>
      <c r="C408" s="90"/>
      <c r="D408" s="90"/>
      <c r="E408" s="147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 ht="15.75" customHeight="1">
      <c r="A409" s="90"/>
      <c r="B409" s="90"/>
      <c r="C409" s="90"/>
      <c r="D409" s="90"/>
      <c r="E409" s="147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</row>
    <row r="410" ht="15.75" customHeight="1">
      <c r="A410" s="90"/>
      <c r="B410" s="90"/>
      <c r="C410" s="90"/>
      <c r="D410" s="90"/>
      <c r="E410" s="147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</row>
    <row r="411" ht="15.75" customHeight="1">
      <c r="A411" s="90"/>
      <c r="B411" s="90"/>
      <c r="C411" s="90"/>
      <c r="D411" s="90"/>
      <c r="E411" s="147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</row>
    <row r="412" ht="15.75" customHeight="1">
      <c r="A412" s="90"/>
      <c r="B412" s="90"/>
      <c r="C412" s="90"/>
      <c r="D412" s="90"/>
      <c r="E412" s="147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 ht="15.75" customHeight="1">
      <c r="A413" s="90"/>
      <c r="B413" s="90"/>
      <c r="C413" s="90"/>
      <c r="D413" s="90"/>
      <c r="E413" s="147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</row>
    <row r="414" ht="15.75" customHeight="1">
      <c r="A414" s="90"/>
      <c r="B414" s="90"/>
      <c r="C414" s="90"/>
      <c r="D414" s="90"/>
      <c r="E414" s="147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</row>
    <row r="415" ht="15.75" customHeight="1">
      <c r="A415" s="90"/>
      <c r="B415" s="90"/>
      <c r="C415" s="90"/>
      <c r="D415" s="90"/>
      <c r="E415" s="147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 ht="15.75" customHeight="1">
      <c r="A416" s="90"/>
      <c r="B416" s="90"/>
      <c r="C416" s="90"/>
      <c r="D416" s="90"/>
      <c r="E416" s="147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 ht="15.75" customHeight="1">
      <c r="A417" s="90"/>
      <c r="B417" s="90"/>
      <c r="C417" s="90"/>
      <c r="D417" s="90"/>
      <c r="E417" s="147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 ht="15.75" customHeight="1">
      <c r="A418" s="90"/>
      <c r="B418" s="90"/>
      <c r="C418" s="90"/>
      <c r="D418" s="90"/>
      <c r="E418" s="147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</row>
    <row r="419" ht="15.75" customHeight="1">
      <c r="A419" s="90"/>
      <c r="B419" s="90"/>
      <c r="C419" s="90"/>
      <c r="D419" s="90"/>
      <c r="E419" s="147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</row>
    <row r="420" ht="15.75" customHeight="1">
      <c r="A420" s="90"/>
      <c r="B420" s="90"/>
      <c r="C420" s="90"/>
      <c r="D420" s="90"/>
      <c r="E420" s="147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</row>
    <row r="421" ht="15.75" customHeight="1">
      <c r="A421" s="90"/>
      <c r="B421" s="90"/>
      <c r="C421" s="90"/>
      <c r="D421" s="90"/>
      <c r="E421" s="147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</row>
    <row r="422" ht="15.75" customHeight="1">
      <c r="A422" s="90"/>
      <c r="B422" s="90"/>
      <c r="C422" s="90"/>
      <c r="D422" s="90"/>
      <c r="E422" s="147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</row>
    <row r="423" ht="15.75" customHeight="1">
      <c r="A423" s="90"/>
      <c r="B423" s="90"/>
      <c r="C423" s="90"/>
      <c r="D423" s="90"/>
      <c r="E423" s="147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</row>
    <row r="424" ht="15.75" customHeight="1">
      <c r="A424" s="90"/>
      <c r="B424" s="90"/>
      <c r="C424" s="90"/>
      <c r="D424" s="90"/>
      <c r="E424" s="147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</row>
    <row r="425" ht="15.75" customHeight="1">
      <c r="A425" s="90"/>
      <c r="B425" s="90"/>
      <c r="C425" s="90"/>
      <c r="D425" s="90"/>
      <c r="E425" s="147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 ht="15.75" customHeight="1">
      <c r="A426" s="90"/>
      <c r="B426" s="90"/>
      <c r="C426" s="90"/>
      <c r="D426" s="90"/>
      <c r="E426" s="147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</row>
    <row r="427" ht="15.75" customHeight="1">
      <c r="A427" s="90"/>
      <c r="B427" s="90"/>
      <c r="C427" s="90"/>
      <c r="D427" s="90"/>
      <c r="E427" s="147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</row>
    <row r="428" ht="15.75" customHeight="1">
      <c r="A428" s="90"/>
      <c r="B428" s="90"/>
      <c r="C428" s="90"/>
      <c r="D428" s="90"/>
      <c r="E428" s="147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 ht="15.75" customHeight="1">
      <c r="A429" s="90"/>
      <c r="B429" s="90"/>
      <c r="C429" s="90"/>
      <c r="D429" s="90"/>
      <c r="E429" s="147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 ht="15.75" customHeight="1">
      <c r="A430" s="90"/>
      <c r="B430" s="90"/>
      <c r="C430" s="90"/>
      <c r="D430" s="90"/>
      <c r="E430" s="147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</row>
    <row r="431" ht="15.75" customHeight="1">
      <c r="A431" s="90"/>
      <c r="B431" s="90"/>
      <c r="C431" s="90"/>
      <c r="D431" s="90"/>
      <c r="E431" s="147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</row>
    <row r="432" ht="15.75" customHeight="1">
      <c r="A432" s="90"/>
      <c r="B432" s="90"/>
      <c r="C432" s="90"/>
      <c r="D432" s="90"/>
      <c r="E432" s="147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</row>
    <row r="433" ht="15.75" customHeight="1">
      <c r="A433" s="90"/>
      <c r="B433" s="90"/>
      <c r="C433" s="90"/>
      <c r="D433" s="90"/>
      <c r="E433" s="147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</row>
    <row r="434" ht="15.75" customHeight="1">
      <c r="A434" s="90"/>
      <c r="B434" s="90"/>
      <c r="C434" s="90"/>
      <c r="D434" s="90"/>
      <c r="E434" s="147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 ht="15.75" customHeight="1">
      <c r="A435" s="90"/>
      <c r="B435" s="90"/>
      <c r="C435" s="90"/>
      <c r="D435" s="90"/>
      <c r="E435" s="147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 ht="15.75" customHeight="1">
      <c r="A436" s="90"/>
      <c r="B436" s="90"/>
      <c r="C436" s="90"/>
      <c r="D436" s="90"/>
      <c r="E436" s="147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</row>
    <row r="437" ht="15.75" customHeight="1">
      <c r="A437" s="90"/>
      <c r="B437" s="90"/>
      <c r="C437" s="90"/>
      <c r="D437" s="90"/>
      <c r="E437" s="147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</row>
    <row r="438" ht="15.75" customHeight="1">
      <c r="A438" s="90"/>
      <c r="B438" s="90"/>
      <c r="C438" s="90"/>
      <c r="D438" s="90"/>
      <c r="E438" s="147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 ht="15.75" customHeight="1">
      <c r="A439" s="90"/>
      <c r="B439" s="90"/>
      <c r="C439" s="90"/>
      <c r="D439" s="90"/>
      <c r="E439" s="147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</row>
    <row r="440" ht="15.75" customHeight="1">
      <c r="A440" s="90"/>
      <c r="B440" s="90"/>
      <c r="C440" s="90"/>
      <c r="D440" s="90"/>
      <c r="E440" s="147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 ht="15.75" customHeight="1">
      <c r="A441" s="90"/>
      <c r="B441" s="90"/>
      <c r="C441" s="90"/>
      <c r="D441" s="90"/>
      <c r="E441" s="147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</row>
    <row r="442" ht="15.75" customHeight="1">
      <c r="A442" s="90"/>
      <c r="B442" s="90"/>
      <c r="C442" s="90"/>
      <c r="D442" s="90"/>
      <c r="E442" s="147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 ht="15.75" customHeight="1">
      <c r="A443" s="90"/>
      <c r="B443" s="90"/>
      <c r="C443" s="90"/>
      <c r="D443" s="90"/>
      <c r="E443" s="147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 ht="15.75" customHeight="1">
      <c r="A444" s="90"/>
      <c r="B444" s="90"/>
      <c r="C444" s="90"/>
      <c r="D444" s="90"/>
      <c r="E444" s="147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 ht="15.75" customHeight="1">
      <c r="A445" s="90"/>
      <c r="B445" s="90"/>
      <c r="C445" s="90"/>
      <c r="D445" s="90"/>
      <c r="E445" s="147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</row>
    <row r="446" ht="15.75" customHeight="1">
      <c r="A446" s="90"/>
      <c r="B446" s="90"/>
      <c r="C446" s="90"/>
      <c r="D446" s="90"/>
      <c r="E446" s="147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</row>
    <row r="447" ht="15.75" customHeight="1">
      <c r="A447" s="90"/>
      <c r="B447" s="90"/>
      <c r="C447" s="90"/>
      <c r="D447" s="90"/>
      <c r="E447" s="147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</row>
    <row r="448" ht="15.75" customHeight="1">
      <c r="A448" s="90"/>
      <c r="B448" s="90"/>
      <c r="C448" s="90"/>
      <c r="D448" s="90"/>
      <c r="E448" s="147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</row>
    <row r="449" ht="15.75" customHeight="1">
      <c r="A449" s="90"/>
      <c r="B449" s="90"/>
      <c r="C449" s="90"/>
      <c r="D449" s="90"/>
      <c r="E449" s="147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</row>
    <row r="450" ht="15.75" customHeight="1">
      <c r="A450" s="90"/>
      <c r="B450" s="90"/>
      <c r="C450" s="90"/>
      <c r="D450" s="90"/>
      <c r="E450" s="147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</row>
    <row r="451" ht="15.75" customHeight="1">
      <c r="A451" s="90"/>
      <c r="B451" s="90"/>
      <c r="C451" s="90"/>
      <c r="D451" s="90"/>
      <c r="E451" s="147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</row>
    <row r="452" ht="15.75" customHeight="1">
      <c r="A452" s="90"/>
      <c r="B452" s="90"/>
      <c r="C452" s="90"/>
      <c r="D452" s="90"/>
      <c r="E452" s="147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 ht="15.75" customHeight="1">
      <c r="A453" s="90"/>
      <c r="B453" s="90"/>
      <c r="C453" s="90"/>
      <c r="D453" s="90"/>
      <c r="E453" s="147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 ht="15.75" customHeight="1">
      <c r="A454" s="90"/>
      <c r="B454" s="90"/>
      <c r="C454" s="90"/>
      <c r="D454" s="90"/>
      <c r="E454" s="147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 ht="15.75" customHeight="1">
      <c r="A455" s="90"/>
      <c r="B455" s="90"/>
      <c r="C455" s="90"/>
      <c r="D455" s="90"/>
      <c r="E455" s="147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 ht="15.75" customHeight="1">
      <c r="A456" s="90"/>
      <c r="B456" s="90"/>
      <c r="C456" s="90"/>
      <c r="D456" s="90"/>
      <c r="E456" s="147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 ht="15.75" customHeight="1">
      <c r="A457" s="90"/>
      <c r="B457" s="90"/>
      <c r="C457" s="90"/>
      <c r="D457" s="90"/>
      <c r="E457" s="147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 ht="15.75" customHeight="1">
      <c r="A458" s="90"/>
      <c r="B458" s="90"/>
      <c r="C458" s="90"/>
      <c r="D458" s="90"/>
      <c r="E458" s="147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 ht="15.75" customHeight="1">
      <c r="A459" s="90"/>
      <c r="B459" s="90"/>
      <c r="C459" s="90"/>
      <c r="D459" s="90"/>
      <c r="E459" s="147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 ht="15.75" customHeight="1">
      <c r="A460" s="90"/>
      <c r="B460" s="90"/>
      <c r="C460" s="90"/>
      <c r="D460" s="90"/>
      <c r="E460" s="147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 ht="15.75" customHeight="1">
      <c r="A461" s="90"/>
      <c r="B461" s="90"/>
      <c r="C461" s="90"/>
      <c r="D461" s="90"/>
      <c r="E461" s="147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 ht="15.75" customHeight="1">
      <c r="A462" s="90"/>
      <c r="B462" s="90"/>
      <c r="C462" s="90"/>
      <c r="D462" s="90"/>
      <c r="E462" s="147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 ht="15.75" customHeight="1">
      <c r="A463" s="90"/>
      <c r="B463" s="90"/>
      <c r="C463" s="90"/>
      <c r="D463" s="90"/>
      <c r="E463" s="147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 ht="15.75" customHeight="1">
      <c r="A464" s="90"/>
      <c r="B464" s="90"/>
      <c r="C464" s="90"/>
      <c r="D464" s="90"/>
      <c r="E464" s="147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 ht="15.75" customHeight="1">
      <c r="A465" s="90"/>
      <c r="B465" s="90"/>
      <c r="C465" s="90"/>
      <c r="D465" s="90"/>
      <c r="E465" s="147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 ht="15.75" customHeight="1">
      <c r="A466" s="90"/>
      <c r="B466" s="90"/>
      <c r="C466" s="90"/>
      <c r="D466" s="90"/>
      <c r="E466" s="147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 ht="15.75" customHeight="1">
      <c r="A467" s="90"/>
      <c r="B467" s="90"/>
      <c r="C467" s="90"/>
      <c r="D467" s="90"/>
      <c r="E467" s="147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 ht="15.75" customHeight="1">
      <c r="A468" s="90"/>
      <c r="B468" s="90"/>
      <c r="C468" s="90"/>
      <c r="D468" s="90"/>
      <c r="E468" s="147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 ht="15.75" customHeight="1">
      <c r="A469" s="90"/>
      <c r="B469" s="90"/>
      <c r="C469" s="90"/>
      <c r="D469" s="90"/>
      <c r="E469" s="147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 ht="15.75" customHeight="1">
      <c r="A470" s="90"/>
      <c r="B470" s="90"/>
      <c r="C470" s="90"/>
      <c r="D470" s="90"/>
      <c r="E470" s="147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 ht="15.75" customHeight="1">
      <c r="A471" s="90"/>
      <c r="B471" s="90"/>
      <c r="C471" s="90"/>
      <c r="D471" s="90"/>
      <c r="E471" s="147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 ht="15.75" customHeight="1">
      <c r="A472" s="90"/>
      <c r="B472" s="90"/>
      <c r="C472" s="90"/>
      <c r="D472" s="90"/>
      <c r="E472" s="147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 ht="15.75" customHeight="1">
      <c r="A473" s="90"/>
      <c r="B473" s="90"/>
      <c r="C473" s="90"/>
      <c r="D473" s="90"/>
      <c r="E473" s="147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 ht="15.75" customHeight="1">
      <c r="A474" s="90"/>
      <c r="B474" s="90"/>
      <c r="C474" s="90"/>
      <c r="D474" s="90"/>
      <c r="E474" s="147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 ht="15.75" customHeight="1">
      <c r="A475" s="90"/>
      <c r="B475" s="90"/>
      <c r="C475" s="90"/>
      <c r="D475" s="90"/>
      <c r="E475" s="147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 ht="15.75" customHeight="1">
      <c r="A476" s="90"/>
      <c r="B476" s="90"/>
      <c r="C476" s="90"/>
      <c r="D476" s="90"/>
      <c r="E476" s="147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 ht="15.75" customHeight="1">
      <c r="A477" s="90"/>
      <c r="B477" s="90"/>
      <c r="C477" s="90"/>
      <c r="D477" s="90"/>
      <c r="E477" s="147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 ht="15.75" customHeight="1">
      <c r="A478" s="90"/>
      <c r="B478" s="90"/>
      <c r="C478" s="90"/>
      <c r="D478" s="90"/>
      <c r="E478" s="147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 ht="15.75" customHeight="1">
      <c r="A479" s="90"/>
      <c r="B479" s="90"/>
      <c r="C479" s="90"/>
      <c r="D479" s="90"/>
      <c r="E479" s="147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 ht="15.75" customHeight="1">
      <c r="A480" s="90"/>
      <c r="B480" s="90"/>
      <c r="C480" s="90"/>
      <c r="D480" s="90"/>
      <c r="E480" s="147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 ht="15.75" customHeight="1">
      <c r="A481" s="90"/>
      <c r="B481" s="90"/>
      <c r="C481" s="90"/>
      <c r="D481" s="90"/>
      <c r="E481" s="147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 ht="15.75" customHeight="1">
      <c r="A482" s="90"/>
      <c r="B482" s="90"/>
      <c r="C482" s="90"/>
      <c r="D482" s="90"/>
      <c r="E482" s="147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 ht="15.75" customHeight="1">
      <c r="A483" s="90"/>
      <c r="B483" s="90"/>
      <c r="C483" s="90"/>
      <c r="D483" s="90"/>
      <c r="E483" s="147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 ht="15.75" customHeight="1">
      <c r="A484" s="90"/>
      <c r="B484" s="90"/>
      <c r="C484" s="90"/>
      <c r="D484" s="90"/>
      <c r="E484" s="147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 ht="15.75" customHeight="1">
      <c r="A485" s="90"/>
      <c r="B485" s="90"/>
      <c r="C485" s="90"/>
      <c r="D485" s="90"/>
      <c r="E485" s="147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 ht="15.75" customHeight="1">
      <c r="A486" s="90"/>
      <c r="B486" s="90"/>
      <c r="C486" s="90"/>
      <c r="D486" s="90"/>
      <c r="E486" s="147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 ht="15.75" customHeight="1">
      <c r="A487" s="90"/>
      <c r="B487" s="90"/>
      <c r="C487" s="90"/>
      <c r="D487" s="90"/>
      <c r="E487" s="147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 ht="15.75" customHeight="1">
      <c r="A488" s="90"/>
      <c r="B488" s="90"/>
      <c r="C488" s="90"/>
      <c r="D488" s="90"/>
      <c r="E488" s="147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 ht="15.75" customHeight="1">
      <c r="A489" s="90"/>
      <c r="B489" s="90"/>
      <c r="C489" s="90"/>
      <c r="D489" s="90"/>
      <c r="E489" s="147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 ht="15.75" customHeight="1">
      <c r="A490" s="90"/>
      <c r="B490" s="90"/>
      <c r="C490" s="90"/>
      <c r="D490" s="90"/>
      <c r="E490" s="147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 ht="15.75" customHeight="1">
      <c r="A491" s="90"/>
      <c r="B491" s="90"/>
      <c r="C491" s="90"/>
      <c r="D491" s="90"/>
      <c r="E491" s="147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 ht="15.75" customHeight="1">
      <c r="A492" s="90"/>
      <c r="B492" s="90"/>
      <c r="C492" s="90"/>
      <c r="D492" s="90"/>
      <c r="E492" s="147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 ht="15.75" customHeight="1">
      <c r="A493" s="90"/>
      <c r="B493" s="90"/>
      <c r="C493" s="90"/>
      <c r="D493" s="90"/>
      <c r="E493" s="147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 ht="15.75" customHeight="1">
      <c r="A494" s="90"/>
      <c r="B494" s="90"/>
      <c r="C494" s="90"/>
      <c r="D494" s="90"/>
      <c r="E494" s="147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 ht="15.75" customHeight="1">
      <c r="A495" s="90"/>
      <c r="B495" s="90"/>
      <c r="C495" s="90"/>
      <c r="D495" s="90"/>
      <c r="E495" s="147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 ht="15.75" customHeight="1">
      <c r="A496" s="90"/>
      <c r="B496" s="90"/>
      <c r="C496" s="90"/>
      <c r="D496" s="90"/>
      <c r="E496" s="147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 ht="15.75" customHeight="1">
      <c r="A497" s="90"/>
      <c r="B497" s="90"/>
      <c r="C497" s="90"/>
      <c r="D497" s="90"/>
      <c r="E497" s="147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 ht="15.75" customHeight="1">
      <c r="A498" s="90"/>
      <c r="B498" s="90"/>
      <c r="C498" s="90"/>
      <c r="D498" s="90"/>
      <c r="E498" s="147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 ht="15.75" customHeight="1">
      <c r="A499" s="90"/>
      <c r="B499" s="90"/>
      <c r="C499" s="90"/>
      <c r="D499" s="90"/>
      <c r="E499" s="147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 ht="15.75" customHeight="1">
      <c r="A500" s="90"/>
      <c r="B500" s="90"/>
      <c r="C500" s="90"/>
      <c r="D500" s="90"/>
      <c r="E500" s="147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 ht="15.75" customHeight="1">
      <c r="A501" s="90"/>
      <c r="B501" s="90"/>
      <c r="C501" s="90"/>
      <c r="D501" s="90"/>
      <c r="E501" s="147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 ht="15.75" customHeight="1">
      <c r="A502" s="90"/>
      <c r="B502" s="90"/>
      <c r="C502" s="90"/>
      <c r="D502" s="90"/>
      <c r="E502" s="147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 ht="15.75" customHeight="1">
      <c r="A503" s="90"/>
      <c r="B503" s="90"/>
      <c r="C503" s="90"/>
      <c r="D503" s="90"/>
      <c r="E503" s="147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 ht="15.75" customHeight="1">
      <c r="A504" s="90"/>
      <c r="B504" s="90"/>
      <c r="C504" s="90"/>
      <c r="D504" s="90"/>
      <c r="E504" s="147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 ht="15.75" customHeight="1">
      <c r="A505" s="90"/>
      <c r="B505" s="90"/>
      <c r="C505" s="90"/>
      <c r="D505" s="90"/>
      <c r="E505" s="147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 ht="15.75" customHeight="1">
      <c r="A506" s="90"/>
      <c r="B506" s="90"/>
      <c r="C506" s="90"/>
      <c r="D506" s="90"/>
      <c r="E506" s="147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 ht="15.75" customHeight="1">
      <c r="A507" s="90"/>
      <c r="B507" s="90"/>
      <c r="C507" s="90"/>
      <c r="D507" s="90"/>
      <c r="E507" s="147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 ht="15.75" customHeight="1">
      <c r="A508" s="90"/>
      <c r="B508" s="90"/>
      <c r="C508" s="90"/>
      <c r="D508" s="90"/>
      <c r="E508" s="147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 ht="15.75" customHeight="1">
      <c r="A509" s="90"/>
      <c r="B509" s="90"/>
      <c r="C509" s="90"/>
      <c r="D509" s="90"/>
      <c r="E509" s="147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 ht="15.75" customHeight="1">
      <c r="A510" s="90"/>
      <c r="B510" s="90"/>
      <c r="C510" s="90"/>
      <c r="D510" s="90"/>
      <c r="E510" s="147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 ht="15.75" customHeight="1">
      <c r="A511" s="90"/>
      <c r="B511" s="90"/>
      <c r="C511" s="90"/>
      <c r="D511" s="90"/>
      <c r="E511" s="147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 ht="15.75" customHeight="1">
      <c r="A512" s="90"/>
      <c r="B512" s="90"/>
      <c r="C512" s="90"/>
      <c r="D512" s="90"/>
      <c r="E512" s="147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 ht="15.75" customHeight="1">
      <c r="A513" s="90"/>
      <c r="B513" s="90"/>
      <c r="C513" s="90"/>
      <c r="D513" s="90"/>
      <c r="E513" s="147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 ht="15.75" customHeight="1">
      <c r="A514" s="90"/>
      <c r="B514" s="90"/>
      <c r="C514" s="90"/>
      <c r="D514" s="90"/>
      <c r="E514" s="147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 ht="15.75" customHeight="1">
      <c r="A515" s="90"/>
      <c r="B515" s="90"/>
      <c r="C515" s="90"/>
      <c r="D515" s="90"/>
      <c r="E515" s="147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 ht="15.75" customHeight="1">
      <c r="A516" s="90"/>
      <c r="B516" s="90"/>
      <c r="C516" s="90"/>
      <c r="D516" s="90"/>
      <c r="E516" s="147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 ht="15.75" customHeight="1">
      <c r="A517" s="90"/>
      <c r="B517" s="90"/>
      <c r="C517" s="90"/>
      <c r="D517" s="90"/>
      <c r="E517" s="147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 ht="15.75" customHeight="1">
      <c r="A518" s="90"/>
      <c r="B518" s="90"/>
      <c r="C518" s="90"/>
      <c r="D518" s="90"/>
      <c r="E518" s="147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 ht="15.75" customHeight="1">
      <c r="A519" s="90"/>
      <c r="B519" s="90"/>
      <c r="C519" s="90"/>
      <c r="D519" s="90"/>
      <c r="E519" s="147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 ht="15.75" customHeight="1">
      <c r="A520" s="90"/>
      <c r="B520" s="90"/>
      <c r="C520" s="90"/>
      <c r="D520" s="90"/>
      <c r="E520" s="147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 ht="15.75" customHeight="1">
      <c r="A521" s="90"/>
      <c r="B521" s="90"/>
      <c r="C521" s="90"/>
      <c r="D521" s="90"/>
      <c r="E521" s="147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 ht="15.75" customHeight="1">
      <c r="A522" s="90"/>
      <c r="B522" s="90"/>
      <c r="C522" s="90"/>
      <c r="D522" s="90"/>
      <c r="E522" s="147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 ht="15.75" customHeight="1">
      <c r="A523" s="90"/>
      <c r="B523" s="90"/>
      <c r="C523" s="90"/>
      <c r="D523" s="90"/>
      <c r="E523" s="147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 ht="15.75" customHeight="1">
      <c r="A524" s="90"/>
      <c r="B524" s="90"/>
      <c r="C524" s="90"/>
      <c r="D524" s="90"/>
      <c r="E524" s="147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 ht="15.75" customHeight="1">
      <c r="A525" s="90"/>
      <c r="B525" s="90"/>
      <c r="C525" s="90"/>
      <c r="D525" s="90"/>
      <c r="E525" s="147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 ht="15.75" customHeight="1">
      <c r="A526" s="90"/>
      <c r="B526" s="90"/>
      <c r="C526" s="90"/>
      <c r="D526" s="90"/>
      <c r="E526" s="147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 ht="15.75" customHeight="1">
      <c r="A527" s="90"/>
      <c r="B527" s="90"/>
      <c r="C527" s="90"/>
      <c r="D527" s="90"/>
      <c r="E527" s="147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 ht="15.75" customHeight="1">
      <c r="A528" s="90"/>
      <c r="B528" s="90"/>
      <c r="C528" s="90"/>
      <c r="D528" s="90"/>
      <c r="E528" s="147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 ht="15.75" customHeight="1">
      <c r="A529" s="90"/>
      <c r="B529" s="90"/>
      <c r="C529" s="90"/>
      <c r="D529" s="90"/>
      <c r="E529" s="147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 ht="15.75" customHeight="1">
      <c r="A530" s="90"/>
      <c r="B530" s="90"/>
      <c r="C530" s="90"/>
      <c r="D530" s="90"/>
      <c r="E530" s="147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 ht="15.75" customHeight="1">
      <c r="A531" s="90"/>
      <c r="B531" s="90"/>
      <c r="C531" s="90"/>
      <c r="D531" s="90"/>
      <c r="E531" s="147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 ht="15.75" customHeight="1">
      <c r="A532" s="90"/>
      <c r="B532" s="90"/>
      <c r="C532" s="90"/>
      <c r="D532" s="90"/>
      <c r="E532" s="147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 ht="15.75" customHeight="1">
      <c r="A533" s="90"/>
      <c r="B533" s="90"/>
      <c r="C533" s="90"/>
      <c r="D533" s="90"/>
      <c r="E533" s="147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 ht="15.75" customHeight="1">
      <c r="A534" s="90"/>
      <c r="B534" s="90"/>
      <c r="C534" s="90"/>
      <c r="D534" s="90"/>
      <c r="E534" s="147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 ht="15.75" customHeight="1">
      <c r="A535" s="90"/>
      <c r="B535" s="90"/>
      <c r="C535" s="90"/>
      <c r="D535" s="90"/>
      <c r="E535" s="147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 ht="15.75" customHeight="1">
      <c r="A536" s="90"/>
      <c r="B536" s="90"/>
      <c r="C536" s="90"/>
      <c r="D536" s="90"/>
      <c r="E536" s="147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 ht="15.75" customHeight="1">
      <c r="A537" s="90"/>
      <c r="B537" s="90"/>
      <c r="C537" s="90"/>
      <c r="D537" s="90"/>
      <c r="E537" s="147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 ht="15.75" customHeight="1">
      <c r="A538" s="90"/>
      <c r="B538" s="90"/>
      <c r="C538" s="90"/>
      <c r="D538" s="90"/>
      <c r="E538" s="147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 ht="15.75" customHeight="1">
      <c r="A539" s="90"/>
      <c r="B539" s="90"/>
      <c r="C539" s="90"/>
      <c r="D539" s="90"/>
      <c r="E539" s="147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 ht="15.75" customHeight="1">
      <c r="A540" s="90"/>
      <c r="B540" s="90"/>
      <c r="C540" s="90"/>
      <c r="D540" s="90"/>
      <c r="E540" s="147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 ht="15.75" customHeight="1">
      <c r="A541" s="90"/>
      <c r="B541" s="90"/>
      <c r="C541" s="90"/>
      <c r="D541" s="90"/>
      <c r="E541" s="147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 ht="15.75" customHeight="1">
      <c r="A542" s="90"/>
      <c r="B542" s="90"/>
      <c r="C542" s="90"/>
      <c r="D542" s="90"/>
      <c r="E542" s="147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 ht="15.75" customHeight="1">
      <c r="A543" s="90"/>
      <c r="B543" s="90"/>
      <c r="C543" s="90"/>
      <c r="D543" s="90"/>
      <c r="E543" s="147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 ht="15.75" customHeight="1">
      <c r="A544" s="90"/>
      <c r="B544" s="90"/>
      <c r="C544" s="90"/>
      <c r="D544" s="90"/>
      <c r="E544" s="147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 ht="15.75" customHeight="1">
      <c r="A545" s="90"/>
      <c r="B545" s="90"/>
      <c r="C545" s="90"/>
      <c r="D545" s="90"/>
      <c r="E545" s="147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 ht="15.75" customHeight="1">
      <c r="A546" s="90"/>
      <c r="B546" s="90"/>
      <c r="C546" s="90"/>
      <c r="D546" s="90"/>
      <c r="E546" s="147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 ht="15.75" customHeight="1">
      <c r="A547" s="90"/>
      <c r="B547" s="90"/>
      <c r="C547" s="90"/>
      <c r="D547" s="90"/>
      <c r="E547" s="147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 ht="15.75" customHeight="1">
      <c r="A548" s="90"/>
      <c r="B548" s="90"/>
      <c r="C548" s="90"/>
      <c r="D548" s="90"/>
      <c r="E548" s="147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 ht="15.75" customHeight="1">
      <c r="A549" s="90"/>
      <c r="B549" s="90"/>
      <c r="C549" s="90"/>
      <c r="D549" s="90"/>
      <c r="E549" s="147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 ht="15.75" customHeight="1">
      <c r="A550" s="90"/>
      <c r="B550" s="90"/>
      <c r="C550" s="90"/>
      <c r="D550" s="90"/>
      <c r="E550" s="147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 ht="15.75" customHeight="1">
      <c r="A551" s="90"/>
      <c r="B551" s="90"/>
      <c r="C551" s="90"/>
      <c r="D551" s="90"/>
      <c r="E551" s="147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 ht="15.75" customHeight="1">
      <c r="A552" s="90"/>
      <c r="B552" s="90"/>
      <c r="C552" s="90"/>
      <c r="D552" s="90"/>
      <c r="E552" s="147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 ht="15.75" customHeight="1">
      <c r="A553" s="90"/>
      <c r="B553" s="90"/>
      <c r="C553" s="90"/>
      <c r="D553" s="90"/>
      <c r="E553" s="147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 ht="15.75" customHeight="1">
      <c r="A554" s="90"/>
      <c r="B554" s="90"/>
      <c r="C554" s="90"/>
      <c r="D554" s="90"/>
      <c r="E554" s="147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 ht="15.75" customHeight="1">
      <c r="A555" s="90"/>
      <c r="B555" s="90"/>
      <c r="C555" s="90"/>
      <c r="D555" s="90"/>
      <c r="E555" s="147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 ht="15.75" customHeight="1">
      <c r="A556" s="90"/>
      <c r="B556" s="90"/>
      <c r="C556" s="90"/>
      <c r="D556" s="90"/>
      <c r="E556" s="147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 ht="15.75" customHeight="1">
      <c r="A557" s="90"/>
      <c r="B557" s="90"/>
      <c r="C557" s="90"/>
      <c r="D557" s="90"/>
      <c r="E557" s="147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 ht="15.75" customHeight="1">
      <c r="A558" s="90"/>
      <c r="B558" s="90"/>
      <c r="C558" s="90"/>
      <c r="D558" s="90"/>
      <c r="E558" s="147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 ht="15.75" customHeight="1">
      <c r="A559" s="90"/>
      <c r="B559" s="90"/>
      <c r="C559" s="90"/>
      <c r="D559" s="90"/>
      <c r="E559" s="147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 ht="15.75" customHeight="1">
      <c r="A560" s="90"/>
      <c r="B560" s="90"/>
      <c r="C560" s="90"/>
      <c r="D560" s="90"/>
      <c r="E560" s="147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 ht="15.75" customHeight="1">
      <c r="A561" s="90"/>
      <c r="B561" s="90"/>
      <c r="C561" s="90"/>
      <c r="D561" s="90"/>
      <c r="E561" s="147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 ht="15.75" customHeight="1">
      <c r="A562" s="90"/>
      <c r="B562" s="90"/>
      <c r="C562" s="90"/>
      <c r="D562" s="90"/>
      <c r="E562" s="147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 ht="15.75" customHeight="1">
      <c r="A563" s="90"/>
      <c r="B563" s="90"/>
      <c r="C563" s="90"/>
      <c r="D563" s="90"/>
      <c r="E563" s="147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 ht="15.75" customHeight="1">
      <c r="A564" s="90"/>
      <c r="B564" s="90"/>
      <c r="C564" s="90"/>
      <c r="D564" s="90"/>
      <c r="E564" s="147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 ht="15.75" customHeight="1">
      <c r="A565" s="90"/>
      <c r="B565" s="90"/>
      <c r="C565" s="90"/>
      <c r="D565" s="90"/>
      <c r="E565" s="147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 ht="15.75" customHeight="1">
      <c r="A566" s="90"/>
      <c r="B566" s="90"/>
      <c r="C566" s="90"/>
      <c r="D566" s="90"/>
      <c r="E566" s="147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 ht="15.75" customHeight="1">
      <c r="A567" s="90"/>
      <c r="B567" s="90"/>
      <c r="C567" s="90"/>
      <c r="D567" s="90"/>
      <c r="E567" s="147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 ht="15.75" customHeight="1">
      <c r="A568" s="90"/>
      <c r="B568" s="90"/>
      <c r="C568" s="90"/>
      <c r="D568" s="90"/>
      <c r="E568" s="147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 ht="15.75" customHeight="1">
      <c r="A569" s="90"/>
      <c r="B569" s="90"/>
      <c r="C569" s="90"/>
      <c r="D569" s="90"/>
      <c r="E569" s="147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 ht="15.75" customHeight="1">
      <c r="A570" s="90"/>
      <c r="B570" s="90"/>
      <c r="C570" s="90"/>
      <c r="D570" s="90"/>
      <c r="E570" s="147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 ht="15.75" customHeight="1">
      <c r="A571" s="90"/>
      <c r="B571" s="90"/>
      <c r="C571" s="90"/>
      <c r="D571" s="90"/>
      <c r="E571" s="147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 ht="15.75" customHeight="1">
      <c r="A572" s="90"/>
      <c r="B572" s="90"/>
      <c r="C572" s="90"/>
      <c r="D572" s="90"/>
      <c r="E572" s="147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 ht="15.75" customHeight="1">
      <c r="A573" s="90"/>
      <c r="B573" s="90"/>
      <c r="C573" s="90"/>
      <c r="D573" s="90"/>
      <c r="E573" s="147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 ht="15.75" customHeight="1">
      <c r="A574" s="90"/>
      <c r="B574" s="90"/>
      <c r="C574" s="90"/>
      <c r="D574" s="90"/>
      <c r="E574" s="147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 ht="15.75" customHeight="1">
      <c r="A575" s="90"/>
      <c r="B575" s="90"/>
      <c r="C575" s="90"/>
      <c r="D575" s="90"/>
      <c r="E575" s="147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 ht="15.75" customHeight="1">
      <c r="A576" s="90"/>
      <c r="B576" s="90"/>
      <c r="C576" s="90"/>
      <c r="D576" s="90"/>
      <c r="E576" s="147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 ht="15.75" customHeight="1">
      <c r="A577" s="90"/>
      <c r="B577" s="90"/>
      <c r="C577" s="90"/>
      <c r="D577" s="90"/>
      <c r="E577" s="147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 ht="15.75" customHeight="1">
      <c r="A578" s="90"/>
      <c r="B578" s="90"/>
      <c r="C578" s="90"/>
      <c r="D578" s="90"/>
      <c r="E578" s="147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 ht="15.75" customHeight="1">
      <c r="A579" s="90"/>
      <c r="B579" s="90"/>
      <c r="C579" s="90"/>
      <c r="D579" s="90"/>
      <c r="E579" s="147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 ht="15.75" customHeight="1">
      <c r="A580" s="90"/>
      <c r="B580" s="90"/>
      <c r="C580" s="90"/>
      <c r="D580" s="90"/>
      <c r="E580" s="147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 ht="15.75" customHeight="1">
      <c r="A581" s="90"/>
      <c r="B581" s="90"/>
      <c r="C581" s="90"/>
      <c r="D581" s="90"/>
      <c r="E581" s="147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 ht="15.75" customHeight="1">
      <c r="A582" s="90"/>
      <c r="B582" s="90"/>
      <c r="C582" s="90"/>
      <c r="D582" s="90"/>
      <c r="E582" s="147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 ht="15.75" customHeight="1">
      <c r="A583" s="90"/>
      <c r="B583" s="90"/>
      <c r="C583" s="90"/>
      <c r="D583" s="90"/>
      <c r="E583" s="147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 ht="15.75" customHeight="1">
      <c r="A584" s="90"/>
      <c r="B584" s="90"/>
      <c r="C584" s="90"/>
      <c r="D584" s="90"/>
      <c r="E584" s="147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 ht="15.75" customHeight="1">
      <c r="A585" s="90"/>
      <c r="B585" s="90"/>
      <c r="C585" s="90"/>
      <c r="D585" s="90"/>
      <c r="E585" s="147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 ht="15.75" customHeight="1">
      <c r="A586" s="90"/>
      <c r="B586" s="90"/>
      <c r="C586" s="90"/>
      <c r="D586" s="90"/>
      <c r="E586" s="147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 ht="15.75" customHeight="1">
      <c r="A587" s="90"/>
      <c r="B587" s="90"/>
      <c r="C587" s="90"/>
      <c r="D587" s="90"/>
      <c r="E587" s="147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 ht="15.75" customHeight="1">
      <c r="A588" s="90"/>
      <c r="B588" s="90"/>
      <c r="C588" s="90"/>
      <c r="D588" s="90"/>
      <c r="E588" s="147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 ht="15.75" customHeight="1">
      <c r="A589" s="90"/>
      <c r="B589" s="90"/>
      <c r="C589" s="90"/>
      <c r="D589" s="90"/>
      <c r="E589" s="147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 ht="15.75" customHeight="1">
      <c r="A590" s="90"/>
      <c r="B590" s="90"/>
      <c r="C590" s="90"/>
      <c r="D590" s="90"/>
      <c r="E590" s="147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 ht="15.75" customHeight="1">
      <c r="A591" s="90"/>
      <c r="B591" s="90"/>
      <c r="C591" s="90"/>
      <c r="D591" s="90"/>
      <c r="E591" s="147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 ht="15.75" customHeight="1">
      <c r="A592" s="90"/>
      <c r="B592" s="90"/>
      <c r="C592" s="90"/>
      <c r="D592" s="90"/>
      <c r="E592" s="147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 ht="15.75" customHeight="1">
      <c r="A593" s="90"/>
      <c r="B593" s="90"/>
      <c r="C593" s="90"/>
      <c r="D593" s="90"/>
      <c r="E593" s="147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 ht="15.75" customHeight="1">
      <c r="A594" s="90"/>
      <c r="B594" s="90"/>
      <c r="C594" s="90"/>
      <c r="D594" s="90"/>
      <c r="E594" s="147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 ht="15.75" customHeight="1">
      <c r="A595" s="90"/>
      <c r="B595" s="90"/>
      <c r="C595" s="90"/>
      <c r="D595" s="90"/>
      <c r="E595" s="147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 ht="15.75" customHeight="1">
      <c r="A596" s="90"/>
      <c r="B596" s="90"/>
      <c r="C596" s="90"/>
      <c r="D596" s="90"/>
      <c r="E596" s="147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 ht="15.75" customHeight="1">
      <c r="A597" s="90"/>
      <c r="B597" s="90"/>
      <c r="C597" s="90"/>
      <c r="D597" s="90"/>
      <c r="E597" s="147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 ht="15.75" customHeight="1">
      <c r="A598" s="90"/>
      <c r="B598" s="90"/>
      <c r="C598" s="90"/>
      <c r="D598" s="90"/>
      <c r="E598" s="147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 ht="15.75" customHeight="1">
      <c r="A599" s="90"/>
      <c r="B599" s="90"/>
      <c r="C599" s="90"/>
      <c r="D599" s="90"/>
      <c r="E599" s="147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 ht="15.75" customHeight="1">
      <c r="A600" s="90"/>
      <c r="B600" s="90"/>
      <c r="C600" s="90"/>
      <c r="D600" s="90"/>
      <c r="E600" s="147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 ht="15.75" customHeight="1">
      <c r="A601" s="90"/>
      <c r="B601" s="90"/>
      <c r="C601" s="90"/>
      <c r="D601" s="90"/>
      <c r="E601" s="147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 ht="15.75" customHeight="1">
      <c r="A602" s="90"/>
      <c r="B602" s="90"/>
      <c r="C602" s="90"/>
      <c r="D602" s="90"/>
      <c r="E602" s="147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 ht="15.75" customHeight="1">
      <c r="A603" s="90"/>
      <c r="B603" s="90"/>
      <c r="C603" s="90"/>
      <c r="D603" s="90"/>
      <c r="E603" s="147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 ht="15.75" customHeight="1">
      <c r="A604" s="90"/>
      <c r="B604" s="90"/>
      <c r="C604" s="90"/>
      <c r="D604" s="90"/>
      <c r="E604" s="147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 ht="15.75" customHeight="1">
      <c r="A605" s="90"/>
      <c r="B605" s="90"/>
      <c r="C605" s="90"/>
      <c r="D605" s="90"/>
      <c r="E605" s="147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 ht="15.75" customHeight="1">
      <c r="A606" s="90"/>
      <c r="B606" s="90"/>
      <c r="C606" s="90"/>
      <c r="D606" s="90"/>
      <c r="E606" s="147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 ht="15.75" customHeight="1">
      <c r="A607" s="90"/>
      <c r="B607" s="90"/>
      <c r="C607" s="90"/>
      <c r="D607" s="90"/>
      <c r="E607" s="147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 ht="15.75" customHeight="1">
      <c r="A608" s="90"/>
      <c r="B608" s="90"/>
      <c r="C608" s="90"/>
      <c r="D608" s="90"/>
      <c r="E608" s="147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 ht="15.75" customHeight="1">
      <c r="A609" s="90"/>
      <c r="B609" s="90"/>
      <c r="C609" s="90"/>
      <c r="D609" s="90"/>
      <c r="E609" s="147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 ht="15.75" customHeight="1">
      <c r="A610" s="90"/>
      <c r="B610" s="90"/>
      <c r="C610" s="90"/>
      <c r="D610" s="90"/>
      <c r="E610" s="147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 ht="15.75" customHeight="1">
      <c r="A611" s="90"/>
      <c r="B611" s="90"/>
      <c r="C611" s="90"/>
      <c r="D611" s="90"/>
      <c r="E611" s="147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 ht="15.75" customHeight="1">
      <c r="A612" s="90"/>
      <c r="B612" s="90"/>
      <c r="C612" s="90"/>
      <c r="D612" s="90"/>
      <c r="E612" s="147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 ht="15.75" customHeight="1">
      <c r="A613" s="90"/>
      <c r="B613" s="90"/>
      <c r="C613" s="90"/>
      <c r="D613" s="90"/>
      <c r="E613" s="147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 ht="15.75" customHeight="1">
      <c r="A614" s="90"/>
      <c r="B614" s="90"/>
      <c r="C614" s="90"/>
      <c r="D614" s="90"/>
      <c r="E614" s="147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 ht="15.75" customHeight="1">
      <c r="A615" s="90"/>
      <c r="B615" s="90"/>
      <c r="C615" s="90"/>
      <c r="D615" s="90"/>
      <c r="E615" s="147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 ht="15.75" customHeight="1">
      <c r="A616" s="90"/>
      <c r="B616" s="90"/>
      <c r="C616" s="90"/>
      <c r="D616" s="90"/>
      <c r="E616" s="147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 ht="15.75" customHeight="1">
      <c r="A617" s="90"/>
      <c r="B617" s="90"/>
      <c r="C617" s="90"/>
      <c r="D617" s="90"/>
      <c r="E617" s="147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 ht="15.75" customHeight="1">
      <c r="A618" s="90"/>
      <c r="B618" s="90"/>
      <c r="C618" s="90"/>
      <c r="D618" s="90"/>
      <c r="E618" s="147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 ht="15.75" customHeight="1">
      <c r="A619" s="90"/>
      <c r="B619" s="90"/>
      <c r="C619" s="90"/>
      <c r="D619" s="90"/>
      <c r="E619" s="147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 ht="15.75" customHeight="1">
      <c r="A620" s="90"/>
      <c r="B620" s="90"/>
      <c r="C620" s="90"/>
      <c r="D620" s="90"/>
      <c r="E620" s="147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 ht="15.75" customHeight="1">
      <c r="A621" s="90"/>
      <c r="B621" s="90"/>
      <c r="C621" s="90"/>
      <c r="D621" s="90"/>
      <c r="E621" s="147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 ht="15.75" customHeight="1">
      <c r="A622" s="90"/>
      <c r="B622" s="90"/>
      <c r="C622" s="90"/>
      <c r="D622" s="90"/>
      <c r="E622" s="147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 ht="15.75" customHeight="1">
      <c r="A623" s="90"/>
      <c r="B623" s="90"/>
      <c r="C623" s="90"/>
      <c r="D623" s="90"/>
      <c r="E623" s="147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 ht="15.75" customHeight="1">
      <c r="A624" s="90"/>
      <c r="B624" s="90"/>
      <c r="C624" s="90"/>
      <c r="D624" s="90"/>
      <c r="E624" s="147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 ht="15.75" customHeight="1">
      <c r="A625" s="90"/>
      <c r="B625" s="90"/>
      <c r="C625" s="90"/>
      <c r="D625" s="90"/>
      <c r="E625" s="147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 ht="15.75" customHeight="1">
      <c r="A626" s="90"/>
      <c r="B626" s="90"/>
      <c r="C626" s="90"/>
      <c r="D626" s="90"/>
      <c r="E626" s="147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 ht="15.75" customHeight="1">
      <c r="A627" s="90"/>
      <c r="B627" s="90"/>
      <c r="C627" s="90"/>
      <c r="D627" s="90"/>
      <c r="E627" s="147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 ht="15.75" customHeight="1">
      <c r="A628" s="90"/>
      <c r="B628" s="90"/>
      <c r="C628" s="90"/>
      <c r="D628" s="90"/>
      <c r="E628" s="147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 ht="15.75" customHeight="1">
      <c r="A629" s="90"/>
      <c r="B629" s="90"/>
      <c r="C629" s="90"/>
      <c r="D629" s="90"/>
      <c r="E629" s="147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 ht="15.75" customHeight="1">
      <c r="A630" s="90"/>
      <c r="B630" s="90"/>
      <c r="C630" s="90"/>
      <c r="D630" s="90"/>
      <c r="E630" s="147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 ht="15.75" customHeight="1">
      <c r="A631" s="90"/>
      <c r="B631" s="90"/>
      <c r="C631" s="90"/>
      <c r="D631" s="90"/>
      <c r="E631" s="147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 ht="15.75" customHeight="1">
      <c r="A632" s="90"/>
      <c r="B632" s="90"/>
      <c r="C632" s="90"/>
      <c r="D632" s="90"/>
      <c r="E632" s="147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 ht="15.75" customHeight="1">
      <c r="A633" s="90"/>
      <c r="B633" s="90"/>
      <c r="C633" s="90"/>
      <c r="D633" s="90"/>
      <c r="E633" s="147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 ht="15.75" customHeight="1">
      <c r="A634" s="90"/>
      <c r="B634" s="90"/>
      <c r="C634" s="90"/>
      <c r="D634" s="90"/>
      <c r="E634" s="147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 ht="15.75" customHeight="1">
      <c r="A635" s="90"/>
      <c r="B635" s="90"/>
      <c r="C635" s="90"/>
      <c r="D635" s="90"/>
      <c r="E635" s="147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 ht="15.75" customHeight="1">
      <c r="A636" s="90"/>
      <c r="B636" s="90"/>
      <c r="C636" s="90"/>
      <c r="D636" s="90"/>
      <c r="E636" s="147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 ht="15.75" customHeight="1">
      <c r="A637" s="90"/>
      <c r="B637" s="90"/>
      <c r="C637" s="90"/>
      <c r="D637" s="90"/>
      <c r="E637" s="147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 ht="15.75" customHeight="1">
      <c r="A638" s="90"/>
      <c r="B638" s="90"/>
      <c r="C638" s="90"/>
      <c r="D638" s="90"/>
      <c r="E638" s="147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 ht="15.75" customHeight="1">
      <c r="A639" s="90"/>
      <c r="B639" s="90"/>
      <c r="C639" s="90"/>
      <c r="D639" s="90"/>
      <c r="E639" s="147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 ht="15.75" customHeight="1">
      <c r="A640" s="90"/>
      <c r="B640" s="90"/>
      <c r="C640" s="90"/>
      <c r="D640" s="90"/>
      <c r="E640" s="147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 ht="15.75" customHeight="1">
      <c r="A641" s="90"/>
      <c r="B641" s="90"/>
      <c r="C641" s="90"/>
      <c r="D641" s="90"/>
      <c r="E641" s="147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 ht="15.75" customHeight="1">
      <c r="A642" s="90"/>
      <c r="B642" s="90"/>
      <c r="C642" s="90"/>
      <c r="D642" s="90"/>
      <c r="E642" s="147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 ht="15.75" customHeight="1">
      <c r="A643" s="90"/>
      <c r="B643" s="90"/>
      <c r="C643" s="90"/>
      <c r="D643" s="90"/>
      <c r="E643" s="147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 ht="15.75" customHeight="1">
      <c r="A644" s="90"/>
      <c r="B644" s="90"/>
      <c r="C644" s="90"/>
      <c r="D644" s="90"/>
      <c r="E644" s="147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 ht="15.75" customHeight="1">
      <c r="A645" s="90"/>
      <c r="B645" s="90"/>
      <c r="C645" s="90"/>
      <c r="D645" s="90"/>
      <c r="E645" s="147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 ht="15.75" customHeight="1">
      <c r="A646" s="90"/>
      <c r="B646" s="90"/>
      <c r="C646" s="90"/>
      <c r="D646" s="90"/>
      <c r="E646" s="147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 ht="15.75" customHeight="1">
      <c r="A647" s="90"/>
      <c r="B647" s="90"/>
      <c r="C647" s="90"/>
      <c r="D647" s="90"/>
      <c r="E647" s="147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 ht="15.75" customHeight="1">
      <c r="A648" s="90"/>
      <c r="B648" s="90"/>
      <c r="C648" s="90"/>
      <c r="D648" s="90"/>
      <c r="E648" s="147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 ht="15.75" customHeight="1">
      <c r="A649" s="90"/>
      <c r="B649" s="90"/>
      <c r="C649" s="90"/>
      <c r="D649" s="90"/>
      <c r="E649" s="147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 ht="15.75" customHeight="1">
      <c r="A650" s="90"/>
      <c r="B650" s="90"/>
      <c r="C650" s="90"/>
      <c r="D650" s="90"/>
      <c r="E650" s="147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 ht="15.75" customHeight="1">
      <c r="A651" s="90"/>
      <c r="B651" s="90"/>
      <c r="C651" s="90"/>
      <c r="D651" s="90"/>
      <c r="E651" s="147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 ht="15.75" customHeight="1">
      <c r="A652" s="90"/>
      <c r="B652" s="90"/>
      <c r="C652" s="90"/>
      <c r="D652" s="90"/>
      <c r="E652" s="147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 ht="15.75" customHeight="1">
      <c r="A653" s="90"/>
      <c r="B653" s="90"/>
      <c r="C653" s="90"/>
      <c r="D653" s="90"/>
      <c r="E653" s="147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 ht="15.75" customHeight="1">
      <c r="A654" s="90"/>
      <c r="B654" s="90"/>
      <c r="C654" s="90"/>
      <c r="D654" s="90"/>
      <c r="E654" s="147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 ht="15.75" customHeight="1">
      <c r="A655" s="90"/>
      <c r="B655" s="90"/>
      <c r="C655" s="90"/>
      <c r="D655" s="90"/>
      <c r="E655" s="147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 ht="15.75" customHeight="1">
      <c r="A656" s="90"/>
      <c r="B656" s="90"/>
      <c r="C656" s="90"/>
      <c r="D656" s="90"/>
      <c r="E656" s="147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 ht="15.75" customHeight="1">
      <c r="A657" s="90"/>
      <c r="B657" s="90"/>
      <c r="C657" s="90"/>
      <c r="D657" s="90"/>
      <c r="E657" s="147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 ht="15.75" customHeight="1">
      <c r="A658" s="90"/>
      <c r="B658" s="90"/>
      <c r="C658" s="90"/>
      <c r="D658" s="90"/>
      <c r="E658" s="147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 ht="15.75" customHeight="1">
      <c r="A659" s="90"/>
      <c r="B659" s="90"/>
      <c r="C659" s="90"/>
      <c r="D659" s="90"/>
      <c r="E659" s="147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 ht="15.75" customHeight="1">
      <c r="A660" s="90"/>
      <c r="B660" s="90"/>
      <c r="C660" s="90"/>
      <c r="D660" s="90"/>
      <c r="E660" s="147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 ht="15.75" customHeight="1">
      <c r="A661" s="90"/>
      <c r="B661" s="90"/>
      <c r="C661" s="90"/>
      <c r="D661" s="90"/>
      <c r="E661" s="147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 ht="15.75" customHeight="1">
      <c r="A662" s="90"/>
      <c r="B662" s="90"/>
      <c r="C662" s="90"/>
      <c r="D662" s="90"/>
      <c r="E662" s="147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 ht="15.75" customHeight="1">
      <c r="A663" s="90"/>
      <c r="B663" s="90"/>
      <c r="C663" s="90"/>
      <c r="D663" s="90"/>
      <c r="E663" s="147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 ht="15.75" customHeight="1">
      <c r="A664" s="90"/>
      <c r="B664" s="90"/>
      <c r="C664" s="90"/>
      <c r="D664" s="90"/>
      <c r="E664" s="147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 ht="15.75" customHeight="1">
      <c r="A665" s="90"/>
      <c r="B665" s="90"/>
      <c r="C665" s="90"/>
      <c r="D665" s="90"/>
      <c r="E665" s="147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 ht="15.75" customHeight="1">
      <c r="A666" s="90"/>
      <c r="B666" s="90"/>
      <c r="C666" s="90"/>
      <c r="D666" s="90"/>
      <c r="E666" s="147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 ht="15.75" customHeight="1">
      <c r="A667" s="90"/>
      <c r="B667" s="90"/>
      <c r="C667" s="90"/>
      <c r="D667" s="90"/>
      <c r="E667" s="147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 ht="15.75" customHeight="1">
      <c r="A668" s="90"/>
      <c r="B668" s="90"/>
      <c r="C668" s="90"/>
      <c r="D668" s="90"/>
      <c r="E668" s="147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 ht="15.75" customHeight="1">
      <c r="A669" s="90"/>
      <c r="B669" s="90"/>
      <c r="C669" s="90"/>
      <c r="D669" s="90"/>
      <c r="E669" s="147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 ht="15.75" customHeight="1">
      <c r="A670" s="90"/>
      <c r="B670" s="90"/>
      <c r="C670" s="90"/>
      <c r="D670" s="90"/>
      <c r="E670" s="147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 ht="15.75" customHeight="1">
      <c r="A671" s="90"/>
      <c r="B671" s="90"/>
      <c r="C671" s="90"/>
      <c r="D671" s="90"/>
      <c r="E671" s="147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 ht="15.75" customHeight="1">
      <c r="A672" s="90"/>
      <c r="B672" s="90"/>
      <c r="C672" s="90"/>
      <c r="D672" s="90"/>
      <c r="E672" s="147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 ht="15.75" customHeight="1">
      <c r="A673" s="90"/>
      <c r="B673" s="90"/>
      <c r="C673" s="90"/>
      <c r="D673" s="90"/>
      <c r="E673" s="147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 ht="15.75" customHeight="1">
      <c r="A674" s="90"/>
      <c r="B674" s="90"/>
      <c r="C674" s="90"/>
      <c r="D674" s="90"/>
      <c r="E674" s="147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 ht="15.75" customHeight="1">
      <c r="A675" s="90"/>
      <c r="B675" s="90"/>
      <c r="C675" s="90"/>
      <c r="D675" s="90"/>
      <c r="E675" s="147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 ht="15.75" customHeight="1">
      <c r="A676" s="90"/>
      <c r="B676" s="90"/>
      <c r="C676" s="90"/>
      <c r="D676" s="90"/>
      <c r="E676" s="147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 ht="15.75" customHeight="1">
      <c r="A677" s="90"/>
      <c r="B677" s="90"/>
      <c r="C677" s="90"/>
      <c r="D677" s="90"/>
      <c r="E677" s="147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 ht="15.75" customHeight="1">
      <c r="A678" s="90"/>
      <c r="B678" s="90"/>
      <c r="C678" s="90"/>
      <c r="D678" s="90"/>
      <c r="E678" s="147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 ht="15.75" customHeight="1">
      <c r="A679" s="90"/>
      <c r="B679" s="90"/>
      <c r="C679" s="90"/>
      <c r="D679" s="90"/>
      <c r="E679" s="147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 ht="15.75" customHeight="1">
      <c r="A680" s="90"/>
      <c r="B680" s="90"/>
      <c r="C680" s="90"/>
      <c r="D680" s="90"/>
      <c r="E680" s="147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 ht="15.75" customHeight="1">
      <c r="A681" s="90"/>
      <c r="B681" s="90"/>
      <c r="C681" s="90"/>
      <c r="D681" s="90"/>
      <c r="E681" s="147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 ht="15.75" customHeight="1">
      <c r="A682" s="90"/>
      <c r="B682" s="90"/>
      <c r="C682" s="90"/>
      <c r="D682" s="90"/>
      <c r="E682" s="147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 ht="15.75" customHeight="1">
      <c r="A683" s="90"/>
      <c r="B683" s="90"/>
      <c r="C683" s="90"/>
      <c r="D683" s="90"/>
      <c r="E683" s="147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 ht="15.75" customHeight="1">
      <c r="A684" s="90"/>
      <c r="B684" s="90"/>
      <c r="C684" s="90"/>
      <c r="D684" s="90"/>
      <c r="E684" s="147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 ht="15.75" customHeight="1">
      <c r="A685" s="90"/>
      <c r="B685" s="90"/>
      <c r="C685" s="90"/>
      <c r="D685" s="90"/>
      <c r="E685" s="147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 ht="15.75" customHeight="1">
      <c r="A686" s="90"/>
      <c r="B686" s="90"/>
      <c r="C686" s="90"/>
      <c r="D686" s="90"/>
      <c r="E686" s="147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 ht="15.75" customHeight="1">
      <c r="A687" s="90"/>
      <c r="B687" s="90"/>
      <c r="C687" s="90"/>
      <c r="D687" s="90"/>
      <c r="E687" s="147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 ht="15.75" customHeight="1">
      <c r="A688" s="90"/>
      <c r="B688" s="90"/>
      <c r="C688" s="90"/>
      <c r="D688" s="90"/>
      <c r="E688" s="147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 ht="15.75" customHeight="1">
      <c r="A689" s="90"/>
      <c r="B689" s="90"/>
      <c r="C689" s="90"/>
      <c r="D689" s="90"/>
      <c r="E689" s="147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 ht="15.75" customHeight="1">
      <c r="A690" s="90"/>
      <c r="B690" s="90"/>
      <c r="C690" s="90"/>
      <c r="D690" s="90"/>
      <c r="E690" s="147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 ht="15.75" customHeight="1">
      <c r="A691" s="90"/>
      <c r="B691" s="90"/>
      <c r="C691" s="90"/>
      <c r="D691" s="90"/>
      <c r="E691" s="147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 ht="15.75" customHeight="1">
      <c r="A692" s="90"/>
      <c r="B692" s="90"/>
      <c r="C692" s="90"/>
      <c r="D692" s="90"/>
      <c r="E692" s="147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 ht="15.75" customHeight="1">
      <c r="A693" s="90"/>
      <c r="B693" s="90"/>
      <c r="C693" s="90"/>
      <c r="D693" s="90"/>
      <c r="E693" s="147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 ht="15.75" customHeight="1">
      <c r="A694" s="90"/>
      <c r="B694" s="90"/>
      <c r="C694" s="90"/>
      <c r="D694" s="90"/>
      <c r="E694" s="147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 ht="15.75" customHeight="1">
      <c r="A695" s="90"/>
      <c r="B695" s="90"/>
      <c r="C695" s="90"/>
      <c r="D695" s="90"/>
      <c r="E695" s="147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 ht="15.75" customHeight="1">
      <c r="A696" s="90"/>
      <c r="B696" s="90"/>
      <c r="C696" s="90"/>
      <c r="D696" s="90"/>
      <c r="E696" s="147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 ht="15.75" customHeight="1">
      <c r="A697" s="90"/>
      <c r="B697" s="90"/>
      <c r="C697" s="90"/>
      <c r="D697" s="90"/>
      <c r="E697" s="147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 ht="15.75" customHeight="1">
      <c r="A698" s="90"/>
      <c r="B698" s="90"/>
      <c r="C698" s="90"/>
      <c r="D698" s="90"/>
      <c r="E698" s="147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 ht="15.75" customHeight="1">
      <c r="A699" s="90"/>
      <c r="B699" s="90"/>
      <c r="C699" s="90"/>
      <c r="D699" s="90"/>
      <c r="E699" s="147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 ht="15.75" customHeight="1">
      <c r="A700" s="90"/>
      <c r="B700" s="90"/>
      <c r="C700" s="90"/>
      <c r="D700" s="90"/>
      <c r="E700" s="147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 ht="15.75" customHeight="1">
      <c r="A701" s="90"/>
      <c r="B701" s="90"/>
      <c r="C701" s="90"/>
      <c r="D701" s="90"/>
      <c r="E701" s="147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 ht="15.75" customHeight="1">
      <c r="A702" s="90"/>
      <c r="B702" s="90"/>
      <c r="C702" s="90"/>
      <c r="D702" s="90"/>
      <c r="E702" s="147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 ht="15.75" customHeight="1">
      <c r="A703" s="90"/>
      <c r="B703" s="90"/>
      <c r="C703" s="90"/>
      <c r="D703" s="90"/>
      <c r="E703" s="147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 ht="15.75" customHeight="1">
      <c r="A704" s="90"/>
      <c r="B704" s="90"/>
      <c r="C704" s="90"/>
      <c r="D704" s="90"/>
      <c r="E704" s="147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 ht="15.75" customHeight="1">
      <c r="A705" s="90"/>
      <c r="B705" s="90"/>
      <c r="C705" s="90"/>
      <c r="D705" s="90"/>
      <c r="E705" s="147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 ht="15.75" customHeight="1">
      <c r="A706" s="90"/>
      <c r="B706" s="90"/>
      <c r="C706" s="90"/>
      <c r="D706" s="90"/>
      <c r="E706" s="147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 ht="15.75" customHeight="1">
      <c r="A707" s="90"/>
      <c r="B707" s="90"/>
      <c r="C707" s="90"/>
      <c r="D707" s="90"/>
      <c r="E707" s="147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 ht="15.75" customHeight="1">
      <c r="A708" s="90"/>
      <c r="B708" s="90"/>
      <c r="C708" s="90"/>
      <c r="D708" s="90"/>
      <c r="E708" s="147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 ht="15.75" customHeight="1">
      <c r="A709" s="90"/>
      <c r="B709" s="90"/>
      <c r="C709" s="90"/>
      <c r="D709" s="90"/>
      <c r="E709" s="147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 ht="15.75" customHeight="1">
      <c r="A710" s="90"/>
      <c r="B710" s="90"/>
      <c r="C710" s="90"/>
      <c r="D710" s="90"/>
      <c r="E710" s="147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 ht="15.75" customHeight="1">
      <c r="A711" s="90"/>
      <c r="B711" s="90"/>
      <c r="C711" s="90"/>
      <c r="D711" s="90"/>
      <c r="E711" s="147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 ht="15.75" customHeight="1">
      <c r="A712" s="90"/>
      <c r="B712" s="90"/>
      <c r="C712" s="90"/>
      <c r="D712" s="90"/>
      <c r="E712" s="147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 ht="15.75" customHeight="1">
      <c r="A713" s="90"/>
      <c r="B713" s="90"/>
      <c r="C713" s="90"/>
      <c r="D713" s="90"/>
      <c r="E713" s="147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 ht="15.75" customHeight="1">
      <c r="A714" s="90"/>
      <c r="B714" s="90"/>
      <c r="C714" s="90"/>
      <c r="D714" s="90"/>
      <c r="E714" s="147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 ht="15.75" customHeight="1">
      <c r="A715" s="90"/>
      <c r="B715" s="90"/>
      <c r="C715" s="90"/>
      <c r="D715" s="90"/>
      <c r="E715" s="147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 ht="15.75" customHeight="1">
      <c r="A716" s="90"/>
      <c r="B716" s="90"/>
      <c r="C716" s="90"/>
      <c r="D716" s="90"/>
      <c r="E716" s="147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 ht="15.75" customHeight="1">
      <c r="A717" s="90"/>
      <c r="B717" s="90"/>
      <c r="C717" s="90"/>
      <c r="D717" s="90"/>
      <c r="E717" s="147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 ht="15.75" customHeight="1">
      <c r="A718" s="90"/>
      <c r="B718" s="90"/>
      <c r="C718" s="90"/>
      <c r="D718" s="90"/>
      <c r="E718" s="147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 ht="15.75" customHeight="1">
      <c r="A719" s="90"/>
      <c r="B719" s="90"/>
      <c r="C719" s="90"/>
      <c r="D719" s="90"/>
      <c r="E719" s="147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 ht="15.75" customHeight="1">
      <c r="A720" s="90"/>
      <c r="B720" s="90"/>
      <c r="C720" s="90"/>
      <c r="D720" s="90"/>
      <c r="E720" s="147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 ht="15.75" customHeight="1">
      <c r="A721" s="90"/>
      <c r="B721" s="90"/>
      <c r="C721" s="90"/>
      <c r="D721" s="90"/>
      <c r="E721" s="147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 ht="15.75" customHeight="1">
      <c r="A722" s="90"/>
      <c r="B722" s="90"/>
      <c r="C722" s="90"/>
      <c r="D722" s="90"/>
      <c r="E722" s="147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 ht="15.75" customHeight="1">
      <c r="A723" s="90"/>
      <c r="B723" s="90"/>
      <c r="C723" s="90"/>
      <c r="D723" s="90"/>
      <c r="E723" s="147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 ht="15.75" customHeight="1">
      <c r="A724" s="90"/>
      <c r="B724" s="90"/>
      <c r="C724" s="90"/>
      <c r="D724" s="90"/>
      <c r="E724" s="147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 ht="15.75" customHeight="1">
      <c r="A725" s="90"/>
      <c r="B725" s="90"/>
      <c r="C725" s="90"/>
      <c r="D725" s="90"/>
      <c r="E725" s="147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 ht="15.75" customHeight="1">
      <c r="A726" s="90"/>
      <c r="B726" s="90"/>
      <c r="C726" s="90"/>
      <c r="D726" s="90"/>
      <c r="E726" s="147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 ht="15.75" customHeight="1">
      <c r="A727" s="90"/>
      <c r="B727" s="90"/>
      <c r="C727" s="90"/>
      <c r="D727" s="90"/>
      <c r="E727" s="147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 ht="15.75" customHeight="1">
      <c r="A728" s="90"/>
      <c r="B728" s="90"/>
      <c r="C728" s="90"/>
      <c r="D728" s="90"/>
      <c r="E728" s="147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 ht="15.75" customHeight="1">
      <c r="A729" s="90"/>
      <c r="B729" s="90"/>
      <c r="C729" s="90"/>
      <c r="D729" s="90"/>
      <c r="E729" s="147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 ht="15.75" customHeight="1">
      <c r="A730" s="90"/>
      <c r="B730" s="90"/>
      <c r="C730" s="90"/>
      <c r="D730" s="90"/>
      <c r="E730" s="147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 ht="15.75" customHeight="1">
      <c r="A731" s="90"/>
      <c r="B731" s="90"/>
      <c r="C731" s="90"/>
      <c r="D731" s="90"/>
      <c r="E731" s="147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 ht="15.75" customHeight="1">
      <c r="A732" s="90"/>
      <c r="B732" s="90"/>
      <c r="C732" s="90"/>
      <c r="D732" s="90"/>
      <c r="E732" s="147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 ht="15.75" customHeight="1">
      <c r="A733" s="90"/>
      <c r="B733" s="90"/>
      <c r="C733" s="90"/>
      <c r="D733" s="90"/>
      <c r="E733" s="147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 ht="15.75" customHeight="1">
      <c r="A734" s="90"/>
      <c r="B734" s="90"/>
      <c r="C734" s="90"/>
      <c r="D734" s="90"/>
      <c r="E734" s="147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 ht="15.75" customHeight="1">
      <c r="A735" s="90"/>
      <c r="B735" s="90"/>
      <c r="C735" s="90"/>
      <c r="D735" s="90"/>
      <c r="E735" s="147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 ht="15.75" customHeight="1">
      <c r="A736" s="90"/>
      <c r="B736" s="90"/>
      <c r="C736" s="90"/>
      <c r="D736" s="90"/>
      <c r="E736" s="147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 ht="15.75" customHeight="1">
      <c r="A737" s="90"/>
      <c r="B737" s="90"/>
      <c r="C737" s="90"/>
      <c r="D737" s="90"/>
      <c r="E737" s="147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 ht="15.75" customHeight="1">
      <c r="A738" s="90"/>
      <c r="B738" s="90"/>
      <c r="C738" s="90"/>
      <c r="D738" s="90"/>
      <c r="E738" s="147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 ht="15.75" customHeight="1">
      <c r="A739" s="90"/>
      <c r="B739" s="90"/>
      <c r="C739" s="90"/>
      <c r="D739" s="90"/>
      <c r="E739" s="147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 ht="15.75" customHeight="1">
      <c r="A740" s="90"/>
      <c r="B740" s="90"/>
      <c r="C740" s="90"/>
      <c r="D740" s="90"/>
      <c r="E740" s="147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 ht="15.75" customHeight="1">
      <c r="A741" s="90"/>
      <c r="B741" s="90"/>
      <c r="C741" s="90"/>
      <c r="D741" s="90"/>
      <c r="E741" s="147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 ht="15.75" customHeight="1">
      <c r="A742" s="90"/>
      <c r="B742" s="90"/>
      <c r="C742" s="90"/>
      <c r="D742" s="90"/>
      <c r="E742" s="147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 ht="15.75" customHeight="1">
      <c r="A743" s="90"/>
      <c r="B743" s="90"/>
      <c r="C743" s="90"/>
      <c r="D743" s="90"/>
      <c r="E743" s="147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 ht="15.75" customHeight="1">
      <c r="A744" s="90"/>
      <c r="B744" s="90"/>
      <c r="C744" s="90"/>
      <c r="D744" s="90"/>
      <c r="E744" s="147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 ht="15.75" customHeight="1">
      <c r="A745" s="90"/>
      <c r="B745" s="90"/>
      <c r="C745" s="90"/>
      <c r="D745" s="90"/>
      <c r="E745" s="147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 ht="15.75" customHeight="1">
      <c r="A746" s="90"/>
      <c r="B746" s="90"/>
      <c r="C746" s="90"/>
      <c r="D746" s="90"/>
      <c r="E746" s="147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 ht="15.75" customHeight="1">
      <c r="A747" s="90"/>
      <c r="B747" s="90"/>
      <c r="C747" s="90"/>
      <c r="D747" s="90"/>
      <c r="E747" s="147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 ht="15.75" customHeight="1">
      <c r="A748" s="90"/>
      <c r="B748" s="90"/>
      <c r="C748" s="90"/>
      <c r="D748" s="90"/>
      <c r="E748" s="147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 ht="15.75" customHeight="1">
      <c r="A749" s="90"/>
      <c r="B749" s="90"/>
      <c r="C749" s="90"/>
      <c r="D749" s="90"/>
      <c r="E749" s="147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 ht="15.75" customHeight="1">
      <c r="A750" s="90"/>
      <c r="B750" s="90"/>
      <c r="C750" s="90"/>
      <c r="D750" s="90"/>
      <c r="E750" s="147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 ht="15.75" customHeight="1">
      <c r="A751" s="90"/>
      <c r="B751" s="90"/>
      <c r="C751" s="90"/>
      <c r="D751" s="90"/>
      <c r="E751" s="147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 ht="15.75" customHeight="1">
      <c r="A752" s="90"/>
      <c r="B752" s="90"/>
      <c r="C752" s="90"/>
      <c r="D752" s="90"/>
      <c r="E752" s="147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 ht="15.75" customHeight="1">
      <c r="A753" s="90"/>
      <c r="B753" s="90"/>
      <c r="C753" s="90"/>
      <c r="D753" s="90"/>
      <c r="E753" s="147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 ht="15.75" customHeight="1">
      <c r="A754" s="90"/>
      <c r="B754" s="90"/>
      <c r="C754" s="90"/>
      <c r="D754" s="90"/>
      <c r="E754" s="147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 ht="15.75" customHeight="1">
      <c r="A755" s="90"/>
      <c r="B755" s="90"/>
      <c r="C755" s="90"/>
      <c r="D755" s="90"/>
      <c r="E755" s="147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 ht="15.75" customHeight="1">
      <c r="A756" s="90"/>
      <c r="B756" s="90"/>
      <c r="C756" s="90"/>
      <c r="D756" s="90"/>
      <c r="E756" s="147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 ht="15.75" customHeight="1">
      <c r="A757" s="90"/>
      <c r="B757" s="90"/>
      <c r="C757" s="90"/>
      <c r="D757" s="90"/>
      <c r="E757" s="147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 ht="15.75" customHeight="1">
      <c r="A758" s="90"/>
      <c r="B758" s="90"/>
      <c r="C758" s="90"/>
      <c r="D758" s="90"/>
      <c r="E758" s="147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 ht="15.75" customHeight="1">
      <c r="A759" s="90"/>
      <c r="B759" s="90"/>
      <c r="C759" s="90"/>
      <c r="D759" s="90"/>
      <c r="E759" s="147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 ht="15.75" customHeight="1">
      <c r="A760" s="90"/>
      <c r="B760" s="90"/>
      <c r="C760" s="90"/>
      <c r="D760" s="90"/>
      <c r="E760" s="147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 ht="15.75" customHeight="1">
      <c r="A761" s="90"/>
      <c r="B761" s="90"/>
      <c r="C761" s="90"/>
      <c r="D761" s="90"/>
      <c r="E761" s="147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 ht="15.75" customHeight="1">
      <c r="A762" s="90"/>
      <c r="B762" s="90"/>
      <c r="C762" s="90"/>
      <c r="D762" s="90"/>
      <c r="E762" s="147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 ht="15.75" customHeight="1">
      <c r="A763" s="90"/>
      <c r="B763" s="90"/>
      <c r="C763" s="90"/>
      <c r="D763" s="90"/>
      <c r="E763" s="147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 ht="15.75" customHeight="1">
      <c r="A764" s="90"/>
      <c r="B764" s="90"/>
      <c r="C764" s="90"/>
      <c r="D764" s="90"/>
      <c r="E764" s="147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 ht="15.75" customHeight="1">
      <c r="A765" s="90"/>
      <c r="B765" s="90"/>
      <c r="C765" s="90"/>
      <c r="D765" s="90"/>
      <c r="E765" s="147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 ht="15.75" customHeight="1">
      <c r="A766" s="90"/>
      <c r="B766" s="90"/>
      <c r="C766" s="90"/>
      <c r="D766" s="90"/>
      <c r="E766" s="147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 ht="15.75" customHeight="1">
      <c r="A767" s="90"/>
      <c r="B767" s="90"/>
      <c r="C767" s="90"/>
      <c r="D767" s="90"/>
      <c r="E767" s="147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 ht="15.75" customHeight="1">
      <c r="A768" s="90"/>
      <c r="B768" s="90"/>
      <c r="C768" s="90"/>
      <c r="D768" s="90"/>
      <c r="E768" s="147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 ht="15.75" customHeight="1">
      <c r="A769" s="90"/>
      <c r="B769" s="90"/>
      <c r="C769" s="90"/>
      <c r="D769" s="90"/>
      <c r="E769" s="147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 ht="15.75" customHeight="1">
      <c r="A770" s="90"/>
      <c r="B770" s="90"/>
      <c r="C770" s="90"/>
      <c r="D770" s="90"/>
      <c r="E770" s="147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 ht="15.75" customHeight="1">
      <c r="A771" s="90"/>
      <c r="B771" s="90"/>
      <c r="C771" s="90"/>
      <c r="D771" s="90"/>
      <c r="E771" s="147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 ht="15.75" customHeight="1">
      <c r="A772" s="90"/>
      <c r="B772" s="90"/>
      <c r="C772" s="90"/>
      <c r="D772" s="90"/>
      <c r="E772" s="147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 ht="15.75" customHeight="1">
      <c r="A773" s="90"/>
      <c r="B773" s="90"/>
      <c r="C773" s="90"/>
      <c r="D773" s="90"/>
      <c r="E773" s="147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 ht="15.75" customHeight="1">
      <c r="A774" s="90"/>
      <c r="B774" s="90"/>
      <c r="C774" s="90"/>
      <c r="D774" s="90"/>
      <c r="E774" s="147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 ht="15.75" customHeight="1">
      <c r="A775" s="90"/>
      <c r="B775" s="90"/>
      <c r="C775" s="90"/>
      <c r="D775" s="90"/>
      <c r="E775" s="147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 ht="15.75" customHeight="1">
      <c r="A776" s="90"/>
      <c r="B776" s="90"/>
      <c r="C776" s="90"/>
      <c r="D776" s="90"/>
      <c r="E776" s="147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 ht="15.75" customHeight="1">
      <c r="A777" s="90"/>
      <c r="B777" s="90"/>
      <c r="C777" s="90"/>
      <c r="D777" s="90"/>
      <c r="E777" s="147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 ht="15.75" customHeight="1">
      <c r="A778" s="90"/>
      <c r="B778" s="90"/>
      <c r="C778" s="90"/>
      <c r="D778" s="90"/>
      <c r="E778" s="147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 ht="15.75" customHeight="1">
      <c r="A779" s="90"/>
      <c r="B779" s="90"/>
      <c r="C779" s="90"/>
      <c r="D779" s="90"/>
      <c r="E779" s="147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 ht="15.75" customHeight="1">
      <c r="A780" s="90"/>
      <c r="B780" s="90"/>
      <c r="C780" s="90"/>
      <c r="D780" s="90"/>
      <c r="E780" s="147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 ht="15.75" customHeight="1">
      <c r="A781" s="90"/>
      <c r="B781" s="90"/>
      <c r="C781" s="90"/>
      <c r="D781" s="90"/>
      <c r="E781" s="147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 ht="15.75" customHeight="1">
      <c r="A782" s="90"/>
      <c r="B782" s="90"/>
      <c r="C782" s="90"/>
      <c r="D782" s="90"/>
      <c r="E782" s="147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 ht="15.75" customHeight="1">
      <c r="A783" s="90"/>
      <c r="B783" s="90"/>
      <c r="C783" s="90"/>
      <c r="D783" s="90"/>
      <c r="E783" s="147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 ht="15.75" customHeight="1">
      <c r="A784" s="90"/>
      <c r="B784" s="90"/>
      <c r="C784" s="90"/>
      <c r="D784" s="90"/>
      <c r="E784" s="147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 ht="15.75" customHeight="1">
      <c r="A785" s="90"/>
      <c r="B785" s="90"/>
      <c r="C785" s="90"/>
      <c r="D785" s="90"/>
      <c r="E785" s="147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 ht="15.75" customHeight="1">
      <c r="A786" s="90"/>
      <c r="B786" s="90"/>
      <c r="C786" s="90"/>
      <c r="D786" s="90"/>
      <c r="E786" s="147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 ht="15.75" customHeight="1">
      <c r="A787" s="90"/>
      <c r="B787" s="90"/>
      <c r="C787" s="90"/>
      <c r="D787" s="90"/>
      <c r="E787" s="147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 ht="15.75" customHeight="1">
      <c r="A788" s="90"/>
      <c r="B788" s="90"/>
      <c r="C788" s="90"/>
      <c r="D788" s="90"/>
      <c r="E788" s="147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 ht="15.75" customHeight="1">
      <c r="A789" s="90"/>
      <c r="B789" s="90"/>
      <c r="C789" s="90"/>
      <c r="D789" s="90"/>
      <c r="E789" s="147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 ht="15.75" customHeight="1">
      <c r="A790" s="90"/>
      <c r="B790" s="90"/>
      <c r="C790" s="90"/>
      <c r="D790" s="90"/>
      <c r="E790" s="147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 ht="15.75" customHeight="1">
      <c r="A791" s="90"/>
      <c r="B791" s="90"/>
      <c r="C791" s="90"/>
      <c r="D791" s="90"/>
      <c r="E791" s="147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 ht="15.75" customHeight="1">
      <c r="A792" s="90"/>
      <c r="B792" s="90"/>
      <c r="C792" s="90"/>
      <c r="D792" s="90"/>
      <c r="E792" s="147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 ht="15.75" customHeight="1">
      <c r="A793" s="90"/>
      <c r="B793" s="90"/>
      <c r="C793" s="90"/>
      <c r="D793" s="90"/>
      <c r="E793" s="147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 ht="15.75" customHeight="1">
      <c r="A794" s="90"/>
      <c r="B794" s="90"/>
      <c r="C794" s="90"/>
      <c r="D794" s="90"/>
      <c r="E794" s="147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 ht="15.75" customHeight="1">
      <c r="A795" s="90"/>
      <c r="B795" s="90"/>
      <c r="C795" s="90"/>
      <c r="D795" s="90"/>
      <c r="E795" s="147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 ht="15.75" customHeight="1">
      <c r="A796" s="90"/>
      <c r="B796" s="90"/>
      <c r="C796" s="90"/>
      <c r="D796" s="90"/>
      <c r="E796" s="147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 ht="15.75" customHeight="1">
      <c r="A797" s="90"/>
      <c r="B797" s="90"/>
      <c r="C797" s="90"/>
      <c r="D797" s="90"/>
      <c r="E797" s="147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 ht="15.75" customHeight="1">
      <c r="A798" s="90"/>
      <c r="B798" s="90"/>
      <c r="C798" s="90"/>
      <c r="D798" s="90"/>
      <c r="E798" s="147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 ht="15.75" customHeight="1">
      <c r="A799" s="90"/>
      <c r="B799" s="90"/>
      <c r="C799" s="90"/>
      <c r="D799" s="90"/>
      <c r="E799" s="147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 ht="15.75" customHeight="1">
      <c r="A800" s="90"/>
      <c r="B800" s="90"/>
      <c r="C800" s="90"/>
      <c r="D800" s="90"/>
      <c r="E800" s="147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 ht="15.75" customHeight="1">
      <c r="A801" s="90"/>
      <c r="B801" s="90"/>
      <c r="C801" s="90"/>
      <c r="D801" s="90"/>
      <c r="E801" s="147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 ht="15.75" customHeight="1">
      <c r="A802" s="90"/>
      <c r="B802" s="90"/>
      <c r="C802" s="90"/>
      <c r="D802" s="90"/>
      <c r="E802" s="147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 ht="15.75" customHeight="1">
      <c r="A803" s="90"/>
      <c r="B803" s="90"/>
      <c r="C803" s="90"/>
      <c r="D803" s="90"/>
      <c r="E803" s="147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 ht="15.75" customHeight="1">
      <c r="A804" s="90"/>
      <c r="B804" s="90"/>
      <c r="C804" s="90"/>
      <c r="D804" s="90"/>
      <c r="E804" s="147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 ht="15.75" customHeight="1">
      <c r="A805" s="90"/>
      <c r="B805" s="90"/>
      <c r="C805" s="90"/>
      <c r="D805" s="90"/>
      <c r="E805" s="147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 ht="15.75" customHeight="1">
      <c r="A806" s="90"/>
      <c r="B806" s="90"/>
      <c r="C806" s="90"/>
      <c r="D806" s="90"/>
      <c r="E806" s="147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 ht="15.75" customHeight="1">
      <c r="A807" s="90"/>
      <c r="B807" s="90"/>
      <c r="C807" s="90"/>
      <c r="D807" s="90"/>
      <c r="E807" s="147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 ht="15.75" customHeight="1">
      <c r="A808" s="90"/>
      <c r="B808" s="90"/>
      <c r="C808" s="90"/>
      <c r="D808" s="90"/>
      <c r="E808" s="147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 ht="15.75" customHeight="1">
      <c r="A809" s="90"/>
      <c r="B809" s="90"/>
      <c r="C809" s="90"/>
      <c r="D809" s="90"/>
      <c r="E809" s="147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 ht="15.75" customHeight="1">
      <c r="A810" s="90"/>
      <c r="B810" s="90"/>
      <c r="C810" s="90"/>
      <c r="D810" s="90"/>
      <c r="E810" s="147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 ht="15.75" customHeight="1">
      <c r="A811" s="90"/>
      <c r="B811" s="90"/>
      <c r="C811" s="90"/>
      <c r="D811" s="90"/>
      <c r="E811" s="147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 ht="15.75" customHeight="1">
      <c r="A812" s="90"/>
      <c r="B812" s="90"/>
      <c r="C812" s="90"/>
      <c r="D812" s="90"/>
      <c r="E812" s="147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 ht="15.75" customHeight="1">
      <c r="A813" s="90"/>
      <c r="B813" s="90"/>
      <c r="C813" s="90"/>
      <c r="D813" s="90"/>
      <c r="E813" s="147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 ht="15.75" customHeight="1">
      <c r="A814" s="90"/>
      <c r="B814" s="90"/>
      <c r="C814" s="90"/>
      <c r="D814" s="90"/>
      <c r="E814" s="147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 ht="15.75" customHeight="1">
      <c r="A815" s="90"/>
      <c r="B815" s="90"/>
      <c r="C815" s="90"/>
      <c r="D815" s="90"/>
      <c r="E815" s="147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 ht="15.75" customHeight="1">
      <c r="A816" s="90"/>
      <c r="B816" s="90"/>
      <c r="C816" s="90"/>
      <c r="D816" s="90"/>
      <c r="E816" s="147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 ht="15.75" customHeight="1">
      <c r="A817" s="90"/>
      <c r="B817" s="90"/>
      <c r="C817" s="90"/>
      <c r="D817" s="90"/>
      <c r="E817" s="147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 ht="15.75" customHeight="1">
      <c r="A818" s="90"/>
      <c r="B818" s="90"/>
      <c r="C818" s="90"/>
      <c r="D818" s="90"/>
      <c r="E818" s="147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 ht="15.75" customHeight="1">
      <c r="A819" s="90"/>
      <c r="B819" s="90"/>
      <c r="C819" s="90"/>
      <c r="D819" s="90"/>
      <c r="E819" s="147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 ht="15.75" customHeight="1">
      <c r="A820" s="90"/>
      <c r="B820" s="90"/>
      <c r="C820" s="90"/>
      <c r="D820" s="90"/>
      <c r="E820" s="147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 ht="15.75" customHeight="1">
      <c r="A821" s="90"/>
      <c r="B821" s="90"/>
      <c r="C821" s="90"/>
      <c r="D821" s="90"/>
      <c r="E821" s="147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 ht="15.75" customHeight="1">
      <c r="A822" s="90"/>
      <c r="B822" s="90"/>
      <c r="C822" s="90"/>
      <c r="D822" s="90"/>
      <c r="E822" s="147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 ht="15.75" customHeight="1">
      <c r="A823" s="90"/>
      <c r="B823" s="90"/>
      <c r="C823" s="90"/>
      <c r="D823" s="90"/>
      <c r="E823" s="147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 ht="15.75" customHeight="1">
      <c r="A824" s="90"/>
      <c r="B824" s="90"/>
      <c r="C824" s="90"/>
      <c r="D824" s="90"/>
      <c r="E824" s="147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 ht="15.75" customHeight="1">
      <c r="A825" s="90"/>
      <c r="B825" s="90"/>
      <c r="C825" s="90"/>
      <c r="D825" s="90"/>
      <c r="E825" s="147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 ht="15.75" customHeight="1">
      <c r="A826" s="90"/>
      <c r="B826" s="90"/>
      <c r="C826" s="90"/>
      <c r="D826" s="90"/>
      <c r="E826" s="147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 ht="15.75" customHeight="1">
      <c r="A827" s="90"/>
      <c r="B827" s="90"/>
      <c r="C827" s="90"/>
      <c r="D827" s="90"/>
      <c r="E827" s="147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 ht="15.75" customHeight="1">
      <c r="A828" s="90"/>
      <c r="B828" s="90"/>
      <c r="C828" s="90"/>
      <c r="D828" s="90"/>
      <c r="E828" s="147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 ht="15.75" customHeight="1">
      <c r="A829" s="90"/>
      <c r="B829" s="90"/>
      <c r="C829" s="90"/>
      <c r="D829" s="90"/>
      <c r="E829" s="147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 ht="15.75" customHeight="1">
      <c r="A830" s="90"/>
      <c r="B830" s="90"/>
      <c r="C830" s="90"/>
      <c r="D830" s="90"/>
      <c r="E830" s="147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 ht="15.75" customHeight="1">
      <c r="A831" s="90"/>
      <c r="B831" s="90"/>
      <c r="C831" s="90"/>
      <c r="D831" s="90"/>
      <c r="E831" s="147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</row>
    <row r="832" ht="15.75" customHeight="1">
      <c r="A832" s="90"/>
      <c r="B832" s="90"/>
      <c r="C832" s="90"/>
      <c r="D832" s="90"/>
      <c r="E832" s="147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 ht="15.75" customHeight="1">
      <c r="A833" s="90"/>
      <c r="B833" s="90"/>
      <c r="C833" s="90"/>
      <c r="D833" s="90"/>
      <c r="E833" s="147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 ht="15.75" customHeight="1">
      <c r="A834" s="90"/>
      <c r="B834" s="90"/>
      <c r="C834" s="90"/>
      <c r="D834" s="90"/>
      <c r="E834" s="147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 ht="15.75" customHeight="1">
      <c r="A835" s="90"/>
      <c r="B835" s="90"/>
      <c r="C835" s="90"/>
      <c r="D835" s="90"/>
      <c r="E835" s="147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 ht="15.75" customHeight="1">
      <c r="A836" s="90"/>
      <c r="B836" s="90"/>
      <c r="C836" s="90"/>
      <c r="D836" s="90"/>
      <c r="E836" s="147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</row>
    <row r="837" ht="15.75" customHeight="1">
      <c r="A837" s="90"/>
      <c r="B837" s="90"/>
      <c r="C837" s="90"/>
      <c r="D837" s="90"/>
      <c r="E837" s="147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</row>
    <row r="838" ht="15.75" customHeight="1">
      <c r="A838" s="90"/>
      <c r="B838" s="90"/>
      <c r="C838" s="90"/>
      <c r="D838" s="90"/>
      <c r="E838" s="147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</row>
    <row r="839" ht="15.75" customHeight="1">
      <c r="A839" s="90"/>
      <c r="B839" s="90"/>
      <c r="C839" s="90"/>
      <c r="D839" s="90"/>
      <c r="E839" s="147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</row>
    <row r="840" ht="15.75" customHeight="1">
      <c r="A840" s="90"/>
      <c r="B840" s="90"/>
      <c r="C840" s="90"/>
      <c r="D840" s="90"/>
      <c r="E840" s="147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</row>
    <row r="841" ht="15.75" customHeight="1">
      <c r="A841" s="90"/>
      <c r="B841" s="90"/>
      <c r="C841" s="90"/>
      <c r="D841" s="90"/>
      <c r="E841" s="147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</row>
    <row r="842" ht="15.75" customHeight="1">
      <c r="A842" s="90"/>
      <c r="B842" s="90"/>
      <c r="C842" s="90"/>
      <c r="D842" s="90"/>
      <c r="E842" s="147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</row>
    <row r="843" ht="15.75" customHeight="1">
      <c r="A843" s="90"/>
      <c r="B843" s="90"/>
      <c r="C843" s="90"/>
      <c r="D843" s="90"/>
      <c r="E843" s="147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 ht="15.75" customHeight="1">
      <c r="A844" s="90"/>
      <c r="B844" s="90"/>
      <c r="C844" s="90"/>
      <c r="D844" s="90"/>
      <c r="E844" s="147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</row>
    <row r="845" ht="15.75" customHeight="1">
      <c r="A845" s="90"/>
      <c r="B845" s="90"/>
      <c r="C845" s="90"/>
      <c r="D845" s="90"/>
      <c r="E845" s="147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</row>
    <row r="846" ht="15.75" customHeight="1">
      <c r="A846" s="90"/>
      <c r="B846" s="90"/>
      <c r="C846" s="90"/>
      <c r="D846" s="90"/>
      <c r="E846" s="147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</row>
    <row r="847" ht="15.75" customHeight="1">
      <c r="A847" s="90"/>
      <c r="B847" s="90"/>
      <c r="C847" s="90"/>
      <c r="D847" s="90"/>
      <c r="E847" s="147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</row>
    <row r="848" ht="15.75" customHeight="1">
      <c r="A848" s="90"/>
      <c r="B848" s="90"/>
      <c r="C848" s="90"/>
      <c r="D848" s="90"/>
      <c r="E848" s="147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 ht="15.75" customHeight="1">
      <c r="A849" s="90"/>
      <c r="B849" s="90"/>
      <c r="C849" s="90"/>
      <c r="D849" s="90"/>
      <c r="E849" s="147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 ht="15.75" customHeight="1">
      <c r="A850" s="90"/>
      <c r="B850" s="90"/>
      <c r="C850" s="90"/>
      <c r="D850" s="90"/>
      <c r="E850" s="147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 ht="15.75" customHeight="1">
      <c r="A851" s="90"/>
      <c r="B851" s="90"/>
      <c r="C851" s="90"/>
      <c r="D851" s="90"/>
      <c r="E851" s="147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 ht="15.75" customHeight="1">
      <c r="A852" s="90"/>
      <c r="B852" s="90"/>
      <c r="C852" s="90"/>
      <c r="D852" s="90"/>
      <c r="E852" s="147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 ht="15.75" customHeight="1">
      <c r="A853" s="90"/>
      <c r="B853" s="90"/>
      <c r="C853" s="90"/>
      <c r="D853" s="90"/>
      <c r="E853" s="147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 ht="15.75" customHeight="1">
      <c r="A854" s="90"/>
      <c r="B854" s="90"/>
      <c r="C854" s="90"/>
      <c r="D854" s="90"/>
      <c r="E854" s="147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 ht="15.75" customHeight="1">
      <c r="A855" s="90"/>
      <c r="B855" s="90"/>
      <c r="C855" s="90"/>
      <c r="D855" s="90"/>
      <c r="E855" s="147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 ht="15.75" customHeight="1">
      <c r="A856" s="90"/>
      <c r="B856" s="90"/>
      <c r="C856" s="90"/>
      <c r="D856" s="90"/>
      <c r="E856" s="147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 ht="15.75" customHeight="1">
      <c r="A857" s="90"/>
      <c r="B857" s="90"/>
      <c r="C857" s="90"/>
      <c r="D857" s="90"/>
      <c r="E857" s="147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 ht="15.75" customHeight="1">
      <c r="A858" s="90"/>
      <c r="B858" s="90"/>
      <c r="C858" s="90"/>
      <c r="D858" s="90"/>
      <c r="E858" s="147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 ht="15.75" customHeight="1">
      <c r="A859" s="90"/>
      <c r="B859" s="90"/>
      <c r="C859" s="90"/>
      <c r="D859" s="90"/>
      <c r="E859" s="147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 ht="15.75" customHeight="1">
      <c r="A860" s="90"/>
      <c r="B860" s="90"/>
      <c r="C860" s="90"/>
      <c r="D860" s="90"/>
      <c r="E860" s="147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 ht="15.75" customHeight="1">
      <c r="A861" s="90"/>
      <c r="B861" s="90"/>
      <c r="C861" s="90"/>
      <c r="D861" s="90"/>
      <c r="E861" s="147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 ht="15.75" customHeight="1">
      <c r="A862" s="90"/>
      <c r="B862" s="90"/>
      <c r="C862" s="90"/>
      <c r="D862" s="90"/>
      <c r="E862" s="147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 ht="15.75" customHeight="1">
      <c r="A863" s="90"/>
      <c r="B863" s="90"/>
      <c r="C863" s="90"/>
      <c r="D863" s="90"/>
      <c r="E863" s="147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 ht="15.75" customHeight="1">
      <c r="A864" s="90"/>
      <c r="B864" s="90"/>
      <c r="C864" s="90"/>
      <c r="D864" s="90"/>
      <c r="E864" s="147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 ht="15.75" customHeight="1">
      <c r="A865" s="90"/>
      <c r="B865" s="90"/>
      <c r="C865" s="90"/>
      <c r="D865" s="90"/>
      <c r="E865" s="147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 ht="15.75" customHeight="1">
      <c r="A866" s="90"/>
      <c r="B866" s="90"/>
      <c r="C866" s="90"/>
      <c r="D866" s="90"/>
      <c r="E866" s="147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 ht="15.75" customHeight="1">
      <c r="A867" s="90"/>
      <c r="B867" s="90"/>
      <c r="C867" s="90"/>
      <c r="D867" s="90"/>
      <c r="E867" s="147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 ht="15.75" customHeight="1">
      <c r="A868" s="90"/>
      <c r="B868" s="90"/>
      <c r="C868" s="90"/>
      <c r="D868" s="90"/>
      <c r="E868" s="147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 ht="15.75" customHeight="1">
      <c r="A869" s="90"/>
      <c r="B869" s="90"/>
      <c r="C869" s="90"/>
      <c r="D869" s="90"/>
      <c r="E869" s="147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 ht="15.75" customHeight="1">
      <c r="A870" s="90"/>
      <c r="B870" s="90"/>
      <c r="C870" s="90"/>
      <c r="D870" s="90"/>
      <c r="E870" s="147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 ht="15.75" customHeight="1">
      <c r="A871" s="90"/>
      <c r="B871" s="90"/>
      <c r="C871" s="90"/>
      <c r="D871" s="90"/>
      <c r="E871" s="147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 ht="15.75" customHeight="1">
      <c r="A872" s="90"/>
      <c r="B872" s="90"/>
      <c r="C872" s="90"/>
      <c r="D872" s="90"/>
      <c r="E872" s="147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 ht="15.75" customHeight="1">
      <c r="A873" s="90"/>
      <c r="B873" s="90"/>
      <c r="C873" s="90"/>
      <c r="D873" s="90"/>
      <c r="E873" s="147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 ht="15.75" customHeight="1">
      <c r="A874" s="90"/>
      <c r="B874" s="90"/>
      <c r="C874" s="90"/>
      <c r="D874" s="90"/>
      <c r="E874" s="147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 ht="15.75" customHeight="1">
      <c r="A875" s="90"/>
      <c r="B875" s="90"/>
      <c r="C875" s="90"/>
      <c r="D875" s="90"/>
      <c r="E875" s="147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 ht="15.75" customHeight="1">
      <c r="A876" s="90"/>
      <c r="B876" s="90"/>
      <c r="C876" s="90"/>
      <c r="D876" s="90"/>
      <c r="E876" s="147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 ht="15.75" customHeight="1">
      <c r="A877" s="90"/>
      <c r="B877" s="90"/>
      <c r="C877" s="90"/>
      <c r="D877" s="90"/>
      <c r="E877" s="147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 ht="15.75" customHeight="1">
      <c r="A878" s="90"/>
      <c r="B878" s="90"/>
      <c r="C878" s="90"/>
      <c r="D878" s="90"/>
      <c r="E878" s="147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 ht="15.75" customHeight="1">
      <c r="A879" s="90"/>
      <c r="B879" s="90"/>
      <c r="C879" s="90"/>
      <c r="D879" s="90"/>
      <c r="E879" s="147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 ht="15.75" customHeight="1">
      <c r="A880" s="90"/>
      <c r="B880" s="90"/>
      <c r="C880" s="90"/>
      <c r="D880" s="90"/>
      <c r="E880" s="147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 ht="15.75" customHeight="1">
      <c r="A881" s="90"/>
      <c r="B881" s="90"/>
      <c r="C881" s="90"/>
      <c r="D881" s="90"/>
      <c r="E881" s="147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 ht="15.75" customHeight="1">
      <c r="A882" s="90"/>
      <c r="B882" s="90"/>
      <c r="C882" s="90"/>
      <c r="D882" s="90"/>
      <c r="E882" s="147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 ht="15.75" customHeight="1">
      <c r="A883" s="90"/>
      <c r="B883" s="90"/>
      <c r="C883" s="90"/>
      <c r="D883" s="90"/>
      <c r="E883" s="147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 ht="15.75" customHeight="1">
      <c r="A884" s="90"/>
      <c r="B884" s="90"/>
      <c r="C884" s="90"/>
      <c r="D884" s="90"/>
      <c r="E884" s="147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 ht="15.75" customHeight="1">
      <c r="A885" s="90"/>
      <c r="B885" s="90"/>
      <c r="C885" s="90"/>
      <c r="D885" s="90"/>
      <c r="E885" s="147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 ht="15.75" customHeight="1">
      <c r="A886" s="90"/>
      <c r="B886" s="90"/>
      <c r="C886" s="90"/>
      <c r="D886" s="90"/>
      <c r="E886" s="147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 ht="15.75" customHeight="1">
      <c r="A887" s="90"/>
      <c r="B887" s="90"/>
      <c r="C887" s="90"/>
      <c r="D887" s="90"/>
      <c r="E887" s="147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 ht="15.75" customHeight="1">
      <c r="A888" s="90"/>
      <c r="B888" s="90"/>
      <c r="C888" s="90"/>
      <c r="D888" s="90"/>
      <c r="E888" s="147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 ht="15.75" customHeight="1">
      <c r="A889" s="90"/>
      <c r="B889" s="90"/>
      <c r="C889" s="90"/>
      <c r="D889" s="90"/>
      <c r="E889" s="147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 ht="15.75" customHeight="1">
      <c r="A890" s="90"/>
      <c r="B890" s="90"/>
      <c r="C890" s="90"/>
      <c r="D890" s="90"/>
      <c r="E890" s="147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 ht="15.75" customHeight="1">
      <c r="A891" s="90"/>
      <c r="B891" s="90"/>
      <c r="C891" s="90"/>
      <c r="D891" s="90"/>
      <c r="E891" s="147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 ht="15.75" customHeight="1">
      <c r="A892" s="90"/>
      <c r="B892" s="90"/>
      <c r="C892" s="90"/>
      <c r="D892" s="90"/>
      <c r="E892" s="147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 ht="15.75" customHeight="1">
      <c r="A893" s="90"/>
      <c r="B893" s="90"/>
      <c r="C893" s="90"/>
      <c r="D893" s="90"/>
      <c r="E893" s="147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 ht="15.75" customHeight="1">
      <c r="A894" s="90"/>
      <c r="B894" s="90"/>
      <c r="C894" s="90"/>
      <c r="D894" s="90"/>
      <c r="E894" s="147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 ht="15.75" customHeight="1">
      <c r="A895" s="90"/>
      <c r="B895" s="90"/>
      <c r="C895" s="90"/>
      <c r="D895" s="90"/>
      <c r="E895" s="147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 ht="15.75" customHeight="1">
      <c r="A896" s="90"/>
      <c r="B896" s="90"/>
      <c r="C896" s="90"/>
      <c r="D896" s="90"/>
      <c r="E896" s="147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 ht="15.75" customHeight="1">
      <c r="A897" s="90"/>
      <c r="B897" s="90"/>
      <c r="C897" s="90"/>
      <c r="D897" s="90"/>
      <c r="E897" s="147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 ht="15.75" customHeight="1">
      <c r="A898" s="90"/>
      <c r="B898" s="90"/>
      <c r="C898" s="90"/>
      <c r="D898" s="90"/>
      <c r="E898" s="147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 ht="15.75" customHeight="1">
      <c r="A899" s="90"/>
      <c r="B899" s="90"/>
      <c r="C899" s="90"/>
      <c r="D899" s="90"/>
      <c r="E899" s="147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 ht="15.75" customHeight="1">
      <c r="A900" s="90"/>
      <c r="B900" s="90"/>
      <c r="C900" s="90"/>
      <c r="D900" s="90"/>
      <c r="E900" s="147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 ht="15.75" customHeight="1">
      <c r="A901" s="90"/>
      <c r="B901" s="90"/>
      <c r="C901" s="90"/>
      <c r="D901" s="90"/>
      <c r="E901" s="147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 ht="15.75" customHeight="1">
      <c r="A902" s="90"/>
      <c r="B902" s="90"/>
      <c r="C902" s="90"/>
      <c r="D902" s="90"/>
      <c r="E902" s="147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 ht="15.75" customHeight="1">
      <c r="A903" s="90"/>
      <c r="B903" s="90"/>
      <c r="C903" s="90"/>
      <c r="D903" s="90"/>
      <c r="E903" s="147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 ht="15.75" customHeight="1">
      <c r="A904" s="90"/>
      <c r="B904" s="90"/>
      <c r="C904" s="90"/>
      <c r="D904" s="90"/>
      <c r="E904" s="147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 ht="15.75" customHeight="1">
      <c r="A905" s="90"/>
      <c r="B905" s="90"/>
      <c r="C905" s="90"/>
      <c r="D905" s="90"/>
      <c r="E905" s="147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 ht="15.75" customHeight="1">
      <c r="A906" s="90"/>
      <c r="B906" s="90"/>
      <c r="C906" s="90"/>
      <c r="D906" s="90"/>
      <c r="E906" s="147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 ht="15.75" customHeight="1">
      <c r="A907" s="90"/>
      <c r="B907" s="90"/>
      <c r="C907" s="90"/>
      <c r="D907" s="90"/>
      <c r="E907" s="147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 ht="15.75" customHeight="1">
      <c r="A908" s="90"/>
      <c r="B908" s="90"/>
      <c r="C908" s="90"/>
      <c r="D908" s="90"/>
      <c r="E908" s="147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 ht="15.75" customHeight="1">
      <c r="A909" s="90"/>
      <c r="B909" s="90"/>
      <c r="C909" s="90"/>
      <c r="D909" s="90"/>
      <c r="E909" s="147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 ht="15.75" customHeight="1">
      <c r="A910" s="90"/>
      <c r="B910" s="90"/>
      <c r="C910" s="90"/>
      <c r="D910" s="90"/>
      <c r="E910" s="147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 ht="15.75" customHeight="1">
      <c r="A911" s="90"/>
      <c r="B911" s="90"/>
      <c r="C911" s="90"/>
      <c r="D911" s="90"/>
      <c r="E911" s="147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 ht="15.75" customHeight="1">
      <c r="A912" s="90"/>
      <c r="B912" s="90"/>
      <c r="C912" s="90"/>
      <c r="D912" s="90"/>
      <c r="E912" s="147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 ht="15.75" customHeight="1">
      <c r="A913" s="90"/>
      <c r="B913" s="90"/>
      <c r="C913" s="90"/>
      <c r="D913" s="90"/>
      <c r="E913" s="147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 ht="15.75" customHeight="1">
      <c r="A914" s="90"/>
      <c r="B914" s="90"/>
      <c r="C914" s="90"/>
      <c r="D914" s="90"/>
      <c r="E914" s="147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 ht="15.75" customHeight="1">
      <c r="A915" s="90"/>
      <c r="B915" s="90"/>
      <c r="C915" s="90"/>
      <c r="D915" s="90"/>
      <c r="E915" s="147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 ht="15.75" customHeight="1">
      <c r="A916" s="90"/>
      <c r="B916" s="90"/>
      <c r="C916" s="90"/>
      <c r="D916" s="90"/>
      <c r="E916" s="147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 ht="15.75" customHeight="1">
      <c r="A917" s="90"/>
      <c r="B917" s="90"/>
      <c r="C917" s="90"/>
      <c r="D917" s="90"/>
      <c r="E917" s="147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 ht="15.75" customHeight="1">
      <c r="A918" s="90"/>
      <c r="B918" s="90"/>
      <c r="C918" s="90"/>
      <c r="D918" s="90"/>
      <c r="E918" s="147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 ht="15.75" customHeight="1">
      <c r="A919" s="90"/>
      <c r="B919" s="90"/>
      <c r="C919" s="90"/>
      <c r="D919" s="90"/>
      <c r="E919" s="147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 ht="15.75" customHeight="1">
      <c r="A920" s="90"/>
      <c r="B920" s="90"/>
      <c r="C920" s="90"/>
      <c r="D920" s="90"/>
      <c r="E920" s="147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 ht="15.75" customHeight="1">
      <c r="A921" s="90"/>
      <c r="B921" s="90"/>
      <c r="C921" s="90"/>
      <c r="D921" s="90"/>
      <c r="E921" s="147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 ht="15.75" customHeight="1">
      <c r="A922" s="90"/>
      <c r="B922" s="90"/>
      <c r="C922" s="90"/>
      <c r="D922" s="90"/>
      <c r="E922" s="147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 ht="15.75" customHeight="1">
      <c r="A923" s="90"/>
      <c r="B923" s="90"/>
      <c r="C923" s="90"/>
      <c r="D923" s="90"/>
      <c r="E923" s="147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 ht="15.75" customHeight="1">
      <c r="A924" s="90"/>
      <c r="B924" s="90"/>
      <c r="C924" s="90"/>
      <c r="D924" s="90"/>
      <c r="E924" s="147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 ht="15.75" customHeight="1">
      <c r="A925" s="90"/>
      <c r="B925" s="90"/>
      <c r="C925" s="90"/>
      <c r="D925" s="90"/>
      <c r="E925" s="147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 ht="15.75" customHeight="1">
      <c r="A926" s="90"/>
      <c r="B926" s="90"/>
      <c r="C926" s="90"/>
      <c r="D926" s="90"/>
      <c r="E926" s="147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 ht="15.75" customHeight="1">
      <c r="A927" s="90"/>
      <c r="B927" s="90"/>
      <c r="C927" s="90"/>
      <c r="D927" s="90"/>
      <c r="E927" s="147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 ht="15.75" customHeight="1">
      <c r="A928" s="90"/>
      <c r="B928" s="90"/>
      <c r="C928" s="90"/>
      <c r="D928" s="90"/>
      <c r="E928" s="147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 ht="15.75" customHeight="1">
      <c r="A929" s="90"/>
      <c r="B929" s="90"/>
      <c r="C929" s="90"/>
      <c r="D929" s="90"/>
      <c r="E929" s="147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 ht="15.75" customHeight="1">
      <c r="A930" s="90"/>
      <c r="B930" s="90"/>
      <c r="C930" s="90"/>
      <c r="D930" s="90"/>
      <c r="E930" s="147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 ht="15.75" customHeight="1">
      <c r="A931" s="90"/>
      <c r="B931" s="90"/>
      <c r="C931" s="90"/>
      <c r="D931" s="90"/>
      <c r="E931" s="147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 ht="15.75" customHeight="1">
      <c r="A932" s="90"/>
      <c r="B932" s="90"/>
      <c r="C932" s="90"/>
      <c r="D932" s="90"/>
      <c r="E932" s="147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 ht="15.75" customHeight="1">
      <c r="A933" s="90"/>
      <c r="B933" s="90"/>
      <c r="C933" s="90"/>
      <c r="D933" s="90"/>
      <c r="E933" s="147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 ht="15.75" customHeight="1">
      <c r="A934" s="90"/>
      <c r="B934" s="90"/>
      <c r="C934" s="90"/>
      <c r="D934" s="90"/>
      <c r="E934" s="147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 ht="15.75" customHeight="1">
      <c r="A935" s="90"/>
      <c r="B935" s="90"/>
      <c r="C935" s="90"/>
      <c r="D935" s="90"/>
      <c r="E935" s="147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 ht="15.75" customHeight="1">
      <c r="A936" s="90"/>
      <c r="B936" s="90"/>
      <c r="C936" s="90"/>
      <c r="D936" s="90"/>
      <c r="E936" s="147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 ht="15.75" customHeight="1">
      <c r="A937" s="90"/>
      <c r="B937" s="90"/>
      <c r="C937" s="90"/>
      <c r="D937" s="90"/>
      <c r="E937" s="147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 ht="15.75" customHeight="1">
      <c r="A938" s="90"/>
      <c r="B938" s="90"/>
      <c r="C938" s="90"/>
      <c r="D938" s="90"/>
      <c r="E938" s="147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 ht="15.75" customHeight="1">
      <c r="A939" s="90"/>
      <c r="B939" s="90"/>
      <c r="C939" s="90"/>
      <c r="D939" s="90"/>
      <c r="E939" s="147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 ht="15.75" customHeight="1">
      <c r="A940" s="90"/>
      <c r="B940" s="90"/>
      <c r="C940" s="90"/>
      <c r="D940" s="90"/>
      <c r="E940" s="147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 ht="15.75" customHeight="1">
      <c r="A941" s="90"/>
      <c r="B941" s="90"/>
      <c r="C941" s="90"/>
      <c r="D941" s="90"/>
      <c r="E941" s="147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 ht="15.75" customHeight="1">
      <c r="A942" s="90"/>
      <c r="B942" s="90"/>
      <c r="C942" s="90"/>
      <c r="D942" s="90"/>
      <c r="E942" s="147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 ht="15.75" customHeight="1">
      <c r="A943" s="90"/>
      <c r="B943" s="90"/>
      <c r="C943" s="90"/>
      <c r="D943" s="90"/>
      <c r="E943" s="147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 ht="15.75" customHeight="1">
      <c r="A944" s="90"/>
      <c r="B944" s="90"/>
      <c r="C944" s="90"/>
      <c r="D944" s="90"/>
      <c r="E944" s="147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 ht="15.75" customHeight="1">
      <c r="A945" s="90"/>
      <c r="B945" s="90"/>
      <c r="C945" s="90"/>
      <c r="D945" s="90"/>
      <c r="E945" s="147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 ht="15.75" customHeight="1">
      <c r="A946" s="90"/>
      <c r="B946" s="90"/>
      <c r="C946" s="90"/>
      <c r="D946" s="90"/>
      <c r="E946" s="147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 ht="15.75" customHeight="1">
      <c r="A947" s="90"/>
      <c r="B947" s="90"/>
      <c r="C947" s="90"/>
      <c r="D947" s="90"/>
      <c r="E947" s="147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 ht="15.75" customHeight="1">
      <c r="A948" s="90"/>
      <c r="B948" s="90"/>
      <c r="C948" s="90"/>
      <c r="D948" s="90"/>
      <c r="E948" s="147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 ht="15.75" customHeight="1">
      <c r="A949" s="90"/>
      <c r="B949" s="90"/>
      <c r="C949" s="90"/>
      <c r="D949" s="90"/>
      <c r="E949" s="147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 ht="15.75" customHeight="1">
      <c r="A950" s="90"/>
      <c r="B950" s="90"/>
      <c r="C950" s="90"/>
      <c r="D950" s="90"/>
      <c r="E950" s="147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  <row r="951" ht="15.75" customHeight="1">
      <c r="A951" s="90"/>
      <c r="B951" s="90"/>
      <c r="C951" s="90"/>
      <c r="D951" s="90"/>
      <c r="E951" s="147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</row>
    <row r="952" ht="15.75" customHeight="1">
      <c r="A952" s="90"/>
      <c r="B952" s="90"/>
      <c r="C952" s="90"/>
      <c r="D952" s="90"/>
      <c r="E952" s="147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</row>
    <row r="953" ht="15.75" customHeight="1">
      <c r="A953" s="90"/>
      <c r="B953" s="90"/>
      <c r="C953" s="90"/>
      <c r="D953" s="90"/>
      <c r="E953" s="147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</row>
    <row r="954" ht="15.75" customHeight="1">
      <c r="A954" s="90"/>
      <c r="B954" s="90"/>
      <c r="C954" s="90"/>
      <c r="D954" s="90"/>
      <c r="E954" s="147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</row>
    <row r="955" ht="15.75" customHeight="1">
      <c r="A955" s="90"/>
      <c r="B955" s="90"/>
      <c r="C955" s="90"/>
      <c r="D955" s="90"/>
      <c r="E955" s="147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</row>
    <row r="956" ht="15.75" customHeight="1">
      <c r="A956" s="90"/>
      <c r="B956" s="90"/>
      <c r="C956" s="90"/>
      <c r="D956" s="90"/>
      <c r="E956" s="147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</row>
    <row r="957" ht="15.75" customHeight="1">
      <c r="A957" s="90"/>
      <c r="B957" s="90"/>
      <c r="C957" s="90"/>
      <c r="D957" s="90"/>
      <c r="E957" s="147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</row>
    <row r="958" ht="15.75" customHeight="1">
      <c r="A958" s="90"/>
      <c r="B958" s="90"/>
      <c r="C958" s="90"/>
      <c r="D958" s="90"/>
      <c r="E958" s="147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</row>
    <row r="959" ht="15.75" customHeight="1">
      <c r="A959" s="90"/>
      <c r="B959" s="90"/>
      <c r="C959" s="90"/>
      <c r="D959" s="90"/>
      <c r="E959" s="147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</row>
    <row r="960" ht="15.75" customHeight="1">
      <c r="A960" s="90"/>
      <c r="B960" s="90"/>
      <c r="C960" s="90"/>
      <c r="D960" s="90"/>
      <c r="E960" s="147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</row>
    <row r="961" ht="15.75" customHeight="1">
      <c r="A961" s="90"/>
      <c r="B961" s="90"/>
      <c r="C961" s="90"/>
      <c r="D961" s="90"/>
      <c r="E961" s="147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</row>
    <row r="962" ht="15.75" customHeight="1">
      <c r="A962" s="90"/>
      <c r="B962" s="90"/>
      <c r="C962" s="90"/>
      <c r="D962" s="90"/>
      <c r="E962" s="147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</row>
    <row r="963" ht="15.75" customHeight="1">
      <c r="A963" s="90"/>
      <c r="B963" s="90"/>
      <c r="C963" s="90"/>
      <c r="D963" s="90"/>
      <c r="E963" s="147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</row>
    <row r="964" ht="15.75" customHeight="1">
      <c r="A964" s="90"/>
      <c r="B964" s="90"/>
      <c r="C964" s="90"/>
      <c r="D964" s="90"/>
      <c r="E964" s="147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</row>
    <row r="965" ht="15.75" customHeight="1">
      <c r="A965" s="90"/>
      <c r="B965" s="90"/>
      <c r="C965" s="90"/>
      <c r="D965" s="90"/>
      <c r="E965" s="147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</row>
    <row r="966" ht="15.75" customHeight="1">
      <c r="A966" s="90"/>
      <c r="B966" s="90"/>
      <c r="C966" s="90"/>
      <c r="D966" s="90"/>
      <c r="E966" s="147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</row>
    <row r="967" ht="15.75" customHeight="1">
      <c r="A967" s="90"/>
      <c r="B967" s="90"/>
      <c r="C967" s="90"/>
      <c r="D967" s="90"/>
      <c r="E967" s="147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</row>
    <row r="968" ht="15.75" customHeight="1">
      <c r="A968" s="90"/>
      <c r="B968" s="90"/>
      <c r="C968" s="90"/>
      <c r="D968" s="90"/>
      <c r="E968" s="147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</row>
    <row r="969" ht="15.75" customHeight="1">
      <c r="A969" s="90"/>
      <c r="B969" s="90"/>
      <c r="C969" s="90"/>
      <c r="D969" s="90"/>
      <c r="E969" s="147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</row>
    <row r="970" ht="15.75" customHeight="1">
      <c r="A970" s="90"/>
      <c r="B970" s="90"/>
      <c r="C970" s="90"/>
      <c r="D970" s="90"/>
      <c r="E970" s="147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</row>
    <row r="971" ht="15.75" customHeight="1">
      <c r="A971" s="90"/>
      <c r="B971" s="90"/>
      <c r="C971" s="90"/>
      <c r="D971" s="90"/>
      <c r="E971" s="147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</row>
    <row r="972" ht="15.75" customHeight="1">
      <c r="A972" s="90"/>
      <c r="B972" s="90"/>
      <c r="C972" s="90"/>
      <c r="D972" s="90"/>
      <c r="E972" s="147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</row>
    <row r="973" ht="15.75" customHeight="1">
      <c r="A973" s="90"/>
      <c r="B973" s="90"/>
      <c r="C973" s="90"/>
      <c r="D973" s="90"/>
      <c r="E973" s="147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</row>
    <row r="974" ht="15.75" customHeight="1">
      <c r="A974" s="90"/>
      <c r="B974" s="90"/>
      <c r="C974" s="90"/>
      <c r="D974" s="90"/>
      <c r="E974" s="147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</row>
    <row r="975" ht="15.75" customHeight="1">
      <c r="A975" s="90"/>
      <c r="B975" s="90"/>
      <c r="C975" s="90"/>
      <c r="D975" s="90"/>
      <c r="E975" s="147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</row>
    <row r="976" ht="15.75" customHeight="1">
      <c r="A976" s="90"/>
      <c r="B976" s="90"/>
      <c r="C976" s="90"/>
      <c r="D976" s="90"/>
      <c r="E976" s="147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</row>
    <row r="977" ht="15.75" customHeight="1">
      <c r="A977" s="90"/>
      <c r="B977" s="90"/>
      <c r="C977" s="90"/>
      <c r="D977" s="90"/>
      <c r="E977" s="147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</row>
    <row r="978" ht="15.75" customHeight="1">
      <c r="A978" s="90"/>
      <c r="B978" s="90"/>
      <c r="C978" s="90"/>
      <c r="D978" s="90"/>
      <c r="E978" s="147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</row>
    <row r="979" ht="15.75" customHeight="1">
      <c r="A979" s="90"/>
      <c r="B979" s="90"/>
      <c r="C979" s="90"/>
      <c r="D979" s="90"/>
      <c r="E979" s="147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</row>
    <row r="980" ht="15.75" customHeight="1">
      <c r="A980" s="90"/>
      <c r="B980" s="90"/>
      <c r="C980" s="90"/>
      <c r="D980" s="90"/>
      <c r="E980" s="147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</row>
    <row r="981" ht="15.75" customHeight="1">
      <c r="A981" s="90"/>
      <c r="B981" s="90"/>
      <c r="C981" s="90"/>
      <c r="D981" s="90"/>
      <c r="E981" s="147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</row>
    <row r="982" ht="15.75" customHeight="1">
      <c r="A982" s="90"/>
      <c r="B982" s="90"/>
      <c r="C982" s="90"/>
      <c r="D982" s="90"/>
      <c r="E982" s="147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</row>
    <row r="983" ht="15.75" customHeight="1">
      <c r="A983" s="90"/>
      <c r="B983" s="90"/>
      <c r="C983" s="90"/>
      <c r="D983" s="90"/>
      <c r="E983" s="147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</row>
    <row r="984" ht="15.75" customHeight="1">
      <c r="A984" s="90"/>
      <c r="B984" s="90"/>
      <c r="C984" s="90"/>
      <c r="D984" s="90"/>
      <c r="E984" s="147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</row>
    <row r="985" ht="15.75" customHeight="1">
      <c r="A985" s="90"/>
      <c r="B985" s="90"/>
      <c r="C985" s="90"/>
      <c r="D985" s="90"/>
      <c r="E985" s="147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</row>
    <row r="986" ht="15.75" customHeight="1">
      <c r="A986" s="90"/>
      <c r="B986" s="90"/>
      <c r="C986" s="90"/>
      <c r="D986" s="90"/>
      <c r="E986" s="147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</row>
    <row r="987" ht="15.75" customHeight="1">
      <c r="A987" s="90"/>
      <c r="B987" s="90"/>
      <c r="C987" s="90"/>
      <c r="D987" s="90"/>
      <c r="E987" s="147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</row>
    <row r="988" ht="15.75" customHeight="1">
      <c r="A988" s="90"/>
      <c r="B988" s="90"/>
      <c r="C988" s="90"/>
      <c r="D988" s="90"/>
      <c r="E988" s="147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</row>
    <row r="989" ht="15.75" customHeight="1">
      <c r="A989" s="90"/>
      <c r="B989" s="90"/>
      <c r="C989" s="90"/>
      <c r="D989" s="90"/>
      <c r="E989" s="147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</row>
    <row r="990" ht="15.75" customHeight="1">
      <c r="A990" s="90"/>
      <c r="B990" s="90"/>
      <c r="C990" s="90"/>
      <c r="D990" s="90"/>
      <c r="E990" s="147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</row>
    <row r="991" ht="15.75" customHeight="1">
      <c r="A991" s="90"/>
      <c r="B991" s="90"/>
      <c r="C991" s="90"/>
      <c r="D991" s="90"/>
      <c r="E991" s="147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</row>
    <row r="992" ht="15.75" customHeight="1">
      <c r="A992" s="90"/>
      <c r="B992" s="90"/>
      <c r="C992" s="90"/>
      <c r="D992" s="90"/>
      <c r="E992" s="147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</row>
    <row r="993" ht="15.75" customHeight="1">
      <c r="A993" s="90"/>
      <c r="B993" s="90"/>
      <c r="C993" s="90"/>
      <c r="D993" s="90"/>
      <c r="E993" s="147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</row>
    <row r="994" ht="15.75" customHeight="1">
      <c r="A994" s="90"/>
      <c r="B994" s="90"/>
      <c r="C994" s="90"/>
      <c r="D994" s="90"/>
      <c r="E994" s="147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</row>
    <row r="995" ht="15.75" customHeight="1">
      <c r="A995" s="90"/>
      <c r="B995" s="90"/>
      <c r="C995" s="90"/>
      <c r="D995" s="90"/>
      <c r="E995" s="147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</row>
    <row r="996" ht="15.75" customHeight="1">
      <c r="A996" s="90"/>
      <c r="B996" s="90"/>
      <c r="C996" s="90"/>
      <c r="D996" s="90"/>
      <c r="E996" s="147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</row>
    <row r="997" ht="15.75" customHeight="1">
      <c r="A997" s="90"/>
      <c r="B997" s="90"/>
      <c r="C997" s="90"/>
      <c r="D997" s="90"/>
      <c r="E997" s="147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</row>
    <row r="998" ht="15.75" customHeight="1">
      <c r="A998" s="90"/>
      <c r="B998" s="90"/>
      <c r="C998" s="90"/>
      <c r="D998" s="90"/>
      <c r="E998" s="147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</row>
  </sheetData>
  <mergeCells count="1">
    <mergeCell ref="C3:E3"/>
  </mergeCell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16.71"/>
    <col customWidth="1" min="3" max="3" width="32.71"/>
    <col customWidth="1" min="4" max="4" width="28.14"/>
    <col customWidth="1" min="5" max="5" width="40.29"/>
    <col customWidth="1" min="6" max="6" width="61.0"/>
    <col customWidth="1" min="7" max="26" width="9.14"/>
  </cols>
  <sheetData>
    <row r="1" ht="15.0" customHeight="1">
      <c r="A1" s="90"/>
      <c r="B1" s="145"/>
      <c r="C1" s="311"/>
      <c r="D1" s="311"/>
      <c r="E1" s="335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15.0" customHeight="1">
      <c r="A2" s="90"/>
      <c r="B2" s="145"/>
      <c r="C2" s="311"/>
      <c r="D2" s="311"/>
      <c r="E2" s="335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15.0" customHeight="1">
      <c r="A3" s="90"/>
      <c r="B3" s="145"/>
      <c r="C3" s="311"/>
      <c r="D3" s="85" t="s">
        <v>554</v>
      </c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>
      <c r="A4" s="90"/>
      <c r="B4" s="145"/>
      <c r="C4" s="85"/>
      <c r="D4" s="85"/>
      <c r="E4" s="336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>
      <c r="A5" s="90"/>
      <c r="B5" s="337" t="s">
        <v>6</v>
      </c>
      <c r="C5" s="312" t="s">
        <v>555</v>
      </c>
      <c r="D5" s="312" t="s">
        <v>556</v>
      </c>
      <c r="E5" s="338" t="s">
        <v>69</v>
      </c>
      <c r="F5" s="312" t="s">
        <v>7</v>
      </c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>
      <c r="A6" s="145"/>
      <c r="B6" s="339" t="s">
        <v>155</v>
      </c>
      <c r="C6" s="340"/>
      <c r="D6" s="341"/>
      <c r="E6" s="342" t="s">
        <v>557</v>
      </c>
      <c r="F6" s="31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</row>
    <row r="7">
      <c r="A7" s="343"/>
      <c r="B7" s="344" t="s">
        <v>157</v>
      </c>
      <c r="C7" s="345"/>
      <c r="D7" s="346"/>
      <c r="E7" s="347" t="s">
        <v>538</v>
      </c>
      <c r="F7" s="348"/>
      <c r="G7" s="343"/>
      <c r="H7" s="343"/>
      <c r="I7" s="343"/>
      <c r="J7" s="343"/>
      <c r="K7" s="343"/>
      <c r="L7" s="343"/>
      <c r="M7" s="343"/>
      <c r="N7" s="343"/>
      <c r="O7" s="343"/>
      <c r="P7" s="343"/>
      <c r="Q7" s="343"/>
      <c r="R7" s="343"/>
      <c r="S7" s="343"/>
      <c r="T7" s="343"/>
      <c r="U7" s="343"/>
      <c r="V7" s="343"/>
      <c r="W7" s="343"/>
      <c r="X7" s="343"/>
      <c r="Y7" s="343"/>
      <c r="Z7" s="343"/>
    </row>
    <row r="8">
      <c r="A8" s="145"/>
      <c r="B8" s="339" t="s">
        <v>159</v>
      </c>
      <c r="C8" s="340"/>
      <c r="D8" s="341"/>
      <c r="E8" s="342" t="s">
        <v>161</v>
      </c>
      <c r="F8" s="349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>
      <c r="A9" s="343"/>
      <c r="B9" s="344" t="s">
        <v>162</v>
      </c>
      <c r="C9" s="345"/>
      <c r="D9" s="346"/>
      <c r="E9" s="347" t="s">
        <v>458</v>
      </c>
      <c r="F9" s="348"/>
      <c r="G9" s="343"/>
      <c r="H9" s="343"/>
      <c r="I9" s="343"/>
      <c r="J9" s="343"/>
      <c r="K9" s="343"/>
      <c r="L9" s="343"/>
      <c r="M9" s="343"/>
      <c r="N9" s="343"/>
      <c r="O9" s="343"/>
      <c r="P9" s="343"/>
      <c r="Q9" s="343"/>
      <c r="R9" s="343"/>
      <c r="S9" s="343"/>
      <c r="T9" s="343"/>
      <c r="U9" s="343"/>
      <c r="V9" s="343"/>
      <c r="W9" s="343"/>
      <c r="X9" s="343"/>
      <c r="Y9" s="343"/>
      <c r="Z9" s="343"/>
    </row>
    <row r="10">
      <c r="A10" s="145"/>
      <c r="B10" s="339" t="s">
        <v>164</v>
      </c>
      <c r="C10" s="340"/>
      <c r="D10" s="341"/>
      <c r="E10" s="342" t="s">
        <v>558</v>
      </c>
      <c r="F10" s="31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</row>
    <row r="11">
      <c r="A11" s="343"/>
      <c r="B11" s="344" t="s">
        <v>189</v>
      </c>
      <c r="C11" s="348"/>
      <c r="D11" s="346"/>
      <c r="E11" s="347" t="s">
        <v>559</v>
      </c>
      <c r="F11" s="350"/>
      <c r="G11" s="343"/>
      <c r="H11" s="343"/>
      <c r="I11" s="343"/>
      <c r="J11" s="343"/>
      <c r="K11" s="343"/>
      <c r="L11" s="343"/>
      <c r="M11" s="343"/>
      <c r="N11" s="343"/>
      <c r="O11" s="343"/>
      <c r="P11" s="343"/>
      <c r="Q11" s="343"/>
      <c r="R11" s="343"/>
      <c r="S11" s="343"/>
      <c r="T11" s="343"/>
      <c r="U11" s="343"/>
      <c r="V11" s="343"/>
      <c r="W11" s="343"/>
      <c r="X11" s="343"/>
      <c r="Y11" s="343"/>
      <c r="Z11" s="343"/>
    </row>
    <row r="12">
      <c r="A12" s="145"/>
      <c r="B12" s="339" t="s">
        <v>197</v>
      </c>
      <c r="C12" s="315"/>
      <c r="D12" s="341"/>
      <c r="E12" s="342" t="s">
        <v>549</v>
      </c>
      <c r="F12" s="351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>
      <c r="A13" s="343"/>
      <c r="B13" s="344" t="s">
        <v>195</v>
      </c>
      <c r="C13" s="345"/>
      <c r="D13" s="346"/>
      <c r="E13" s="347" t="s">
        <v>560</v>
      </c>
      <c r="F13" s="348"/>
      <c r="G13" s="343"/>
      <c r="H13" s="343"/>
      <c r="I13" s="343"/>
      <c r="J13" s="343"/>
      <c r="K13" s="343"/>
      <c r="L13" s="343"/>
      <c r="M13" s="343"/>
      <c r="N13" s="343"/>
      <c r="O13" s="343"/>
      <c r="P13" s="343"/>
      <c r="Q13" s="343"/>
      <c r="R13" s="343"/>
      <c r="S13" s="343"/>
      <c r="T13" s="343"/>
      <c r="U13" s="343"/>
      <c r="V13" s="343"/>
      <c r="W13" s="343"/>
      <c r="X13" s="343"/>
      <c r="Y13" s="343"/>
      <c r="Z13" s="343"/>
    </row>
    <row r="14" ht="15.75" customHeight="1">
      <c r="A14" s="145"/>
      <c r="B14" s="339" t="s">
        <v>181</v>
      </c>
      <c r="C14" s="340"/>
      <c r="D14" s="341"/>
      <c r="E14" s="342" t="s">
        <v>561</v>
      </c>
      <c r="F14" s="31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ht="15.75" customHeight="1">
      <c r="A15" s="343"/>
      <c r="B15" s="352" t="s">
        <v>202</v>
      </c>
      <c r="C15" s="345"/>
      <c r="D15" s="346"/>
      <c r="E15" s="347" t="s">
        <v>562</v>
      </c>
      <c r="F15" s="348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3"/>
      <c r="V15" s="343"/>
      <c r="W15" s="343"/>
      <c r="X15" s="343"/>
      <c r="Y15" s="343"/>
      <c r="Z15" s="343"/>
    </row>
    <row r="16" ht="15.75" customHeight="1">
      <c r="A16" s="145"/>
      <c r="B16" s="353" t="s">
        <v>199</v>
      </c>
      <c r="C16" s="340"/>
      <c r="D16" s="341"/>
      <c r="E16" s="342" t="s">
        <v>563</v>
      </c>
      <c r="F16" s="31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ht="15.75" customHeight="1">
      <c r="A17" s="343"/>
      <c r="B17" s="352" t="s">
        <v>169</v>
      </c>
      <c r="C17" s="345"/>
      <c r="D17" s="346"/>
      <c r="E17" s="347" t="s">
        <v>564</v>
      </c>
      <c r="F17" s="348"/>
      <c r="G17" s="343"/>
      <c r="H17" s="343"/>
      <c r="I17" s="343"/>
      <c r="J17" s="343"/>
      <c r="K17" s="343"/>
      <c r="L17" s="343"/>
      <c r="M17" s="343"/>
      <c r="N17" s="343"/>
      <c r="O17" s="343"/>
      <c r="P17" s="343"/>
      <c r="Q17" s="343"/>
      <c r="R17" s="343"/>
      <c r="S17" s="343"/>
      <c r="T17" s="343"/>
      <c r="U17" s="343"/>
      <c r="V17" s="343"/>
      <c r="W17" s="343"/>
      <c r="X17" s="343"/>
      <c r="Y17" s="343"/>
      <c r="Z17" s="343"/>
    </row>
    <row r="18" ht="15.75" customHeight="1">
      <c r="A18" s="90"/>
      <c r="B18" s="353" t="s">
        <v>467</v>
      </c>
      <c r="C18" s="340"/>
      <c r="D18" s="341"/>
      <c r="E18" s="342" t="s">
        <v>214</v>
      </c>
      <c r="F18" s="315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ht="15.75" customHeight="1">
      <c r="A19" s="354"/>
      <c r="B19" s="352" t="s">
        <v>192</v>
      </c>
      <c r="C19" s="345"/>
      <c r="D19" s="346"/>
      <c r="E19" s="347" t="s">
        <v>542</v>
      </c>
      <c r="F19" s="348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  <c r="T19" s="354"/>
      <c r="U19" s="354"/>
      <c r="V19" s="354"/>
      <c r="W19" s="354"/>
      <c r="X19" s="354"/>
      <c r="Y19" s="354"/>
      <c r="Z19" s="354"/>
    </row>
    <row r="20" ht="15.75" customHeight="1">
      <c r="A20" s="90"/>
      <c r="B20" s="353" t="s">
        <v>178</v>
      </c>
      <c r="C20" s="340"/>
      <c r="D20" s="341"/>
      <c r="E20" s="342" t="s">
        <v>565</v>
      </c>
      <c r="F20" s="315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ht="15.75" customHeight="1">
      <c r="A21" s="354"/>
      <c r="B21" s="352" t="s">
        <v>185</v>
      </c>
      <c r="C21" s="345"/>
      <c r="D21" s="346"/>
      <c r="E21" s="347" t="s">
        <v>566</v>
      </c>
      <c r="F21" s="348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  <c r="T21" s="354"/>
      <c r="U21" s="354"/>
      <c r="V21" s="354"/>
      <c r="W21" s="354"/>
      <c r="X21" s="354"/>
      <c r="Y21" s="354"/>
      <c r="Z21" s="354"/>
    </row>
    <row r="22" ht="15.75" customHeight="1">
      <c r="A22" s="90"/>
      <c r="B22" s="353" t="s">
        <v>149</v>
      </c>
      <c r="C22" s="340"/>
      <c r="D22" s="341"/>
      <c r="E22" s="342" t="s">
        <v>552</v>
      </c>
      <c r="F22" s="315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ht="15.75" customHeight="1">
      <c r="A23" s="354"/>
      <c r="B23" s="352" t="s">
        <v>183</v>
      </c>
      <c r="C23" s="345"/>
      <c r="D23" s="346"/>
      <c r="E23" s="347" t="s">
        <v>537</v>
      </c>
      <c r="F23" s="348"/>
      <c r="G23" s="354"/>
      <c r="H23" s="354"/>
      <c r="I23" s="354"/>
      <c r="J23" s="354"/>
      <c r="K23" s="354"/>
      <c r="L23" s="354"/>
      <c r="M23" s="354"/>
      <c r="N23" s="354"/>
      <c r="O23" s="354"/>
      <c r="P23" s="354"/>
      <c r="Q23" s="354"/>
      <c r="R23" s="354"/>
      <c r="S23" s="354"/>
      <c r="T23" s="354"/>
      <c r="U23" s="354"/>
      <c r="V23" s="354"/>
      <c r="W23" s="354"/>
      <c r="X23" s="354"/>
      <c r="Y23" s="354"/>
      <c r="Z23" s="354"/>
    </row>
    <row r="24" ht="15.75" customHeight="1">
      <c r="A24" s="90"/>
      <c r="B24" s="353" t="s">
        <v>447</v>
      </c>
      <c r="C24" s="340"/>
      <c r="D24" s="341"/>
      <c r="E24" s="342" t="s">
        <v>567</v>
      </c>
      <c r="F24" s="315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5.75" customHeight="1">
      <c r="A25" s="90"/>
      <c r="B25" s="145"/>
      <c r="C25" s="90"/>
      <c r="D25" s="147"/>
      <c r="E25" s="355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5.75" customHeight="1">
      <c r="A26" s="90"/>
      <c r="B26" s="145"/>
      <c r="C26" s="90"/>
      <c r="D26" s="147"/>
      <c r="E26" s="355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5.75" customHeight="1">
      <c r="A27" s="90"/>
      <c r="B27" s="145"/>
      <c r="C27" s="90"/>
      <c r="D27" s="147"/>
      <c r="E27" s="355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5.75" customHeight="1">
      <c r="A28" s="90"/>
      <c r="B28" s="145"/>
      <c r="C28" s="90"/>
      <c r="D28" s="147"/>
      <c r="E28" s="355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5.75" customHeight="1">
      <c r="A29" s="90"/>
      <c r="B29" s="145"/>
      <c r="C29" s="90"/>
      <c r="D29" s="147"/>
      <c r="E29" s="355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5.75" customHeight="1">
      <c r="A30" s="90"/>
      <c r="B30" s="145"/>
      <c r="C30" s="90"/>
      <c r="D30" s="147"/>
      <c r="E30" s="355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5.75" customHeight="1">
      <c r="A31" s="90"/>
      <c r="B31" s="145"/>
      <c r="C31" s="90"/>
      <c r="D31" s="147"/>
      <c r="E31" s="355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5.75" customHeight="1">
      <c r="A32" s="90"/>
      <c r="B32" s="145"/>
      <c r="C32" s="90"/>
      <c r="D32" s="147"/>
      <c r="E32" s="355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5.75" customHeight="1">
      <c r="A33" s="90"/>
      <c r="B33" s="145"/>
      <c r="C33" s="90"/>
      <c r="D33" s="147"/>
      <c r="E33" s="355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5.75" customHeight="1">
      <c r="A34" s="90"/>
      <c r="B34" s="145"/>
      <c r="C34" s="90"/>
      <c r="D34" s="147"/>
      <c r="E34" s="355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5.75" customHeight="1">
      <c r="A35" s="90"/>
      <c r="B35" s="145"/>
      <c r="C35" s="90"/>
      <c r="D35" s="147"/>
      <c r="E35" s="355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5.75" customHeight="1">
      <c r="A36" s="90"/>
      <c r="B36" s="145"/>
      <c r="C36" s="90"/>
      <c r="D36" s="147"/>
      <c r="E36" s="355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5.75" customHeight="1">
      <c r="A37" s="90"/>
      <c r="B37" s="145"/>
      <c r="C37" s="90"/>
      <c r="D37" s="147"/>
      <c r="E37" s="355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5.75" customHeight="1">
      <c r="A38" s="90"/>
      <c r="B38" s="145"/>
      <c r="C38" s="90"/>
      <c r="D38" s="147"/>
      <c r="E38" s="355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5.75" customHeight="1">
      <c r="A39" s="90"/>
      <c r="B39" s="145"/>
      <c r="C39" s="90"/>
      <c r="D39" s="147"/>
      <c r="E39" s="355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5.75" customHeight="1">
      <c r="A40" s="90"/>
      <c r="B40" s="145"/>
      <c r="C40" s="90"/>
      <c r="D40" s="147"/>
      <c r="E40" s="355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5.75" customHeight="1">
      <c r="A41" s="90"/>
      <c r="B41" s="145"/>
      <c r="C41" s="90"/>
      <c r="D41" s="147"/>
      <c r="E41" s="355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5.75" customHeight="1">
      <c r="A42" s="90"/>
      <c r="B42" s="145"/>
      <c r="C42" s="90"/>
      <c r="D42" s="147"/>
      <c r="E42" s="355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5.75" customHeight="1">
      <c r="A43" s="90"/>
      <c r="B43" s="145"/>
      <c r="C43" s="90"/>
      <c r="D43" s="147"/>
      <c r="E43" s="355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5.75" customHeight="1">
      <c r="A44" s="90"/>
      <c r="B44" s="145"/>
      <c r="C44" s="90"/>
      <c r="D44" s="147"/>
      <c r="E44" s="355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5.75" customHeight="1">
      <c r="A45" s="90"/>
      <c r="B45" s="145"/>
      <c r="C45" s="90"/>
      <c r="D45" s="147"/>
      <c r="E45" s="355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5.75" customHeight="1">
      <c r="A46" s="90"/>
      <c r="B46" s="145"/>
      <c r="C46" s="90"/>
      <c r="D46" s="147"/>
      <c r="E46" s="355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5.75" customHeight="1">
      <c r="A47" s="90"/>
      <c r="B47" s="145"/>
      <c r="C47" s="90"/>
      <c r="D47" s="147"/>
      <c r="E47" s="355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5.75" customHeight="1">
      <c r="A48" s="90"/>
      <c r="B48" s="145"/>
      <c r="C48" s="90"/>
      <c r="D48" s="147"/>
      <c r="E48" s="355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5.75" customHeight="1">
      <c r="A49" s="90"/>
      <c r="B49" s="145"/>
      <c r="C49" s="90"/>
      <c r="D49" s="147"/>
      <c r="E49" s="355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5.75" customHeight="1">
      <c r="A50" s="90"/>
      <c r="B50" s="145"/>
      <c r="C50" s="90"/>
      <c r="D50" s="147"/>
      <c r="E50" s="355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5.75" customHeight="1">
      <c r="A51" s="90"/>
      <c r="B51" s="145"/>
      <c r="C51" s="90"/>
      <c r="D51" s="147"/>
      <c r="E51" s="355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5.75" customHeight="1">
      <c r="A52" s="90"/>
      <c r="B52" s="145"/>
      <c r="C52" s="90"/>
      <c r="D52" s="147"/>
      <c r="E52" s="355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5.75" customHeight="1">
      <c r="A53" s="90"/>
      <c r="B53" s="145"/>
      <c r="C53" s="90"/>
      <c r="D53" s="147"/>
      <c r="E53" s="355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5.75" customHeight="1">
      <c r="A54" s="90"/>
      <c r="B54" s="145"/>
      <c r="C54" s="90"/>
      <c r="D54" s="147"/>
      <c r="E54" s="355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5.75" customHeight="1">
      <c r="A55" s="90"/>
      <c r="B55" s="145"/>
      <c r="C55" s="90"/>
      <c r="D55" s="147"/>
      <c r="E55" s="355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5.75" customHeight="1">
      <c r="A56" s="90"/>
      <c r="B56" s="145"/>
      <c r="C56" s="90"/>
      <c r="D56" s="147"/>
      <c r="E56" s="355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5.75" customHeight="1">
      <c r="A57" s="90"/>
      <c r="B57" s="145"/>
      <c r="C57" s="90"/>
      <c r="D57" s="147"/>
      <c r="E57" s="355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5.75" customHeight="1">
      <c r="A58" s="90"/>
      <c r="B58" s="145"/>
      <c r="C58" s="90"/>
      <c r="D58" s="147"/>
      <c r="E58" s="355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5.75" customHeight="1">
      <c r="A59" s="90"/>
      <c r="B59" s="145"/>
      <c r="C59" s="90"/>
      <c r="D59" s="147"/>
      <c r="E59" s="355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5.75" customHeight="1">
      <c r="A60" s="90"/>
      <c r="B60" s="145"/>
      <c r="C60" s="90"/>
      <c r="D60" s="147"/>
      <c r="E60" s="355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5.75" customHeight="1">
      <c r="A61" s="90"/>
      <c r="B61" s="145"/>
      <c r="C61" s="90"/>
      <c r="D61" s="147"/>
      <c r="E61" s="355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5.75" customHeight="1">
      <c r="A62" s="90"/>
      <c r="B62" s="145"/>
      <c r="C62" s="90"/>
      <c r="D62" s="147"/>
      <c r="E62" s="355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5.75" customHeight="1">
      <c r="A63" s="90"/>
      <c r="B63" s="145"/>
      <c r="C63" s="90"/>
      <c r="D63" s="147"/>
      <c r="E63" s="355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5.75" customHeight="1">
      <c r="A64" s="90"/>
      <c r="B64" s="145"/>
      <c r="C64" s="90"/>
      <c r="D64" s="147"/>
      <c r="E64" s="355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5.75" customHeight="1">
      <c r="A65" s="90"/>
      <c r="B65" s="145"/>
      <c r="C65" s="90"/>
      <c r="D65" s="147"/>
      <c r="E65" s="355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5.75" customHeight="1">
      <c r="A66" s="90"/>
      <c r="B66" s="145"/>
      <c r="C66" s="90"/>
      <c r="D66" s="147"/>
      <c r="E66" s="355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5.75" customHeight="1">
      <c r="A67" s="90"/>
      <c r="B67" s="145"/>
      <c r="C67" s="90"/>
      <c r="D67" s="147"/>
      <c r="E67" s="355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5.75" customHeight="1">
      <c r="A68" s="90"/>
      <c r="B68" s="145"/>
      <c r="C68" s="90"/>
      <c r="D68" s="147"/>
      <c r="E68" s="355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ht="15.75" customHeight="1">
      <c r="A69" s="90"/>
      <c r="B69" s="145"/>
      <c r="C69" s="90"/>
      <c r="D69" s="147"/>
      <c r="E69" s="355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5.75" customHeight="1">
      <c r="A70" s="90"/>
      <c r="B70" s="145"/>
      <c r="C70" s="90"/>
      <c r="D70" s="147"/>
      <c r="E70" s="355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5.75" customHeight="1">
      <c r="A71" s="90"/>
      <c r="B71" s="145"/>
      <c r="C71" s="90"/>
      <c r="D71" s="147"/>
      <c r="E71" s="355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ht="15.75" customHeight="1">
      <c r="A72" s="90"/>
      <c r="B72" s="145"/>
      <c r="C72" s="90"/>
      <c r="D72" s="147"/>
      <c r="E72" s="355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ht="15.75" customHeight="1">
      <c r="A73" s="90"/>
      <c r="B73" s="145"/>
      <c r="C73" s="90"/>
      <c r="D73" s="147"/>
      <c r="E73" s="355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ht="15.75" customHeight="1">
      <c r="A74" s="90"/>
      <c r="B74" s="145"/>
      <c r="C74" s="90"/>
      <c r="D74" s="147"/>
      <c r="E74" s="355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ht="15.75" customHeight="1">
      <c r="A75" s="90"/>
      <c r="B75" s="145"/>
      <c r="C75" s="90"/>
      <c r="D75" s="147"/>
      <c r="E75" s="355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ht="15.75" customHeight="1">
      <c r="A76" s="90"/>
      <c r="B76" s="145"/>
      <c r="C76" s="90"/>
      <c r="D76" s="147"/>
      <c r="E76" s="355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ht="15.75" customHeight="1">
      <c r="A77" s="90"/>
      <c r="B77" s="145"/>
      <c r="C77" s="90"/>
      <c r="D77" s="147"/>
      <c r="E77" s="355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ht="15.75" customHeight="1">
      <c r="A78" s="90"/>
      <c r="B78" s="145"/>
      <c r="C78" s="90"/>
      <c r="D78" s="147"/>
      <c r="E78" s="355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ht="15.75" customHeight="1">
      <c r="A79" s="90"/>
      <c r="B79" s="145"/>
      <c r="C79" s="90"/>
      <c r="D79" s="147"/>
      <c r="E79" s="355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ht="15.75" customHeight="1">
      <c r="A80" s="90"/>
      <c r="B80" s="145"/>
      <c r="C80" s="90"/>
      <c r="D80" s="147"/>
      <c r="E80" s="355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ht="15.75" customHeight="1">
      <c r="A81" s="90"/>
      <c r="B81" s="145"/>
      <c r="C81" s="90"/>
      <c r="D81" s="147"/>
      <c r="E81" s="355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ht="15.75" customHeight="1">
      <c r="A82" s="90"/>
      <c r="B82" s="145"/>
      <c r="C82" s="90"/>
      <c r="D82" s="147"/>
      <c r="E82" s="355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ht="15.75" customHeight="1">
      <c r="A83" s="90"/>
      <c r="B83" s="145"/>
      <c r="C83" s="90"/>
      <c r="D83" s="147"/>
      <c r="E83" s="355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ht="15.75" customHeight="1">
      <c r="A84" s="90"/>
      <c r="B84" s="145"/>
      <c r="C84" s="90"/>
      <c r="D84" s="147"/>
      <c r="E84" s="355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ht="15.75" customHeight="1">
      <c r="A85" s="90"/>
      <c r="B85" s="145"/>
      <c r="C85" s="90"/>
      <c r="D85" s="147"/>
      <c r="E85" s="355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ht="15.75" customHeight="1">
      <c r="A86" s="90"/>
      <c r="B86" s="145"/>
      <c r="C86" s="90"/>
      <c r="D86" s="147"/>
      <c r="E86" s="355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ht="15.75" customHeight="1">
      <c r="A87" s="90"/>
      <c r="B87" s="145"/>
      <c r="C87" s="90"/>
      <c r="D87" s="147"/>
      <c r="E87" s="355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ht="15.75" customHeight="1">
      <c r="A88" s="90"/>
      <c r="B88" s="145"/>
      <c r="C88" s="90"/>
      <c r="D88" s="147"/>
      <c r="E88" s="355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ht="15.75" customHeight="1">
      <c r="A89" s="90"/>
      <c r="B89" s="145"/>
      <c r="C89" s="90"/>
      <c r="D89" s="147"/>
      <c r="E89" s="355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ht="15.75" customHeight="1">
      <c r="A90" s="90"/>
      <c r="B90" s="145"/>
      <c r="C90" s="90"/>
      <c r="D90" s="147"/>
      <c r="E90" s="355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ht="15.75" customHeight="1">
      <c r="A91" s="90"/>
      <c r="B91" s="145"/>
      <c r="C91" s="90"/>
      <c r="D91" s="147"/>
      <c r="E91" s="355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ht="15.75" customHeight="1">
      <c r="A92" s="90"/>
      <c r="B92" s="145"/>
      <c r="C92" s="90"/>
      <c r="D92" s="147"/>
      <c r="E92" s="355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ht="15.75" customHeight="1">
      <c r="A93" s="90"/>
      <c r="B93" s="145"/>
      <c r="C93" s="90"/>
      <c r="D93" s="147"/>
      <c r="E93" s="355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ht="15.75" customHeight="1">
      <c r="A94" s="90"/>
      <c r="B94" s="145"/>
      <c r="C94" s="90"/>
      <c r="D94" s="147"/>
      <c r="E94" s="355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ht="15.75" customHeight="1">
      <c r="A95" s="90"/>
      <c r="B95" s="145"/>
      <c r="C95" s="90"/>
      <c r="D95" s="147"/>
      <c r="E95" s="355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ht="15.75" customHeight="1">
      <c r="A96" s="90"/>
      <c r="B96" s="145"/>
      <c r="C96" s="90"/>
      <c r="D96" s="147"/>
      <c r="E96" s="355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ht="15.75" customHeight="1">
      <c r="A97" s="90"/>
      <c r="B97" s="145"/>
      <c r="C97" s="90"/>
      <c r="D97" s="147"/>
      <c r="E97" s="355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ht="15.75" customHeight="1">
      <c r="A98" s="90"/>
      <c r="B98" s="145"/>
      <c r="C98" s="90"/>
      <c r="D98" s="147"/>
      <c r="E98" s="355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ht="15.75" customHeight="1">
      <c r="A99" s="90"/>
      <c r="B99" s="145"/>
      <c r="C99" s="90"/>
      <c r="D99" s="147"/>
      <c r="E99" s="355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ht="15.75" customHeight="1">
      <c r="A100" s="90"/>
      <c r="B100" s="145"/>
      <c r="C100" s="90"/>
      <c r="D100" s="147"/>
      <c r="E100" s="355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ht="9.75" customHeight="1">
      <c r="A101" s="149"/>
      <c r="B101" s="151"/>
      <c r="C101" s="149"/>
      <c r="D101" s="153"/>
      <c r="E101" s="356"/>
      <c r="F101" s="149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ht="15.75" customHeight="1">
      <c r="A102" s="90"/>
      <c r="B102" s="145"/>
      <c r="C102" s="90"/>
      <c r="D102" s="147"/>
      <c r="E102" s="355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ht="15.75" customHeight="1">
      <c r="A103" s="90"/>
      <c r="B103" s="145"/>
      <c r="C103" s="90"/>
      <c r="D103" s="147"/>
      <c r="E103" s="355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ht="15.75" customHeight="1">
      <c r="A104" s="90"/>
      <c r="B104" s="145"/>
      <c r="C104" s="90"/>
      <c r="D104" s="147"/>
      <c r="E104" s="355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ht="15.75" customHeight="1">
      <c r="A105" s="90"/>
      <c r="B105" s="145"/>
      <c r="C105" s="90"/>
      <c r="D105" s="147"/>
      <c r="E105" s="355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ht="15.75" customHeight="1">
      <c r="A106" s="90"/>
      <c r="B106" s="145"/>
      <c r="C106" s="90"/>
      <c r="D106" s="147"/>
      <c r="E106" s="355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ht="15.75" customHeight="1">
      <c r="A107" s="90"/>
      <c r="B107" s="145"/>
      <c r="C107" s="90"/>
      <c r="D107" s="147"/>
      <c r="E107" s="355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ht="15.75" customHeight="1">
      <c r="A108" s="90"/>
      <c r="B108" s="145"/>
      <c r="C108" s="90"/>
      <c r="D108" s="147"/>
      <c r="E108" s="355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ht="15.75" customHeight="1">
      <c r="A109" s="90"/>
      <c r="B109" s="145"/>
      <c r="C109" s="90"/>
      <c r="D109" s="147"/>
      <c r="E109" s="355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ht="15.75" customHeight="1">
      <c r="A110" s="90"/>
      <c r="B110" s="145"/>
      <c r="C110" s="90"/>
      <c r="D110" s="147"/>
      <c r="E110" s="355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ht="15.75" customHeight="1">
      <c r="A111" s="90"/>
      <c r="B111" s="145"/>
      <c r="C111" s="90"/>
      <c r="D111" s="147"/>
      <c r="E111" s="355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ht="15.75" customHeight="1">
      <c r="A112" s="90"/>
      <c r="B112" s="145"/>
      <c r="C112" s="90"/>
      <c r="D112" s="147"/>
      <c r="E112" s="355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ht="15.75" customHeight="1">
      <c r="A113" s="90"/>
      <c r="B113" s="145"/>
      <c r="C113" s="90"/>
      <c r="D113" s="147"/>
      <c r="E113" s="355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ht="15.75" customHeight="1">
      <c r="A114" s="90"/>
      <c r="B114" s="145"/>
      <c r="C114" s="90"/>
      <c r="D114" s="147"/>
      <c r="E114" s="355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ht="15.75" customHeight="1">
      <c r="A115" s="90"/>
      <c r="B115" s="145"/>
      <c r="C115" s="90"/>
      <c r="D115" s="147"/>
      <c r="E115" s="355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ht="15.75" customHeight="1">
      <c r="A116" s="90"/>
      <c r="B116" s="145"/>
      <c r="C116" s="90"/>
      <c r="D116" s="147"/>
      <c r="E116" s="355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ht="15.75" customHeight="1">
      <c r="A117" s="90"/>
      <c r="B117" s="145"/>
      <c r="C117" s="90"/>
      <c r="D117" s="147"/>
      <c r="E117" s="355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ht="15.75" customHeight="1">
      <c r="A118" s="90"/>
      <c r="B118" s="145"/>
      <c r="C118" s="90"/>
      <c r="D118" s="147"/>
      <c r="E118" s="355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ht="15.75" customHeight="1">
      <c r="A119" s="90"/>
      <c r="B119" s="145"/>
      <c r="C119" s="90"/>
      <c r="D119" s="147"/>
      <c r="E119" s="355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ht="15.75" customHeight="1">
      <c r="A120" s="90"/>
      <c r="B120" s="145"/>
      <c r="C120" s="90"/>
      <c r="D120" s="147"/>
      <c r="E120" s="355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ht="15.75" customHeight="1">
      <c r="A121" s="90"/>
      <c r="B121" s="145"/>
      <c r="C121" s="90"/>
      <c r="D121" s="147"/>
      <c r="E121" s="355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ht="15.75" customHeight="1">
      <c r="A122" s="90"/>
      <c r="B122" s="145"/>
      <c r="C122" s="90"/>
      <c r="D122" s="147"/>
      <c r="E122" s="355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ht="15.75" customHeight="1">
      <c r="A123" s="90"/>
      <c r="B123" s="145"/>
      <c r="C123" s="90"/>
      <c r="D123" s="147"/>
      <c r="E123" s="355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ht="15.75" customHeight="1">
      <c r="A124" s="90"/>
      <c r="B124" s="145"/>
      <c r="C124" s="90"/>
      <c r="D124" s="147"/>
      <c r="E124" s="355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ht="15.75" customHeight="1">
      <c r="A125" s="90"/>
      <c r="B125" s="145"/>
      <c r="C125" s="90"/>
      <c r="D125" s="147"/>
      <c r="E125" s="355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ht="15.75" customHeight="1">
      <c r="A126" s="90"/>
      <c r="B126" s="145"/>
      <c r="C126" s="90"/>
      <c r="D126" s="147"/>
      <c r="E126" s="355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ht="15.75" customHeight="1">
      <c r="A127" s="90"/>
      <c r="B127" s="145"/>
      <c r="C127" s="90"/>
      <c r="D127" s="147"/>
      <c r="E127" s="355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ht="15.75" customHeight="1">
      <c r="A128" s="90"/>
      <c r="B128" s="145"/>
      <c r="C128" s="90"/>
      <c r="D128" s="147"/>
      <c r="E128" s="355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ht="15.75" customHeight="1">
      <c r="A129" s="90"/>
      <c r="B129" s="145"/>
      <c r="C129" s="90"/>
      <c r="D129" s="147"/>
      <c r="E129" s="355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ht="15.75" customHeight="1">
      <c r="A130" s="90"/>
      <c r="B130" s="145"/>
      <c r="C130" s="90"/>
      <c r="D130" s="147"/>
      <c r="E130" s="355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ht="15.75" customHeight="1">
      <c r="A131" s="90"/>
      <c r="B131" s="145"/>
      <c r="C131" s="90"/>
      <c r="D131" s="147"/>
      <c r="E131" s="355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ht="15.75" customHeight="1">
      <c r="A132" s="90"/>
      <c r="B132" s="145"/>
      <c r="C132" s="90"/>
      <c r="D132" s="147"/>
      <c r="E132" s="355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ht="15.75" customHeight="1">
      <c r="A133" s="90"/>
      <c r="B133" s="145"/>
      <c r="C133" s="90"/>
      <c r="D133" s="147"/>
      <c r="E133" s="355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ht="15.75" customHeight="1">
      <c r="A134" s="90"/>
      <c r="B134" s="145"/>
      <c r="C134" s="90"/>
      <c r="D134" s="147"/>
      <c r="E134" s="355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ht="15.75" customHeight="1">
      <c r="A135" s="90"/>
      <c r="B135" s="145"/>
      <c r="C135" s="90"/>
      <c r="D135" s="147"/>
      <c r="E135" s="355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ht="15.75" customHeight="1">
      <c r="A136" s="90"/>
      <c r="B136" s="145"/>
      <c r="C136" s="90"/>
      <c r="D136" s="147"/>
      <c r="E136" s="355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ht="15.75" customHeight="1">
      <c r="A137" s="90"/>
      <c r="B137" s="145"/>
      <c r="C137" s="90"/>
      <c r="D137" s="147"/>
      <c r="E137" s="355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ht="15.75" customHeight="1">
      <c r="A138" s="90"/>
      <c r="B138" s="145"/>
      <c r="C138" s="90"/>
      <c r="D138" s="147"/>
      <c r="E138" s="355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ht="15.75" customHeight="1">
      <c r="A139" s="90"/>
      <c r="B139" s="145"/>
      <c r="C139" s="90"/>
      <c r="D139" s="147"/>
      <c r="E139" s="355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ht="15.75" customHeight="1">
      <c r="A140" s="90"/>
      <c r="B140" s="145"/>
      <c r="C140" s="90"/>
      <c r="D140" s="147"/>
      <c r="E140" s="355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ht="15.75" customHeight="1">
      <c r="A141" s="90"/>
      <c r="B141" s="145"/>
      <c r="C141" s="90"/>
      <c r="D141" s="147"/>
      <c r="E141" s="355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ht="15.75" customHeight="1">
      <c r="A142" s="90"/>
      <c r="B142" s="145"/>
      <c r="C142" s="90"/>
      <c r="D142" s="147"/>
      <c r="E142" s="355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ht="15.75" customHeight="1">
      <c r="A143" s="90"/>
      <c r="B143" s="145"/>
      <c r="C143" s="90"/>
      <c r="D143" s="147"/>
      <c r="E143" s="355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ht="15.75" customHeight="1">
      <c r="A144" s="90"/>
      <c r="B144" s="145"/>
      <c r="C144" s="90"/>
      <c r="D144" s="147"/>
      <c r="E144" s="355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ht="15.75" customHeight="1">
      <c r="A145" s="90"/>
      <c r="B145" s="145"/>
      <c r="C145" s="90"/>
      <c r="D145" s="147"/>
      <c r="E145" s="355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ht="15.75" customHeight="1">
      <c r="A146" s="90"/>
      <c r="B146" s="145"/>
      <c r="C146" s="90"/>
      <c r="D146" s="147"/>
      <c r="E146" s="355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ht="15.75" customHeight="1">
      <c r="A147" s="90"/>
      <c r="B147" s="145"/>
      <c r="C147" s="90"/>
      <c r="D147" s="147"/>
      <c r="E147" s="355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ht="15.75" customHeight="1">
      <c r="A148" s="90"/>
      <c r="B148" s="145"/>
      <c r="C148" s="90"/>
      <c r="D148" s="147"/>
      <c r="E148" s="355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ht="15.75" customHeight="1">
      <c r="A149" s="90"/>
      <c r="B149" s="145"/>
      <c r="C149" s="90"/>
      <c r="D149" s="147"/>
      <c r="E149" s="355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ht="15.75" customHeight="1">
      <c r="A150" s="90"/>
      <c r="B150" s="145"/>
      <c r="C150" s="90"/>
      <c r="D150" s="147"/>
      <c r="E150" s="355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ht="15.75" customHeight="1">
      <c r="A151" s="90"/>
      <c r="B151" s="145"/>
      <c r="C151" s="90"/>
      <c r="D151" s="147"/>
      <c r="E151" s="355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ht="15.75" customHeight="1">
      <c r="A152" s="90"/>
      <c r="B152" s="145"/>
      <c r="C152" s="90"/>
      <c r="D152" s="147"/>
      <c r="E152" s="355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ht="15.75" customHeight="1">
      <c r="A153" s="90"/>
      <c r="B153" s="145"/>
      <c r="C153" s="90"/>
      <c r="D153" s="147"/>
      <c r="E153" s="355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ht="15.75" customHeight="1">
      <c r="A154" s="90"/>
      <c r="B154" s="145"/>
      <c r="C154" s="90"/>
      <c r="D154" s="147"/>
      <c r="E154" s="355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ht="15.75" customHeight="1">
      <c r="A155" s="90"/>
      <c r="B155" s="145"/>
      <c r="C155" s="90"/>
      <c r="D155" s="147"/>
      <c r="E155" s="355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ht="15.75" customHeight="1">
      <c r="A156" s="90"/>
      <c r="B156" s="145"/>
      <c r="C156" s="90"/>
      <c r="D156" s="147"/>
      <c r="E156" s="355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ht="15.75" customHeight="1">
      <c r="A157" s="90"/>
      <c r="B157" s="145"/>
      <c r="C157" s="90"/>
      <c r="D157" s="147"/>
      <c r="E157" s="355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ht="15.75" customHeight="1">
      <c r="A158" s="90"/>
      <c r="B158" s="145"/>
      <c r="C158" s="90"/>
      <c r="D158" s="147"/>
      <c r="E158" s="355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ht="15.75" customHeight="1">
      <c r="A159" s="90"/>
      <c r="B159" s="145"/>
      <c r="C159" s="90"/>
      <c r="D159" s="147"/>
      <c r="E159" s="355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ht="15.75" customHeight="1">
      <c r="A160" s="90"/>
      <c r="B160" s="145"/>
      <c r="C160" s="90"/>
      <c r="D160" s="147"/>
      <c r="E160" s="355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ht="15.75" customHeight="1">
      <c r="A161" s="90"/>
      <c r="B161" s="145"/>
      <c r="C161" s="90"/>
      <c r="D161" s="147"/>
      <c r="E161" s="355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ht="15.75" customHeight="1">
      <c r="A162" s="90"/>
      <c r="B162" s="145"/>
      <c r="C162" s="90"/>
      <c r="D162" s="147"/>
      <c r="E162" s="355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ht="15.75" customHeight="1">
      <c r="A163" s="90"/>
      <c r="B163" s="145"/>
      <c r="C163" s="90"/>
      <c r="D163" s="147"/>
      <c r="E163" s="355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ht="15.75" customHeight="1">
      <c r="A164" s="90"/>
      <c r="B164" s="145"/>
      <c r="C164" s="90"/>
      <c r="D164" s="147"/>
      <c r="E164" s="355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ht="15.75" customHeight="1">
      <c r="A165" s="90"/>
      <c r="B165" s="145"/>
      <c r="C165" s="90"/>
      <c r="D165" s="147"/>
      <c r="E165" s="355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ht="15.75" customHeight="1">
      <c r="A166" s="90"/>
      <c r="B166" s="145"/>
      <c r="C166" s="90"/>
      <c r="D166" s="147"/>
      <c r="E166" s="355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ht="15.75" customHeight="1">
      <c r="A167" s="90"/>
      <c r="B167" s="145"/>
      <c r="C167" s="90"/>
      <c r="D167" s="147"/>
      <c r="E167" s="355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ht="15.75" customHeight="1">
      <c r="A168" s="90"/>
      <c r="B168" s="145"/>
      <c r="C168" s="90"/>
      <c r="D168" s="147"/>
      <c r="E168" s="355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ht="15.75" customHeight="1">
      <c r="A169" s="90"/>
      <c r="B169" s="145"/>
      <c r="C169" s="90"/>
      <c r="D169" s="147"/>
      <c r="E169" s="355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ht="15.75" customHeight="1">
      <c r="A170" s="90"/>
      <c r="B170" s="145"/>
      <c r="C170" s="90"/>
      <c r="D170" s="147"/>
      <c r="E170" s="355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ht="15.75" customHeight="1">
      <c r="A171" s="90"/>
      <c r="B171" s="145"/>
      <c r="C171" s="90"/>
      <c r="D171" s="147"/>
      <c r="E171" s="355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ht="15.75" customHeight="1">
      <c r="A172" s="90"/>
      <c r="B172" s="145"/>
      <c r="C172" s="90"/>
      <c r="D172" s="147"/>
      <c r="E172" s="355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ht="15.75" customHeight="1">
      <c r="A173" s="90"/>
      <c r="B173" s="145"/>
      <c r="C173" s="90"/>
      <c r="D173" s="147"/>
      <c r="E173" s="355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ht="15.75" customHeight="1">
      <c r="A174" s="90"/>
      <c r="B174" s="145"/>
      <c r="C174" s="90"/>
      <c r="D174" s="147"/>
      <c r="E174" s="355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ht="15.75" customHeight="1">
      <c r="A175" s="90"/>
      <c r="B175" s="145"/>
      <c r="C175" s="90"/>
      <c r="D175" s="147"/>
      <c r="E175" s="355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ht="15.75" customHeight="1">
      <c r="A176" s="90"/>
      <c r="B176" s="145"/>
      <c r="C176" s="90"/>
      <c r="D176" s="147"/>
      <c r="E176" s="355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ht="15.75" customHeight="1">
      <c r="A177" s="90"/>
      <c r="B177" s="145"/>
      <c r="C177" s="90"/>
      <c r="D177" s="147"/>
      <c r="E177" s="355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ht="15.75" customHeight="1">
      <c r="A178" s="90"/>
      <c r="B178" s="145"/>
      <c r="C178" s="90"/>
      <c r="D178" s="147"/>
      <c r="E178" s="355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ht="15.75" customHeight="1">
      <c r="A179" s="90"/>
      <c r="B179" s="145"/>
      <c r="C179" s="90"/>
      <c r="D179" s="147"/>
      <c r="E179" s="355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ht="15.75" customHeight="1">
      <c r="A180" s="90"/>
      <c r="B180" s="145"/>
      <c r="C180" s="90"/>
      <c r="D180" s="147"/>
      <c r="E180" s="355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ht="15.75" customHeight="1">
      <c r="A181" s="90"/>
      <c r="B181" s="145"/>
      <c r="C181" s="90"/>
      <c r="D181" s="147"/>
      <c r="E181" s="355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ht="15.75" customHeight="1">
      <c r="A182" s="90"/>
      <c r="B182" s="145"/>
      <c r="C182" s="90"/>
      <c r="D182" s="147"/>
      <c r="E182" s="355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ht="15.75" customHeight="1">
      <c r="A183" s="90"/>
      <c r="B183" s="145"/>
      <c r="C183" s="90"/>
      <c r="D183" s="147"/>
      <c r="E183" s="355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ht="15.75" customHeight="1">
      <c r="A184" s="90"/>
      <c r="B184" s="145"/>
      <c r="C184" s="90"/>
      <c r="D184" s="147"/>
      <c r="E184" s="355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ht="15.75" customHeight="1">
      <c r="A185" s="90"/>
      <c r="B185" s="145"/>
      <c r="C185" s="90"/>
      <c r="D185" s="147"/>
      <c r="E185" s="355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ht="15.75" customHeight="1">
      <c r="A186" s="90"/>
      <c r="B186" s="145"/>
      <c r="C186" s="90"/>
      <c r="D186" s="147"/>
      <c r="E186" s="355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ht="15.75" customHeight="1">
      <c r="A187" s="90"/>
      <c r="B187" s="145"/>
      <c r="C187" s="90"/>
      <c r="D187" s="147"/>
      <c r="E187" s="355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ht="15.75" customHeight="1">
      <c r="A188" s="90"/>
      <c r="B188" s="145"/>
      <c r="C188" s="90"/>
      <c r="D188" s="147"/>
      <c r="E188" s="355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ht="15.75" customHeight="1">
      <c r="A189" s="90"/>
      <c r="B189" s="145"/>
      <c r="C189" s="90"/>
      <c r="D189" s="147"/>
      <c r="E189" s="355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ht="15.75" customHeight="1">
      <c r="A190" s="90"/>
      <c r="B190" s="145"/>
      <c r="C190" s="90"/>
      <c r="D190" s="147"/>
      <c r="E190" s="355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ht="15.75" customHeight="1">
      <c r="A191" s="90"/>
      <c r="B191" s="145"/>
      <c r="C191" s="90"/>
      <c r="D191" s="147"/>
      <c r="E191" s="355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ht="15.75" customHeight="1">
      <c r="A192" s="90"/>
      <c r="B192" s="145"/>
      <c r="C192" s="90"/>
      <c r="D192" s="147"/>
      <c r="E192" s="355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ht="15.75" customHeight="1">
      <c r="A193" s="90"/>
      <c r="B193" s="145"/>
      <c r="C193" s="90"/>
      <c r="D193" s="147"/>
      <c r="E193" s="355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ht="15.75" customHeight="1">
      <c r="A194" s="90"/>
      <c r="B194" s="145"/>
      <c r="C194" s="90"/>
      <c r="D194" s="147"/>
      <c r="E194" s="355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ht="15.75" customHeight="1">
      <c r="A195" s="90"/>
      <c r="B195" s="145"/>
      <c r="C195" s="90"/>
      <c r="D195" s="147"/>
      <c r="E195" s="355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ht="15.75" customHeight="1">
      <c r="A196" s="90"/>
      <c r="B196" s="145"/>
      <c r="C196" s="90"/>
      <c r="D196" s="147"/>
      <c r="E196" s="355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ht="15.75" customHeight="1">
      <c r="A197" s="90"/>
      <c r="B197" s="145"/>
      <c r="C197" s="90"/>
      <c r="D197" s="147"/>
      <c r="E197" s="355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ht="15.75" customHeight="1">
      <c r="A198" s="90"/>
      <c r="B198" s="145"/>
      <c r="C198" s="90"/>
      <c r="D198" s="147"/>
      <c r="E198" s="355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ht="15.75" customHeight="1">
      <c r="A199" s="90"/>
      <c r="B199" s="145"/>
      <c r="C199" s="90"/>
      <c r="D199" s="147"/>
      <c r="E199" s="355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ht="15.75" customHeight="1">
      <c r="A200" s="90"/>
      <c r="B200" s="145"/>
      <c r="C200" s="90"/>
      <c r="D200" s="147"/>
      <c r="E200" s="355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ht="15.75" customHeight="1">
      <c r="A201" s="90"/>
      <c r="B201" s="145"/>
      <c r="C201" s="90"/>
      <c r="D201" s="147"/>
      <c r="E201" s="355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ht="15.75" customHeight="1">
      <c r="A202" s="90"/>
      <c r="B202" s="145"/>
      <c r="C202" s="90"/>
      <c r="D202" s="147"/>
      <c r="E202" s="355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ht="15.75" customHeight="1">
      <c r="A203" s="90"/>
      <c r="B203" s="145"/>
      <c r="C203" s="90"/>
      <c r="D203" s="147"/>
      <c r="E203" s="355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ht="15.75" customHeight="1">
      <c r="A204" s="90"/>
      <c r="B204" s="145"/>
      <c r="C204" s="90"/>
      <c r="D204" s="147"/>
      <c r="E204" s="355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ht="15.75" customHeight="1">
      <c r="A205" s="90"/>
      <c r="B205" s="145"/>
      <c r="C205" s="90"/>
      <c r="D205" s="147"/>
      <c r="E205" s="355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ht="15.75" customHeight="1">
      <c r="A206" s="90"/>
      <c r="B206" s="145"/>
      <c r="C206" s="90"/>
      <c r="D206" s="147"/>
      <c r="E206" s="355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ht="15.75" customHeight="1">
      <c r="A207" s="90"/>
      <c r="B207" s="145"/>
      <c r="C207" s="90"/>
      <c r="D207" s="147"/>
      <c r="E207" s="355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ht="15.75" customHeight="1">
      <c r="A208" s="90"/>
      <c r="B208" s="145"/>
      <c r="C208" s="90"/>
      <c r="D208" s="147"/>
      <c r="E208" s="355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ht="15.75" customHeight="1">
      <c r="A209" s="90"/>
      <c r="B209" s="145"/>
      <c r="C209" s="90"/>
      <c r="D209" s="147"/>
      <c r="E209" s="355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ht="15.75" customHeight="1">
      <c r="A210" s="90"/>
      <c r="B210" s="145"/>
      <c r="C210" s="90"/>
      <c r="D210" s="147"/>
      <c r="E210" s="355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ht="15.75" customHeight="1">
      <c r="A211" s="90"/>
      <c r="B211" s="145"/>
      <c r="C211" s="90"/>
      <c r="D211" s="147"/>
      <c r="E211" s="355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ht="15.75" customHeight="1">
      <c r="A212" s="90"/>
      <c r="B212" s="145"/>
      <c r="C212" s="90"/>
      <c r="D212" s="147"/>
      <c r="E212" s="355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ht="15.75" customHeight="1">
      <c r="A213" s="90"/>
      <c r="B213" s="145"/>
      <c r="C213" s="90"/>
      <c r="D213" s="147"/>
      <c r="E213" s="355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ht="15.75" customHeight="1">
      <c r="A214" s="90"/>
      <c r="B214" s="145"/>
      <c r="C214" s="90"/>
      <c r="D214" s="147"/>
      <c r="E214" s="355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ht="15.75" customHeight="1">
      <c r="A215" s="90"/>
      <c r="B215" s="145"/>
      <c r="C215" s="90"/>
      <c r="D215" s="147"/>
      <c r="E215" s="355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ht="15.75" customHeight="1">
      <c r="A216" s="90"/>
      <c r="B216" s="145"/>
      <c r="C216" s="90"/>
      <c r="D216" s="147"/>
      <c r="E216" s="355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ht="15.75" customHeight="1">
      <c r="A217" s="90"/>
      <c r="B217" s="145"/>
      <c r="C217" s="90"/>
      <c r="D217" s="147"/>
      <c r="E217" s="355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ht="15.75" customHeight="1">
      <c r="A218" s="90"/>
      <c r="B218" s="145"/>
      <c r="C218" s="90"/>
      <c r="D218" s="147"/>
      <c r="E218" s="355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ht="15.75" customHeight="1">
      <c r="A219" s="90"/>
      <c r="B219" s="145"/>
      <c r="C219" s="90"/>
      <c r="D219" s="147"/>
      <c r="E219" s="355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ht="15.75" customHeight="1">
      <c r="A220" s="90"/>
      <c r="B220" s="145"/>
      <c r="C220" s="90"/>
      <c r="D220" s="147"/>
      <c r="E220" s="355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ht="15.75" customHeight="1">
      <c r="A221" s="90"/>
      <c r="B221" s="145"/>
      <c r="C221" s="90"/>
      <c r="D221" s="147"/>
      <c r="E221" s="355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ht="15.75" customHeight="1">
      <c r="A222" s="90"/>
      <c r="B222" s="145"/>
      <c r="C222" s="90"/>
      <c r="D222" s="147"/>
      <c r="E222" s="355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ht="15.75" customHeight="1">
      <c r="A223" s="90"/>
      <c r="B223" s="145"/>
      <c r="C223" s="90"/>
      <c r="D223" s="147"/>
      <c r="E223" s="355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ht="15.75" customHeight="1">
      <c r="A224" s="90"/>
      <c r="B224" s="145"/>
      <c r="C224" s="90"/>
      <c r="D224" s="147"/>
      <c r="E224" s="355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ht="15.75" customHeight="1">
      <c r="A225" s="90"/>
      <c r="B225" s="145"/>
      <c r="C225" s="90"/>
      <c r="D225" s="147"/>
      <c r="E225" s="355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ht="15.75" customHeight="1">
      <c r="A226" s="90"/>
      <c r="B226" s="145"/>
      <c r="C226" s="90"/>
      <c r="D226" s="147"/>
      <c r="E226" s="355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ht="15.75" customHeight="1">
      <c r="A227" s="90"/>
      <c r="B227" s="145"/>
      <c r="C227" s="90"/>
      <c r="D227" s="147"/>
      <c r="E227" s="355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ht="15.75" customHeight="1">
      <c r="A228" s="90"/>
      <c r="B228" s="145"/>
      <c r="C228" s="90"/>
      <c r="D228" s="147"/>
      <c r="E228" s="355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ht="15.75" customHeight="1">
      <c r="A229" s="90"/>
      <c r="B229" s="145"/>
      <c r="C229" s="90"/>
      <c r="D229" s="147"/>
      <c r="E229" s="355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ht="15.75" customHeight="1">
      <c r="A230" s="90"/>
      <c r="B230" s="145"/>
      <c r="C230" s="90"/>
      <c r="D230" s="147"/>
      <c r="E230" s="355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ht="15.75" customHeight="1">
      <c r="A231" s="90"/>
      <c r="B231" s="145"/>
      <c r="C231" s="90"/>
      <c r="D231" s="147"/>
      <c r="E231" s="355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ht="15.75" customHeight="1">
      <c r="A232" s="90"/>
      <c r="B232" s="145"/>
      <c r="C232" s="90"/>
      <c r="D232" s="147"/>
      <c r="E232" s="355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ht="15.75" customHeight="1">
      <c r="A233" s="90"/>
      <c r="B233" s="145"/>
      <c r="C233" s="90"/>
      <c r="D233" s="147"/>
      <c r="E233" s="355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ht="15.75" customHeight="1">
      <c r="A234" s="90"/>
      <c r="B234" s="145"/>
      <c r="C234" s="90"/>
      <c r="D234" s="147"/>
      <c r="E234" s="355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ht="15.75" customHeight="1">
      <c r="A235" s="90"/>
      <c r="B235" s="145"/>
      <c r="C235" s="90"/>
      <c r="D235" s="147"/>
      <c r="E235" s="355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ht="15.75" customHeight="1">
      <c r="A236" s="90"/>
      <c r="B236" s="145"/>
      <c r="C236" s="90"/>
      <c r="D236" s="147"/>
      <c r="E236" s="355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ht="15.75" customHeight="1">
      <c r="A237" s="90"/>
      <c r="B237" s="145"/>
      <c r="C237" s="90"/>
      <c r="D237" s="147"/>
      <c r="E237" s="355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ht="15.75" customHeight="1">
      <c r="A238" s="90"/>
      <c r="B238" s="145"/>
      <c r="C238" s="90"/>
      <c r="D238" s="147"/>
      <c r="E238" s="355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ht="15.75" customHeight="1">
      <c r="A239" s="90"/>
      <c r="B239" s="145"/>
      <c r="C239" s="90"/>
      <c r="D239" s="147"/>
      <c r="E239" s="355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ht="15.75" customHeight="1">
      <c r="A240" s="90"/>
      <c r="B240" s="145"/>
      <c r="C240" s="90"/>
      <c r="D240" s="147"/>
      <c r="E240" s="355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ht="15.75" customHeight="1">
      <c r="A241" s="90"/>
      <c r="B241" s="145"/>
      <c r="C241" s="90"/>
      <c r="D241" s="147"/>
      <c r="E241" s="355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ht="15.75" customHeight="1">
      <c r="A242" s="90"/>
      <c r="B242" s="145"/>
      <c r="C242" s="90"/>
      <c r="D242" s="147"/>
      <c r="E242" s="355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ht="15.75" customHeight="1">
      <c r="A243" s="90"/>
      <c r="B243" s="145"/>
      <c r="C243" s="90"/>
      <c r="D243" s="147"/>
      <c r="E243" s="355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ht="15.75" customHeight="1">
      <c r="A244" s="90"/>
      <c r="B244" s="145"/>
      <c r="C244" s="90"/>
      <c r="D244" s="147"/>
      <c r="E244" s="355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 ht="15.75" customHeight="1">
      <c r="A245" s="90"/>
      <c r="B245" s="145"/>
      <c r="C245" s="90"/>
      <c r="D245" s="147"/>
      <c r="E245" s="355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 ht="15.75" customHeight="1">
      <c r="A246" s="90"/>
      <c r="B246" s="145"/>
      <c r="C246" s="90"/>
      <c r="D246" s="147"/>
      <c r="E246" s="355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 ht="15.75" customHeight="1">
      <c r="A247" s="90"/>
      <c r="B247" s="145"/>
      <c r="C247" s="90"/>
      <c r="D247" s="147"/>
      <c r="E247" s="355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 ht="15.75" customHeight="1">
      <c r="A248" s="90"/>
      <c r="B248" s="145"/>
      <c r="C248" s="90"/>
      <c r="D248" s="147"/>
      <c r="E248" s="355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 ht="15.75" customHeight="1">
      <c r="A249" s="90"/>
      <c r="B249" s="145"/>
      <c r="C249" s="90"/>
      <c r="D249" s="147"/>
      <c r="E249" s="355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 ht="15.75" customHeight="1">
      <c r="A250" s="90"/>
      <c r="B250" s="145"/>
      <c r="C250" s="90"/>
      <c r="D250" s="147"/>
      <c r="E250" s="355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 ht="15.75" customHeight="1">
      <c r="A251" s="90"/>
      <c r="B251" s="145"/>
      <c r="C251" s="90"/>
      <c r="D251" s="147"/>
      <c r="E251" s="355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 ht="15.75" customHeight="1">
      <c r="A252" s="90"/>
      <c r="B252" s="145"/>
      <c r="C252" s="90"/>
      <c r="D252" s="147"/>
      <c r="E252" s="355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 ht="15.75" customHeight="1">
      <c r="A253" s="90"/>
      <c r="B253" s="145"/>
      <c r="C253" s="90"/>
      <c r="D253" s="147"/>
      <c r="E253" s="355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 ht="15.75" customHeight="1">
      <c r="A254" s="90"/>
      <c r="B254" s="145"/>
      <c r="C254" s="90"/>
      <c r="D254" s="147"/>
      <c r="E254" s="355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 ht="15.75" customHeight="1">
      <c r="A255" s="90"/>
      <c r="B255" s="145"/>
      <c r="C255" s="90"/>
      <c r="D255" s="147"/>
      <c r="E255" s="355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 ht="15.75" customHeight="1">
      <c r="A256" s="90"/>
      <c r="B256" s="145"/>
      <c r="C256" s="90"/>
      <c r="D256" s="147"/>
      <c r="E256" s="355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 ht="15.75" customHeight="1">
      <c r="A257" s="90"/>
      <c r="B257" s="145"/>
      <c r="C257" s="90"/>
      <c r="D257" s="147"/>
      <c r="E257" s="355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 ht="15.75" customHeight="1">
      <c r="A258" s="90"/>
      <c r="B258" s="145"/>
      <c r="C258" s="90"/>
      <c r="D258" s="147"/>
      <c r="E258" s="355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 ht="15.75" customHeight="1">
      <c r="A259" s="90"/>
      <c r="B259" s="145"/>
      <c r="C259" s="90"/>
      <c r="D259" s="147"/>
      <c r="E259" s="355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 ht="15.75" customHeight="1">
      <c r="A260" s="90"/>
      <c r="B260" s="145"/>
      <c r="C260" s="90"/>
      <c r="D260" s="147"/>
      <c r="E260" s="355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 ht="15.75" customHeight="1">
      <c r="A261" s="90"/>
      <c r="B261" s="145"/>
      <c r="C261" s="90"/>
      <c r="D261" s="147"/>
      <c r="E261" s="355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 ht="15.75" customHeight="1">
      <c r="A262" s="90"/>
      <c r="B262" s="145"/>
      <c r="C262" s="90"/>
      <c r="D262" s="147"/>
      <c r="E262" s="355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 ht="15.75" customHeight="1">
      <c r="A263" s="90"/>
      <c r="B263" s="145"/>
      <c r="C263" s="90"/>
      <c r="D263" s="147"/>
      <c r="E263" s="355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 ht="15.75" customHeight="1">
      <c r="A264" s="90"/>
      <c r="B264" s="145"/>
      <c r="C264" s="90"/>
      <c r="D264" s="147"/>
      <c r="E264" s="355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 ht="15.75" customHeight="1">
      <c r="A265" s="90"/>
      <c r="B265" s="145"/>
      <c r="C265" s="90"/>
      <c r="D265" s="147"/>
      <c r="E265" s="355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 ht="15.75" customHeight="1">
      <c r="A266" s="90"/>
      <c r="B266" s="145"/>
      <c r="C266" s="90"/>
      <c r="D266" s="147"/>
      <c r="E266" s="355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 ht="15.75" customHeight="1">
      <c r="A267" s="90"/>
      <c r="B267" s="145"/>
      <c r="C267" s="90"/>
      <c r="D267" s="147"/>
      <c r="E267" s="355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 ht="15.75" customHeight="1">
      <c r="A268" s="90"/>
      <c r="B268" s="145"/>
      <c r="C268" s="90"/>
      <c r="D268" s="147"/>
      <c r="E268" s="355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 ht="15.75" customHeight="1">
      <c r="A269" s="90"/>
      <c r="B269" s="145"/>
      <c r="C269" s="90"/>
      <c r="D269" s="147"/>
      <c r="E269" s="355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 ht="15.75" customHeight="1">
      <c r="A270" s="90"/>
      <c r="B270" s="145"/>
      <c r="C270" s="90"/>
      <c r="D270" s="147"/>
      <c r="E270" s="355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 ht="15.75" customHeight="1">
      <c r="A271" s="90"/>
      <c r="B271" s="145"/>
      <c r="C271" s="90"/>
      <c r="D271" s="147"/>
      <c r="E271" s="355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 ht="15.75" customHeight="1">
      <c r="A272" s="90"/>
      <c r="B272" s="145"/>
      <c r="C272" s="90"/>
      <c r="D272" s="147"/>
      <c r="E272" s="355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 ht="15.75" customHeight="1">
      <c r="A273" s="90"/>
      <c r="B273" s="145"/>
      <c r="C273" s="90"/>
      <c r="D273" s="147"/>
      <c r="E273" s="355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 ht="15.75" customHeight="1">
      <c r="A274" s="90"/>
      <c r="B274" s="145"/>
      <c r="C274" s="90"/>
      <c r="D274" s="147"/>
      <c r="E274" s="355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 ht="15.75" customHeight="1">
      <c r="A275" s="90"/>
      <c r="B275" s="145"/>
      <c r="C275" s="90"/>
      <c r="D275" s="147"/>
      <c r="E275" s="355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 ht="15.75" customHeight="1">
      <c r="A276" s="90"/>
      <c r="B276" s="145"/>
      <c r="C276" s="90"/>
      <c r="D276" s="147"/>
      <c r="E276" s="355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 ht="15.75" customHeight="1">
      <c r="A277" s="90"/>
      <c r="B277" s="145"/>
      <c r="C277" s="90"/>
      <c r="D277" s="147"/>
      <c r="E277" s="355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 ht="15.75" customHeight="1">
      <c r="A278" s="90"/>
      <c r="B278" s="145"/>
      <c r="C278" s="90"/>
      <c r="D278" s="147"/>
      <c r="E278" s="355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 ht="15.75" customHeight="1">
      <c r="A279" s="90"/>
      <c r="B279" s="145"/>
      <c r="C279" s="90"/>
      <c r="D279" s="147"/>
      <c r="E279" s="355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 ht="15.75" customHeight="1">
      <c r="A280" s="90"/>
      <c r="B280" s="145"/>
      <c r="C280" s="90"/>
      <c r="D280" s="147"/>
      <c r="E280" s="355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 ht="15.75" customHeight="1">
      <c r="A281" s="90"/>
      <c r="B281" s="145"/>
      <c r="C281" s="90"/>
      <c r="D281" s="147"/>
      <c r="E281" s="355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 ht="15.75" customHeight="1">
      <c r="A282" s="90"/>
      <c r="B282" s="145"/>
      <c r="C282" s="90"/>
      <c r="D282" s="147"/>
      <c r="E282" s="355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</row>
    <row r="283" ht="15.75" customHeight="1">
      <c r="A283" s="90"/>
      <c r="B283" s="145"/>
      <c r="C283" s="90"/>
      <c r="D283" s="147"/>
      <c r="E283" s="355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</row>
    <row r="284" ht="15.75" customHeight="1">
      <c r="A284" s="90"/>
      <c r="B284" s="145"/>
      <c r="C284" s="90"/>
      <c r="D284" s="147"/>
      <c r="E284" s="355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</row>
    <row r="285" ht="15.75" customHeight="1">
      <c r="A285" s="90"/>
      <c r="B285" s="145"/>
      <c r="C285" s="90"/>
      <c r="D285" s="147"/>
      <c r="E285" s="355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 ht="15.75" customHeight="1">
      <c r="A286" s="90"/>
      <c r="B286" s="145"/>
      <c r="C286" s="90"/>
      <c r="D286" s="147"/>
      <c r="E286" s="355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 ht="15.75" customHeight="1">
      <c r="A287" s="90"/>
      <c r="B287" s="145"/>
      <c r="C287" s="90"/>
      <c r="D287" s="147"/>
      <c r="E287" s="355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 ht="15.75" customHeight="1">
      <c r="A288" s="90"/>
      <c r="B288" s="145"/>
      <c r="C288" s="90"/>
      <c r="D288" s="147"/>
      <c r="E288" s="355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</row>
    <row r="289" ht="15.75" customHeight="1">
      <c r="A289" s="90"/>
      <c r="B289" s="145"/>
      <c r="C289" s="90"/>
      <c r="D289" s="147"/>
      <c r="E289" s="355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</row>
    <row r="290" ht="15.75" customHeight="1">
      <c r="A290" s="90"/>
      <c r="B290" s="145"/>
      <c r="C290" s="90"/>
      <c r="D290" s="147"/>
      <c r="E290" s="355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</row>
    <row r="291" ht="15.75" customHeight="1">
      <c r="A291" s="90"/>
      <c r="B291" s="145"/>
      <c r="C291" s="90"/>
      <c r="D291" s="147"/>
      <c r="E291" s="355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</row>
    <row r="292" ht="15.75" customHeight="1">
      <c r="A292" s="90"/>
      <c r="B292" s="145"/>
      <c r="C292" s="90"/>
      <c r="D292" s="147"/>
      <c r="E292" s="355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</row>
    <row r="293" ht="15.75" customHeight="1">
      <c r="A293" s="90"/>
      <c r="B293" s="145"/>
      <c r="C293" s="90"/>
      <c r="D293" s="147"/>
      <c r="E293" s="355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 ht="15.75" customHeight="1">
      <c r="A294" s="90"/>
      <c r="B294" s="145"/>
      <c r="C294" s="90"/>
      <c r="D294" s="147"/>
      <c r="E294" s="355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 ht="15.75" customHeight="1">
      <c r="A295" s="90"/>
      <c r="B295" s="145"/>
      <c r="C295" s="90"/>
      <c r="D295" s="147"/>
      <c r="E295" s="355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</row>
    <row r="296" ht="15.75" customHeight="1">
      <c r="A296" s="90"/>
      <c r="B296" s="145"/>
      <c r="C296" s="90"/>
      <c r="D296" s="147"/>
      <c r="E296" s="355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 ht="15.75" customHeight="1">
      <c r="A297" s="90"/>
      <c r="B297" s="145"/>
      <c r="C297" s="90"/>
      <c r="D297" s="147"/>
      <c r="E297" s="355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</row>
    <row r="298" ht="15.75" customHeight="1">
      <c r="A298" s="90"/>
      <c r="B298" s="145"/>
      <c r="C298" s="90"/>
      <c r="D298" s="147"/>
      <c r="E298" s="355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</row>
    <row r="299" ht="15.75" customHeight="1">
      <c r="A299" s="90"/>
      <c r="B299" s="145"/>
      <c r="C299" s="90"/>
      <c r="D299" s="147"/>
      <c r="E299" s="355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</row>
    <row r="300" ht="15.75" customHeight="1">
      <c r="A300" s="90"/>
      <c r="B300" s="145"/>
      <c r="C300" s="90"/>
      <c r="D300" s="147"/>
      <c r="E300" s="355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</row>
    <row r="301" ht="15.75" customHeight="1">
      <c r="A301" s="90"/>
      <c r="B301" s="145"/>
      <c r="C301" s="90"/>
      <c r="D301" s="147"/>
      <c r="E301" s="355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</row>
    <row r="302" ht="15.75" customHeight="1">
      <c r="A302" s="90"/>
      <c r="B302" s="145"/>
      <c r="C302" s="90"/>
      <c r="D302" s="147"/>
      <c r="E302" s="355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 ht="15.75" customHeight="1">
      <c r="A303" s="90"/>
      <c r="B303" s="145"/>
      <c r="C303" s="90"/>
      <c r="D303" s="147"/>
      <c r="E303" s="355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 ht="15.75" customHeight="1">
      <c r="A304" s="90"/>
      <c r="B304" s="145"/>
      <c r="C304" s="90"/>
      <c r="D304" s="147"/>
      <c r="E304" s="355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</row>
    <row r="305" ht="15.75" customHeight="1">
      <c r="A305" s="90"/>
      <c r="B305" s="145"/>
      <c r="C305" s="90"/>
      <c r="D305" s="147"/>
      <c r="E305" s="355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</row>
    <row r="306" ht="15.75" customHeight="1">
      <c r="A306" s="90"/>
      <c r="B306" s="145"/>
      <c r="C306" s="90"/>
      <c r="D306" s="147"/>
      <c r="E306" s="355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</row>
    <row r="307" ht="15.75" customHeight="1">
      <c r="A307" s="90"/>
      <c r="B307" s="145"/>
      <c r="C307" s="90"/>
      <c r="D307" s="147"/>
      <c r="E307" s="355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</row>
    <row r="308" ht="15.75" customHeight="1">
      <c r="A308" s="90"/>
      <c r="B308" s="145"/>
      <c r="C308" s="90"/>
      <c r="D308" s="147"/>
      <c r="E308" s="355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</row>
    <row r="309" ht="15.75" customHeight="1">
      <c r="A309" s="90"/>
      <c r="B309" s="145"/>
      <c r="C309" s="90"/>
      <c r="D309" s="147"/>
      <c r="E309" s="355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 ht="15.75" customHeight="1">
      <c r="A310" s="90"/>
      <c r="B310" s="145"/>
      <c r="C310" s="90"/>
      <c r="D310" s="147"/>
      <c r="E310" s="355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</row>
    <row r="311" ht="15.75" customHeight="1">
      <c r="A311" s="90"/>
      <c r="B311" s="145"/>
      <c r="C311" s="90"/>
      <c r="D311" s="147"/>
      <c r="E311" s="355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</row>
    <row r="312" ht="15.75" customHeight="1">
      <c r="A312" s="90"/>
      <c r="B312" s="145"/>
      <c r="C312" s="90"/>
      <c r="D312" s="147"/>
      <c r="E312" s="355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</row>
    <row r="313" ht="15.75" customHeight="1">
      <c r="A313" s="90"/>
      <c r="B313" s="145"/>
      <c r="C313" s="90"/>
      <c r="D313" s="147"/>
      <c r="E313" s="355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 ht="15.75" customHeight="1">
      <c r="A314" s="90"/>
      <c r="B314" s="145"/>
      <c r="C314" s="90"/>
      <c r="D314" s="147"/>
      <c r="E314" s="355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</row>
    <row r="315" ht="15.75" customHeight="1">
      <c r="A315" s="90"/>
      <c r="B315" s="145"/>
      <c r="C315" s="90"/>
      <c r="D315" s="147"/>
      <c r="E315" s="355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</row>
    <row r="316" ht="15.75" customHeight="1">
      <c r="A316" s="90"/>
      <c r="B316" s="145"/>
      <c r="C316" s="90"/>
      <c r="D316" s="147"/>
      <c r="E316" s="355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 ht="15.75" customHeight="1">
      <c r="A317" s="90"/>
      <c r="B317" s="145"/>
      <c r="C317" s="90"/>
      <c r="D317" s="147"/>
      <c r="E317" s="355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 ht="15.75" customHeight="1">
      <c r="A318" s="90"/>
      <c r="B318" s="145"/>
      <c r="C318" s="90"/>
      <c r="D318" s="147"/>
      <c r="E318" s="355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</row>
    <row r="319" ht="15.75" customHeight="1">
      <c r="A319" s="90"/>
      <c r="B319" s="145"/>
      <c r="C319" s="90"/>
      <c r="D319" s="147"/>
      <c r="E319" s="355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</row>
    <row r="320" ht="15.75" customHeight="1">
      <c r="A320" s="90"/>
      <c r="B320" s="145"/>
      <c r="C320" s="90"/>
      <c r="D320" s="147"/>
      <c r="E320" s="355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</row>
    <row r="321" ht="15.75" customHeight="1">
      <c r="A321" s="90"/>
      <c r="B321" s="145"/>
      <c r="C321" s="90"/>
      <c r="D321" s="147"/>
      <c r="E321" s="355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</row>
    <row r="322" ht="15.75" customHeight="1">
      <c r="A322" s="90"/>
      <c r="B322" s="145"/>
      <c r="C322" s="90"/>
      <c r="D322" s="147"/>
      <c r="E322" s="355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</row>
    <row r="323" ht="15.75" customHeight="1">
      <c r="A323" s="90"/>
      <c r="B323" s="145"/>
      <c r="C323" s="90"/>
      <c r="D323" s="147"/>
      <c r="E323" s="355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</row>
    <row r="324" ht="15.75" customHeight="1">
      <c r="A324" s="90"/>
      <c r="B324" s="145"/>
      <c r="C324" s="90"/>
      <c r="D324" s="147"/>
      <c r="E324" s="355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</row>
    <row r="325" ht="15.75" customHeight="1">
      <c r="A325" s="90"/>
      <c r="B325" s="145"/>
      <c r="C325" s="90"/>
      <c r="D325" s="147"/>
      <c r="E325" s="355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 ht="15.75" customHeight="1">
      <c r="A326" s="90"/>
      <c r="B326" s="145"/>
      <c r="C326" s="90"/>
      <c r="D326" s="147"/>
      <c r="E326" s="355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</row>
    <row r="327" ht="15.75" customHeight="1">
      <c r="A327" s="90"/>
      <c r="B327" s="145"/>
      <c r="C327" s="90"/>
      <c r="D327" s="147"/>
      <c r="E327" s="355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</row>
    <row r="328" ht="15.75" customHeight="1">
      <c r="A328" s="90"/>
      <c r="B328" s="145"/>
      <c r="C328" s="90"/>
      <c r="D328" s="147"/>
      <c r="E328" s="355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 ht="15.75" customHeight="1">
      <c r="A329" s="90"/>
      <c r="B329" s="145"/>
      <c r="C329" s="90"/>
      <c r="D329" s="147"/>
      <c r="E329" s="355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 ht="15.75" customHeight="1">
      <c r="A330" s="90"/>
      <c r="B330" s="145"/>
      <c r="C330" s="90"/>
      <c r="D330" s="147"/>
      <c r="E330" s="355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</row>
    <row r="331" ht="15.75" customHeight="1">
      <c r="A331" s="90"/>
      <c r="B331" s="145"/>
      <c r="C331" s="90"/>
      <c r="D331" s="147"/>
      <c r="E331" s="355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</row>
    <row r="332" ht="15.75" customHeight="1">
      <c r="A332" s="90"/>
      <c r="B332" s="145"/>
      <c r="C332" s="90"/>
      <c r="D332" s="147"/>
      <c r="E332" s="355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</row>
    <row r="333" ht="15.75" customHeight="1">
      <c r="A333" s="90"/>
      <c r="B333" s="145"/>
      <c r="C333" s="90"/>
      <c r="D333" s="147"/>
      <c r="E333" s="355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</row>
    <row r="334" ht="15.75" customHeight="1">
      <c r="A334" s="90"/>
      <c r="B334" s="145"/>
      <c r="C334" s="90"/>
      <c r="D334" s="147"/>
      <c r="E334" s="355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</row>
    <row r="335" ht="15.75" customHeight="1">
      <c r="A335" s="90"/>
      <c r="B335" s="145"/>
      <c r="C335" s="90"/>
      <c r="D335" s="147"/>
      <c r="E335" s="355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 ht="15.75" customHeight="1">
      <c r="A336" s="90"/>
      <c r="B336" s="145"/>
      <c r="C336" s="90"/>
      <c r="D336" s="147"/>
      <c r="E336" s="355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</row>
    <row r="337" ht="15.75" customHeight="1">
      <c r="A337" s="90"/>
      <c r="B337" s="145"/>
      <c r="C337" s="90"/>
      <c r="D337" s="147"/>
      <c r="E337" s="355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</row>
    <row r="338" ht="15.75" customHeight="1">
      <c r="A338" s="90"/>
      <c r="B338" s="145"/>
      <c r="C338" s="90"/>
      <c r="D338" s="147"/>
      <c r="E338" s="355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</row>
    <row r="339" ht="15.75" customHeight="1">
      <c r="A339" s="90"/>
      <c r="B339" s="145"/>
      <c r="C339" s="90"/>
      <c r="D339" s="147"/>
      <c r="E339" s="355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</row>
    <row r="340" ht="15.75" customHeight="1">
      <c r="A340" s="90"/>
      <c r="B340" s="145"/>
      <c r="C340" s="90"/>
      <c r="D340" s="147"/>
      <c r="E340" s="355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 ht="15.75" customHeight="1">
      <c r="A341" s="90"/>
      <c r="B341" s="145"/>
      <c r="C341" s="90"/>
      <c r="D341" s="147"/>
      <c r="E341" s="355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</row>
    <row r="342" ht="15.75" customHeight="1">
      <c r="A342" s="90"/>
      <c r="B342" s="145"/>
      <c r="C342" s="90"/>
      <c r="D342" s="147"/>
      <c r="E342" s="355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</row>
    <row r="343" ht="15.75" customHeight="1">
      <c r="A343" s="90"/>
      <c r="B343" s="145"/>
      <c r="C343" s="90"/>
      <c r="D343" s="147"/>
      <c r="E343" s="355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</row>
    <row r="344" ht="15.75" customHeight="1">
      <c r="A344" s="90"/>
      <c r="B344" s="145"/>
      <c r="C344" s="90"/>
      <c r="D344" s="147"/>
      <c r="E344" s="355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</row>
    <row r="345" ht="15.75" customHeight="1">
      <c r="A345" s="90"/>
      <c r="B345" s="145"/>
      <c r="C345" s="90"/>
      <c r="D345" s="147"/>
      <c r="E345" s="355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</row>
    <row r="346" ht="15.75" customHeight="1">
      <c r="A346" s="90"/>
      <c r="B346" s="145"/>
      <c r="C346" s="90"/>
      <c r="D346" s="147"/>
      <c r="E346" s="355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 ht="15.75" customHeight="1">
      <c r="A347" s="90"/>
      <c r="B347" s="145"/>
      <c r="C347" s="90"/>
      <c r="D347" s="147"/>
      <c r="E347" s="355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 ht="15.75" customHeight="1">
      <c r="A348" s="90"/>
      <c r="B348" s="145"/>
      <c r="C348" s="90"/>
      <c r="D348" s="147"/>
      <c r="E348" s="355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 ht="15.75" customHeight="1">
      <c r="A349" s="90"/>
      <c r="B349" s="145"/>
      <c r="C349" s="90"/>
      <c r="D349" s="147"/>
      <c r="E349" s="355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 ht="15.75" customHeight="1">
      <c r="A350" s="90"/>
      <c r="B350" s="145"/>
      <c r="C350" s="90"/>
      <c r="D350" s="147"/>
      <c r="E350" s="355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 ht="15.75" customHeight="1">
      <c r="A351" s="90"/>
      <c r="B351" s="145"/>
      <c r="C351" s="90"/>
      <c r="D351" s="147"/>
      <c r="E351" s="355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 ht="15.75" customHeight="1">
      <c r="A352" s="90"/>
      <c r="B352" s="145"/>
      <c r="C352" s="90"/>
      <c r="D352" s="147"/>
      <c r="E352" s="355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 ht="15.75" customHeight="1">
      <c r="A353" s="90"/>
      <c r="B353" s="145"/>
      <c r="C353" s="90"/>
      <c r="D353" s="147"/>
      <c r="E353" s="355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</row>
    <row r="354" ht="15.75" customHeight="1">
      <c r="A354" s="90"/>
      <c r="B354" s="145"/>
      <c r="C354" s="90"/>
      <c r="D354" s="147"/>
      <c r="E354" s="355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 ht="15.75" customHeight="1">
      <c r="A355" s="90"/>
      <c r="B355" s="145"/>
      <c r="C355" s="90"/>
      <c r="D355" s="147"/>
      <c r="E355" s="355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</row>
    <row r="356" ht="15.75" customHeight="1">
      <c r="A356" s="90"/>
      <c r="B356" s="145"/>
      <c r="C356" s="90"/>
      <c r="D356" s="147"/>
      <c r="E356" s="355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</row>
    <row r="357" ht="15.75" customHeight="1">
      <c r="A357" s="90"/>
      <c r="B357" s="145"/>
      <c r="C357" s="90"/>
      <c r="D357" s="147"/>
      <c r="E357" s="355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 ht="15.75" customHeight="1">
      <c r="A358" s="90"/>
      <c r="B358" s="145"/>
      <c r="C358" s="90"/>
      <c r="D358" s="147"/>
      <c r="E358" s="355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 ht="15.75" customHeight="1">
      <c r="A359" s="90"/>
      <c r="B359" s="145"/>
      <c r="C359" s="90"/>
      <c r="D359" s="147"/>
      <c r="E359" s="355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</row>
    <row r="360" ht="15.75" customHeight="1">
      <c r="A360" s="90"/>
      <c r="B360" s="145"/>
      <c r="C360" s="90"/>
      <c r="D360" s="147"/>
      <c r="E360" s="355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</row>
    <row r="361" ht="15.75" customHeight="1">
      <c r="A361" s="90"/>
      <c r="B361" s="145"/>
      <c r="C361" s="90"/>
      <c r="D361" s="147"/>
      <c r="E361" s="355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</row>
    <row r="362" ht="15.75" customHeight="1">
      <c r="A362" s="90"/>
      <c r="B362" s="145"/>
      <c r="C362" s="90"/>
      <c r="D362" s="147"/>
      <c r="E362" s="355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 ht="15.75" customHeight="1">
      <c r="A363" s="90"/>
      <c r="B363" s="145"/>
      <c r="C363" s="90"/>
      <c r="D363" s="147"/>
      <c r="E363" s="355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</row>
    <row r="364" ht="15.75" customHeight="1">
      <c r="A364" s="90"/>
      <c r="B364" s="145"/>
      <c r="C364" s="90"/>
      <c r="D364" s="147"/>
      <c r="E364" s="355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</row>
    <row r="365" ht="15.75" customHeight="1">
      <c r="A365" s="90"/>
      <c r="B365" s="145"/>
      <c r="C365" s="90"/>
      <c r="D365" s="147"/>
      <c r="E365" s="355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</row>
    <row r="366" ht="15.75" customHeight="1">
      <c r="A366" s="90"/>
      <c r="B366" s="145"/>
      <c r="C366" s="90"/>
      <c r="D366" s="147"/>
      <c r="E366" s="355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</row>
    <row r="367" ht="15.75" customHeight="1">
      <c r="A367" s="90"/>
      <c r="B367" s="145"/>
      <c r="C367" s="90"/>
      <c r="D367" s="147"/>
      <c r="E367" s="355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 ht="15.75" customHeight="1">
      <c r="A368" s="90"/>
      <c r="B368" s="145"/>
      <c r="C368" s="90"/>
      <c r="D368" s="147"/>
      <c r="E368" s="355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</row>
    <row r="369" ht="15.75" customHeight="1">
      <c r="A369" s="90"/>
      <c r="B369" s="145"/>
      <c r="C369" s="90"/>
      <c r="D369" s="147"/>
      <c r="E369" s="355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</row>
    <row r="370" ht="15.75" customHeight="1">
      <c r="A370" s="90"/>
      <c r="B370" s="145"/>
      <c r="C370" s="90"/>
      <c r="D370" s="147"/>
      <c r="E370" s="355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</row>
    <row r="371" ht="15.75" customHeight="1">
      <c r="A371" s="90"/>
      <c r="B371" s="145"/>
      <c r="C371" s="90"/>
      <c r="D371" s="147"/>
      <c r="E371" s="355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</row>
    <row r="372" ht="15.75" customHeight="1">
      <c r="A372" s="90"/>
      <c r="B372" s="145"/>
      <c r="C372" s="90"/>
      <c r="D372" s="147"/>
      <c r="E372" s="355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</row>
    <row r="373" ht="15.75" customHeight="1">
      <c r="A373" s="90"/>
      <c r="B373" s="145"/>
      <c r="C373" s="90"/>
      <c r="D373" s="147"/>
      <c r="E373" s="355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 ht="15.75" customHeight="1">
      <c r="A374" s="90"/>
      <c r="B374" s="145"/>
      <c r="C374" s="90"/>
      <c r="D374" s="147"/>
      <c r="E374" s="355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 ht="15.75" customHeight="1">
      <c r="A375" s="90"/>
      <c r="B375" s="145"/>
      <c r="C375" s="90"/>
      <c r="D375" s="147"/>
      <c r="E375" s="355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 ht="15.75" customHeight="1">
      <c r="A376" s="90"/>
      <c r="B376" s="145"/>
      <c r="C376" s="90"/>
      <c r="D376" s="147"/>
      <c r="E376" s="355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</row>
    <row r="377" ht="15.75" customHeight="1">
      <c r="A377" s="90"/>
      <c r="B377" s="145"/>
      <c r="C377" s="90"/>
      <c r="D377" s="147"/>
      <c r="E377" s="355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</row>
    <row r="378" ht="15.75" customHeight="1">
      <c r="A378" s="90"/>
      <c r="B378" s="145"/>
      <c r="C378" s="90"/>
      <c r="D378" s="147"/>
      <c r="E378" s="355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</row>
    <row r="379" ht="15.75" customHeight="1">
      <c r="A379" s="90"/>
      <c r="B379" s="145"/>
      <c r="C379" s="90"/>
      <c r="D379" s="147"/>
      <c r="E379" s="355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</row>
    <row r="380" ht="15.75" customHeight="1">
      <c r="A380" s="90"/>
      <c r="B380" s="145"/>
      <c r="C380" s="90"/>
      <c r="D380" s="147"/>
      <c r="E380" s="355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 ht="15.75" customHeight="1">
      <c r="A381" s="90"/>
      <c r="B381" s="145"/>
      <c r="C381" s="90"/>
      <c r="D381" s="147"/>
      <c r="E381" s="355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</row>
    <row r="382" ht="15.75" customHeight="1">
      <c r="A382" s="90"/>
      <c r="B382" s="145"/>
      <c r="C382" s="90"/>
      <c r="D382" s="147"/>
      <c r="E382" s="355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</row>
    <row r="383" ht="15.75" customHeight="1">
      <c r="A383" s="90"/>
      <c r="B383" s="145"/>
      <c r="C383" s="90"/>
      <c r="D383" s="147"/>
      <c r="E383" s="355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</row>
    <row r="384" ht="15.75" customHeight="1">
      <c r="A384" s="90"/>
      <c r="B384" s="145"/>
      <c r="C384" s="90"/>
      <c r="D384" s="147"/>
      <c r="E384" s="355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</row>
    <row r="385" ht="15.75" customHeight="1">
      <c r="A385" s="90"/>
      <c r="B385" s="145"/>
      <c r="C385" s="90"/>
      <c r="D385" s="147"/>
      <c r="E385" s="355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</row>
    <row r="386" ht="15.75" customHeight="1">
      <c r="A386" s="90"/>
      <c r="B386" s="145"/>
      <c r="C386" s="90"/>
      <c r="D386" s="147"/>
      <c r="E386" s="355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</row>
    <row r="387" ht="15.75" customHeight="1">
      <c r="A387" s="90"/>
      <c r="B387" s="145"/>
      <c r="C387" s="90"/>
      <c r="D387" s="147"/>
      <c r="E387" s="355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</row>
    <row r="388" ht="15.75" customHeight="1">
      <c r="A388" s="90"/>
      <c r="B388" s="145"/>
      <c r="C388" s="90"/>
      <c r="D388" s="147"/>
      <c r="E388" s="355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</row>
    <row r="389" ht="15.75" customHeight="1">
      <c r="A389" s="90"/>
      <c r="B389" s="145"/>
      <c r="C389" s="90"/>
      <c r="D389" s="147"/>
      <c r="E389" s="355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 ht="15.75" customHeight="1">
      <c r="A390" s="90"/>
      <c r="B390" s="145"/>
      <c r="C390" s="90"/>
      <c r="D390" s="147"/>
      <c r="E390" s="355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</row>
    <row r="391" ht="15.75" customHeight="1">
      <c r="A391" s="90"/>
      <c r="B391" s="145"/>
      <c r="C391" s="90"/>
      <c r="D391" s="147"/>
      <c r="E391" s="355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</row>
    <row r="392" ht="15.75" customHeight="1">
      <c r="A392" s="90"/>
      <c r="B392" s="145"/>
      <c r="C392" s="90"/>
      <c r="D392" s="147"/>
      <c r="E392" s="355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</row>
    <row r="393" ht="15.75" customHeight="1">
      <c r="A393" s="90"/>
      <c r="B393" s="145"/>
      <c r="C393" s="90"/>
      <c r="D393" s="147"/>
      <c r="E393" s="355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</row>
    <row r="394" ht="15.75" customHeight="1">
      <c r="A394" s="90"/>
      <c r="B394" s="145"/>
      <c r="C394" s="90"/>
      <c r="D394" s="147"/>
      <c r="E394" s="355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</row>
    <row r="395" ht="15.75" customHeight="1">
      <c r="A395" s="90"/>
      <c r="B395" s="145"/>
      <c r="C395" s="90"/>
      <c r="D395" s="147"/>
      <c r="E395" s="355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</row>
    <row r="396" ht="15.75" customHeight="1">
      <c r="A396" s="90"/>
      <c r="B396" s="145"/>
      <c r="C396" s="90"/>
      <c r="D396" s="147"/>
      <c r="E396" s="355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</row>
    <row r="397" ht="15.75" customHeight="1">
      <c r="A397" s="90"/>
      <c r="B397" s="145"/>
      <c r="C397" s="90"/>
      <c r="D397" s="147"/>
      <c r="E397" s="355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</row>
    <row r="398" ht="15.75" customHeight="1">
      <c r="A398" s="90"/>
      <c r="B398" s="145"/>
      <c r="C398" s="90"/>
      <c r="D398" s="147"/>
      <c r="E398" s="355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</row>
    <row r="399" ht="15.75" customHeight="1">
      <c r="A399" s="90"/>
      <c r="B399" s="145"/>
      <c r="C399" s="90"/>
      <c r="D399" s="147"/>
      <c r="E399" s="355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 ht="15.75" customHeight="1">
      <c r="A400" s="90"/>
      <c r="B400" s="145"/>
      <c r="C400" s="90"/>
      <c r="D400" s="147"/>
      <c r="E400" s="355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</row>
    <row r="401" ht="15.75" customHeight="1">
      <c r="A401" s="90"/>
      <c r="B401" s="145"/>
      <c r="C401" s="90"/>
      <c r="D401" s="147"/>
      <c r="E401" s="355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</row>
    <row r="402" ht="15.75" customHeight="1">
      <c r="A402" s="90"/>
      <c r="B402" s="145"/>
      <c r="C402" s="90"/>
      <c r="D402" s="147"/>
      <c r="E402" s="355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 ht="15.75" customHeight="1">
      <c r="A403" s="90"/>
      <c r="B403" s="145"/>
      <c r="C403" s="90"/>
      <c r="D403" s="147"/>
      <c r="E403" s="355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</row>
    <row r="404" ht="15.75" customHeight="1">
      <c r="A404" s="90"/>
      <c r="B404" s="145"/>
      <c r="C404" s="90"/>
      <c r="D404" s="147"/>
      <c r="E404" s="355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</row>
    <row r="405" ht="15.75" customHeight="1">
      <c r="A405" s="90"/>
      <c r="B405" s="145"/>
      <c r="C405" s="90"/>
      <c r="D405" s="147"/>
      <c r="E405" s="355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</row>
    <row r="406" ht="15.75" customHeight="1">
      <c r="A406" s="90"/>
      <c r="B406" s="145"/>
      <c r="C406" s="90"/>
      <c r="D406" s="147"/>
      <c r="E406" s="355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</row>
    <row r="407" ht="15.75" customHeight="1">
      <c r="A407" s="90"/>
      <c r="B407" s="145"/>
      <c r="C407" s="90"/>
      <c r="D407" s="147"/>
      <c r="E407" s="355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 ht="15.75" customHeight="1">
      <c r="A408" s="90"/>
      <c r="B408" s="145"/>
      <c r="C408" s="90"/>
      <c r="D408" s="147"/>
      <c r="E408" s="355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 ht="15.75" customHeight="1">
      <c r="A409" s="90"/>
      <c r="B409" s="145"/>
      <c r="C409" s="90"/>
      <c r="D409" s="147"/>
      <c r="E409" s="355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</row>
    <row r="410" ht="15.75" customHeight="1">
      <c r="A410" s="90"/>
      <c r="B410" s="145"/>
      <c r="C410" s="90"/>
      <c r="D410" s="147"/>
      <c r="E410" s="355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</row>
    <row r="411" ht="15.75" customHeight="1">
      <c r="A411" s="90"/>
      <c r="B411" s="145"/>
      <c r="C411" s="90"/>
      <c r="D411" s="147"/>
      <c r="E411" s="355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</row>
    <row r="412" ht="15.75" customHeight="1">
      <c r="A412" s="90"/>
      <c r="B412" s="145"/>
      <c r="C412" s="90"/>
      <c r="D412" s="147"/>
      <c r="E412" s="355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 ht="15.75" customHeight="1">
      <c r="A413" s="90"/>
      <c r="B413" s="145"/>
      <c r="C413" s="90"/>
      <c r="D413" s="147"/>
      <c r="E413" s="355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</row>
    <row r="414" ht="15.75" customHeight="1">
      <c r="A414" s="90"/>
      <c r="B414" s="145"/>
      <c r="C414" s="90"/>
      <c r="D414" s="147"/>
      <c r="E414" s="355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</row>
    <row r="415" ht="15.75" customHeight="1">
      <c r="A415" s="90"/>
      <c r="B415" s="145"/>
      <c r="C415" s="90"/>
      <c r="D415" s="147"/>
      <c r="E415" s="355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 ht="15.75" customHeight="1">
      <c r="A416" s="90"/>
      <c r="B416" s="145"/>
      <c r="C416" s="90"/>
      <c r="D416" s="147"/>
      <c r="E416" s="355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 ht="15.75" customHeight="1">
      <c r="A417" s="90"/>
      <c r="B417" s="145"/>
      <c r="C417" s="90"/>
      <c r="D417" s="147"/>
      <c r="E417" s="355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 ht="15.75" customHeight="1">
      <c r="A418" s="90"/>
      <c r="B418" s="145"/>
      <c r="C418" s="90"/>
      <c r="D418" s="147"/>
      <c r="E418" s="355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</row>
    <row r="419" ht="15.75" customHeight="1">
      <c r="A419" s="90"/>
      <c r="B419" s="145"/>
      <c r="C419" s="90"/>
      <c r="D419" s="147"/>
      <c r="E419" s="355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</row>
    <row r="420" ht="15.75" customHeight="1">
      <c r="A420" s="90"/>
      <c r="B420" s="145"/>
      <c r="C420" s="90"/>
      <c r="D420" s="147"/>
      <c r="E420" s="355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</row>
    <row r="421" ht="15.75" customHeight="1">
      <c r="A421" s="90"/>
      <c r="B421" s="145"/>
      <c r="C421" s="90"/>
      <c r="D421" s="147"/>
      <c r="E421" s="355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</row>
    <row r="422" ht="15.75" customHeight="1">
      <c r="A422" s="90"/>
      <c r="B422" s="145"/>
      <c r="C422" s="90"/>
      <c r="D422" s="147"/>
      <c r="E422" s="355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</row>
    <row r="423" ht="15.75" customHeight="1">
      <c r="A423" s="90"/>
      <c r="B423" s="145"/>
      <c r="C423" s="90"/>
      <c r="D423" s="147"/>
      <c r="E423" s="355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</row>
    <row r="424" ht="15.75" customHeight="1">
      <c r="A424" s="90"/>
      <c r="B424" s="145"/>
      <c r="C424" s="90"/>
      <c r="D424" s="147"/>
      <c r="E424" s="355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</row>
    <row r="425" ht="15.75" customHeight="1">
      <c r="A425" s="90"/>
      <c r="B425" s="145"/>
      <c r="C425" s="90"/>
      <c r="D425" s="147"/>
      <c r="E425" s="355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 ht="15.75" customHeight="1">
      <c r="A426" s="90"/>
      <c r="B426" s="145"/>
      <c r="C426" s="90"/>
      <c r="D426" s="147"/>
      <c r="E426" s="355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</row>
    <row r="427" ht="15.75" customHeight="1">
      <c r="A427" s="90"/>
      <c r="B427" s="145"/>
      <c r="C427" s="90"/>
      <c r="D427" s="147"/>
      <c r="E427" s="355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</row>
    <row r="428" ht="15.75" customHeight="1">
      <c r="A428" s="90"/>
      <c r="B428" s="145"/>
      <c r="C428" s="90"/>
      <c r="D428" s="147"/>
      <c r="E428" s="355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 ht="15.75" customHeight="1">
      <c r="A429" s="90"/>
      <c r="B429" s="145"/>
      <c r="C429" s="90"/>
      <c r="D429" s="147"/>
      <c r="E429" s="355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 ht="15.75" customHeight="1">
      <c r="A430" s="90"/>
      <c r="B430" s="145"/>
      <c r="C430" s="90"/>
      <c r="D430" s="147"/>
      <c r="E430" s="355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</row>
    <row r="431" ht="15.75" customHeight="1">
      <c r="A431" s="90"/>
      <c r="B431" s="145"/>
      <c r="C431" s="90"/>
      <c r="D431" s="147"/>
      <c r="E431" s="355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</row>
    <row r="432" ht="15.75" customHeight="1">
      <c r="A432" s="90"/>
      <c r="B432" s="145"/>
      <c r="C432" s="90"/>
      <c r="D432" s="147"/>
      <c r="E432" s="355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</row>
    <row r="433" ht="15.75" customHeight="1">
      <c r="A433" s="90"/>
      <c r="B433" s="145"/>
      <c r="C433" s="90"/>
      <c r="D433" s="147"/>
      <c r="E433" s="355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</row>
    <row r="434" ht="15.75" customHeight="1">
      <c r="A434" s="90"/>
      <c r="B434" s="145"/>
      <c r="C434" s="90"/>
      <c r="D434" s="147"/>
      <c r="E434" s="355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 ht="15.75" customHeight="1">
      <c r="A435" s="90"/>
      <c r="B435" s="145"/>
      <c r="C435" s="90"/>
      <c r="D435" s="147"/>
      <c r="E435" s="355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 ht="15.75" customHeight="1">
      <c r="A436" s="90"/>
      <c r="B436" s="145"/>
      <c r="C436" s="90"/>
      <c r="D436" s="147"/>
      <c r="E436" s="355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</row>
    <row r="437" ht="15.75" customHeight="1">
      <c r="A437" s="90"/>
      <c r="B437" s="145"/>
      <c r="C437" s="90"/>
      <c r="D437" s="147"/>
      <c r="E437" s="355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</row>
    <row r="438" ht="15.75" customHeight="1">
      <c r="A438" s="90"/>
      <c r="B438" s="145"/>
      <c r="C438" s="90"/>
      <c r="D438" s="147"/>
      <c r="E438" s="355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 ht="15.75" customHeight="1">
      <c r="A439" s="90"/>
      <c r="B439" s="145"/>
      <c r="C439" s="90"/>
      <c r="D439" s="147"/>
      <c r="E439" s="355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</row>
    <row r="440" ht="15.75" customHeight="1">
      <c r="A440" s="90"/>
      <c r="B440" s="145"/>
      <c r="C440" s="90"/>
      <c r="D440" s="147"/>
      <c r="E440" s="355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 ht="15.75" customHeight="1">
      <c r="A441" s="90"/>
      <c r="B441" s="145"/>
      <c r="C441" s="90"/>
      <c r="D441" s="147"/>
      <c r="E441" s="355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</row>
    <row r="442" ht="15.75" customHeight="1">
      <c r="A442" s="90"/>
      <c r="B442" s="145"/>
      <c r="C442" s="90"/>
      <c r="D442" s="147"/>
      <c r="E442" s="355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 ht="15.75" customHeight="1">
      <c r="A443" s="90"/>
      <c r="B443" s="145"/>
      <c r="C443" s="90"/>
      <c r="D443" s="147"/>
      <c r="E443" s="355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 ht="15.75" customHeight="1">
      <c r="A444" s="90"/>
      <c r="B444" s="145"/>
      <c r="C444" s="90"/>
      <c r="D444" s="147"/>
      <c r="E444" s="355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 ht="15.75" customHeight="1">
      <c r="A445" s="90"/>
      <c r="B445" s="145"/>
      <c r="C445" s="90"/>
      <c r="D445" s="147"/>
      <c r="E445" s="355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</row>
    <row r="446" ht="15.75" customHeight="1">
      <c r="A446" s="90"/>
      <c r="B446" s="145"/>
      <c r="C446" s="90"/>
      <c r="D446" s="147"/>
      <c r="E446" s="355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</row>
    <row r="447" ht="15.75" customHeight="1">
      <c r="A447" s="90"/>
      <c r="B447" s="145"/>
      <c r="C447" s="90"/>
      <c r="D447" s="147"/>
      <c r="E447" s="355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</row>
    <row r="448" ht="15.75" customHeight="1">
      <c r="A448" s="90"/>
      <c r="B448" s="145"/>
      <c r="C448" s="90"/>
      <c r="D448" s="147"/>
      <c r="E448" s="355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</row>
    <row r="449" ht="15.75" customHeight="1">
      <c r="A449" s="90"/>
      <c r="B449" s="145"/>
      <c r="C449" s="90"/>
      <c r="D449" s="147"/>
      <c r="E449" s="355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</row>
    <row r="450" ht="15.75" customHeight="1">
      <c r="A450" s="90"/>
      <c r="B450" s="145"/>
      <c r="C450" s="90"/>
      <c r="D450" s="147"/>
      <c r="E450" s="355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</row>
    <row r="451" ht="15.75" customHeight="1">
      <c r="A451" s="90"/>
      <c r="B451" s="145"/>
      <c r="C451" s="90"/>
      <c r="D451" s="147"/>
      <c r="E451" s="355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</row>
    <row r="452" ht="15.75" customHeight="1">
      <c r="A452" s="90"/>
      <c r="B452" s="145"/>
      <c r="C452" s="90"/>
      <c r="D452" s="147"/>
      <c r="E452" s="355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 ht="15.75" customHeight="1">
      <c r="A453" s="90"/>
      <c r="B453" s="145"/>
      <c r="C453" s="90"/>
      <c r="D453" s="147"/>
      <c r="E453" s="355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 ht="15.75" customHeight="1">
      <c r="A454" s="90"/>
      <c r="B454" s="145"/>
      <c r="C454" s="90"/>
      <c r="D454" s="147"/>
      <c r="E454" s="355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 ht="15.75" customHeight="1">
      <c r="A455" s="90"/>
      <c r="B455" s="145"/>
      <c r="C455" s="90"/>
      <c r="D455" s="147"/>
      <c r="E455" s="355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 ht="15.75" customHeight="1">
      <c r="A456" s="90"/>
      <c r="B456" s="145"/>
      <c r="C456" s="90"/>
      <c r="D456" s="147"/>
      <c r="E456" s="355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 ht="15.75" customHeight="1">
      <c r="A457" s="90"/>
      <c r="B457" s="145"/>
      <c r="C457" s="90"/>
      <c r="D457" s="147"/>
      <c r="E457" s="355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 ht="15.75" customHeight="1">
      <c r="A458" s="90"/>
      <c r="B458" s="145"/>
      <c r="C458" s="90"/>
      <c r="D458" s="147"/>
      <c r="E458" s="355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 ht="15.75" customHeight="1">
      <c r="A459" s="90"/>
      <c r="B459" s="145"/>
      <c r="C459" s="90"/>
      <c r="D459" s="147"/>
      <c r="E459" s="355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 ht="15.75" customHeight="1">
      <c r="A460" s="90"/>
      <c r="B460" s="145"/>
      <c r="C460" s="90"/>
      <c r="D460" s="147"/>
      <c r="E460" s="355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 ht="15.75" customHeight="1">
      <c r="A461" s="90"/>
      <c r="B461" s="145"/>
      <c r="C461" s="90"/>
      <c r="D461" s="147"/>
      <c r="E461" s="355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 ht="15.75" customHeight="1">
      <c r="A462" s="90"/>
      <c r="B462" s="145"/>
      <c r="C462" s="90"/>
      <c r="D462" s="147"/>
      <c r="E462" s="355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 ht="15.75" customHeight="1">
      <c r="A463" s="90"/>
      <c r="B463" s="145"/>
      <c r="C463" s="90"/>
      <c r="D463" s="147"/>
      <c r="E463" s="355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 ht="15.75" customHeight="1">
      <c r="A464" s="90"/>
      <c r="B464" s="145"/>
      <c r="C464" s="90"/>
      <c r="D464" s="147"/>
      <c r="E464" s="355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 ht="15.75" customHeight="1">
      <c r="A465" s="90"/>
      <c r="B465" s="145"/>
      <c r="C465" s="90"/>
      <c r="D465" s="147"/>
      <c r="E465" s="355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 ht="15.75" customHeight="1">
      <c r="A466" s="90"/>
      <c r="B466" s="145"/>
      <c r="C466" s="90"/>
      <c r="D466" s="147"/>
      <c r="E466" s="355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 ht="15.75" customHeight="1">
      <c r="A467" s="90"/>
      <c r="B467" s="145"/>
      <c r="C467" s="90"/>
      <c r="D467" s="147"/>
      <c r="E467" s="355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 ht="15.75" customHeight="1">
      <c r="A468" s="90"/>
      <c r="B468" s="145"/>
      <c r="C468" s="90"/>
      <c r="D468" s="147"/>
      <c r="E468" s="355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 ht="15.75" customHeight="1">
      <c r="A469" s="90"/>
      <c r="B469" s="145"/>
      <c r="C469" s="90"/>
      <c r="D469" s="147"/>
      <c r="E469" s="355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 ht="15.75" customHeight="1">
      <c r="A470" s="90"/>
      <c r="B470" s="145"/>
      <c r="C470" s="90"/>
      <c r="D470" s="147"/>
      <c r="E470" s="355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 ht="15.75" customHeight="1">
      <c r="A471" s="90"/>
      <c r="B471" s="145"/>
      <c r="C471" s="90"/>
      <c r="D471" s="147"/>
      <c r="E471" s="355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 ht="15.75" customHeight="1">
      <c r="A472" s="90"/>
      <c r="B472" s="145"/>
      <c r="C472" s="90"/>
      <c r="D472" s="147"/>
      <c r="E472" s="355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 ht="15.75" customHeight="1">
      <c r="A473" s="90"/>
      <c r="B473" s="145"/>
      <c r="C473" s="90"/>
      <c r="D473" s="147"/>
      <c r="E473" s="355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 ht="15.75" customHeight="1">
      <c r="A474" s="90"/>
      <c r="B474" s="145"/>
      <c r="C474" s="90"/>
      <c r="D474" s="147"/>
      <c r="E474" s="355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 ht="15.75" customHeight="1">
      <c r="A475" s="90"/>
      <c r="B475" s="145"/>
      <c r="C475" s="90"/>
      <c r="D475" s="147"/>
      <c r="E475" s="355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 ht="15.75" customHeight="1">
      <c r="A476" s="90"/>
      <c r="B476" s="145"/>
      <c r="C476" s="90"/>
      <c r="D476" s="147"/>
      <c r="E476" s="355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 ht="15.75" customHeight="1">
      <c r="A477" s="90"/>
      <c r="B477" s="145"/>
      <c r="C477" s="90"/>
      <c r="D477" s="147"/>
      <c r="E477" s="355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 ht="15.75" customHeight="1">
      <c r="A478" s="90"/>
      <c r="B478" s="145"/>
      <c r="C478" s="90"/>
      <c r="D478" s="147"/>
      <c r="E478" s="355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 ht="15.75" customHeight="1">
      <c r="A479" s="90"/>
      <c r="B479" s="145"/>
      <c r="C479" s="90"/>
      <c r="D479" s="147"/>
      <c r="E479" s="355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 ht="15.75" customHeight="1">
      <c r="A480" s="90"/>
      <c r="B480" s="145"/>
      <c r="C480" s="90"/>
      <c r="D480" s="147"/>
      <c r="E480" s="355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 ht="15.75" customHeight="1">
      <c r="A481" s="90"/>
      <c r="B481" s="145"/>
      <c r="C481" s="90"/>
      <c r="D481" s="147"/>
      <c r="E481" s="355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 ht="15.75" customHeight="1">
      <c r="A482" s="90"/>
      <c r="B482" s="145"/>
      <c r="C482" s="90"/>
      <c r="D482" s="147"/>
      <c r="E482" s="355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 ht="15.75" customHeight="1">
      <c r="A483" s="90"/>
      <c r="B483" s="145"/>
      <c r="C483" s="90"/>
      <c r="D483" s="147"/>
      <c r="E483" s="355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 ht="15.75" customHeight="1">
      <c r="A484" s="90"/>
      <c r="B484" s="145"/>
      <c r="C484" s="90"/>
      <c r="D484" s="147"/>
      <c r="E484" s="355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 ht="15.75" customHeight="1">
      <c r="A485" s="90"/>
      <c r="B485" s="145"/>
      <c r="C485" s="90"/>
      <c r="D485" s="147"/>
      <c r="E485" s="355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 ht="15.75" customHeight="1">
      <c r="A486" s="90"/>
      <c r="B486" s="145"/>
      <c r="C486" s="90"/>
      <c r="D486" s="147"/>
      <c r="E486" s="355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 ht="15.75" customHeight="1">
      <c r="A487" s="90"/>
      <c r="B487" s="145"/>
      <c r="C487" s="90"/>
      <c r="D487" s="147"/>
      <c r="E487" s="355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 ht="15.75" customHeight="1">
      <c r="A488" s="90"/>
      <c r="B488" s="145"/>
      <c r="C488" s="90"/>
      <c r="D488" s="147"/>
      <c r="E488" s="355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 ht="15.75" customHeight="1">
      <c r="A489" s="90"/>
      <c r="B489" s="145"/>
      <c r="C489" s="90"/>
      <c r="D489" s="147"/>
      <c r="E489" s="355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 ht="15.75" customHeight="1">
      <c r="A490" s="90"/>
      <c r="B490" s="145"/>
      <c r="C490" s="90"/>
      <c r="D490" s="147"/>
      <c r="E490" s="355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 ht="15.75" customHeight="1">
      <c r="A491" s="90"/>
      <c r="B491" s="145"/>
      <c r="C491" s="90"/>
      <c r="D491" s="147"/>
      <c r="E491" s="355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 ht="15.75" customHeight="1">
      <c r="A492" s="90"/>
      <c r="B492" s="145"/>
      <c r="C492" s="90"/>
      <c r="D492" s="147"/>
      <c r="E492" s="355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 ht="15.75" customHeight="1">
      <c r="A493" s="90"/>
      <c r="B493" s="145"/>
      <c r="C493" s="90"/>
      <c r="D493" s="147"/>
      <c r="E493" s="355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 ht="15.75" customHeight="1">
      <c r="A494" s="90"/>
      <c r="B494" s="145"/>
      <c r="C494" s="90"/>
      <c r="D494" s="147"/>
      <c r="E494" s="355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 ht="15.75" customHeight="1">
      <c r="A495" s="90"/>
      <c r="B495" s="145"/>
      <c r="C495" s="90"/>
      <c r="D495" s="147"/>
      <c r="E495" s="355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 ht="15.75" customHeight="1">
      <c r="A496" s="90"/>
      <c r="B496" s="145"/>
      <c r="C496" s="90"/>
      <c r="D496" s="147"/>
      <c r="E496" s="355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 ht="15.75" customHeight="1">
      <c r="A497" s="90"/>
      <c r="B497" s="145"/>
      <c r="C497" s="90"/>
      <c r="D497" s="147"/>
      <c r="E497" s="355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 ht="15.75" customHeight="1">
      <c r="A498" s="90"/>
      <c r="B498" s="145"/>
      <c r="C498" s="90"/>
      <c r="D498" s="147"/>
      <c r="E498" s="355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 ht="15.75" customHeight="1">
      <c r="A499" s="90"/>
      <c r="B499" s="145"/>
      <c r="C499" s="90"/>
      <c r="D499" s="147"/>
      <c r="E499" s="355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 ht="15.75" customHeight="1">
      <c r="A500" s="90"/>
      <c r="B500" s="145"/>
      <c r="C500" s="90"/>
      <c r="D500" s="147"/>
      <c r="E500" s="355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 ht="15.75" customHeight="1">
      <c r="A501" s="90"/>
      <c r="B501" s="145"/>
      <c r="C501" s="90"/>
      <c r="D501" s="147"/>
      <c r="E501" s="355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 ht="15.75" customHeight="1">
      <c r="A502" s="90"/>
      <c r="B502" s="145"/>
      <c r="C502" s="90"/>
      <c r="D502" s="147"/>
      <c r="E502" s="355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 ht="15.75" customHeight="1">
      <c r="A503" s="90"/>
      <c r="B503" s="145"/>
      <c r="C503" s="90"/>
      <c r="D503" s="147"/>
      <c r="E503" s="355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 ht="15.75" customHeight="1">
      <c r="A504" s="90"/>
      <c r="B504" s="145"/>
      <c r="C504" s="90"/>
      <c r="D504" s="147"/>
      <c r="E504" s="355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 ht="15.75" customHeight="1">
      <c r="A505" s="90"/>
      <c r="B505" s="145"/>
      <c r="C505" s="90"/>
      <c r="D505" s="147"/>
      <c r="E505" s="355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 ht="15.75" customHeight="1">
      <c r="A506" s="90"/>
      <c r="B506" s="145"/>
      <c r="C506" s="90"/>
      <c r="D506" s="147"/>
      <c r="E506" s="355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 ht="15.75" customHeight="1">
      <c r="A507" s="90"/>
      <c r="B507" s="145"/>
      <c r="C507" s="90"/>
      <c r="D507" s="147"/>
      <c r="E507" s="355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 ht="15.75" customHeight="1">
      <c r="A508" s="90"/>
      <c r="B508" s="145"/>
      <c r="C508" s="90"/>
      <c r="D508" s="147"/>
      <c r="E508" s="355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 ht="15.75" customHeight="1">
      <c r="A509" s="90"/>
      <c r="B509" s="145"/>
      <c r="C509" s="90"/>
      <c r="D509" s="147"/>
      <c r="E509" s="355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 ht="15.75" customHeight="1">
      <c r="A510" s="90"/>
      <c r="B510" s="145"/>
      <c r="C510" s="90"/>
      <c r="D510" s="147"/>
      <c r="E510" s="355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 ht="15.75" customHeight="1">
      <c r="A511" s="90"/>
      <c r="B511" s="145"/>
      <c r="C511" s="90"/>
      <c r="D511" s="147"/>
      <c r="E511" s="355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 ht="15.75" customHeight="1">
      <c r="A512" s="90"/>
      <c r="B512" s="145"/>
      <c r="C512" s="90"/>
      <c r="D512" s="147"/>
      <c r="E512" s="355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 ht="15.75" customHeight="1">
      <c r="A513" s="90"/>
      <c r="B513" s="145"/>
      <c r="C513" s="90"/>
      <c r="D513" s="147"/>
      <c r="E513" s="355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 ht="15.75" customHeight="1">
      <c r="A514" s="90"/>
      <c r="B514" s="145"/>
      <c r="C514" s="90"/>
      <c r="D514" s="147"/>
      <c r="E514" s="355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 ht="15.75" customHeight="1">
      <c r="A515" s="90"/>
      <c r="B515" s="145"/>
      <c r="C515" s="90"/>
      <c r="D515" s="147"/>
      <c r="E515" s="355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 ht="15.75" customHeight="1">
      <c r="A516" s="90"/>
      <c r="B516" s="145"/>
      <c r="C516" s="90"/>
      <c r="D516" s="147"/>
      <c r="E516" s="355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 ht="15.75" customHeight="1">
      <c r="A517" s="90"/>
      <c r="B517" s="145"/>
      <c r="C517" s="90"/>
      <c r="D517" s="147"/>
      <c r="E517" s="355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 ht="15.75" customHeight="1">
      <c r="A518" s="90"/>
      <c r="B518" s="145"/>
      <c r="C518" s="90"/>
      <c r="D518" s="147"/>
      <c r="E518" s="355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 ht="15.75" customHeight="1">
      <c r="A519" s="90"/>
      <c r="B519" s="145"/>
      <c r="C519" s="90"/>
      <c r="D519" s="147"/>
      <c r="E519" s="355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 ht="15.75" customHeight="1">
      <c r="A520" s="90"/>
      <c r="B520" s="145"/>
      <c r="C520" s="90"/>
      <c r="D520" s="147"/>
      <c r="E520" s="355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 ht="15.75" customHeight="1">
      <c r="A521" s="90"/>
      <c r="B521" s="145"/>
      <c r="C521" s="90"/>
      <c r="D521" s="147"/>
      <c r="E521" s="355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 ht="15.75" customHeight="1">
      <c r="A522" s="90"/>
      <c r="B522" s="145"/>
      <c r="C522" s="90"/>
      <c r="D522" s="147"/>
      <c r="E522" s="355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 ht="15.75" customHeight="1">
      <c r="A523" s="90"/>
      <c r="B523" s="145"/>
      <c r="C523" s="90"/>
      <c r="D523" s="147"/>
      <c r="E523" s="355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 ht="15.75" customHeight="1">
      <c r="A524" s="90"/>
      <c r="B524" s="145"/>
      <c r="C524" s="90"/>
      <c r="D524" s="147"/>
      <c r="E524" s="355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 ht="15.75" customHeight="1">
      <c r="A525" s="90"/>
      <c r="B525" s="145"/>
      <c r="C525" s="90"/>
      <c r="D525" s="147"/>
      <c r="E525" s="355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 ht="15.75" customHeight="1">
      <c r="A526" s="90"/>
      <c r="B526" s="145"/>
      <c r="C526" s="90"/>
      <c r="D526" s="147"/>
      <c r="E526" s="355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 ht="15.75" customHeight="1">
      <c r="A527" s="90"/>
      <c r="B527" s="145"/>
      <c r="C527" s="90"/>
      <c r="D527" s="147"/>
      <c r="E527" s="355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 ht="15.75" customHeight="1">
      <c r="A528" s="90"/>
      <c r="B528" s="145"/>
      <c r="C528" s="90"/>
      <c r="D528" s="147"/>
      <c r="E528" s="355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 ht="15.75" customHeight="1">
      <c r="A529" s="90"/>
      <c r="B529" s="145"/>
      <c r="C529" s="90"/>
      <c r="D529" s="147"/>
      <c r="E529" s="355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 ht="15.75" customHeight="1">
      <c r="A530" s="90"/>
      <c r="B530" s="145"/>
      <c r="C530" s="90"/>
      <c r="D530" s="147"/>
      <c r="E530" s="355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 ht="15.75" customHeight="1">
      <c r="A531" s="90"/>
      <c r="B531" s="145"/>
      <c r="C531" s="90"/>
      <c r="D531" s="147"/>
      <c r="E531" s="355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 ht="15.75" customHeight="1">
      <c r="A532" s="90"/>
      <c r="B532" s="145"/>
      <c r="C532" s="90"/>
      <c r="D532" s="147"/>
      <c r="E532" s="355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 ht="15.75" customHeight="1">
      <c r="A533" s="90"/>
      <c r="B533" s="145"/>
      <c r="C533" s="90"/>
      <c r="D533" s="147"/>
      <c r="E533" s="355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 ht="15.75" customHeight="1">
      <c r="A534" s="90"/>
      <c r="B534" s="145"/>
      <c r="C534" s="90"/>
      <c r="D534" s="147"/>
      <c r="E534" s="355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 ht="15.75" customHeight="1">
      <c r="A535" s="90"/>
      <c r="B535" s="145"/>
      <c r="C535" s="90"/>
      <c r="D535" s="147"/>
      <c r="E535" s="355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 ht="15.75" customHeight="1">
      <c r="A536" s="90"/>
      <c r="B536" s="145"/>
      <c r="C536" s="90"/>
      <c r="D536" s="147"/>
      <c r="E536" s="355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 ht="15.75" customHeight="1">
      <c r="A537" s="90"/>
      <c r="B537" s="145"/>
      <c r="C537" s="90"/>
      <c r="D537" s="147"/>
      <c r="E537" s="355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 ht="15.75" customHeight="1">
      <c r="A538" s="90"/>
      <c r="B538" s="145"/>
      <c r="C538" s="90"/>
      <c r="D538" s="147"/>
      <c r="E538" s="355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 ht="15.75" customHeight="1">
      <c r="A539" s="90"/>
      <c r="B539" s="145"/>
      <c r="C539" s="90"/>
      <c r="D539" s="147"/>
      <c r="E539" s="355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 ht="15.75" customHeight="1">
      <c r="A540" s="90"/>
      <c r="B540" s="145"/>
      <c r="C540" s="90"/>
      <c r="D540" s="147"/>
      <c r="E540" s="355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 ht="15.75" customHeight="1">
      <c r="A541" s="90"/>
      <c r="B541" s="145"/>
      <c r="C541" s="90"/>
      <c r="D541" s="147"/>
      <c r="E541" s="355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 ht="15.75" customHeight="1">
      <c r="A542" s="90"/>
      <c r="B542" s="145"/>
      <c r="C542" s="90"/>
      <c r="D542" s="147"/>
      <c r="E542" s="355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 ht="15.75" customHeight="1">
      <c r="A543" s="90"/>
      <c r="B543" s="145"/>
      <c r="C543" s="90"/>
      <c r="D543" s="147"/>
      <c r="E543" s="355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 ht="15.75" customHeight="1">
      <c r="A544" s="90"/>
      <c r="B544" s="145"/>
      <c r="C544" s="90"/>
      <c r="D544" s="147"/>
      <c r="E544" s="355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 ht="15.75" customHeight="1">
      <c r="A545" s="90"/>
      <c r="B545" s="145"/>
      <c r="C545" s="90"/>
      <c r="D545" s="147"/>
      <c r="E545" s="355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 ht="15.75" customHeight="1">
      <c r="A546" s="90"/>
      <c r="B546" s="145"/>
      <c r="C546" s="90"/>
      <c r="D546" s="147"/>
      <c r="E546" s="355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 ht="15.75" customHeight="1">
      <c r="A547" s="90"/>
      <c r="B547" s="145"/>
      <c r="C547" s="90"/>
      <c r="D547" s="147"/>
      <c r="E547" s="355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 ht="15.75" customHeight="1">
      <c r="A548" s="90"/>
      <c r="B548" s="145"/>
      <c r="C548" s="90"/>
      <c r="D548" s="147"/>
      <c r="E548" s="355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 ht="15.75" customHeight="1">
      <c r="A549" s="90"/>
      <c r="B549" s="145"/>
      <c r="C549" s="90"/>
      <c r="D549" s="147"/>
      <c r="E549" s="355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 ht="15.75" customHeight="1">
      <c r="A550" s="90"/>
      <c r="B550" s="145"/>
      <c r="C550" s="90"/>
      <c r="D550" s="147"/>
      <c r="E550" s="355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 ht="15.75" customHeight="1">
      <c r="A551" s="90"/>
      <c r="B551" s="145"/>
      <c r="C551" s="90"/>
      <c r="D551" s="147"/>
      <c r="E551" s="355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 ht="15.75" customHeight="1">
      <c r="A552" s="90"/>
      <c r="B552" s="145"/>
      <c r="C552" s="90"/>
      <c r="D552" s="147"/>
      <c r="E552" s="355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 ht="15.75" customHeight="1">
      <c r="A553" s="90"/>
      <c r="B553" s="145"/>
      <c r="C553" s="90"/>
      <c r="D553" s="147"/>
      <c r="E553" s="355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 ht="15.75" customHeight="1">
      <c r="A554" s="90"/>
      <c r="B554" s="145"/>
      <c r="C554" s="90"/>
      <c r="D554" s="147"/>
      <c r="E554" s="355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 ht="15.75" customHeight="1">
      <c r="A555" s="90"/>
      <c r="B555" s="145"/>
      <c r="C555" s="90"/>
      <c r="D555" s="147"/>
      <c r="E555" s="355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 ht="15.75" customHeight="1">
      <c r="A556" s="90"/>
      <c r="B556" s="145"/>
      <c r="C556" s="90"/>
      <c r="D556" s="147"/>
      <c r="E556" s="355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 ht="15.75" customHeight="1">
      <c r="A557" s="90"/>
      <c r="B557" s="145"/>
      <c r="C557" s="90"/>
      <c r="D557" s="147"/>
      <c r="E557" s="355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 ht="15.75" customHeight="1">
      <c r="A558" s="90"/>
      <c r="B558" s="145"/>
      <c r="C558" s="90"/>
      <c r="D558" s="147"/>
      <c r="E558" s="355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 ht="15.75" customHeight="1">
      <c r="A559" s="90"/>
      <c r="B559" s="145"/>
      <c r="C559" s="90"/>
      <c r="D559" s="147"/>
      <c r="E559" s="355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 ht="15.75" customHeight="1">
      <c r="A560" s="90"/>
      <c r="B560" s="145"/>
      <c r="C560" s="90"/>
      <c r="D560" s="147"/>
      <c r="E560" s="355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 ht="15.75" customHeight="1">
      <c r="A561" s="90"/>
      <c r="B561" s="145"/>
      <c r="C561" s="90"/>
      <c r="D561" s="147"/>
      <c r="E561" s="355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 ht="15.75" customHeight="1">
      <c r="A562" s="90"/>
      <c r="B562" s="145"/>
      <c r="C562" s="90"/>
      <c r="D562" s="147"/>
      <c r="E562" s="355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 ht="15.75" customHeight="1">
      <c r="A563" s="90"/>
      <c r="B563" s="145"/>
      <c r="C563" s="90"/>
      <c r="D563" s="147"/>
      <c r="E563" s="355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 ht="15.75" customHeight="1">
      <c r="A564" s="90"/>
      <c r="B564" s="145"/>
      <c r="C564" s="90"/>
      <c r="D564" s="147"/>
      <c r="E564" s="355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 ht="15.75" customHeight="1">
      <c r="A565" s="90"/>
      <c r="B565" s="145"/>
      <c r="C565" s="90"/>
      <c r="D565" s="147"/>
      <c r="E565" s="355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 ht="15.75" customHeight="1">
      <c r="A566" s="90"/>
      <c r="B566" s="145"/>
      <c r="C566" s="90"/>
      <c r="D566" s="147"/>
      <c r="E566" s="355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 ht="15.75" customHeight="1">
      <c r="A567" s="90"/>
      <c r="B567" s="145"/>
      <c r="C567" s="90"/>
      <c r="D567" s="147"/>
      <c r="E567" s="355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 ht="15.75" customHeight="1">
      <c r="A568" s="90"/>
      <c r="B568" s="145"/>
      <c r="C568" s="90"/>
      <c r="D568" s="147"/>
      <c r="E568" s="355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 ht="15.75" customHeight="1">
      <c r="A569" s="90"/>
      <c r="B569" s="145"/>
      <c r="C569" s="90"/>
      <c r="D569" s="147"/>
      <c r="E569" s="355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 ht="15.75" customHeight="1">
      <c r="A570" s="90"/>
      <c r="B570" s="145"/>
      <c r="C570" s="90"/>
      <c r="D570" s="147"/>
      <c r="E570" s="355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 ht="15.75" customHeight="1">
      <c r="A571" s="90"/>
      <c r="B571" s="145"/>
      <c r="C571" s="90"/>
      <c r="D571" s="147"/>
      <c r="E571" s="355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 ht="15.75" customHeight="1">
      <c r="A572" s="90"/>
      <c r="B572" s="145"/>
      <c r="C572" s="90"/>
      <c r="D572" s="147"/>
      <c r="E572" s="355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 ht="15.75" customHeight="1">
      <c r="A573" s="90"/>
      <c r="B573" s="145"/>
      <c r="C573" s="90"/>
      <c r="D573" s="147"/>
      <c r="E573" s="355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 ht="15.75" customHeight="1">
      <c r="A574" s="90"/>
      <c r="B574" s="145"/>
      <c r="C574" s="90"/>
      <c r="D574" s="147"/>
      <c r="E574" s="355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 ht="15.75" customHeight="1">
      <c r="A575" s="90"/>
      <c r="B575" s="145"/>
      <c r="C575" s="90"/>
      <c r="D575" s="147"/>
      <c r="E575" s="355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 ht="15.75" customHeight="1">
      <c r="A576" s="90"/>
      <c r="B576" s="145"/>
      <c r="C576" s="90"/>
      <c r="D576" s="147"/>
      <c r="E576" s="355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 ht="15.75" customHeight="1">
      <c r="A577" s="90"/>
      <c r="B577" s="145"/>
      <c r="C577" s="90"/>
      <c r="D577" s="147"/>
      <c r="E577" s="355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 ht="15.75" customHeight="1">
      <c r="A578" s="90"/>
      <c r="B578" s="145"/>
      <c r="C578" s="90"/>
      <c r="D578" s="147"/>
      <c r="E578" s="355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 ht="15.75" customHeight="1">
      <c r="A579" s="90"/>
      <c r="B579" s="145"/>
      <c r="C579" s="90"/>
      <c r="D579" s="147"/>
      <c r="E579" s="355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 ht="15.75" customHeight="1">
      <c r="A580" s="90"/>
      <c r="B580" s="145"/>
      <c r="C580" s="90"/>
      <c r="D580" s="147"/>
      <c r="E580" s="355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 ht="15.75" customHeight="1">
      <c r="A581" s="90"/>
      <c r="B581" s="145"/>
      <c r="C581" s="90"/>
      <c r="D581" s="147"/>
      <c r="E581" s="355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 ht="15.75" customHeight="1">
      <c r="A582" s="90"/>
      <c r="B582" s="145"/>
      <c r="C582" s="90"/>
      <c r="D582" s="147"/>
      <c r="E582" s="355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 ht="15.75" customHeight="1">
      <c r="A583" s="90"/>
      <c r="B583" s="145"/>
      <c r="C583" s="90"/>
      <c r="D583" s="147"/>
      <c r="E583" s="355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 ht="15.75" customHeight="1">
      <c r="A584" s="90"/>
      <c r="B584" s="145"/>
      <c r="C584" s="90"/>
      <c r="D584" s="147"/>
      <c r="E584" s="355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 ht="15.75" customHeight="1">
      <c r="A585" s="90"/>
      <c r="B585" s="145"/>
      <c r="C585" s="90"/>
      <c r="D585" s="147"/>
      <c r="E585" s="355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 ht="15.75" customHeight="1">
      <c r="A586" s="90"/>
      <c r="B586" s="145"/>
      <c r="C586" s="90"/>
      <c r="D586" s="147"/>
      <c r="E586" s="355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 ht="15.75" customHeight="1">
      <c r="A587" s="90"/>
      <c r="B587" s="145"/>
      <c r="C587" s="90"/>
      <c r="D587" s="147"/>
      <c r="E587" s="355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 ht="15.75" customHeight="1">
      <c r="A588" s="90"/>
      <c r="B588" s="145"/>
      <c r="C588" s="90"/>
      <c r="D588" s="147"/>
      <c r="E588" s="355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 ht="15.75" customHeight="1">
      <c r="A589" s="90"/>
      <c r="B589" s="145"/>
      <c r="C589" s="90"/>
      <c r="D589" s="147"/>
      <c r="E589" s="355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 ht="15.75" customHeight="1">
      <c r="A590" s="90"/>
      <c r="B590" s="145"/>
      <c r="C590" s="90"/>
      <c r="D590" s="147"/>
      <c r="E590" s="355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 ht="15.75" customHeight="1">
      <c r="A591" s="90"/>
      <c r="B591" s="145"/>
      <c r="C591" s="90"/>
      <c r="D591" s="147"/>
      <c r="E591" s="355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 ht="15.75" customHeight="1">
      <c r="A592" s="90"/>
      <c r="B592" s="145"/>
      <c r="C592" s="90"/>
      <c r="D592" s="147"/>
      <c r="E592" s="355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 ht="15.75" customHeight="1">
      <c r="A593" s="90"/>
      <c r="B593" s="145"/>
      <c r="C593" s="90"/>
      <c r="D593" s="147"/>
      <c r="E593" s="355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 ht="15.75" customHeight="1">
      <c r="A594" s="90"/>
      <c r="B594" s="145"/>
      <c r="C594" s="90"/>
      <c r="D594" s="147"/>
      <c r="E594" s="355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 ht="15.75" customHeight="1">
      <c r="A595" s="90"/>
      <c r="B595" s="145"/>
      <c r="C595" s="90"/>
      <c r="D595" s="147"/>
      <c r="E595" s="355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 ht="15.75" customHeight="1">
      <c r="A596" s="90"/>
      <c r="B596" s="145"/>
      <c r="C596" s="90"/>
      <c r="D596" s="147"/>
      <c r="E596" s="355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 ht="15.75" customHeight="1">
      <c r="A597" s="90"/>
      <c r="B597" s="145"/>
      <c r="C597" s="90"/>
      <c r="D597" s="147"/>
      <c r="E597" s="355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 ht="15.75" customHeight="1">
      <c r="A598" s="90"/>
      <c r="B598" s="145"/>
      <c r="C598" s="90"/>
      <c r="D598" s="147"/>
      <c r="E598" s="355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 ht="15.75" customHeight="1">
      <c r="A599" s="90"/>
      <c r="B599" s="145"/>
      <c r="C599" s="90"/>
      <c r="D599" s="147"/>
      <c r="E599" s="355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 ht="15.75" customHeight="1">
      <c r="A600" s="90"/>
      <c r="B600" s="145"/>
      <c r="C600" s="90"/>
      <c r="D600" s="147"/>
      <c r="E600" s="355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 ht="15.75" customHeight="1">
      <c r="A601" s="90"/>
      <c r="B601" s="145"/>
      <c r="C601" s="90"/>
      <c r="D601" s="147"/>
      <c r="E601" s="355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 ht="15.75" customHeight="1">
      <c r="A602" s="90"/>
      <c r="B602" s="145"/>
      <c r="C602" s="90"/>
      <c r="D602" s="147"/>
      <c r="E602" s="355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 ht="15.75" customHeight="1">
      <c r="A603" s="90"/>
      <c r="B603" s="145"/>
      <c r="C603" s="90"/>
      <c r="D603" s="147"/>
      <c r="E603" s="355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 ht="15.75" customHeight="1">
      <c r="A604" s="90"/>
      <c r="B604" s="145"/>
      <c r="C604" s="90"/>
      <c r="D604" s="147"/>
      <c r="E604" s="355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 ht="15.75" customHeight="1">
      <c r="A605" s="90"/>
      <c r="B605" s="145"/>
      <c r="C605" s="90"/>
      <c r="D605" s="147"/>
      <c r="E605" s="355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 ht="15.75" customHeight="1">
      <c r="A606" s="90"/>
      <c r="B606" s="145"/>
      <c r="C606" s="90"/>
      <c r="D606" s="147"/>
      <c r="E606" s="355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 ht="15.75" customHeight="1">
      <c r="A607" s="90"/>
      <c r="B607" s="145"/>
      <c r="C607" s="90"/>
      <c r="D607" s="147"/>
      <c r="E607" s="355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 ht="15.75" customHeight="1">
      <c r="A608" s="90"/>
      <c r="B608" s="145"/>
      <c r="C608" s="90"/>
      <c r="D608" s="147"/>
      <c r="E608" s="355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 ht="15.75" customHeight="1">
      <c r="A609" s="90"/>
      <c r="B609" s="145"/>
      <c r="C609" s="90"/>
      <c r="D609" s="147"/>
      <c r="E609" s="355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 ht="15.75" customHeight="1">
      <c r="A610" s="90"/>
      <c r="B610" s="145"/>
      <c r="C610" s="90"/>
      <c r="D610" s="147"/>
      <c r="E610" s="355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 ht="15.75" customHeight="1">
      <c r="A611" s="90"/>
      <c r="B611" s="145"/>
      <c r="C611" s="90"/>
      <c r="D611" s="147"/>
      <c r="E611" s="355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 ht="15.75" customHeight="1">
      <c r="A612" s="90"/>
      <c r="B612" s="145"/>
      <c r="C612" s="90"/>
      <c r="D612" s="147"/>
      <c r="E612" s="355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 ht="15.75" customHeight="1">
      <c r="A613" s="90"/>
      <c r="B613" s="145"/>
      <c r="C613" s="90"/>
      <c r="D613" s="147"/>
      <c r="E613" s="355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 ht="15.75" customHeight="1">
      <c r="A614" s="90"/>
      <c r="B614" s="145"/>
      <c r="C614" s="90"/>
      <c r="D614" s="147"/>
      <c r="E614" s="355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 ht="15.75" customHeight="1">
      <c r="A615" s="90"/>
      <c r="B615" s="145"/>
      <c r="C615" s="90"/>
      <c r="D615" s="147"/>
      <c r="E615" s="355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 ht="15.75" customHeight="1">
      <c r="A616" s="90"/>
      <c r="B616" s="145"/>
      <c r="C616" s="90"/>
      <c r="D616" s="147"/>
      <c r="E616" s="355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 ht="15.75" customHeight="1">
      <c r="A617" s="90"/>
      <c r="B617" s="145"/>
      <c r="C617" s="90"/>
      <c r="D617" s="147"/>
      <c r="E617" s="355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 ht="15.75" customHeight="1">
      <c r="A618" s="90"/>
      <c r="B618" s="145"/>
      <c r="C618" s="90"/>
      <c r="D618" s="147"/>
      <c r="E618" s="355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 ht="15.75" customHeight="1">
      <c r="A619" s="90"/>
      <c r="B619" s="145"/>
      <c r="C619" s="90"/>
      <c r="D619" s="147"/>
      <c r="E619" s="355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 ht="15.75" customHeight="1">
      <c r="A620" s="90"/>
      <c r="B620" s="145"/>
      <c r="C620" s="90"/>
      <c r="D620" s="147"/>
      <c r="E620" s="355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 ht="15.75" customHeight="1">
      <c r="A621" s="90"/>
      <c r="B621" s="145"/>
      <c r="C621" s="90"/>
      <c r="D621" s="147"/>
      <c r="E621" s="355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 ht="15.75" customHeight="1">
      <c r="A622" s="90"/>
      <c r="B622" s="145"/>
      <c r="C622" s="90"/>
      <c r="D622" s="147"/>
      <c r="E622" s="355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 ht="15.75" customHeight="1">
      <c r="A623" s="90"/>
      <c r="B623" s="145"/>
      <c r="C623" s="90"/>
      <c r="D623" s="147"/>
      <c r="E623" s="355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 ht="15.75" customHeight="1">
      <c r="A624" s="90"/>
      <c r="B624" s="145"/>
      <c r="C624" s="90"/>
      <c r="D624" s="147"/>
      <c r="E624" s="355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 ht="15.75" customHeight="1">
      <c r="A625" s="90"/>
      <c r="B625" s="145"/>
      <c r="C625" s="90"/>
      <c r="D625" s="147"/>
      <c r="E625" s="355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 ht="15.75" customHeight="1">
      <c r="A626" s="90"/>
      <c r="B626" s="145"/>
      <c r="C626" s="90"/>
      <c r="D626" s="147"/>
      <c r="E626" s="355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 ht="15.75" customHeight="1">
      <c r="A627" s="90"/>
      <c r="B627" s="145"/>
      <c r="C627" s="90"/>
      <c r="D627" s="147"/>
      <c r="E627" s="355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 ht="15.75" customHeight="1">
      <c r="A628" s="90"/>
      <c r="B628" s="145"/>
      <c r="C628" s="90"/>
      <c r="D628" s="147"/>
      <c r="E628" s="355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 ht="15.75" customHeight="1">
      <c r="A629" s="90"/>
      <c r="B629" s="145"/>
      <c r="C629" s="90"/>
      <c r="D629" s="147"/>
      <c r="E629" s="355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 ht="15.75" customHeight="1">
      <c r="A630" s="90"/>
      <c r="B630" s="145"/>
      <c r="C630" s="90"/>
      <c r="D630" s="147"/>
      <c r="E630" s="355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 ht="15.75" customHeight="1">
      <c r="A631" s="90"/>
      <c r="B631" s="145"/>
      <c r="C631" s="90"/>
      <c r="D631" s="147"/>
      <c r="E631" s="355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 ht="15.75" customHeight="1">
      <c r="A632" s="90"/>
      <c r="B632" s="145"/>
      <c r="C632" s="90"/>
      <c r="D632" s="147"/>
      <c r="E632" s="355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 ht="15.75" customHeight="1">
      <c r="A633" s="90"/>
      <c r="B633" s="145"/>
      <c r="C633" s="90"/>
      <c r="D633" s="147"/>
      <c r="E633" s="355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 ht="15.75" customHeight="1">
      <c r="A634" s="90"/>
      <c r="B634" s="145"/>
      <c r="C634" s="90"/>
      <c r="D634" s="147"/>
      <c r="E634" s="355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 ht="15.75" customHeight="1">
      <c r="A635" s="90"/>
      <c r="B635" s="145"/>
      <c r="C635" s="90"/>
      <c r="D635" s="147"/>
      <c r="E635" s="355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 ht="15.75" customHeight="1">
      <c r="A636" s="90"/>
      <c r="B636" s="145"/>
      <c r="C636" s="90"/>
      <c r="D636" s="147"/>
      <c r="E636" s="355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 ht="15.75" customHeight="1">
      <c r="A637" s="90"/>
      <c r="B637" s="145"/>
      <c r="C637" s="90"/>
      <c r="D637" s="147"/>
      <c r="E637" s="355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 ht="15.75" customHeight="1">
      <c r="A638" s="90"/>
      <c r="B638" s="145"/>
      <c r="C638" s="90"/>
      <c r="D638" s="147"/>
      <c r="E638" s="355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 ht="15.75" customHeight="1">
      <c r="A639" s="90"/>
      <c r="B639" s="145"/>
      <c r="C639" s="90"/>
      <c r="D639" s="147"/>
      <c r="E639" s="355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 ht="15.75" customHeight="1">
      <c r="A640" s="90"/>
      <c r="B640" s="145"/>
      <c r="C640" s="90"/>
      <c r="D640" s="147"/>
      <c r="E640" s="355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 ht="15.75" customHeight="1">
      <c r="A641" s="90"/>
      <c r="B641" s="145"/>
      <c r="C641" s="90"/>
      <c r="D641" s="147"/>
      <c r="E641" s="355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 ht="15.75" customHeight="1">
      <c r="A642" s="90"/>
      <c r="B642" s="145"/>
      <c r="C642" s="90"/>
      <c r="D642" s="147"/>
      <c r="E642" s="355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 ht="15.75" customHeight="1">
      <c r="A643" s="90"/>
      <c r="B643" s="145"/>
      <c r="C643" s="90"/>
      <c r="D643" s="147"/>
      <c r="E643" s="355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 ht="15.75" customHeight="1">
      <c r="A644" s="90"/>
      <c r="B644" s="145"/>
      <c r="C644" s="90"/>
      <c r="D644" s="147"/>
      <c r="E644" s="355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 ht="15.75" customHeight="1">
      <c r="A645" s="90"/>
      <c r="B645" s="145"/>
      <c r="C645" s="90"/>
      <c r="D645" s="147"/>
      <c r="E645" s="355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 ht="15.75" customHeight="1">
      <c r="A646" s="90"/>
      <c r="B646" s="145"/>
      <c r="C646" s="90"/>
      <c r="D646" s="147"/>
      <c r="E646" s="355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 ht="15.75" customHeight="1">
      <c r="A647" s="90"/>
      <c r="B647" s="145"/>
      <c r="C647" s="90"/>
      <c r="D647" s="147"/>
      <c r="E647" s="355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 ht="15.75" customHeight="1">
      <c r="A648" s="90"/>
      <c r="B648" s="145"/>
      <c r="C648" s="90"/>
      <c r="D648" s="147"/>
      <c r="E648" s="355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 ht="15.75" customHeight="1">
      <c r="A649" s="90"/>
      <c r="B649" s="145"/>
      <c r="C649" s="90"/>
      <c r="D649" s="147"/>
      <c r="E649" s="355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 ht="15.75" customHeight="1">
      <c r="A650" s="90"/>
      <c r="B650" s="145"/>
      <c r="C650" s="90"/>
      <c r="D650" s="147"/>
      <c r="E650" s="355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 ht="15.75" customHeight="1">
      <c r="A651" s="90"/>
      <c r="B651" s="145"/>
      <c r="C651" s="90"/>
      <c r="D651" s="147"/>
      <c r="E651" s="355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 ht="15.75" customHeight="1">
      <c r="A652" s="90"/>
      <c r="B652" s="145"/>
      <c r="C652" s="90"/>
      <c r="D652" s="147"/>
      <c r="E652" s="355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 ht="15.75" customHeight="1">
      <c r="A653" s="90"/>
      <c r="B653" s="145"/>
      <c r="C653" s="90"/>
      <c r="D653" s="147"/>
      <c r="E653" s="355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 ht="15.75" customHeight="1">
      <c r="A654" s="90"/>
      <c r="B654" s="145"/>
      <c r="C654" s="90"/>
      <c r="D654" s="147"/>
      <c r="E654" s="355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 ht="15.75" customHeight="1">
      <c r="A655" s="90"/>
      <c r="B655" s="145"/>
      <c r="C655" s="90"/>
      <c r="D655" s="147"/>
      <c r="E655" s="355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 ht="15.75" customHeight="1">
      <c r="A656" s="90"/>
      <c r="B656" s="145"/>
      <c r="C656" s="90"/>
      <c r="D656" s="147"/>
      <c r="E656" s="355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 ht="15.75" customHeight="1">
      <c r="A657" s="90"/>
      <c r="B657" s="145"/>
      <c r="C657" s="90"/>
      <c r="D657" s="147"/>
      <c r="E657" s="355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 ht="15.75" customHeight="1">
      <c r="A658" s="90"/>
      <c r="B658" s="145"/>
      <c r="C658" s="90"/>
      <c r="D658" s="147"/>
      <c r="E658" s="355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 ht="15.75" customHeight="1">
      <c r="A659" s="90"/>
      <c r="B659" s="145"/>
      <c r="C659" s="90"/>
      <c r="D659" s="147"/>
      <c r="E659" s="355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 ht="15.75" customHeight="1">
      <c r="A660" s="90"/>
      <c r="B660" s="145"/>
      <c r="C660" s="90"/>
      <c r="D660" s="147"/>
      <c r="E660" s="355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 ht="15.75" customHeight="1">
      <c r="A661" s="90"/>
      <c r="B661" s="145"/>
      <c r="C661" s="90"/>
      <c r="D661" s="147"/>
      <c r="E661" s="355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 ht="15.75" customHeight="1">
      <c r="A662" s="90"/>
      <c r="B662" s="145"/>
      <c r="C662" s="90"/>
      <c r="D662" s="147"/>
      <c r="E662" s="355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 ht="15.75" customHeight="1">
      <c r="A663" s="90"/>
      <c r="B663" s="145"/>
      <c r="C663" s="90"/>
      <c r="D663" s="147"/>
      <c r="E663" s="355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 ht="15.75" customHeight="1">
      <c r="A664" s="90"/>
      <c r="B664" s="145"/>
      <c r="C664" s="90"/>
      <c r="D664" s="147"/>
      <c r="E664" s="355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 ht="15.75" customHeight="1">
      <c r="A665" s="90"/>
      <c r="B665" s="145"/>
      <c r="C665" s="90"/>
      <c r="D665" s="147"/>
      <c r="E665" s="355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 ht="15.75" customHeight="1">
      <c r="A666" s="90"/>
      <c r="B666" s="145"/>
      <c r="C666" s="90"/>
      <c r="D666" s="147"/>
      <c r="E666" s="355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 ht="15.75" customHeight="1">
      <c r="A667" s="90"/>
      <c r="B667" s="145"/>
      <c r="C667" s="90"/>
      <c r="D667" s="147"/>
      <c r="E667" s="355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 ht="15.75" customHeight="1">
      <c r="A668" s="90"/>
      <c r="B668" s="145"/>
      <c r="C668" s="90"/>
      <c r="D668" s="147"/>
      <c r="E668" s="355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 ht="15.75" customHeight="1">
      <c r="A669" s="90"/>
      <c r="B669" s="145"/>
      <c r="C669" s="90"/>
      <c r="D669" s="147"/>
      <c r="E669" s="355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 ht="15.75" customHeight="1">
      <c r="A670" s="90"/>
      <c r="B670" s="145"/>
      <c r="C670" s="90"/>
      <c r="D670" s="147"/>
      <c r="E670" s="355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 ht="15.75" customHeight="1">
      <c r="A671" s="90"/>
      <c r="B671" s="145"/>
      <c r="C671" s="90"/>
      <c r="D671" s="147"/>
      <c r="E671" s="355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 ht="15.75" customHeight="1">
      <c r="A672" s="90"/>
      <c r="B672" s="145"/>
      <c r="C672" s="90"/>
      <c r="D672" s="147"/>
      <c r="E672" s="355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 ht="15.75" customHeight="1">
      <c r="A673" s="90"/>
      <c r="B673" s="145"/>
      <c r="C673" s="90"/>
      <c r="D673" s="147"/>
      <c r="E673" s="355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 ht="15.75" customHeight="1">
      <c r="A674" s="90"/>
      <c r="B674" s="145"/>
      <c r="C674" s="90"/>
      <c r="D674" s="147"/>
      <c r="E674" s="355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 ht="15.75" customHeight="1">
      <c r="A675" s="90"/>
      <c r="B675" s="145"/>
      <c r="C675" s="90"/>
      <c r="D675" s="147"/>
      <c r="E675" s="355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 ht="15.75" customHeight="1">
      <c r="A676" s="90"/>
      <c r="B676" s="145"/>
      <c r="C676" s="90"/>
      <c r="D676" s="147"/>
      <c r="E676" s="355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 ht="15.75" customHeight="1">
      <c r="A677" s="90"/>
      <c r="B677" s="145"/>
      <c r="C677" s="90"/>
      <c r="D677" s="147"/>
      <c r="E677" s="355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 ht="15.75" customHeight="1">
      <c r="A678" s="90"/>
      <c r="B678" s="145"/>
      <c r="C678" s="90"/>
      <c r="D678" s="147"/>
      <c r="E678" s="355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 ht="15.75" customHeight="1">
      <c r="A679" s="90"/>
      <c r="B679" s="145"/>
      <c r="C679" s="90"/>
      <c r="D679" s="147"/>
      <c r="E679" s="355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 ht="15.75" customHeight="1">
      <c r="A680" s="90"/>
      <c r="B680" s="145"/>
      <c r="C680" s="90"/>
      <c r="D680" s="147"/>
      <c r="E680" s="355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 ht="15.75" customHeight="1">
      <c r="A681" s="90"/>
      <c r="B681" s="145"/>
      <c r="C681" s="90"/>
      <c r="D681" s="147"/>
      <c r="E681" s="355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 ht="15.75" customHeight="1">
      <c r="A682" s="90"/>
      <c r="B682" s="145"/>
      <c r="C682" s="90"/>
      <c r="D682" s="147"/>
      <c r="E682" s="355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 ht="15.75" customHeight="1">
      <c r="A683" s="90"/>
      <c r="B683" s="145"/>
      <c r="C683" s="90"/>
      <c r="D683" s="147"/>
      <c r="E683" s="355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 ht="15.75" customHeight="1">
      <c r="A684" s="90"/>
      <c r="B684" s="145"/>
      <c r="C684" s="90"/>
      <c r="D684" s="147"/>
      <c r="E684" s="355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 ht="15.75" customHeight="1">
      <c r="A685" s="90"/>
      <c r="B685" s="145"/>
      <c r="C685" s="90"/>
      <c r="D685" s="147"/>
      <c r="E685" s="355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 ht="15.75" customHeight="1">
      <c r="A686" s="90"/>
      <c r="B686" s="145"/>
      <c r="C686" s="90"/>
      <c r="D686" s="147"/>
      <c r="E686" s="355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 ht="15.75" customHeight="1">
      <c r="A687" s="90"/>
      <c r="B687" s="145"/>
      <c r="C687" s="90"/>
      <c r="D687" s="147"/>
      <c r="E687" s="355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 ht="15.75" customHeight="1">
      <c r="A688" s="90"/>
      <c r="B688" s="145"/>
      <c r="C688" s="90"/>
      <c r="D688" s="147"/>
      <c r="E688" s="355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 ht="15.75" customHeight="1">
      <c r="A689" s="90"/>
      <c r="B689" s="145"/>
      <c r="C689" s="90"/>
      <c r="D689" s="147"/>
      <c r="E689" s="355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 ht="15.75" customHeight="1">
      <c r="A690" s="90"/>
      <c r="B690" s="145"/>
      <c r="C690" s="90"/>
      <c r="D690" s="147"/>
      <c r="E690" s="355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 ht="15.75" customHeight="1">
      <c r="A691" s="90"/>
      <c r="B691" s="145"/>
      <c r="C691" s="90"/>
      <c r="D691" s="147"/>
      <c r="E691" s="355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 ht="15.75" customHeight="1">
      <c r="A692" s="90"/>
      <c r="B692" s="145"/>
      <c r="C692" s="90"/>
      <c r="D692" s="147"/>
      <c r="E692" s="355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 ht="15.75" customHeight="1">
      <c r="A693" s="90"/>
      <c r="B693" s="145"/>
      <c r="C693" s="90"/>
      <c r="D693" s="147"/>
      <c r="E693" s="355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 ht="15.75" customHeight="1">
      <c r="A694" s="90"/>
      <c r="B694" s="145"/>
      <c r="C694" s="90"/>
      <c r="D694" s="147"/>
      <c r="E694" s="355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 ht="15.75" customHeight="1">
      <c r="A695" s="90"/>
      <c r="B695" s="145"/>
      <c r="C695" s="90"/>
      <c r="D695" s="147"/>
      <c r="E695" s="355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 ht="15.75" customHeight="1">
      <c r="A696" s="90"/>
      <c r="B696" s="145"/>
      <c r="C696" s="90"/>
      <c r="D696" s="147"/>
      <c r="E696" s="355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 ht="15.75" customHeight="1">
      <c r="A697" s="90"/>
      <c r="B697" s="145"/>
      <c r="C697" s="90"/>
      <c r="D697" s="147"/>
      <c r="E697" s="355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 ht="15.75" customHeight="1">
      <c r="A698" s="90"/>
      <c r="B698" s="145"/>
      <c r="C698" s="90"/>
      <c r="D698" s="147"/>
      <c r="E698" s="355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 ht="15.75" customHeight="1">
      <c r="A699" s="90"/>
      <c r="B699" s="145"/>
      <c r="C699" s="90"/>
      <c r="D699" s="147"/>
      <c r="E699" s="355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 ht="15.75" customHeight="1">
      <c r="A700" s="90"/>
      <c r="B700" s="145"/>
      <c r="C700" s="90"/>
      <c r="D700" s="147"/>
      <c r="E700" s="355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 ht="15.75" customHeight="1">
      <c r="A701" s="90"/>
      <c r="B701" s="145"/>
      <c r="C701" s="90"/>
      <c r="D701" s="147"/>
      <c r="E701" s="355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 ht="15.75" customHeight="1">
      <c r="A702" s="90"/>
      <c r="B702" s="145"/>
      <c r="C702" s="90"/>
      <c r="D702" s="147"/>
      <c r="E702" s="355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 ht="15.75" customHeight="1">
      <c r="A703" s="90"/>
      <c r="B703" s="145"/>
      <c r="C703" s="90"/>
      <c r="D703" s="147"/>
      <c r="E703" s="355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 ht="15.75" customHeight="1">
      <c r="A704" s="90"/>
      <c r="B704" s="145"/>
      <c r="C704" s="90"/>
      <c r="D704" s="147"/>
      <c r="E704" s="355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 ht="15.75" customHeight="1">
      <c r="A705" s="90"/>
      <c r="B705" s="145"/>
      <c r="C705" s="90"/>
      <c r="D705" s="147"/>
      <c r="E705" s="355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 ht="15.75" customHeight="1">
      <c r="A706" s="90"/>
      <c r="B706" s="145"/>
      <c r="C706" s="90"/>
      <c r="D706" s="147"/>
      <c r="E706" s="355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 ht="15.75" customHeight="1">
      <c r="A707" s="90"/>
      <c r="B707" s="145"/>
      <c r="C707" s="90"/>
      <c r="D707" s="147"/>
      <c r="E707" s="355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 ht="15.75" customHeight="1">
      <c r="A708" s="90"/>
      <c r="B708" s="145"/>
      <c r="C708" s="90"/>
      <c r="D708" s="147"/>
      <c r="E708" s="355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 ht="15.75" customHeight="1">
      <c r="A709" s="90"/>
      <c r="B709" s="145"/>
      <c r="C709" s="90"/>
      <c r="D709" s="147"/>
      <c r="E709" s="355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 ht="15.75" customHeight="1">
      <c r="A710" s="90"/>
      <c r="B710" s="145"/>
      <c r="C710" s="90"/>
      <c r="D710" s="147"/>
      <c r="E710" s="355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 ht="15.75" customHeight="1">
      <c r="A711" s="90"/>
      <c r="B711" s="145"/>
      <c r="C711" s="90"/>
      <c r="D711" s="147"/>
      <c r="E711" s="355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 ht="15.75" customHeight="1">
      <c r="A712" s="90"/>
      <c r="B712" s="145"/>
      <c r="C712" s="90"/>
      <c r="D712" s="147"/>
      <c r="E712" s="355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 ht="15.75" customHeight="1">
      <c r="A713" s="90"/>
      <c r="B713" s="145"/>
      <c r="C713" s="90"/>
      <c r="D713" s="147"/>
      <c r="E713" s="355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 ht="15.75" customHeight="1">
      <c r="A714" s="90"/>
      <c r="B714" s="145"/>
      <c r="C714" s="90"/>
      <c r="D714" s="147"/>
      <c r="E714" s="355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 ht="15.75" customHeight="1">
      <c r="A715" s="90"/>
      <c r="B715" s="145"/>
      <c r="C715" s="90"/>
      <c r="D715" s="147"/>
      <c r="E715" s="355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 ht="15.75" customHeight="1">
      <c r="A716" s="90"/>
      <c r="B716" s="145"/>
      <c r="C716" s="90"/>
      <c r="D716" s="147"/>
      <c r="E716" s="355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 ht="15.75" customHeight="1">
      <c r="A717" s="90"/>
      <c r="B717" s="145"/>
      <c r="C717" s="90"/>
      <c r="D717" s="147"/>
      <c r="E717" s="355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 ht="15.75" customHeight="1">
      <c r="A718" s="90"/>
      <c r="B718" s="145"/>
      <c r="C718" s="90"/>
      <c r="D718" s="147"/>
      <c r="E718" s="355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 ht="15.75" customHeight="1">
      <c r="A719" s="90"/>
      <c r="B719" s="145"/>
      <c r="C719" s="90"/>
      <c r="D719" s="147"/>
      <c r="E719" s="355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 ht="15.75" customHeight="1">
      <c r="A720" s="90"/>
      <c r="B720" s="145"/>
      <c r="C720" s="90"/>
      <c r="D720" s="147"/>
      <c r="E720" s="355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 ht="15.75" customHeight="1">
      <c r="A721" s="90"/>
      <c r="B721" s="145"/>
      <c r="C721" s="90"/>
      <c r="D721" s="147"/>
      <c r="E721" s="355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 ht="15.75" customHeight="1">
      <c r="A722" s="90"/>
      <c r="B722" s="145"/>
      <c r="C722" s="90"/>
      <c r="D722" s="147"/>
      <c r="E722" s="355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 ht="15.75" customHeight="1">
      <c r="A723" s="90"/>
      <c r="B723" s="145"/>
      <c r="C723" s="90"/>
      <c r="D723" s="147"/>
      <c r="E723" s="355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 ht="15.75" customHeight="1">
      <c r="A724" s="90"/>
      <c r="B724" s="145"/>
      <c r="C724" s="90"/>
      <c r="D724" s="147"/>
      <c r="E724" s="355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 ht="15.75" customHeight="1">
      <c r="A725" s="90"/>
      <c r="B725" s="145"/>
      <c r="C725" s="90"/>
      <c r="D725" s="147"/>
      <c r="E725" s="355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 ht="15.75" customHeight="1">
      <c r="A726" s="90"/>
      <c r="B726" s="145"/>
      <c r="C726" s="90"/>
      <c r="D726" s="147"/>
      <c r="E726" s="355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 ht="15.75" customHeight="1">
      <c r="A727" s="90"/>
      <c r="B727" s="145"/>
      <c r="C727" s="90"/>
      <c r="D727" s="147"/>
      <c r="E727" s="355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 ht="15.75" customHeight="1">
      <c r="A728" s="90"/>
      <c r="B728" s="145"/>
      <c r="C728" s="90"/>
      <c r="D728" s="147"/>
      <c r="E728" s="355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 ht="15.75" customHeight="1">
      <c r="A729" s="90"/>
      <c r="B729" s="145"/>
      <c r="C729" s="90"/>
      <c r="D729" s="147"/>
      <c r="E729" s="355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 ht="15.75" customHeight="1">
      <c r="A730" s="90"/>
      <c r="B730" s="145"/>
      <c r="C730" s="90"/>
      <c r="D730" s="147"/>
      <c r="E730" s="355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 ht="15.75" customHeight="1">
      <c r="A731" s="90"/>
      <c r="B731" s="145"/>
      <c r="C731" s="90"/>
      <c r="D731" s="147"/>
      <c r="E731" s="355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 ht="15.75" customHeight="1">
      <c r="A732" s="90"/>
      <c r="B732" s="145"/>
      <c r="C732" s="90"/>
      <c r="D732" s="147"/>
      <c r="E732" s="355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 ht="15.75" customHeight="1">
      <c r="A733" s="90"/>
      <c r="B733" s="145"/>
      <c r="C733" s="90"/>
      <c r="D733" s="147"/>
      <c r="E733" s="355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 ht="15.75" customHeight="1">
      <c r="A734" s="90"/>
      <c r="B734" s="145"/>
      <c r="C734" s="90"/>
      <c r="D734" s="147"/>
      <c r="E734" s="355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 ht="15.75" customHeight="1">
      <c r="A735" s="90"/>
      <c r="B735" s="145"/>
      <c r="C735" s="90"/>
      <c r="D735" s="147"/>
      <c r="E735" s="355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 ht="15.75" customHeight="1">
      <c r="A736" s="90"/>
      <c r="B736" s="145"/>
      <c r="C736" s="90"/>
      <c r="D736" s="147"/>
      <c r="E736" s="355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 ht="15.75" customHeight="1">
      <c r="A737" s="90"/>
      <c r="B737" s="145"/>
      <c r="C737" s="90"/>
      <c r="D737" s="147"/>
      <c r="E737" s="355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 ht="15.75" customHeight="1">
      <c r="A738" s="90"/>
      <c r="B738" s="145"/>
      <c r="C738" s="90"/>
      <c r="D738" s="147"/>
      <c r="E738" s="355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 ht="15.75" customHeight="1">
      <c r="A739" s="90"/>
      <c r="B739" s="145"/>
      <c r="C739" s="90"/>
      <c r="D739" s="147"/>
      <c r="E739" s="355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 ht="15.75" customHeight="1">
      <c r="A740" s="90"/>
      <c r="B740" s="145"/>
      <c r="C740" s="90"/>
      <c r="D740" s="147"/>
      <c r="E740" s="355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 ht="15.75" customHeight="1">
      <c r="A741" s="90"/>
      <c r="B741" s="145"/>
      <c r="C741" s="90"/>
      <c r="D741" s="147"/>
      <c r="E741" s="355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 ht="15.75" customHeight="1">
      <c r="A742" s="90"/>
      <c r="B742" s="145"/>
      <c r="C742" s="90"/>
      <c r="D742" s="147"/>
      <c r="E742" s="355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 ht="15.75" customHeight="1">
      <c r="A743" s="90"/>
      <c r="B743" s="145"/>
      <c r="C743" s="90"/>
      <c r="D743" s="147"/>
      <c r="E743" s="355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 ht="15.75" customHeight="1">
      <c r="A744" s="90"/>
      <c r="B744" s="145"/>
      <c r="C744" s="90"/>
      <c r="D744" s="147"/>
      <c r="E744" s="355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 ht="15.75" customHeight="1">
      <c r="A745" s="90"/>
      <c r="B745" s="145"/>
      <c r="C745" s="90"/>
      <c r="D745" s="147"/>
      <c r="E745" s="355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 ht="15.75" customHeight="1">
      <c r="A746" s="90"/>
      <c r="B746" s="145"/>
      <c r="C746" s="90"/>
      <c r="D746" s="147"/>
      <c r="E746" s="355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 ht="15.75" customHeight="1">
      <c r="A747" s="90"/>
      <c r="B747" s="145"/>
      <c r="C747" s="90"/>
      <c r="D747" s="147"/>
      <c r="E747" s="355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 ht="15.75" customHeight="1">
      <c r="A748" s="90"/>
      <c r="B748" s="145"/>
      <c r="C748" s="90"/>
      <c r="D748" s="147"/>
      <c r="E748" s="355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 ht="15.75" customHeight="1">
      <c r="A749" s="90"/>
      <c r="B749" s="145"/>
      <c r="C749" s="90"/>
      <c r="D749" s="147"/>
      <c r="E749" s="355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 ht="15.75" customHeight="1">
      <c r="A750" s="90"/>
      <c r="B750" s="145"/>
      <c r="C750" s="90"/>
      <c r="D750" s="147"/>
      <c r="E750" s="355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 ht="15.75" customHeight="1">
      <c r="A751" s="90"/>
      <c r="B751" s="145"/>
      <c r="C751" s="90"/>
      <c r="D751" s="147"/>
      <c r="E751" s="355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 ht="15.75" customHeight="1">
      <c r="A752" s="90"/>
      <c r="B752" s="145"/>
      <c r="C752" s="90"/>
      <c r="D752" s="147"/>
      <c r="E752" s="355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 ht="15.75" customHeight="1">
      <c r="A753" s="90"/>
      <c r="B753" s="145"/>
      <c r="C753" s="90"/>
      <c r="D753" s="147"/>
      <c r="E753" s="355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 ht="15.75" customHeight="1">
      <c r="A754" s="90"/>
      <c r="B754" s="145"/>
      <c r="C754" s="90"/>
      <c r="D754" s="147"/>
      <c r="E754" s="355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 ht="15.75" customHeight="1">
      <c r="A755" s="90"/>
      <c r="B755" s="145"/>
      <c r="C755" s="90"/>
      <c r="D755" s="147"/>
      <c r="E755" s="355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 ht="15.75" customHeight="1">
      <c r="A756" s="90"/>
      <c r="B756" s="145"/>
      <c r="C756" s="90"/>
      <c r="D756" s="147"/>
      <c r="E756" s="355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 ht="15.75" customHeight="1">
      <c r="A757" s="90"/>
      <c r="B757" s="145"/>
      <c r="C757" s="90"/>
      <c r="D757" s="147"/>
      <c r="E757" s="355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 ht="15.75" customHeight="1">
      <c r="A758" s="90"/>
      <c r="B758" s="145"/>
      <c r="C758" s="90"/>
      <c r="D758" s="147"/>
      <c r="E758" s="355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 ht="15.75" customHeight="1">
      <c r="A759" s="90"/>
      <c r="B759" s="145"/>
      <c r="C759" s="90"/>
      <c r="D759" s="147"/>
      <c r="E759" s="355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 ht="15.75" customHeight="1">
      <c r="A760" s="90"/>
      <c r="B760" s="145"/>
      <c r="C760" s="90"/>
      <c r="D760" s="147"/>
      <c r="E760" s="355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 ht="15.75" customHeight="1">
      <c r="A761" s="90"/>
      <c r="B761" s="145"/>
      <c r="C761" s="90"/>
      <c r="D761" s="147"/>
      <c r="E761" s="355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 ht="15.75" customHeight="1">
      <c r="A762" s="90"/>
      <c r="B762" s="145"/>
      <c r="C762" s="90"/>
      <c r="D762" s="147"/>
      <c r="E762" s="355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 ht="15.75" customHeight="1">
      <c r="A763" s="90"/>
      <c r="B763" s="145"/>
      <c r="C763" s="90"/>
      <c r="D763" s="147"/>
      <c r="E763" s="355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 ht="15.75" customHeight="1">
      <c r="A764" s="90"/>
      <c r="B764" s="145"/>
      <c r="C764" s="90"/>
      <c r="D764" s="147"/>
      <c r="E764" s="355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 ht="15.75" customHeight="1">
      <c r="A765" s="90"/>
      <c r="B765" s="145"/>
      <c r="C765" s="90"/>
      <c r="D765" s="147"/>
      <c r="E765" s="355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 ht="15.75" customHeight="1">
      <c r="A766" s="90"/>
      <c r="B766" s="145"/>
      <c r="C766" s="90"/>
      <c r="D766" s="147"/>
      <c r="E766" s="355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 ht="15.75" customHeight="1">
      <c r="A767" s="90"/>
      <c r="B767" s="145"/>
      <c r="C767" s="90"/>
      <c r="D767" s="147"/>
      <c r="E767" s="355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 ht="15.75" customHeight="1">
      <c r="A768" s="90"/>
      <c r="B768" s="145"/>
      <c r="C768" s="90"/>
      <c r="D768" s="147"/>
      <c r="E768" s="355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 ht="15.75" customHeight="1">
      <c r="A769" s="90"/>
      <c r="B769" s="145"/>
      <c r="C769" s="90"/>
      <c r="D769" s="147"/>
      <c r="E769" s="355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 ht="15.75" customHeight="1">
      <c r="A770" s="90"/>
      <c r="B770" s="145"/>
      <c r="C770" s="90"/>
      <c r="D770" s="147"/>
      <c r="E770" s="355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 ht="15.75" customHeight="1">
      <c r="A771" s="90"/>
      <c r="B771" s="145"/>
      <c r="C771" s="90"/>
      <c r="D771" s="147"/>
      <c r="E771" s="355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 ht="15.75" customHeight="1">
      <c r="A772" s="90"/>
      <c r="B772" s="145"/>
      <c r="C772" s="90"/>
      <c r="D772" s="147"/>
      <c r="E772" s="355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 ht="15.75" customHeight="1">
      <c r="A773" s="90"/>
      <c r="B773" s="145"/>
      <c r="C773" s="90"/>
      <c r="D773" s="147"/>
      <c r="E773" s="355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 ht="15.75" customHeight="1">
      <c r="A774" s="90"/>
      <c r="B774" s="145"/>
      <c r="C774" s="90"/>
      <c r="D774" s="147"/>
      <c r="E774" s="355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 ht="15.75" customHeight="1">
      <c r="A775" s="90"/>
      <c r="B775" s="145"/>
      <c r="C775" s="90"/>
      <c r="D775" s="147"/>
      <c r="E775" s="355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 ht="15.75" customHeight="1">
      <c r="A776" s="90"/>
      <c r="B776" s="145"/>
      <c r="C776" s="90"/>
      <c r="D776" s="147"/>
      <c r="E776" s="355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 ht="15.75" customHeight="1">
      <c r="A777" s="90"/>
      <c r="B777" s="145"/>
      <c r="C777" s="90"/>
      <c r="D777" s="147"/>
      <c r="E777" s="355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 ht="15.75" customHeight="1">
      <c r="A778" s="90"/>
      <c r="B778" s="145"/>
      <c r="C778" s="90"/>
      <c r="D778" s="147"/>
      <c r="E778" s="355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 ht="15.75" customHeight="1">
      <c r="A779" s="90"/>
      <c r="B779" s="145"/>
      <c r="C779" s="90"/>
      <c r="D779" s="147"/>
      <c r="E779" s="355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 ht="15.75" customHeight="1">
      <c r="A780" s="90"/>
      <c r="B780" s="145"/>
      <c r="C780" s="90"/>
      <c r="D780" s="147"/>
      <c r="E780" s="355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 ht="15.75" customHeight="1">
      <c r="A781" s="90"/>
      <c r="B781" s="145"/>
      <c r="C781" s="90"/>
      <c r="D781" s="147"/>
      <c r="E781" s="355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 ht="15.75" customHeight="1">
      <c r="A782" s="90"/>
      <c r="B782" s="145"/>
      <c r="C782" s="90"/>
      <c r="D782" s="147"/>
      <c r="E782" s="355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 ht="15.75" customHeight="1">
      <c r="A783" s="90"/>
      <c r="B783" s="145"/>
      <c r="C783" s="90"/>
      <c r="D783" s="147"/>
      <c r="E783" s="355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 ht="15.75" customHeight="1">
      <c r="A784" s="90"/>
      <c r="B784" s="145"/>
      <c r="C784" s="90"/>
      <c r="D784" s="147"/>
      <c r="E784" s="355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 ht="15.75" customHeight="1">
      <c r="A785" s="90"/>
      <c r="B785" s="145"/>
      <c r="C785" s="90"/>
      <c r="D785" s="147"/>
      <c r="E785" s="355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 ht="15.75" customHeight="1">
      <c r="A786" s="90"/>
      <c r="B786" s="145"/>
      <c r="C786" s="90"/>
      <c r="D786" s="147"/>
      <c r="E786" s="355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 ht="15.75" customHeight="1">
      <c r="A787" s="90"/>
      <c r="B787" s="145"/>
      <c r="C787" s="90"/>
      <c r="D787" s="147"/>
      <c r="E787" s="355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 ht="15.75" customHeight="1">
      <c r="A788" s="90"/>
      <c r="B788" s="145"/>
      <c r="C788" s="90"/>
      <c r="D788" s="147"/>
      <c r="E788" s="355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 ht="15.75" customHeight="1">
      <c r="A789" s="90"/>
      <c r="B789" s="145"/>
      <c r="C789" s="90"/>
      <c r="D789" s="147"/>
      <c r="E789" s="355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 ht="15.75" customHeight="1">
      <c r="A790" s="90"/>
      <c r="B790" s="145"/>
      <c r="C790" s="90"/>
      <c r="D790" s="147"/>
      <c r="E790" s="355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 ht="15.75" customHeight="1">
      <c r="A791" s="90"/>
      <c r="B791" s="145"/>
      <c r="C791" s="90"/>
      <c r="D791" s="147"/>
      <c r="E791" s="355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 ht="15.75" customHeight="1">
      <c r="A792" s="90"/>
      <c r="B792" s="145"/>
      <c r="C792" s="90"/>
      <c r="D792" s="147"/>
      <c r="E792" s="355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 ht="15.75" customHeight="1">
      <c r="A793" s="90"/>
      <c r="B793" s="145"/>
      <c r="C793" s="90"/>
      <c r="D793" s="147"/>
      <c r="E793" s="355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 ht="15.75" customHeight="1">
      <c r="A794" s="90"/>
      <c r="B794" s="145"/>
      <c r="C794" s="90"/>
      <c r="D794" s="147"/>
      <c r="E794" s="355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 ht="15.75" customHeight="1">
      <c r="A795" s="90"/>
      <c r="B795" s="145"/>
      <c r="C795" s="90"/>
      <c r="D795" s="147"/>
      <c r="E795" s="355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 ht="15.75" customHeight="1">
      <c r="A796" s="90"/>
      <c r="B796" s="145"/>
      <c r="C796" s="90"/>
      <c r="D796" s="147"/>
      <c r="E796" s="355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 ht="15.75" customHeight="1">
      <c r="A797" s="90"/>
      <c r="B797" s="145"/>
      <c r="C797" s="90"/>
      <c r="D797" s="147"/>
      <c r="E797" s="355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 ht="15.75" customHeight="1">
      <c r="A798" s="90"/>
      <c r="B798" s="145"/>
      <c r="C798" s="90"/>
      <c r="D798" s="147"/>
      <c r="E798" s="355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 ht="15.75" customHeight="1">
      <c r="A799" s="90"/>
      <c r="B799" s="145"/>
      <c r="C799" s="90"/>
      <c r="D799" s="147"/>
      <c r="E799" s="355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 ht="15.75" customHeight="1">
      <c r="A800" s="90"/>
      <c r="B800" s="145"/>
      <c r="C800" s="90"/>
      <c r="D800" s="147"/>
      <c r="E800" s="355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 ht="15.75" customHeight="1">
      <c r="A801" s="90"/>
      <c r="B801" s="145"/>
      <c r="C801" s="90"/>
      <c r="D801" s="147"/>
      <c r="E801" s="355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 ht="15.75" customHeight="1">
      <c r="A802" s="90"/>
      <c r="B802" s="145"/>
      <c r="C802" s="90"/>
      <c r="D802" s="147"/>
      <c r="E802" s="355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 ht="15.75" customHeight="1">
      <c r="A803" s="90"/>
      <c r="B803" s="145"/>
      <c r="C803" s="90"/>
      <c r="D803" s="147"/>
      <c r="E803" s="355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 ht="15.75" customHeight="1">
      <c r="A804" s="90"/>
      <c r="B804" s="145"/>
      <c r="C804" s="90"/>
      <c r="D804" s="147"/>
      <c r="E804" s="355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 ht="15.75" customHeight="1">
      <c r="A805" s="90"/>
      <c r="B805" s="145"/>
      <c r="C805" s="90"/>
      <c r="D805" s="147"/>
      <c r="E805" s="355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 ht="15.75" customHeight="1">
      <c r="A806" s="90"/>
      <c r="B806" s="145"/>
      <c r="C806" s="90"/>
      <c r="D806" s="147"/>
      <c r="E806" s="355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 ht="15.75" customHeight="1">
      <c r="A807" s="90"/>
      <c r="B807" s="145"/>
      <c r="C807" s="90"/>
      <c r="D807" s="147"/>
      <c r="E807" s="355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 ht="15.75" customHeight="1">
      <c r="A808" s="90"/>
      <c r="B808" s="145"/>
      <c r="C808" s="90"/>
      <c r="D808" s="147"/>
      <c r="E808" s="355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 ht="15.75" customHeight="1">
      <c r="A809" s="90"/>
      <c r="B809" s="145"/>
      <c r="C809" s="90"/>
      <c r="D809" s="147"/>
      <c r="E809" s="355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 ht="15.75" customHeight="1">
      <c r="A810" s="90"/>
      <c r="B810" s="145"/>
      <c r="C810" s="90"/>
      <c r="D810" s="147"/>
      <c r="E810" s="355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 ht="15.75" customHeight="1">
      <c r="A811" s="90"/>
      <c r="B811" s="145"/>
      <c r="C811" s="90"/>
      <c r="D811" s="147"/>
      <c r="E811" s="355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 ht="15.75" customHeight="1">
      <c r="A812" s="90"/>
      <c r="B812" s="145"/>
      <c r="C812" s="90"/>
      <c r="D812" s="147"/>
      <c r="E812" s="355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 ht="15.75" customHeight="1">
      <c r="A813" s="90"/>
      <c r="B813" s="145"/>
      <c r="C813" s="90"/>
      <c r="D813" s="147"/>
      <c r="E813" s="355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 ht="15.75" customHeight="1">
      <c r="A814" s="90"/>
      <c r="B814" s="145"/>
      <c r="C814" s="90"/>
      <c r="D814" s="147"/>
      <c r="E814" s="355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 ht="15.75" customHeight="1">
      <c r="A815" s="90"/>
      <c r="B815" s="145"/>
      <c r="C815" s="90"/>
      <c r="D815" s="147"/>
      <c r="E815" s="355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 ht="15.75" customHeight="1">
      <c r="A816" s="90"/>
      <c r="B816" s="145"/>
      <c r="C816" s="90"/>
      <c r="D816" s="147"/>
      <c r="E816" s="355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 ht="15.75" customHeight="1">
      <c r="A817" s="90"/>
      <c r="B817" s="145"/>
      <c r="C817" s="90"/>
      <c r="D817" s="147"/>
      <c r="E817" s="355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 ht="15.75" customHeight="1">
      <c r="A818" s="90"/>
      <c r="B818" s="145"/>
      <c r="C818" s="90"/>
      <c r="D818" s="147"/>
      <c r="E818" s="355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 ht="15.75" customHeight="1">
      <c r="A819" s="90"/>
      <c r="B819" s="145"/>
      <c r="C819" s="90"/>
      <c r="D819" s="147"/>
      <c r="E819" s="355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 ht="15.75" customHeight="1">
      <c r="A820" s="90"/>
      <c r="B820" s="145"/>
      <c r="C820" s="90"/>
      <c r="D820" s="147"/>
      <c r="E820" s="355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 ht="15.75" customHeight="1">
      <c r="A821" s="90"/>
      <c r="B821" s="145"/>
      <c r="C821" s="90"/>
      <c r="D821" s="147"/>
      <c r="E821" s="355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 ht="15.75" customHeight="1">
      <c r="A822" s="90"/>
      <c r="B822" s="145"/>
      <c r="C822" s="90"/>
      <c r="D822" s="147"/>
      <c r="E822" s="355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 ht="15.75" customHeight="1">
      <c r="A823" s="90"/>
      <c r="B823" s="145"/>
      <c r="C823" s="90"/>
      <c r="D823" s="147"/>
      <c r="E823" s="355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 ht="15.75" customHeight="1">
      <c r="A824" s="90"/>
      <c r="B824" s="145"/>
      <c r="C824" s="90"/>
      <c r="D824" s="147"/>
      <c r="E824" s="355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 ht="15.75" customHeight="1">
      <c r="A825" s="90"/>
      <c r="B825" s="145"/>
      <c r="C825" s="90"/>
      <c r="D825" s="147"/>
      <c r="E825" s="355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 ht="15.75" customHeight="1">
      <c r="A826" s="90"/>
      <c r="B826" s="145"/>
      <c r="C826" s="90"/>
      <c r="D826" s="147"/>
      <c r="E826" s="355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 ht="15.75" customHeight="1">
      <c r="A827" s="90"/>
      <c r="B827" s="145"/>
      <c r="C827" s="90"/>
      <c r="D827" s="147"/>
      <c r="E827" s="355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 ht="15.75" customHeight="1">
      <c r="A828" s="90"/>
      <c r="B828" s="145"/>
      <c r="C828" s="90"/>
      <c r="D828" s="147"/>
      <c r="E828" s="355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 ht="15.75" customHeight="1">
      <c r="A829" s="90"/>
      <c r="B829" s="145"/>
      <c r="C829" s="90"/>
      <c r="D829" s="147"/>
      <c r="E829" s="355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 ht="15.75" customHeight="1">
      <c r="A830" s="90"/>
      <c r="B830" s="145"/>
      <c r="C830" s="90"/>
      <c r="D830" s="147"/>
      <c r="E830" s="355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 ht="15.75" customHeight="1">
      <c r="A831" s="90"/>
      <c r="B831" s="145"/>
      <c r="C831" s="90"/>
      <c r="D831" s="147"/>
      <c r="E831" s="355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</row>
    <row r="832" ht="15.75" customHeight="1">
      <c r="A832" s="90"/>
      <c r="B832" s="145"/>
      <c r="C832" s="90"/>
      <c r="D832" s="147"/>
      <c r="E832" s="355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 ht="15.75" customHeight="1">
      <c r="A833" s="90"/>
      <c r="B833" s="145"/>
      <c r="C833" s="90"/>
      <c r="D833" s="147"/>
      <c r="E833" s="355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 ht="15.75" customHeight="1">
      <c r="A834" s="90"/>
      <c r="B834" s="145"/>
      <c r="C834" s="90"/>
      <c r="D834" s="147"/>
      <c r="E834" s="355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 ht="15.75" customHeight="1">
      <c r="A835" s="90"/>
      <c r="B835" s="145"/>
      <c r="C835" s="90"/>
      <c r="D835" s="147"/>
      <c r="E835" s="355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 ht="15.75" customHeight="1">
      <c r="A836" s="90"/>
      <c r="B836" s="145"/>
      <c r="C836" s="90"/>
      <c r="D836" s="147"/>
      <c r="E836" s="355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</row>
    <row r="837" ht="15.75" customHeight="1">
      <c r="A837" s="90"/>
      <c r="B837" s="145"/>
      <c r="C837" s="90"/>
      <c r="D837" s="147"/>
      <c r="E837" s="355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</row>
    <row r="838" ht="15.75" customHeight="1">
      <c r="A838" s="90"/>
      <c r="B838" s="145"/>
      <c r="C838" s="90"/>
      <c r="D838" s="147"/>
      <c r="E838" s="355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</row>
    <row r="839" ht="15.75" customHeight="1">
      <c r="A839" s="90"/>
      <c r="B839" s="145"/>
      <c r="C839" s="90"/>
      <c r="D839" s="147"/>
      <c r="E839" s="355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</row>
    <row r="840" ht="15.75" customHeight="1">
      <c r="A840" s="90"/>
      <c r="B840" s="145"/>
      <c r="C840" s="90"/>
      <c r="D840" s="147"/>
      <c r="E840" s="355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</row>
    <row r="841" ht="15.75" customHeight="1">
      <c r="A841" s="90"/>
      <c r="B841" s="145"/>
      <c r="C841" s="90"/>
      <c r="D841" s="147"/>
      <c r="E841" s="355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</row>
    <row r="842" ht="15.75" customHeight="1">
      <c r="A842" s="90"/>
      <c r="B842" s="145"/>
      <c r="C842" s="90"/>
      <c r="D842" s="147"/>
      <c r="E842" s="355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</row>
    <row r="843" ht="15.75" customHeight="1">
      <c r="A843" s="90"/>
      <c r="B843" s="145"/>
      <c r="C843" s="90"/>
      <c r="D843" s="147"/>
      <c r="E843" s="355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 ht="15.75" customHeight="1">
      <c r="A844" s="90"/>
      <c r="B844" s="145"/>
      <c r="C844" s="90"/>
      <c r="D844" s="147"/>
      <c r="E844" s="355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</row>
    <row r="845" ht="15.75" customHeight="1">
      <c r="A845" s="90"/>
      <c r="B845" s="145"/>
      <c r="C845" s="90"/>
      <c r="D845" s="147"/>
      <c r="E845" s="355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</row>
    <row r="846" ht="15.75" customHeight="1">
      <c r="A846" s="90"/>
      <c r="B846" s="145"/>
      <c r="C846" s="90"/>
      <c r="D846" s="147"/>
      <c r="E846" s="355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</row>
    <row r="847" ht="15.75" customHeight="1">
      <c r="A847" s="90"/>
      <c r="B847" s="145"/>
      <c r="C847" s="90"/>
      <c r="D847" s="147"/>
      <c r="E847" s="355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</row>
    <row r="848" ht="15.75" customHeight="1">
      <c r="A848" s="90"/>
      <c r="B848" s="145"/>
      <c r="C848" s="90"/>
      <c r="D848" s="147"/>
      <c r="E848" s="355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 ht="15.75" customHeight="1">
      <c r="A849" s="90"/>
      <c r="B849" s="145"/>
      <c r="C849" s="90"/>
      <c r="D849" s="147"/>
      <c r="E849" s="355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 ht="15.75" customHeight="1">
      <c r="A850" s="90"/>
      <c r="B850" s="145"/>
      <c r="C850" s="90"/>
      <c r="D850" s="147"/>
      <c r="E850" s="355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 ht="15.75" customHeight="1">
      <c r="A851" s="90"/>
      <c r="B851" s="145"/>
      <c r="C851" s="90"/>
      <c r="D851" s="147"/>
      <c r="E851" s="355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 ht="15.75" customHeight="1">
      <c r="A852" s="90"/>
      <c r="B852" s="145"/>
      <c r="C852" s="90"/>
      <c r="D852" s="147"/>
      <c r="E852" s="355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 ht="15.75" customHeight="1">
      <c r="A853" s="90"/>
      <c r="B853" s="145"/>
      <c r="C853" s="90"/>
      <c r="D853" s="147"/>
      <c r="E853" s="355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 ht="15.75" customHeight="1">
      <c r="A854" s="90"/>
      <c r="B854" s="145"/>
      <c r="C854" s="90"/>
      <c r="D854" s="147"/>
      <c r="E854" s="355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 ht="15.75" customHeight="1">
      <c r="A855" s="90"/>
      <c r="B855" s="145"/>
      <c r="C855" s="90"/>
      <c r="D855" s="147"/>
      <c r="E855" s="355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 ht="15.75" customHeight="1">
      <c r="A856" s="90"/>
      <c r="B856" s="145"/>
      <c r="C856" s="90"/>
      <c r="D856" s="147"/>
      <c r="E856" s="355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 ht="15.75" customHeight="1">
      <c r="A857" s="90"/>
      <c r="B857" s="145"/>
      <c r="C857" s="90"/>
      <c r="D857" s="147"/>
      <c r="E857" s="355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 ht="15.75" customHeight="1">
      <c r="A858" s="90"/>
      <c r="B858" s="145"/>
      <c r="C858" s="90"/>
      <c r="D858" s="147"/>
      <c r="E858" s="355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 ht="15.75" customHeight="1">
      <c r="A859" s="90"/>
      <c r="B859" s="145"/>
      <c r="C859" s="90"/>
      <c r="D859" s="147"/>
      <c r="E859" s="355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 ht="15.75" customHeight="1">
      <c r="A860" s="90"/>
      <c r="B860" s="145"/>
      <c r="C860" s="90"/>
      <c r="D860" s="147"/>
      <c r="E860" s="355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 ht="15.75" customHeight="1">
      <c r="A861" s="90"/>
      <c r="B861" s="145"/>
      <c r="C861" s="90"/>
      <c r="D861" s="147"/>
      <c r="E861" s="355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 ht="15.75" customHeight="1">
      <c r="A862" s="90"/>
      <c r="B862" s="145"/>
      <c r="C862" s="90"/>
      <c r="D862" s="147"/>
      <c r="E862" s="355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 ht="15.75" customHeight="1">
      <c r="A863" s="90"/>
      <c r="B863" s="145"/>
      <c r="C863" s="90"/>
      <c r="D863" s="147"/>
      <c r="E863" s="355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 ht="15.75" customHeight="1">
      <c r="A864" s="90"/>
      <c r="B864" s="145"/>
      <c r="C864" s="90"/>
      <c r="D864" s="147"/>
      <c r="E864" s="355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 ht="15.75" customHeight="1">
      <c r="A865" s="90"/>
      <c r="B865" s="145"/>
      <c r="C865" s="90"/>
      <c r="D865" s="147"/>
      <c r="E865" s="355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 ht="15.75" customHeight="1">
      <c r="A866" s="90"/>
      <c r="B866" s="145"/>
      <c r="C866" s="90"/>
      <c r="D866" s="147"/>
      <c r="E866" s="355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 ht="15.75" customHeight="1">
      <c r="A867" s="90"/>
      <c r="B867" s="145"/>
      <c r="C867" s="90"/>
      <c r="D867" s="147"/>
      <c r="E867" s="355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 ht="15.75" customHeight="1">
      <c r="A868" s="90"/>
      <c r="B868" s="145"/>
      <c r="C868" s="90"/>
      <c r="D868" s="147"/>
      <c r="E868" s="355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 ht="15.75" customHeight="1">
      <c r="A869" s="90"/>
      <c r="B869" s="145"/>
      <c r="C869" s="90"/>
      <c r="D869" s="147"/>
      <c r="E869" s="355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 ht="15.75" customHeight="1">
      <c r="A870" s="90"/>
      <c r="B870" s="145"/>
      <c r="C870" s="90"/>
      <c r="D870" s="147"/>
      <c r="E870" s="355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 ht="15.75" customHeight="1">
      <c r="A871" s="90"/>
      <c r="B871" s="145"/>
      <c r="C871" s="90"/>
      <c r="D871" s="147"/>
      <c r="E871" s="355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 ht="15.75" customHeight="1">
      <c r="A872" s="90"/>
      <c r="B872" s="145"/>
      <c r="C872" s="90"/>
      <c r="D872" s="147"/>
      <c r="E872" s="355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 ht="15.75" customHeight="1">
      <c r="A873" s="90"/>
      <c r="B873" s="145"/>
      <c r="C873" s="90"/>
      <c r="D873" s="147"/>
      <c r="E873" s="355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 ht="15.75" customHeight="1">
      <c r="A874" s="90"/>
      <c r="B874" s="145"/>
      <c r="C874" s="90"/>
      <c r="D874" s="147"/>
      <c r="E874" s="355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 ht="15.75" customHeight="1">
      <c r="A875" s="90"/>
      <c r="B875" s="145"/>
      <c r="C875" s="90"/>
      <c r="D875" s="147"/>
      <c r="E875" s="355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 ht="15.75" customHeight="1">
      <c r="A876" s="90"/>
      <c r="B876" s="145"/>
      <c r="C876" s="90"/>
      <c r="D876" s="147"/>
      <c r="E876" s="355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 ht="15.75" customHeight="1">
      <c r="A877" s="90"/>
      <c r="B877" s="145"/>
      <c r="C877" s="90"/>
      <c r="D877" s="147"/>
      <c r="E877" s="355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 ht="15.75" customHeight="1">
      <c r="A878" s="90"/>
      <c r="B878" s="145"/>
      <c r="C878" s="90"/>
      <c r="D878" s="147"/>
      <c r="E878" s="355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 ht="15.75" customHeight="1">
      <c r="A879" s="90"/>
      <c r="B879" s="145"/>
      <c r="C879" s="90"/>
      <c r="D879" s="147"/>
      <c r="E879" s="355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 ht="15.75" customHeight="1">
      <c r="A880" s="90"/>
      <c r="B880" s="145"/>
      <c r="C880" s="90"/>
      <c r="D880" s="147"/>
      <c r="E880" s="355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 ht="15.75" customHeight="1">
      <c r="A881" s="90"/>
      <c r="B881" s="145"/>
      <c r="C881" s="90"/>
      <c r="D881" s="147"/>
      <c r="E881" s="355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 ht="15.75" customHeight="1">
      <c r="A882" s="90"/>
      <c r="B882" s="145"/>
      <c r="C882" s="90"/>
      <c r="D882" s="147"/>
      <c r="E882" s="355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 ht="15.75" customHeight="1">
      <c r="A883" s="90"/>
      <c r="B883" s="145"/>
      <c r="C883" s="90"/>
      <c r="D883" s="147"/>
      <c r="E883" s="355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 ht="15.75" customHeight="1">
      <c r="A884" s="90"/>
      <c r="B884" s="145"/>
      <c r="C884" s="90"/>
      <c r="D884" s="147"/>
      <c r="E884" s="355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 ht="15.75" customHeight="1">
      <c r="A885" s="90"/>
      <c r="B885" s="145"/>
      <c r="C885" s="90"/>
      <c r="D885" s="147"/>
      <c r="E885" s="355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 ht="15.75" customHeight="1">
      <c r="A886" s="90"/>
      <c r="B886" s="145"/>
      <c r="C886" s="90"/>
      <c r="D886" s="147"/>
      <c r="E886" s="355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 ht="15.75" customHeight="1">
      <c r="A887" s="90"/>
      <c r="B887" s="145"/>
      <c r="C887" s="90"/>
      <c r="D887" s="147"/>
      <c r="E887" s="355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 ht="15.75" customHeight="1">
      <c r="A888" s="90"/>
      <c r="B888" s="145"/>
      <c r="C888" s="90"/>
      <c r="D888" s="147"/>
      <c r="E888" s="355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 ht="15.75" customHeight="1">
      <c r="A889" s="90"/>
      <c r="B889" s="145"/>
      <c r="C889" s="90"/>
      <c r="D889" s="147"/>
      <c r="E889" s="355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 ht="15.75" customHeight="1">
      <c r="A890" s="90"/>
      <c r="B890" s="145"/>
      <c r="C890" s="90"/>
      <c r="D890" s="147"/>
      <c r="E890" s="355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 ht="15.75" customHeight="1">
      <c r="A891" s="90"/>
      <c r="B891" s="145"/>
      <c r="C891" s="90"/>
      <c r="D891" s="147"/>
      <c r="E891" s="355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 ht="15.75" customHeight="1">
      <c r="A892" s="90"/>
      <c r="B892" s="145"/>
      <c r="C892" s="90"/>
      <c r="D892" s="147"/>
      <c r="E892" s="355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 ht="15.75" customHeight="1">
      <c r="A893" s="90"/>
      <c r="B893" s="145"/>
      <c r="C893" s="90"/>
      <c r="D893" s="147"/>
      <c r="E893" s="355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 ht="15.75" customHeight="1">
      <c r="A894" s="90"/>
      <c r="B894" s="145"/>
      <c r="C894" s="90"/>
      <c r="D894" s="147"/>
      <c r="E894" s="355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 ht="15.75" customHeight="1">
      <c r="A895" s="90"/>
      <c r="B895" s="145"/>
      <c r="C895" s="90"/>
      <c r="D895" s="147"/>
      <c r="E895" s="355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 ht="15.75" customHeight="1">
      <c r="A896" s="90"/>
      <c r="B896" s="145"/>
      <c r="C896" s="90"/>
      <c r="D896" s="147"/>
      <c r="E896" s="355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 ht="15.75" customHeight="1">
      <c r="A897" s="90"/>
      <c r="B897" s="145"/>
      <c r="C897" s="90"/>
      <c r="D897" s="147"/>
      <c r="E897" s="355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 ht="15.75" customHeight="1">
      <c r="A898" s="90"/>
      <c r="B898" s="145"/>
      <c r="C898" s="90"/>
      <c r="D898" s="147"/>
      <c r="E898" s="355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 ht="15.75" customHeight="1">
      <c r="A899" s="90"/>
      <c r="B899" s="145"/>
      <c r="C899" s="90"/>
      <c r="D899" s="147"/>
      <c r="E899" s="355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 ht="15.75" customHeight="1">
      <c r="A900" s="90"/>
      <c r="B900" s="145"/>
      <c r="C900" s="90"/>
      <c r="D900" s="147"/>
      <c r="E900" s="355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 ht="15.75" customHeight="1">
      <c r="A901" s="90"/>
      <c r="B901" s="145"/>
      <c r="C901" s="90"/>
      <c r="D901" s="147"/>
      <c r="E901" s="355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 ht="15.75" customHeight="1">
      <c r="A902" s="90"/>
      <c r="B902" s="145"/>
      <c r="C902" s="90"/>
      <c r="D902" s="147"/>
      <c r="E902" s="355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 ht="15.75" customHeight="1">
      <c r="A903" s="90"/>
      <c r="B903" s="145"/>
      <c r="C903" s="90"/>
      <c r="D903" s="147"/>
      <c r="E903" s="355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 ht="15.75" customHeight="1">
      <c r="A904" s="90"/>
      <c r="B904" s="145"/>
      <c r="C904" s="90"/>
      <c r="D904" s="147"/>
      <c r="E904" s="355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 ht="15.75" customHeight="1">
      <c r="A905" s="90"/>
      <c r="B905" s="145"/>
      <c r="C905" s="90"/>
      <c r="D905" s="147"/>
      <c r="E905" s="355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 ht="15.75" customHeight="1">
      <c r="A906" s="90"/>
      <c r="B906" s="145"/>
      <c r="C906" s="90"/>
      <c r="D906" s="147"/>
      <c r="E906" s="355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 ht="15.75" customHeight="1">
      <c r="A907" s="90"/>
      <c r="B907" s="145"/>
      <c r="C907" s="90"/>
      <c r="D907" s="147"/>
      <c r="E907" s="355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 ht="15.75" customHeight="1">
      <c r="A908" s="90"/>
      <c r="B908" s="145"/>
      <c r="C908" s="90"/>
      <c r="D908" s="147"/>
      <c r="E908" s="355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 ht="15.75" customHeight="1">
      <c r="A909" s="90"/>
      <c r="B909" s="145"/>
      <c r="C909" s="90"/>
      <c r="D909" s="147"/>
      <c r="E909" s="355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 ht="15.75" customHeight="1">
      <c r="A910" s="90"/>
      <c r="B910" s="145"/>
      <c r="C910" s="90"/>
      <c r="D910" s="147"/>
      <c r="E910" s="355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 ht="15.75" customHeight="1">
      <c r="A911" s="90"/>
      <c r="B911" s="145"/>
      <c r="C911" s="90"/>
      <c r="D911" s="147"/>
      <c r="E911" s="355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 ht="15.75" customHeight="1">
      <c r="A912" s="90"/>
      <c r="B912" s="145"/>
      <c r="C912" s="90"/>
      <c r="D912" s="147"/>
      <c r="E912" s="355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 ht="15.75" customHeight="1">
      <c r="A913" s="90"/>
      <c r="B913" s="145"/>
      <c r="C913" s="90"/>
      <c r="D913" s="147"/>
      <c r="E913" s="355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 ht="15.75" customHeight="1">
      <c r="A914" s="90"/>
      <c r="B914" s="145"/>
      <c r="C914" s="90"/>
      <c r="D914" s="147"/>
      <c r="E914" s="355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 ht="15.75" customHeight="1">
      <c r="A915" s="90"/>
      <c r="B915" s="145"/>
      <c r="C915" s="90"/>
      <c r="D915" s="147"/>
      <c r="E915" s="355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 ht="15.75" customHeight="1">
      <c r="A916" s="90"/>
      <c r="B916" s="145"/>
      <c r="C916" s="90"/>
      <c r="D916" s="147"/>
      <c r="E916" s="355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 ht="15.75" customHeight="1">
      <c r="A917" s="90"/>
      <c r="B917" s="145"/>
      <c r="C917" s="90"/>
      <c r="D917" s="147"/>
      <c r="E917" s="355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 ht="15.75" customHeight="1">
      <c r="A918" s="90"/>
      <c r="B918" s="145"/>
      <c r="C918" s="90"/>
      <c r="D918" s="147"/>
      <c r="E918" s="355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 ht="15.75" customHeight="1">
      <c r="A919" s="90"/>
      <c r="B919" s="145"/>
      <c r="C919" s="90"/>
      <c r="D919" s="147"/>
      <c r="E919" s="355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 ht="15.75" customHeight="1">
      <c r="A920" s="90"/>
      <c r="B920" s="145"/>
      <c r="C920" s="90"/>
      <c r="D920" s="147"/>
      <c r="E920" s="355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 ht="15.75" customHeight="1">
      <c r="A921" s="90"/>
      <c r="B921" s="145"/>
      <c r="C921" s="90"/>
      <c r="D921" s="147"/>
      <c r="E921" s="355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 ht="15.75" customHeight="1">
      <c r="A922" s="90"/>
      <c r="B922" s="145"/>
      <c r="C922" s="90"/>
      <c r="D922" s="147"/>
      <c r="E922" s="355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 ht="15.75" customHeight="1">
      <c r="A923" s="90"/>
      <c r="B923" s="145"/>
      <c r="C923" s="90"/>
      <c r="D923" s="147"/>
      <c r="E923" s="355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 ht="15.75" customHeight="1">
      <c r="A924" s="90"/>
      <c r="B924" s="145"/>
      <c r="C924" s="90"/>
      <c r="D924" s="147"/>
      <c r="E924" s="355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 ht="15.75" customHeight="1">
      <c r="A925" s="90"/>
      <c r="B925" s="145"/>
      <c r="C925" s="90"/>
      <c r="D925" s="147"/>
      <c r="E925" s="355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 ht="15.75" customHeight="1">
      <c r="A926" s="90"/>
      <c r="B926" s="145"/>
      <c r="C926" s="90"/>
      <c r="D926" s="147"/>
      <c r="E926" s="355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 ht="15.75" customHeight="1">
      <c r="A927" s="90"/>
      <c r="B927" s="145"/>
      <c r="C927" s="90"/>
      <c r="D927" s="147"/>
      <c r="E927" s="355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 ht="15.75" customHeight="1">
      <c r="A928" s="90"/>
      <c r="B928" s="145"/>
      <c r="C928" s="90"/>
      <c r="D928" s="147"/>
      <c r="E928" s="355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 ht="15.75" customHeight="1">
      <c r="A929" s="90"/>
      <c r="B929" s="145"/>
      <c r="C929" s="90"/>
      <c r="D929" s="147"/>
      <c r="E929" s="355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 ht="15.75" customHeight="1">
      <c r="A930" s="90"/>
      <c r="B930" s="145"/>
      <c r="C930" s="90"/>
      <c r="D930" s="147"/>
      <c r="E930" s="355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 ht="15.75" customHeight="1">
      <c r="A931" s="90"/>
      <c r="B931" s="145"/>
      <c r="C931" s="90"/>
      <c r="D931" s="147"/>
      <c r="E931" s="355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 ht="15.75" customHeight="1">
      <c r="A932" s="90"/>
      <c r="B932" s="145"/>
      <c r="C932" s="90"/>
      <c r="D932" s="147"/>
      <c r="E932" s="355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 ht="15.75" customHeight="1">
      <c r="A933" s="90"/>
      <c r="B933" s="145"/>
      <c r="C933" s="90"/>
      <c r="D933" s="147"/>
      <c r="E933" s="355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 ht="15.75" customHeight="1">
      <c r="A934" s="90"/>
      <c r="B934" s="145"/>
      <c r="C934" s="90"/>
      <c r="D934" s="147"/>
      <c r="E934" s="355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 ht="15.75" customHeight="1">
      <c r="A935" s="90"/>
      <c r="B935" s="145"/>
      <c r="C935" s="90"/>
      <c r="D935" s="147"/>
      <c r="E935" s="355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 ht="15.75" customHeight="1">
      <c r="A936" s="90"/>
      <c r="B936" s="145"/>
      <c r="C936" s="90"/>
      <c r="D936" s="147"/>
      <c r="E936" s="355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 ht="15.75" customHeight="1">
      <c r="A937" s="90"/>
      <c r="B937" s="145"/>
      <c r="C937" s="90"/>
      <c r="D937" s="147"/>
      <c r="E937" s="355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 ht="15.75" customHeight="1">
      <c r="A938" s="90"/>
      <c r="B938" s="145"/>
      <c r="C938" s="90"/>
      <c r="D938" s="147"/>
      <c r="E938" s="355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 ht="15.75" customHeight="1">
      <c r="A939" s="90"/>
      <c r="B939" s="145"/>
      <c r="C939" s="90"/>
      <c r="D939" s="147"/>
      <c r="E939" s="355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 ht="15.75" customHeight="1">
      <c r="A940" s="90"/>
      <c r="B940" s="145"/>
      <c r="C940" s="90"/>
      <c r="D940" s="147"/>
      <c r="E940" s="355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 ht="15.75" customHeight="1">
      <c r="A941" s="90"/>
      <c r="B941" s="145"/>
      <c r="C941" s="90"/>
      <c r="D941" s="147"/>
      <c r="E941" s="355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 ht="15.75" customHeight="1">
      <c r="A942" s="90"/>
      <c r="B942" s="145"/>
      <c r="C942" s="90"/>
      <c r="D942" s="147"/>
      <c r="E942" s="355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 ht="15.75" customHeight="1">
      <c r="A943" s="90"/>
      <c r="B943" s="145"/>
      <c r="C943" s="90"/>
      <c r="D943" s="147"/>
      <c r="E943" s="355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 ht="15.75" customHeight="1">
      <c r="A944" s="90"/>
      <c r="B944" s="145"/>
      <c r="C944" s="90"/>
      <c r="D944" s="147"/>
      <c r="E944" s="355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 ht="15.75" customHeight="1">
      <c r="A945" s="90"/>
      <c r="B945" s="145"/>
      <c r="C945" s="90"/>
      <c r="D945" s="147"/>
      <c r="E945" s="355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 ht="15.75" customHeight="1">
      <c r="A946" s="90"/>
      <c r="B946" s="145"/>
      <c r="C946" s="90"/>
      <c r="D946" s="147"/>
      <c r="E946" s="355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 ht="15.75" customHeight="1">
      <c r="A947" s="90"/>
      <c r="B947" s="145"/>
      <c r="C947" s="90"/>
      <c r="D947" s="147"/>
      <c r="E947" s="355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 ht="15.75" customHeight="1">
      <c r="A948" s="90"/>
      <c r="B948" s="145"/>
      <c r="C948" s="90"/>
      <c r="D948" s="147"/>
      <c r="E948" s="355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 ht="15.75" customHeight="1">
      <c r="A949" s="90"/>
      <c r="B949" s="145"/>
      <c r="C949" s="90"/>
      <c r="D949" s="147"/>
      <c r="E949" s="355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 ht="15.75" customHeight="1">
      <c r="A950" s="90"/>
      <c r="B950" s="145"/>
      <c r="C950" s="90"/>
      <c r="D950" s="147"/>
      <c r="E950" s="355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  <row r="951" ht="15.75" customHeight="1">
      <c r="A951" s="90"/>
      <c r="B951" s="145"/>
      <c r="C951" s="90"/>
      <c r="D951" s="147"/>
      <c r="E951" s="355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</row>
    <row r="952" ht="15.75" customHeight="1">
      <c r="A952" s="90"/>
      <c r="B952" s="145"/>
      <c r="C952" s="90"/>
      <c r="D952" s="147"/>
      <c r="E952" s="355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</row>
    <row r="953" ht="15.75" customHeight="1">
      <c r="A953" s="90"/>
      <c r="B953" s="145"/>
      <c r="C953" s="90"/>
      <c r="D953" s="147"/>
      <c r="E953" s="355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</row>
    <row r="954" ht="15.75" customHeight="1">
      <c r="A954" s="90"/>
      <c r="B954" s="145"/>
      <c r="C954" s="90"/>
      <c r="D954" s="147"/>
      <c r="E954" s="355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</row>
    <row r="955" ht="15.75" customHeight="1">
      <c r="A955" s="90"/>
      <c r="B955" s="145"/>
      <c r="C955" s="90"/>
      <c r="D955" s="147"/>
      <c r="E955" s="355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</row>
    <row r="956" ht="15.75" customHeight="1">
      <c r="A956" s="90"/>
      <c r="B956" s="145"/>
      <c r="C956" s="90"/>
      <c r="D956" s="147"/>
      <c r="E956" s="355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</row>
    <row r="957" ht="15.75" customHeight="1">
      <c r="A957" s="90"/>
      <c r="B957" s="145"/>
      <c r="C957" s="90"/>
      <c r="D957" s="147"/>
      <c r="E957" s="355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</row>
    <row r="958" ht="15.75" customHeight="1">
      <c r="A958" s="90"/>
      <c r="B958" s="145"/>
      <c r="C958" s="90"/>
      <c r="D958" s="147"/>
      <c r="E958" s="355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</row>
    <row r="959" ht="15.75" customHeight="1">
      <c r="A959" s="90"/>
      <c r="B959" s="145"/>
      <c r="C959" s="90"/>
      <c r="D959" s="147"/>
      <c r="E959" s="355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</row>
    <row r="960" ht="15.75" customHeight="1">
      <c r="A960" s="90"/>
      <c r="B960" s="145"/>
      <c r="C960" s="90"/>
      <c r="D960" s="147"/>
      <c r="E960" s="355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</row>
    <row r="961" ht="15.75" customHeight="1">
      <c r="A961" s="90"/>
      <c r="B961" s="145"/>
      <c r="C961" s="90"/>
      <c r="D961" s="147"/>
      <c r="E961" s="355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</row>
    <row r="962" ht="15.75" customHeight="1">
      <c r="A962" s="90"/>
      <c r="B962" s="145"/>
      <c r="C962" s="90"/>
      <c r="D962" s="147"/>
      <c r="E962" s="355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</row>
    <row r="963" ht="15.75" customHeight="1">
      <c r="A963" s="90"/>
      <c r="B963" s="145"/>
      <c r="C963" s="90"/>
      <c r="D963" s="147"/>
      <c r="E963" s="355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</row>
    <row r="964" ht="15.75" customHeight="1">
      <c r="A964" s="90"/>
      <c r="B964" s="145"/>
      <c r="C964" s="90"/>
      <c r="D964" s="147"/>
      <c r="E964" s="355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</row>
    <row r="965" ht="15.75" customHeight="1">
      <c r="A965" s="90"/>
      <c r="B965" s="145"/>
      <c r="C965" s="90"/>
      <c r="D965" s="147"/>
      <c r="E965" s="355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</row>
    <row r="966" ht="15.75" customHeight="1">
      <c r="A966" s="90"/>
      <c r="B966" s="145"/>
      <c r="C966" s="90"/>
      <c r="D966" s="147"/>
      <c r="E966" s="355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</row>
    <row r="967" ht="15.75" customHeight="1">
      <c r="A967" s="90"/>
      <c r="B967" s="145"/>
      <c r="C967" s="90"/>
      <c r="D967" s="147"/>
      <c r="E967" s="355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</row>
    <row r="968" ht="15.75" customHeight="1">
      <c r="A968" s="90"/>
      <c r="B968" s="145"/>
      <c r="C968" s="90"/>
      <c r="D968" s="147"/>
      <c r="E968" s="355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</row>
    <row r="969" ht="15.75" customHeight="1">
      <c r="A969" s="90"/>
      <c r="B969" s="145"/>
      <c r="C969" s="90"/>
      <c r="D969" s="147"/>
      <c r="E969" s="355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</row>
    <row r="970" ht="15.75" customHeight="1">
      <c r="A970" s="90"/>
      <c r="B970" s="145"/>
      <c r="C970" s="90"/>
      <c r="D970" s="147"/>
      <c r="E970" s="355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</row>
    <row r="971" ht="15.75" customHeight="1">
      <c r="A971" s="90"/>
      <c r="B971" s="145"/>
      <c r="C971" s="90"/>
      <c r="D971" s="147"/>
      <c r="E971" s="355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</row>
    <row r="972" ht="15.75" customHeight="1">
      <c r="A972" s="90"/>
      <c r="B972" s="145"/>
      <c r="C972" s="90"/>
      <c r="D972" s="147"/>
      <c r="E972" s="355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</row>
    <row r="973" ht="15.75" customHeight="1">
      <c r="A973" s="90"/>
      <c r="B973" s="145"/>
      <c r="C973" s="90"/>
      <c r="D973" s="147"/>
      <c r="E973" s="355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</row>
    <row r="974" ht="15.75" customHeight="1">
      <c r="A974" s="90"/>
      <c r="B974" s="145"/>
      <c r="C974" s="90"/>
      <c r="D974" s="147"/>
      <c r="E974" s="355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</row>
    <row r="975" ht="15.75" customHeight="1">
      <c r="A975" s="90"/>
      <c r="B975" s="145"/>
      <c r="C975" s="90"/>
      <c r="D975" s="147"/>
      <c r="E975" s="355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</row>
    <row r="976" ht="15.75" customHeight="1">
      <c r="A976" s="90"/>
      <c r="B976" s="145"/>
      <c r="C976" s="90"/>
      <c r="D976" s="147"/>
      <c r="E976" s="355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</row>
    <row r="977" ht="15.75" customHeight="1">
      <c r="A977" s="90"/>
      <c r="B977" s="145"/>
      <c r="C977" s="90"/>
      <c r="D977" s="147"/>
      <c r="E977" s="355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</row>
    <row r="978" ht="15.75" customHeight="1">
      <c r="A978" s="90"/>
      <c r="B978" s="145"/>
      <c r="C978" s="90"/>
      <c r="D978" s="147"/>
      <c r="E978" s="355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</row>
    <row r="979" ht="15.75" customHeight="1">
      <c r="A979" s="90"/>
      <c r="B979" s="145"/>
      <c r="C979" s="90"/>
      <c r="D979" s="147"/>
      <c r="E979" s="355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</row>
    <row r="980" ht="15.75" customHeight="1">
      <c r="A980" s="90"/>
      <c r="B980" s="145"/>
      <c r="C980" s="90"/>
      <c r="D980" s="147"/>
      <c r="E980" s="355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</row>
    <row r="981" ht="15.75" customHeight="1">
      <c r="A981" s="90"/>
      <c r="B981" s="145"/>
      <c r="C981" s="90"/>
      <c r="D981" s="147"/>
      <c r="E981" s="355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</row>
  </sheetData>
  <mergeCells count="1">
    <mergeCell ref="D3:E3"/>
  </mergeCell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19.29"/>
    <col customWidth="1" min="3" max="3" width="15.71"/>
    <col customWidth="1" min="4" max="4" width="17.29"/>
    <col customWidth="1" min="5" max="5" width="19.29"/>
    <col customWidth="1" min="6" max="6" width="26.43"/>
    <col customWidth="1" min="7" max="7" width="18.29"/>
    <col customWidth="1" min="8" max="8" width="19.0"/>
    <col customWidth="1" min="9" max="9" width="14.14"/>
    <col customWidth="1" min="10" max="10" width="12.29"/>
    <col customWidth="1" min="11" max="26" width="8.71"/>
  </cols>
  <sheetData>
    <row r="1">
      <c r="A1" s="357"/>
    </row>
    <row r="4">
      <c r="C4" s="358" t="s">
        <v>568</v>
      </c>
    </row>
    <row r="6">
      <c r="B6" s="359"/>
      <c r="C6" s="359" t="s">
        <v>507</v>
      </c>
      <c r="D6" s="359" t="s">
        <v>496</v>
      </c>
      <c r="E6" s="359" t="s">
        <v>499</v>
      </c>
      <c r="F6" s="359" t="s">
        <v>503</v>
      </c>
      <c r="G6" s="359" t="s">
        <v>569</v>
      </c>
      <c r="H6" s="359" t="s">
        <v>570</v>
      </c>
      <c r="I6" s="359" t="s">
        <v>571</v>
      </c>
      <c r="J6" s="359" t="s">
        <v>572</v>
      </c>
    </row>
    <row r="7">
      <c r="B7" s="359" t="s">
        <v>573</v>
      </c>
      <c r="C7" s="360"/>
      <c r="D7" s="360"/>
      <c r="E7" s="360"/>
      <c r="F7" s="360"/>
      <c r="G7" s="360"/>
      <c r="H7" s="360"/>
      <c r="I7" s="360"/>
      <c r="J7" s="360"/>
    </row>
    <row r="8">
      <c r="B8" s="359" t="s">
        <v>574</v>
      </c>
      <c r="C8" s="360"/>
      <c r="D8" s="360"/>
      <c r="E8" s="360"/>
      <c r="F8" s="360"/>
      <c r="G8" s="360"/>
      <c r="H8" s="360"/>
      <c r="I8" s="360"/>
      <c r="J8" s="360"/>
    </row>
    <row r="9">
      <c r="B9" s="359" t="s">
        <v>52</v>
      </c>
      <c r="C9" s="360"/>
      <c r="D9" s="360"/>
      <c r="E9" s="360"/>
      <c r="F9" s="360"/>
      <c r="G9" s="360"/>
      <c r="H9" s="360"/>
      <c r="I9" s="360"/>
      <c r="J9" s="360"/>
    </row>
    <row r="10">
      <c r="B10" s="359" t="s">
        <v>575</v>
      </c>
      <c r="C10" s="360"/>
      <c r="D10" s="360"/>
      <c r="E10" s="360"/>
      <c r="F10" s="360"/>
      <c r="G10" s="360"/>
      <c r="H10" s="360"/>
      <c r="I10" s="360"/>
      <c r="J10" s="360"/>
    </row>
    <row r="11">
      <c r="B11" s="359" t="s">
        <v>576</v>
      </c>
      <c r="C11" s="360"/>
      <c r="D11" s="360"/>
      <c r="E11" s="360"/>
      <c r="F11" s="360"/>
      <c r="G11" s="360"/>
      <c r="H11" s="360"/>
      <c r="I11" s="360"/>
      <c r="J11" s="36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C4:G4"/>
  </mergeCells>
  <printOptions/>
  <pageMargins bottom="0.787401575" footer="0.0" header="0.0" left="0.511811024" right="0.511811024" top="0.787401575"/>
  <pageSetup orientation="landscape"/>
  <drawing r:id="rId1"/>
</worksheet>
</file>