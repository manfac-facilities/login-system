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914c984b70daa2/Área de Trabalho/"/>
    </mc:Choice>
  </mc:AlternateContent>
  <xr:revisionPtr revIDLastSave="3" documentId="8_{8987DA57-C224-4640-8B84-C9CC846A1500}" xr6:coauthVersionLast="47" xr6:coauthVersionMax="47" xr10:uidLastSave="{1246D895-5804-473F-995B-B2DEE7A7507D}"/>
  <bookViews>
    <workbookView xWindow="-110" yWindow="-110" windowWidth="19420" windowHeight="10300" tabRatio="749" firstSheet="1" activeTab="5" xr2:uid="{00000000-000D-0000-FFFF-FFFF00000000}"/>
  </bookViews>
  <sheets>
    <sheet name="LEIA_ME" sheetId="1" r:id="rId1"/>
    <sheet name="PAINEL" sheetId="2" r:id="rId2"/>
    <sheet name="CRONOGRAMA" sheetId="3" r:id="rId3"/>
    <sheet name="CURVA_S" sheetId="4" r:id="rId4"/>
    <sheet name="ORCAMENTO" sheetId="5" r:id="rId5"/>
    <sheet name="CONFLITOS" sheetId="6" r:id="rId6"/>
    <sheet name="RDO" sheetId="7" r:id="rId7"/>
    <sheet name="COMPRAS" sheetId="8" r:id="rId8"/>
    <sheet name="LOCACOES" sheetId="9" r:id="rId9"/>
    <sheet name="MEDICOES" sheetId="10" r:id="rId10"/>
    <sheet name="PENDENCIAS" sheetId="11" r:id="rId11"/>
    <sheet name="COMUNICACAO" sheetId="12" r:id="rId12"/>
    <sheet name="RELATORIO_CLIENTE" sheetId="13" r:id="rId13"/>
    <sheet name="LISTAS" sheetId="14" r:id="rId14"/>
  </sheets>
  <definedNames>
    <definedName name="_xlnm._FilterDatabase" localSheetId="7" hidden="1">COMPRAS!$A$4:$M$500</definedName>
    <definedName name="_xlnm._FilterDatabase" localSheetId="11" hidden="1">COMUNICACAO!$A$4:$L$173</definedName>
    <definedName name="_xlnm._FilterDatabase" localSheetId="2" hidden="1">CRONOGRAMA!$A$4:$U$32</definedName>
    <definedName name="_xlnm._FilterDatabase" localSheetId="4" hidden="1">ORCAMENTO!$A$4:$Q$110</definedName>
    <definedName name="_xlnm._FilterDatabase" localSheetId="10" hidden="1">PENDENCIAS!$A$4:$M$200</definedName>
    <definedName name="_xlnm._FilterDatabase" localSheetId="6" hidden="1">RDO!$A$4:$Q$300</definedName>
    <definedName name="_xlnm.Print_Area" localSheetId="12">RELATORIO_CLIENTE!$A$1:$E$61</definedName>
    <definedName name="DataBase">PAINEL!$C$8</definedName>
    <definedName name="DataRef">PAINEL!$C$9</definedName>
    <definedName name="Feriados">LISTAS!$E$5:$E$24</definedName>
    <definedName name="FimObra">PAINEL!$C$10</definedName>
    <definedName name="RelSeg">RELATORIO_CLIENTE!$C$6</definedName>
    <definedName name="RelSex">RELATORIO_CLIENTE!$C$7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3" l="1"/>
  <c r="C13" i="13"/>
  <c r="C4" i="13"/>
  <c r="L173" i="12"/>
  <c r="A173" i="12"/>
  <c r="L172" i="12"/>
  <c r="A172" i="12"/>
  <c r="L171" i="12"/>
  <c r="A171" i="12"/>
  <c r="L170" i="12"/>
  <c r="A170" i="12"/>
  <c r="L169" i="12"/>
  <c r="A169" i="12"/>
  <c r="L168" i="12"/>
  <c r="A168" i="12"/>
  <c r="L167" i="12"/>
  <c r="A167" i="12"/>
  <c r="L166" i="12"/>
  <c r="A166" i="12"/>
  <c r="L165" i="12"/>
  <c r="A165" i="12"/>
  <c r="L164" i="12"/>
  <c r="A164" i="12"/>
  <c r="L163" i="12"/>
  <c r="A163" i="12"/>
  <c r="L162" i="12"/>
  <c r="A162" i="12"/>
  <c r="L161" i="12"/>
  <c r="A161" i="12"/>
  <c r="L160" i="12"/>
  <c r="A160" i="12"/>
  <c r="L159" i="12"/>
  <c r="A159" i="12"/>
  <c r="L158" i="12"/>
  <c r="A158" i="12"/>
  <c r="L157" i="12"/>
  <c r="A157" i="12"/>
  <c r="L156" i="12"/>
  <c r="A156" i="12"/>
  <c r="L155" i="12"/>
  <c r="A155" i="12"/>
  <c r="L154" i="12"/>
  <c r="A154" i="12"/>
  <c r="L153" i="12"/>
  <c r="A153" i="12"/>
  <c r="L152" i="12"/>
  <c r="A152" i="12"/>
  <c r="L151" i="12"/>
  <c r="A151" i="12"/>
  <c r="L150" i="12"/>
  <c r="A150" i="12"/>
  <c r="L149" i="12"/>
  <c r="A149" i="12"/>
  <c r="L148" i="12"/>
  <c r="A148" i="12"/>
  <c r="L147" i="12"/>
  <c r="A147" i="12"/>
  <c r="L146" i="12"/>
  <c r="A146" i="12"/>
  <c r="L145" i="12"/>
  <c r="A145" i="12"/>
  <c r="L144" i="12"/>
  <c r="A144" i="12"/>
  <c r="N200" i="11"/>
  <c r="M200" i="11"/>
  <c r="L200" i="11"/>
  <c r="A200" i="11"/>
  <c r="N199" i="11"/>
  <c r="M199" i="11"/>
  <c r="L199" i="11"/>
  <c r="A199" i="11"/>
  <c r="N198" i="11"/>
  <c r="M198" i="11"/>
  <c r="L198" i="11"/>
  <c r="A198" i="11"/>
  <c r="N197" i="11"/>
  <c r="M197" i="11"/>
  <c r="L197" i="11"/>
  <c r="A197" i="11"/>
  <c r="N196" i="11"/>
  <c r="M196" i="11"/>
  <c r="L196" i="11"/>
  <c r="A196" i="11"/>
  <c r="N195" i="11"/>
  <c r="M195" i="11"/>
  <c r="L195" i="11"/>
  <c r="A195" i="11"/>
  <c r="N194" i="11"/>
  <c r="M194" i="11"/>
  <c r="L194" i="11"/>
  <c r="A194" i="11"/>
  <c r="N193" i="11"/>
  <c r="M193" i="11"/>
  <c r="L193" i="11"/>
  <c r="A193" i="11"/>
  <c r="N192" i="11"/>
  <c r="M192" i="11"/>
  <c r="L192" i="11"/>
  <c r="A192" i="11"/>
  <c r="N191" i="11"/>
  <c r="M191" i="11"/>
  <c r="L191" i="11"/>
  <c r="A191" i="11"/>
  <c r="N190" i="11"/>
  <c r="M190" i="11"/>
  <c r="L190" i="11"/>
  <c r="A190" i="11"/>
  <c r="N189" i="11"/>
  <c r="M189" i="11"/>
  <c r="L189" i="11"/>
  <c r="A189" i="11"/>
  <c r="N188" i="11"/>
  <c r="M188" i="11"/>
  <c r="L188" i="11"/>
  <c r="A188" i="11"/>
  <c r="N187" i="11"/>
  <c r="M187" i="11"/>
  <c r="L187" i="11"/>
  <c r="A187" i="11"/>
  <c r="N186" i="11"/>
  <c r="M186" i="11"/>
  <c r="L186" i="11"/>
  <c r="A186" i="11"/>
  <c r="N185" i="11"/>
  <c r="M185" i="11"/>
  <c r="L185" i="11"/>
  <c r="A185" i="11"/>
  <c r="N184" i="11"/>
  <c r="M184" i="11"/>
  <c r="L184" i="11"/>
  <c r="A184" i="11"/>
  <c r="N183" i="11"/>
  <c r="M183" i="11"/>
  <c r="L183" i="11"/>
  <c r="A183" i="11"/>
  <c r="N182" i="11"/>
  <c r="M182" i="11"/>
  <c r="L182" i="11"/>
  <c r="A182" i="11"/>
  <c r="N181" i="11"/>
  <c r="M181" i="11"/>
  <c r="L181" i="11"/>
  <c r="A181" i="11"/>
  <c r="N180" i="11"/>
  <c r="M180" i="11"/>
  <c r="L180" i="11"/>
  <c r="A180" i="11"/>
  <c r="N179" i="11"/>
  <c r="M179" i="11"/>
  <c r="L179" i="11"/>
  <c r="A179" i="11"/>
  <c r="N178" i="11"/>
  <c r="M178" i="11"/>
  <c r="L178" i="11"/>
  <c r="A178" i="11"/>
  <c r="N177" i="11"/>
  <c r="M177" i="11"/>
  <c r="L177" i="11"/>
  <c r="A177" i="11"/>
  <c r="N176" i="11"/>
  <c r="M176" i="11"/>
  <c r="L176" i="11"/>
  <c r="A176" i="11"/>
  <c r="N175" i="11"/>
  <c r="M175" i="11"/>
  <c r="L175" i="11"/>
  <c r="A175" i="11"/>
  <c r="N174" i="11"/>
  <c r="M174" i="11"/>
  <c r="L174" i="11"/>
  <c r="A174" i="11"/>
  <c r="N173" i="11"/>
  <c r="M173" i="11"/>
  <c r="L173" i="11"/>
  <c r="A173" i="11"/>
  <c r="N172" i="11"/>
  <c r="M172" i="11"/>
  <c r="L172" i="11"/>
  <c r="A172" i="11"/>
  <c r="N171" i="11"/>
  <c r="M171" i="11"/>
  <c r="L171" i="11"/>
  <c r="A171" i="11"/>
  <c r="N170" i="11"/>
  <c r="M170" i="11"/>
  <c r="L170" i="11"/>
  <c r="A170" i="11"/>
  <c r="N169" i="11"/>
  <c r="M169" i="11"/>
  <c r="L169" i="11"/>
  <c r="A169" i="11"/>
  <c r="N168" i="11"/>
  <c r="M168" i="11"/>
  <c r="L168" i="11"/>
  <c r="A168" i="11"/>
  <c r="N167" i="11"/>
  <c r="M167" i="11"/>
  <c r="L167" i="11"/>
  <c r="A167" i="11"/>
  <c r="N166" i="11"/>
  <c r="M166" i="11"/>
  <c r="L166" i="11"/>
  <c r="A166" i="11"/>
  <c r="N165" i="11"/>
  <c r="M165" i="11"/>
  <c r="L165" i="11"/>
  <c r="A165" i="11"/>
  <c r="N164" i="11"/>
  <c r="M164" i="11"/>
  <c r="L164" i="11"/>
  <c r="A164" i="11"/>
  <c r="N163" i="11"/>
  <c r="M163" i="11"/>
  <c r="L163" i="11"/>
  <c r="A163" i="11"/>
  <c r="N162" i="11"/>
  <c r="M162" i="11"/>
  <c r="L162" i="11"/>
  <c r="A162" i="11"/>
  <c r="N161" i="11"/>
  <c r="M161" i="11"/>
  <c r="L161" i="11"/>
  <c r="A161" i="11"/>
  <c r="N160" i="11"/>
  <c r="M160" i="11"/>
  <c r="L160" i="11"/>
  <c r="A160" i="11"/>
  <c r="N159" i="11"/>
  <c r="M159" i="11"/>
  <c r="L159" i="11"/>
  <c r="A159" i="11"/>
  <c r="N158" i="11"/>
  <c r="M158" i="11"/>
  <c r="L158" i="11"/>
  <c r="A158" i="11"/>
  <c r="N157" i="11"/>
  <c r="M157" i="11"/>
  <c r="L157" i="11"/>
  <c r="A157" i="11"/>
  <c r="N156" i="11"/>
  <c r="M156" i="11"/>
  <c r="L156" i="11"/>
  <c r="A156" i="11"/>
  <c r="N155" i="11"/>
  <c r="M155" i="11"/>
  <c r="L155" i="11"/>
  <c r="A155" i="11"/>
  <c r="N154" i="11"/>
  <c r="M154" i="11"/>
  <c r="L154" i="11"/>
  <c r="A154" i="11"/>
  <c r="N153" i="11"/>
  <c r="M153" i="11"/>
  <c r="L153" i="11"/>
  <c r="A153" i="11"/>
  <c r="N152" i="11"/>
  <c r="M152" i="11"/>
  <c r="L152" i="11"/>
  <c r="A152" i="11"/>
  <c r="N151" i="11"/>
  <c r="M151" i="11"/>
  <c r="L151" i="11"/>
  <c r="A151" i="11"/>
  <c r="N150" i="11"/>
  <c r="M150" i="11"/>
  <c r="L150" i="11"/>
  <c r="A150" i="11"/>
  <c r="N149" i="11"/>
  <c r="M149" i="11"/>
  <c r="L149" i="11"/>
  <c r="A149" i="11"/>
  <c r="N148" i="11"/>
  <c r="M148" i="11"/>
  <c r="L148" i="11"/>
  <c r="A148" i="11"/>
  <c r="N147" i="11"/>
  <c r="M147" i="11"/>
  <c r="L147" i="11"/>
  <c r="A147" i="11"/>
  <c r="N146" i="11"/>
  <c r="M146" i="11"/>
  <c r="L146" i="11"/>
  <c r="A146" i="11"/>
  <c r="N145" i="11"/>
  <c r="M145" i="11"/>
  <c r="L145" i="11"/>
  <c r="A145" i="11"/>
  <c r="N144" i="11"/>
  <c r="M144" i="11"/>
  <c r="L144" i="11"/>
  <c r="A144" i="11"/>
  <c r="N143" i="11"/>
  <c r="M143" i="11"/>
  <c r="L143" i="11"/>
  <c r="A143" i="11"/>
  <c r="N142" i="11"/>
  <c r="M142" i="11"/>
  <c r="L142" i="11"/>
  <c r="A142" i="11"/>
  <c r="N141" i="11"/>
  <c r="M141" i="11"/>
  <c r="L141" i="11"/>
  <c r="A141" i="11"/>
  <c r="N140" i="11"/>
  <c r="M140" i="11"/>
  <c r="L140" i="11"/>
  <c r="A140" i="11"/>
  <c r="N139" i="11"/>
  <c r="M139" i="11"/>
  <c r="L139" i="11"/>
  <c r="A139" i="11"/>
  <c r="N138" i="11"/>
  <c r="M138" i="11"/>
  <c r="L138" i="11"/>
  <c r="A138" i="11"/>
  <c r="N137" i="11"/>
  <c r="M137" i="11"/>
  <c r="L137" i="11"/>
  <c r="A137" i="11"/>
  <c r="N136" i="11"/>
  <c r="M136" i="11"/>
  <c r="L136" i="11"/>
  <c r="A136" i="11"/>
  <c r="N135" i="11"/>
  <c r="M135" i="11"/>
  <c r="L135" i="11"/>
  <c r="A135" i="11"/>
  <c r="N134" i="11"/>
  <c r="M134" i="11"/>
  <c r="L134" i="11"/>
  <c r="A134" i="11"/>
  <c r="N133" i="11"/>
  <c r="M133" i="11"/>
  <c r="L133" i="11"/>
  <c r="A133" i="11"/>
  <c r="N132" i="11"/>
  <c r="M132" i="11"/>
  <c r="L132" i="11"/>
  <c r="A132" i="11"/>
  <c r="N131" i="11"/>
  <c r="M131" i="11"/>
  <c r="L131" i="11"/>
  <c r="A131" i="11"/>
  <c r="N130" i="11"/>
  <c r="M130" i="11"/>
  <c r="L130" i="11"/>
  <c r="A130" i="11"/>
  <c r="N129" i="11"/>
  <c r="M129" i="11"/>
  <c r="L129" i="11"/>
  <c r="A129" i="11"/>
  <c r="N128" i="11"/>
  <c r="M128" i="11"/>
  <c r="L128" i="11"/>
  <c r="A128" i="11"/>
  <c r="N127" i="11"/>
  <c r="M127" i="11"/>
  <c r="L127" i="11"/>
  <c r="A127" i="11"/>
  <c r="N126" i="11"/>
  <c r="M126" i="11"/>
  <c r="L126" i="11"/>
  <c r="A126" i="11"/>
  <c r="N125" i="11"/>
  <c r="M125" i="11"/>
  <c r="L125" i="11"/>
  <c r="A125" i="11"/>
  <c r="N124" i="11"/>
  <c r="M124" i="11"/>
  <c r="L124" i="11"/>
  <c r="A124" i="11"/>
  <c r="N123" i="11"/>
  <c r="M123" i="11"/>
  <c r="L123" i="11"/>
  <c r="A123" i="11"/>
  <c r="N122" i="11"/>
  <c r="M122" i="11"/>
  <c r="L122" i="11"/>
  <c r="A122" i="11"/>
  <c r="N121" i="11"/>
  <c r="M121" i="11"/>
  <c r="L121" i="11"/>
  <c r="A121" i="11"/>
  <c r="N120" i="11"/>
  <c r="M120" i="11"/>
  <c r="L120" i="11"/>
  <c r="A120" i="11"/>
  <c r="N119" i="11"/>
  <c r="M119" i="11"/>
  <c r="L119" i="11"/>
  <c r="A119" i="11"/>
  <c r="N118" i="11"/>
  <c r="M118" i="11"/>
  <c r="L118" i="11"/>
  <c r="A118" i="11"/>
  <c r="N117" i="11"/>
  <c r="M117" i="11"/>
  <c r="L117" i="11"/>
  <c r="A117" i="11"/>
  <c r="N116" i="11"/>
  <c r="M116" i="11"/>
  <c r="L116" i="11"/>
  <c r="A116" i="11"/>
  <c r="N115" i="11"/>
  <c r="M115" i="11"/>
  <c r="L115" i="11"/>
  <c r="A115" i="11"/>
  <c r="N114" i="11"/>
  <c r="M114" i="11"/>
  <c r="L114" i="11"/>
  <c r="A114" i="11"/>
  <c r="N113" i="11"/>
  <c r="M113" i="11"/>
  <c r="L113" i="11"/>
  <c r="A113" i="11"/>
  <c r="N112" i="11"/>
  <c r="M112" i="11"/>
  <c r="L112" i="11"/>
  <c r="A112" i="11"/>
  <c r="N111" i="11"/>
  <c r="M111" i="11"/>
  <c r="L111" i="11"/>
  <c r="A111" i="11"/>
  <c r="N110" i="11"/>
  <c r="M110" i="11"/>
  <c r="L110" i="11"/>
  <c r="A110" i="11"/>
  <c r="N109" i="11"/>
  <c r="M109" i="11"/>
  <c r="L109" i="11"/>
  <c r="A109" i="11"/>
  <c r="N108" i="11"/>
  <c r="M108" i="11"/>
  <c r="L108" i="11"/>
  <c r="A108" i="11"/>
  <c r="N107" i="11"/>
  <c r="M107" i="11"/>
  <c r="L107" i="11"/>
  <c r="A107" i="11"/>
  <c r="N106" i="11"/>
  <c r="M106" i="11"/>
  <c r="L106" i="11"/>
  <c r="A106" i="11"/>
  <c r="N105" i="11"/>
  <c r="M105" i="11"/>
  <c r="L105" i="11"/>
  <c r="A105" i="11"/>
  <c r="N104" i="11"/>
  <c r="M104" i="11"/>
  <c r="L104" i="11"/>
  <c r="A104" i="11"/>
  <c r="N103" i="11"/>
  <c r="M103" i="11"/>
  <c r="L103" i="11"/>
  <c r="A103" i="11"/>
  <c r="N102" i="11"/>
  <c r="M102" i="11"/>
  <c r="L102" i="11"/>
  <c r="A102" i="11"/>
  <c r="N101" i="11"/>
  <c r="M101" i="11"/>
  <c r="L101" i="11"/>
  <c r="A101" i="11"/>
  <c r="N100" i="11"/>
  <c r="M100" i="11"/>
  <c r="L100" i="11"/>
  <c r="A100" i="11"/>
  <c r="N99" i="11"/>
  <c r="M99" i="11"/>
  <c r="L99" i="11"/>
  <c r="A99" i="11"/>
  <c r="N98" i="11"/>
  <c r="M98" i="11"/>
  <c r="L98" i="11"/>
  <c r="A98" i="11"/>
  <c r="N97" i="11"/>
  <c r="M97" i="11"/>
  <c r="L97" i="11"/>
  <c r="A97" i="11"/>
  <c r="N96" i="11"/>
  <c r="M96" i="11"/>
  <c r="L96" i="11"/>
  <c r="A96" i="11"/>
  <c r="N95" i="11"/>
  <c r="M95" i="11"/>
  <c r="L95" i="11"/>
  <c r="A95" i="11"/>
  <c r="N94" i="11"/>
  <c r="M94" i="11"/>
  <c r="L94" i="11"/>
  <c r="A94" i="11"/>
  <c r="N93" i="11"/>
  <c r="M93" i="11"/>
  <c r="L93" i="11"/>
  <c r="A93" i="11"/>
  <c r="N92" i="11"/>
  <c r="M92" i="11"/>
  <c r="L92" i="11"/>
  <c r="A92" i="11"/>
  <c r="N91" i="11"/>
  <c r="M91" i="11"/>
  <c r="L91" i="11"/>
  <c r="A91" i="11"/>
  <c r="N90" i="11"/>
  <c r="M90" i="11"/>
  <c r="L90" i="11"/>
  <c r="A90" i="11"/>
  <c r="N89" i="11"/>
  <c r="M89" i="11"/>
  <c r="L89" i="11"/>
  <c r="A89" i="11"/>
  <c r="N88" i="11"/>
  <c r="M88" i="11"/>
  <c r="L88" i="11"/>
  <c r="A88" i="11"/>
  <c r="N87" i="11"/>
  <c r="M87" i="11"/>
  <c r="L87" i="11"/>
  <c r="A87" i="11"/>
  <c r="N86" i="11"/>
  <c r="M86" i="11"/>
  <c r="L86" i="11"/>
  <c r="A86" i="11"/>
  <c r="N85" i="11"/>
  <c r="M85" i="11"/>
  <c r="L85" i="11"/>
  <c r="A85" i="11"/>
  <c r="N84" i="11"/>
  <c r="M84" i="11"/>
  <c r="L84" i="11"/>
  <c r="A84" i="11"/>
  <c r="N83" i="11"/>
  <c r="M83" i="11"/>
  <c r="L83" i="11"/>
  <c r="A83" i="11"/>
  <c r="N82" i="11"/>
  <c r="M82" i="11"/>
  <c r="L82" i="11"/>
  <c r="A82" i="11"/>
  <c r="N81" i="11"/>
  <c r="M81" i="11"/>
  <c r="L81" i="11"/>
  <c r="A81" i="11"/>
  <c r="N80" i="11"/>
  <c r="M80" i="11"/>
  <c r="L80" i="11"/>
  <c r="A80" i="11"/>
  <c r="N79" i="11"/>
  <c r="M79" i="11"/>
  <c r="L79" i="11"/>
  <c r="A79" i="11"/>
  <c r="N78" i="11"/>
  <c r="M78" i="11"/>
  <c r="L78" i="11"/>
  <c r="A78" i="11"/>
  <c r="N77" i="11"/>
  <c r="M77" i="11"/>
  <c r="L77" i="11"/>
  <c r="A77" i="11"/>
  <c r="N76" i="11"/>
  <c r="M76" i="11"/>
  <c r="L76" i="11"/>
  <c r="A76" i="11"/>
  <c r="N75" i="11"/>
  <c r="M75" i="11"/>
  <c r="L75" i="11"/>
  <c r="A75" i="11"/>
  <c r="N74" i="11"/>
  <c r="M74" i="11"/>
  <c r="L74" i="11"/>
  <c r="A74" i="11"/>
  <c r="N73" i="11"/>
  <c r="M73" i="11"/>
  <c r="L73" i="11"/>
  <c r="A73" i="11"/>
  <c r="N72" i="11"/>
  <c r="M72" i="11"/>
  <c r="L72" i="11"/>
  <c r="A72" i="11"/>
  <c r="N71" i="11"/>
  <c r="M71" i="11"/>
  <c r="L71" i="11"/>
  <c r="A71" i="11"/>
  <c r="N70" i="11"/>
  <c r="M70" i="11"/>
  <c r="L70" i="11"/>
  <c r="A70" i="11"/>
  <c r="N69" i="11"/>
  <c r="M69" i="11"/>
  <c r="L69" i="11"/>
  <c r="A69" i="11"/>
  <c r="N68" i="11"/>
  <c r="M68" i="11"/>
  <c r="L68" i="11"/>
  <c r="A68" i="11"/>
  <c r="N67" i="11"/>
  <c r="M67" i="11"/>
  <c r="L67" i="11"/>
  <c r="A67" i="11"/>
  <c r="N66" i="11"/>
  <c r="M66" i="11"/>
  <c r="L66" i="11"/>
  <c r="A66" i="11"/>
  <c r="N65" i="11"/>
  <c r="M65" i="11"/>
  <c r="L65" i="11"/>
  <c r="A65" i="11"/>
  <c r="N64" i="11"/>
  <c r="M64" i="11"/>
  <c r="L64" i="11"/>
  <c r="A64" i="11"/>
  <c r="N63" i="11"/>
  <c r="M63" i="11"/>
  <c r="L63" i="11"/>
  <c r="A63" i="11"/>
  <c r="N62" i="11"/>
  <c r="M62" i="11"/>
  <c r="L62" i="11"/>
  <c r="A62" i="11"/>
  <c r="N61" i="11"/>
  <c r="M61" i="11"/>
  <c r="L61" i="11"/>
  <c r="A61" i="11"/>
  <c r="N60" i="11"/>
  <c r="M60" i="11"/>
  <c r="L60" i="11"/>
  <c r="A60" i="11"/>
  <c r="N59" i="11"/>
  <c r="M59" i="11"/>
  <c r="L59" i="11"/>
  <c r="A59" i="11"/>
  <c r="N58" i="11"/>
  <c r="M58" i="11"/>
  <c r="L58" i="11"/>
  <c r="A58" i="11"/>
  <c r="N57" i="11"/>
  <c r="M57" i="11"/>
  <c r="L57" i="11"/>
  <c r="A57" i="11"/>
  <c r="N56" i="11"/>
  <c r="M56" i="11"/>
  <c r="L56" i="11"/>
  <c r="A56" i="11"/>
  <c r="N55" i="11"/>
  <c r="M55" i="11"/>
  <c r="L55" i="11"/>
  <c r="A55" i="11"/>
  <c r="N54" i="11"/>
  <c r="M54" i="11"/>
  <c r="L54" i="11"/>
  <c r="A54" i="11"/>
  <c r="N53" i="11"/>
  <c r="M53" i="11"/>
  <c r="L53" i="11"/>
  <c r="A53" i="11"/>
  <c r="N52" i="11"/>
  <c r="M52" i="11"/>
  <c r="L52" i="11"/>
  <c r="A52" i="11"/>
  <c r="N51" i="11"/>
  <c r="M51" i="11"/>
  <c r="L51" i="11"/>
  <c r="A51" i="11"/>
  <c r="N50" i="11"/>
  <c r="M50" i="11"/>
  <c r="L50" i="11"/>
  <c r="A50" i="11"/>
  <c r="N49" i="11"/>
  <c r="M49" i="11"/>
  <c r="L49" i="11"/>
  <c r="A49" i="11"/>
  <c r="N48" i="11"/>
  <c r="M48" i="11"/>
  <c r="L48" i="11"/>
  <c r="A48" i="11"/>
  <c r="N47" i="11"/>
  <c r="M47" i="11"/>
  <c r="L47" i="11"/>
  <c r="A47" i="11"/>
  <c r="N46" i="11"/>
  <c r="M46" i="11"/>
  <c r="L46" i="11"/>
  <c r="A46" i="11"/>
  <c r="N45" i="11"/>
  <c r="M45" i="11"/>
  <c r="L45" i="11"/>
  <c r="A45" i="11"/>
  <c r="N44" i="11"/>
  <c r="M44" i="11"/>
  <c r="L44" i="11"/>
  <c r="A44" i="11"/>
  <c r="N43" i="11"/>
  <c r="M43" i="11"/>
  <c r="L43" i="11"/>
  <c r="A43" i="11"/>
  <c r="N42" i="11"/>
  <c r="M42" i="11"/>
  <c r="L42" i="11"/>
  <c r="A42" i="11"/>
  <c r="N41" i="11"/>
  <c r="M41" i="11"/>
  <c r="L41" i="11"/>
  <c r="A41" i="11"/>
  <c r="N40" i="11"/>
  <c r="M40" i="11"/>
  <c r="L40" i="11"/>
  <c r="A40" i="11"/>
  <c r="N39" i="11"/>
  <c r="M39" i="11"/>
  <c r="L39" i="11"/>
  <c r="A39" i="11"/>
  <c r="N38" i="11"/>
  <c r="M38" i="11"/>
  <c r="L38" i="11"/>
  <c r="A38" i="11"/>
  <c r="N37" i="11"/>
  <c r="M37" i="11"/>
  <c r="L37" i="11"/>
  <c r="A37" i="11"/>
  <c r="N36" i="11"/>
  <c r="M36" i="11"/>
  <c r="L36" i="11"/>
  <c r="A36" i="11"/>
  <c r="N35" i="11"/>
  <c r="M35" i="11"/>
  <c r="L35" i="11"/>
  <c r="A35" i="11"/>
  <c r="N34" i="11"/>
  <c r="M34" i="11"/>
  <c r="L34" i="11"/>
  <c r="A34" i="11"/>
  <c r="N33" i="11"/>
  <c r="M33" i="11"/>
  <c r="L33" i="11"/>
  <c r="A33" i="11"/>
  <c r="N32" i="11"/>
  <c r="M32" i="11"/>
  <c r="L32" i="11"/>
  <c r="A32" i="11"/>
  <c r="N31" i="11"/>
  <c r="M31" i="11"/>
  <c r="L31" i="11"/>
  <c r="A31" i="11"/>
  <c r="N30" i="11"/>
  <c r="M30" i="11"/>
  <c r="L30" i="11"/>
  <c r="A30" i="11"/>
  <c r="N29" i="11"/>
  <c r="M29" i="11"/>
  <c r="L29" i="11"/>
  <c r="A29" i="11"/>
  <c r="N28" i="11"/>
  <c r="M28" i="11"/>
  <c r="L28" i="11"/>
  <c r="A28" i="11"/>
  <c r="N27" i="11"/>
  <c r="M27" i="11"/>
  <c r="L27" i="11"/>
  <c r="A27" i="11"/>
  <c r="N26" i="11"/>
  <c r="M26" i="11"/>
  <c r="L26" i="11"/>
  <c r="A26" i="11"/>
  <c r="N25" i="11"/>
  <c r="M25" i="11"/>
  <c r="L25" i="11"/>
  <c r="A25" i="11"/>
  <c r="N24" i="11"/>
  <c r="M24" i="11"/>
  <c r="L24" i="11"/>
  <c r="A24" i="11"/>
  <c r="N23" i="11"/>
  <c r="M23" i="11"/>
  <c r="L23" i="11"/>
  <c r="A23" i="11"/>
  <c r="N22" i="11"/>
  <c r="M22" i="11"/>
  <c r="L22" i="11"/>
  <c r="A22" i="11"/>
  <c r="N21" i="11"/>
  <c r="M21" i="11"/>
  <c r="L21" i="11"/>
  <c r="A21" i="11"/>
  <c r="N20" i="11"/>
  <c r="M20" i="11"/>
  <c r="L20" i="11"/>
  <c r="A20" i="11"/>
  <c r="N19" i="11"/>
  <c r="M19" i="11"/>
  <c r="L19" i="11"/>
  <c r="A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O93" i="10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O10" i="10"/>
  <c r="N10" i="10"/>
  <c r="O9" i="10"/>
  <c r="N9" i="10"/>
  <c r="O8" i="10"/>
  <c r="N8" i="10"/>
  <c r="O7" i="10"/>
  <c r="N7" i="10"/>
  <c r="O6" i="10"/>
  <c r="N6" i="10"/>
  <c r="K200" i="9"/>
  <c r="I200" i="9"/>
  <c r="H200" i="9"/>
  <c r="K199" i="9"/>
  <c r="I199" i="9"/>
  <c r="H199" i="9"/>
  <c r="K198" i="9"/>
  <c r="I198" i="9"/>
  <c r="H198" i="9"/>
  <c r="K197" i="9"/>
  <c r="I197" i="9"/>
  <c r="H197" i="9"/>
  <c r="K196" i="9"/>
  <c r="I196" i="9"/>
  <c r="H196" i="9"/>
  <c r="K195" i="9"/>
  <c r="I195" i="9"/>
  <c r="H195" i="9"/>
  <c r="K194" i="9"/>
  <c r="I194" i="9"/>
  <c r="H194" i="9"/>
  <c r="K193" i="9"/>
  <c r="I193" i="9"/>
  <c r="H193" i="9"/>
  <c r="K192" i="9"/>
  <c r="I192" i="9"/>
  <c r="H192" i="9"/>
  <c r="K191" i="9"/>
  <c r="I191" i="9"/>
  <c r="H191" i="9"/>
  <c r="K190" i="9"/>
  <c r="I190" i="9"/>
  <c r="H190" i="9"/>
  <c r="K189" i="9"/>
  <c r="I189" i="9"/>
  <c r="H189" i="9"/>
  <c r="K188" i="9"/>
  <c r="I188" i="9"/>
  <c r="H188" i="9"/>
  <c r="K187" i="9"/>
  <c r="I187" i="9"/>
  <c r="H187" i="9"/>
  <c r="K186" i="9"/>
  <c r="I186" i="9"/>
  <c r="H186" i="9"/>
  <c r="K185" i="9"/>
  <c r="I185" i="9"/>
  <c r="H185" i="9"/>
  <c r="K184" i="9"/>
  <c r="I184" i="9"/>
  <c r="H184" i="9"/>
  <c r="K183" i="9"/>
  <c r="I183" i="9"/>
  <c r="H183" i="9"/>
  <c r="K182" i="9"/>
  <c r="I182" i="9"/>
  <c r="H182" i="9"/>
  <c r="K181" i="9"/>
  <c r="I181" i="9"/>
  <c r="H181" i="9"/>
  <c r="K180" i="9"/>
  <c r="I180" i="9"/>
  <c r="H180" i="9"/>
  <c r="K179" i="9"/>
  <c r="I179" i="9"/>
  <c r="H179" i="9"/>
  <c r="K178" i="9"/>
  <c r="I178" i="9"/>
  <c r="H178" i="9"/>
  <c r="K177" i="9"/>
  <c r="I177" i="9"/>
  <c r="H177" i="9"/>
  <c r="K176" i="9"/>
  <c r="I176" i="9"/>
  <c r="H176" i="9"/>
  <c r="K175" i="9"/>
  <c r="I175" i="9"/>
  <c r="H175" i="9"/>
  <c r="K174" i="9"/>
  <c r="I174" i="9"/>
  <c r="H174" i="9"/>
  <c r="K173" i="9"/>
  <c r="I173" i="9"/>
  <c r="H173" i="9"/>
  <c r="K172" i="9"/>
  <c r="I172" i="9"/>
  <c r="H172" i="9"/>
  <c r="K171" i="9"/>
  <c r="I171" i="9"/>
  <c r="H171" i="9"/>
  <c r="K170" i="9"/>
  <c r="I170" i="9"/>
  <c r="H170" i="9"/>
  <c r="K169" i="9"/>
  <c r="I169" i="9"/>
  <c r="H169" i="9"/>
  <c r="K168" i="9"/>
  <c r="I168" i="9"/>
  <c r="H168" i="9"/>
  <c r="K167" i="9"/>
  <c r="I167" i="9"/>
  <c r="H167" i="9"/>
  <c r="K166" i="9"/>
  <c r="I166" i="9"/>
  <c r="H166" i="9"/>
  <c r="K165" i="9"/>
  <c r="I165" i="9"/>
  <c r="H165" i="9"/>
  <c r="K164" i="9"/>
  <c r="I164" i="9"/>
  <c r="H164" i="9"/>
  <c r="K163" i="9"/>
  <c r="I163" i="9"/>
  <c r="H163" i="9"/>
  <c r="K162" i="9"/>
  <c r="I162" i="9"/>
  <c r="H162" i="9"/>
  <c r="K161" i="9"/>
  <c r="I161" i="9"/>
  <c r="H161" i="9"/>
  <c r="K160" i="9"/>
  <c r="I160" i="9"/>
  <c r="H160" i="9"/>
  <c r="K159" i="9"/>
  <c r="I159" i="9"/>
  <c r="H159" i="9"/>
  <c r="K158" i="9"/>
  <c r="I158" i="9"/>
  <c r="H158" i="9"/>
  <c r="K157" i="9"/>
  <c r="I157" i="9"/>
  <c r="H157" i="9"/>
  <c r="K156" i="9"/>
  <c r="I156" i="9"/>
  <c r="H156" i="9"/>
  <c r="K155" i="9"/>
  <c r="I155" i="9"/>
  <c r="H155" i="9"/>
  <c r="K154" i="9"/>
  <c r="I154" i="9"/>
  <c r="H154" i="9"/>
  <c r="K153" i="9"/>
  <c r="I153" i="9"/>
  <c r="H153" i="9"/>
  <c r="K152" i="9"/>
  <c r="I152" i="9"/>
  <c r="H152" i="9"/>
  <c r="K151" i="9"/>
  <c r="I151" i="9"/>
  <c r="H151" i="9"/>
  <c r="K150" i="9"/>
  <c r="I150" i="9"/>
  <c r="H150" i="9"/>
  <c r="K149" i="9"/>
  <c r="I149" i="9"/>
  <c r="H149" i="9"/>
  <c r="K148" i="9"/>
  <c r="I148" i="9"/>
  <c r="H148" i="9"/>
  <c r="K147" i="9"/>
  <c r="I147" i="9"/>
  <c r="H147" i="9"/>
  <c r="K146" i="9"/>
  <c r="I146" i="9"/>
  <c r="H146" i="9"/>
  <c r="K145" i="9"/>
  <c r="I145" i="9"/>
  <c r="H145" i="9"/>
  <c r="K144" i="9"/>
  <c r="I144" i="9"/>
  <c r="H144" i="9"/>
  <c r="K143" i="9"/>
  <c r="I143" i="9"/>
  <c r="H143" i="9"/>
  <c r="K142" i="9"/>
  <c r="I142" i="9"/>
  <c r="H142" i="9"/>
  <c r="K141" i="9"/>
  <c r="I141" i="9"/>
  <c r="H141" i="9"/>
  <c r="K140" i="9"/>
  <c r="I140" i="9"/>
  <c r="H140" i="9"/>
  <c r="K139" i="9"/>
  <c r="I139" i="9"/>
  <c r="H139" i="9"/>
  <c r="K138" i="9"/>
  <c r="I138" i="9"/>
  <c r="H138" i="9"/>
  <c r="K137" i="9"/>
  <c r="I137" i="9"/>
  <c r="H137" i="9"/>
  <c r="K136" i="9"/>
  <c r="I136" i="9"/>
  <c r="H136" i="9"/>
  <c r="K135" i="9"/>
  <c r="I135" i="9"/>
  <c r="H135" i="9"/>
  <c r="K134" i="9"/>
  <c r="I134" i="9"/>
  <c r="H134" i="9"/>
  <c r="K133" i="9"/>
  <c r="I133" i="9"/>
  <c r="H133" i="9"/>
  <c r="K132" i="9"/>
  <c r="I132" i="9"/>
  <c r="H132" i="9"/>
  <c r="K131" i="9"/>
  <c r="I131" i="9"/>
  <c r="H131" i="9"/>
  <c r="K130" i="9"/>
  <c r="I130" i="9"/>
  <c r="H130" i="9"/>
  <c r="K129" i="9"/>
  <c r="I129" i="9"/>
  <c r="H129" i="9"/>
  <c r="K128" i="9"/>
  <c r="I128" i="9"/>
  <c r="H128" i="9"/>
  <c r="K127" i="9"/>
  <c r="I127" i="9"/>
  <c r="H127" i="9"/>
  <c r="K126" i="9"/>
  <c r="I126" i="9"/>
  <c r="H126" i="9"/>
  <c r="K125" i="9"/>
  <c r="I125" i="9"/>
  <c r="H125" i="9"/>
  <c r="K124" i="9"/>
  <c r="I124" i="9"/>
  <c r="H124" i="9"/>
  <c r="K123" i="9"/>
  <c r="I123" i="9"/>
  <c r="H123" i="9"/>
  <c r="K122" i="9"/>
  <c r="I122" i="9"/>
  <c r="H122" i="9"/>
  <c r="K121" i="9"/>
  <c r="I121" i="9"/>
  <c r="H121" i="9"/>
  <c r="K120" i="9"/>
  <c r="I120" i="9"/>
  <c r="H120" i="9"/>
  <c r="K119" i="9"/>
  <c r="I119" i="9"/>
  <c r="H119" i="9"/>
  <c r="K118" i="9"/>
  <c r="I118" i="9"/>
  <c r="H118" i="9"/>
  <c r="K117" i="9"/>
  <c r="I117" i="9"/>
  <c r="H117" i="9"/>
  <c r="K116" i="9"/>
  <c r="I116" i="9"/>
  <c r="H116" i="9"/>
  <c r="K115" i="9"/>
  <c r="I115" i="9"/>
  <c r="H115" i="9"/>
  <c r="K114" i="9"/>
  <c r="I114" i="9"/>
  <c r="H114" i="9"/>
  <c r="K113" i="9"/>
  <c r="I113" i="9"/>
  <c r="H113" i="9"/>
  <c r="K112" i="9"/>
  <c r="I112" i="9"/>
  <c r="H112" i="9"/>
  <c r="K111" i="9"/>
  <c r="I111" i="9"/>
  <c r="H111" i="9"/>
  <c r="K110" i="9"/>
  <c r="I110" i="9"/>
  <c r="H110" i="9"/>
  <c r="K109" i="9"/>
  <c r="I109" i="9"/>
  <c r="H109" i="9"/>
  <c r="K108" i="9"/>
  <c r="I108" i="9"/>
  <c r="H108" i="9"/>
  <c r="K107" i="9"/>
  <c r="I107" i="9"/>
  <c r="H107" i="9"/>
  <c r="K106" i="9"/>
  <c r="I106" i="9"/>
  <c r="H106" i="9"/>
  <c r="K105" i="9"/>
  <c r="I105" i="9"/>
  <c r="H105" i="9"/>
  <c r="K104" i="9"/>
  <c r="I104" i="9"/>
  <c r="H104" i="9"/>
  <c r="K103" i="9"/>
  <c r="I103" i="9"/>
  <c r="H103" i="9"/>
  <c r="K102" i="9"/>
  <c r="I102" i="9"/>
  <c r="H102" i="9"/>
  <c r="K101" i="9"/>
  <c r="I101" i="9"/>
  <c r="H101" i="9"/>
  <c r="K100" i="9"/>
  <c r="I100" i="9"/>
  <c r="H100" i="9"/>
  <c r="K99" i="9"/>
  <c r="I99" i="9"/>
  <c r="H99" i="9"/>
  <c r="K98" i="9"/>
  <c r="I98" i="9"/>
  <c r="H98" i="9"/>
  <c r="K97" i="9"/>
  <c r="I97" i="9"/>
  <c r="H97" i="9"/>
  <c r="K96" i="9"/>
  <c r="I96" i="9"/>
  <c r="H96" i="9"/>
  <c r="K95" i="9"/>
  <c r="I95" i="9"/>
  <c r="H95" i="9"/>
  <c r="K94" i="9"/>
  <c r="I94" i="9"/>
  <c r="H94" i="9"/>
  <c r="K93" i="9"/>
  <c r="I93" i="9"/>
  <c r="H93" i="9"/>
  <c r="K92" i="9"/>
  <c r="I92" i="9"/>
  <c r="H92" i="9"/>
  <c r="K91" i="9"/>
  <c r="I91" i="9"/>
  <c r="H91" i="9"/>
  <c r="K90" i="9"/>
  <c r="I90" i="9"/>
  <c r="H90" i="9"/>
  <c r="K89" i="9"/>
  <c r="I89" i="9"/>
  <c r="H89" i="9"/>
  <c r="K88" i="9"/>
  <c r="I88" i="9"/>
  <c r="H88" i="9"/>
  <c r="K87" i="9"/>
  <c r="I87" i="9"/>
  <c r="H87" i="9"/>
  <c r="K86" i="9"/>
  <c r="I86" i="9"/>
  <c r="H86" i="9"/>
  <c r="K85" i="9"/>
  <c r="I85" i="9"/>
  <c r="H85" i="9"/>
  <c r="K84" i="9"/>
  <c r="I84" i="9"/>
  <c r="H84" i="9"/>
  <c r="K83" i="9"/>
  <c r="I83" i="9"/>
  <c r="H83" i="9"/>
  <c r="K82" i="9"/>
  <c r="I82" i="9"/>
  <c r="H82" i="9"/>
  <c r="K81" i="9"/>
  <c r="I81" i="9"/>
  <c r="H81" i="9"/>
  <c r="K80" i="9"/>
  <c r="I80" i="9"/>
  <c r="H80" i="9"/>
  <c r="K79" i="9"/>
  <c r="I79" i="9"/>
  <c r="H79" i="9"/>
  <c r="K78" i="9"/>
  <c r="I78" i="9"/>
  <c r="H78" i="9"/>
  <c r="K77" i="9"/>
  <c r="I77" i="9"/>
  <c r="H77" i="9"/>
  <c r="K76" i="9"/>
  <c r="I76" i="9"/>
  <c r="H76" i="9"/>
  <c r="K75" i="9"/>
  <c r="I75" i="9"/>
  <c r="H75" i="9"/>
  <c r="K74" i="9"/>
  <c r="I74" i="9"/>
  <c r="H74" i="9"/>
  <c r="K73" i="9"/>
  <c r="I73" i="9"/>
  <c r="H73" i="9"/>
  <c r="K72" i="9"/>
  <c r="I72" i="9"/>
  <c r="H72" i="9"/>
  <c r="K71" i="9"/>
  <c r="I71" i="9"/>
  <c r="H71" i="9"/>
  <c r="K70" i="9"/>
  <c r="I70" i="9"/>
  <c r="H70" i="9"/>
  <c r="K69" i="9"/>
  <c r="I69" i="9"/>
  <c r="H69" i="9"/>
  <c r="K68" i="9"/>
  <c r="I68" i="9"/>
  <c r="H68" i="9"/>
  <c r="K67" i="9"/>
  <c r="I67" i="9"/>
  <c r="H67" i="9"/>
  <c r="K66" i="9"/>
  <c r="I66" i="9"/>
  <c r="H66" i="9"/>
  <c r="K65" i="9"/>
  <c r="I65" i="9"/>
  <c r="H65" i="9"/>
  <c r="K64" i="9"/>
  <c r="I64" i="9"/>
  <c r="H64" i="9"/>
  <c r="K63" i="9"/>
  <c r="I63" i="9"/>
  <c r="H63" i="9"/>
  <c r="K62" i="9"/>
  <c r="I62" i="9"/>
  <c r="H62" i="9"/>
  <c r="K61" i="9"/>
  <c r="I61" i="9"/>
  <c r="H61" i="9"/>
  <c r="K60" i="9"/>
  <c r="I60" i="9"/>
  <c r="H60" i="9"/>
  <c r="K59" i="9"/>
  <c r="I59" i="9"/>
  <c r="H59" i="9"/>
  <c r="K58" i="9"/>
  <c r="I58" i="9"/>
  <c r="H58" i="9"/>
  <c r="K57" i="9"/>
  <c r="I57" i="9"/>
  <c r="H57" i="9"/>
  <c r="K56" i="9"/>
  <c r="I56" i="9"/>
  <c r="H56" i="9"/>
  <c r="K55" i="9"/>
  <c r="I55" i="9"/>
  <c r="H55" i="9"/>
  <c r="K54" i="9"/>
  <c r="I54" i="9"/>
  <c r="H54" i="9"/>
  <c r="K53" i="9"/>
  <c r="I53" i="9"/>
  <c r="H53" i="9"/>
  <c r="K52" i="9"/>
  <c r="I52" i="9"/>
  <c r="H52" i="9"/>
  <c r="K51" i="9"/>
  <c r="I51" i="9"/>
  <c r="H51" i="9"/>
  <c r="K50" i="9"/>
  <c r="I50" i="9"/>
  <c r="H50" i="9"/>
  <c r="K49" i="9"/>
  <c r="I49" i="9"/>
  <c r="H49" i="9"/>
  <c r="K48" i="9"/>
  <c r="I48" i="9"/>
  <c r="H48" i="9"/>
  <c r="K47" i="9"/>
  <c r="I47" i="9"/>
  <c r="H47" i="9"/>
  <c r="K46" i="9"/>
  <c r="I46" i="9"/>
  <c r="H46" i="9"/>
  <c r="K45" i="9"/>
  <c r="I45" i="9"/>
  <c r="H45" i="9"/>
  <c r="K44" i="9"/>
  <c r="I44" i="9"/>
  <c r="H44" i="9"/>
  <c r="K43" i="9"/>
  <c r="I43" i="9"/>
  <c r="H43" i="9"/>
  <c r="K42" i="9"/>
  <c r="I42" i="9"/>
  <c r="H42" i="9"/>
  <c r="K41" i="9"/>
  <c r="I41" i="9"/>
  <c r="H41" i="9"/>
  <c r="K40" i="9"/>
  <c r="I40" i="9"/>
  <c r="H40" i="9"/>
  <c r="K39" i="9"/>
  <c r="I39" i="9"/>
  <c r="H39" i="9"/>
  <c r="K38" i="9"/>
  <c r="I38" i="9"/>
  <c r="H38" i="9"/>
  <c r="K37" i="9"/>
  <c r="I37" i="9"/>
  <c r="H37" i="9"/>
  <c r="K36" i="9"/>
  <c r="I36" i="9"/>
  <c r="H36" i="9"/>
  <c r="K35" i="9"/>
  <c r="I35" i="9"/>
  <c r="H35" i="9"/>
  <c r="K34" i="9"/>
  <c r="I34" i="9"/>
  <c r="H34" i="9"/>
  <c r="K33" i="9"/>
  <c r="I33" i="9"/>
  <c r="H33" i="9"/>
  <c r="K32" i="9"/>
  <c r="I32" i="9"/>
  <c r="H32" i="9"/>
  <c r="K31" i="9"/>
  <c r="I31" i="9"/>
  <c r="H31" i="9"/>
  <c r="K30" i="9"/>
  <c r="I30" i="9"/>
  <c r="H30" i="9"/>
  <c r="K29" i="9"/>
  <c r="I29" i="9"/>
  <c r="H29" i="9"/>
  <c r="K28" i="9"/>
  <c r="I28" i="9"/>
  <c r="H28" i="9"/>
  <c r="K27" i="9"/>
  <c r="I27" i="9"/>
  <c r="H27" i="9"/>
  <c r="K26" i="9"/>
  <c r="I26" i="9"/>
  <c r="H26" i="9"/>
  <c r="K25" i="9"/>
  <c r="I25" i="9"/>
  <c r="H25" i="9"/>
  <c r="K24" i="9"/>
  <c r="I24" i="9"/>
  <c r="H24" i="9"/>
  <c r="K23" i="9"/>
  <c r="I23" i="9"/>
  <c r="H23" i="9"/>
  <c r="K22" i="9"/>
  <c r="I22" i="9"/>
  <c r="H22" i="9"/>
  <c r="K21" i="9"/>
  <c r="I21" i="9"/>
  <c r="H21" i="9"/>
  <c r="K20" i="9"/>
  <c r="I20" i="9"/>
  <c r="H20" i="9"/>
  <c r="K19" i="9"/>
  <c r="I19" i="9"/>
  <c r="H19" i="9"/>
  <c r="K18" i="9"/>
  <c r="I18" i="9"/>
  <c r="H18" i="9"/>
  <c r="K17" i="9"/>
  <c r="I17" i="9"/>
  <c r="H17" i="9"/>
  <c r="K16" i="9"/>
  <c r="I16" i="9"/>
  <c r="H16" i="9"/>
  <c r="K15" i="9"/>
  <c r="I15" i="9"/>
  <c r="H15" i="9"/>
  <c r="K14" i="9"/>
  <c r="I14" i="9"/>
  <c r="H14" i="9"/>
  <c r="K13" i="9"/>
  <c r="I13" i="9"/>
  <c r="H13" i="9"/>
  <c r="K12" i="9"/>
  <c r="I12" i="9"/>
  <c r="H12" i="9"/>
  <c r="K11" i="9"/>
  <c r="I11" i="9"/>
  <c r="H11" i="9"/>
  <c r="K10" i="9"/>
  <c r="I10" i="9"/>
  <c r="H10" i="9"/>
  <c r="K9" i="9"/>
  <c r="I9" i="9"/>
  <c r="H9" i="9"/>
  <c r="K8" i="9"/>
  <c r="I8" i="9"/>
  <c r="H8" i="9"/>
  <c r="K7" i="9"/>
  <c r="I7" i="9"/>
  <c r="H7" i="9"/>
  <c r="K6" i="9"/>
  <c r="I6" i="9"/>
  <c r="H6" i="9"/>
  <c r="L500" i="8"/>
  <c r="E500" i="8"/>
  <c r="L499" i="8"/>
  <c r="E499" i="8"/>
  <c r="L498" i="8"/>
  <c r="E498" i="8"/>
  <c r="L497" i="8"/>
  <c r="E497" i="8"/>
  <c r="L496" i="8"/>
  <c r="E496" i="8"/>
  <c r="L495" i="8"/>
  <c r="E495" i="8"/>
  <c r="L494" i="8"/>
  <c r="E494" i="8"/>
  <c r="L493" i="8"/>
  <c r="E493" i="8"/>
  <c r="L492" i="8"/>
  <c r="E492" i="8"/>
  <c r="L491" i="8"/>
  <c r="E491" i="8"/>
  <c r="L490" i="8"/>
  <c r="E490" i="8"/>
  <c r="L489" i="8"/>
  <c r="E489" i="8"/>
  <c r="L488" i="8"/>
  <c r="E488" i="8"/>
  <c r="L487" i="8"/>
  <c r="E487" i="8"/>
  <c r="L486" i="8"/>
  <c r="E486" i="8"/>
  <c r="L485" i="8"/>
  <c r="E485" i="8"/>
  <c r="L484" i="8"/>
  <c r="E484" i="8"/>
  <c r="L483" i="8"/>
  <c r="E483" i="8"/>
  <c r="L482" i="8"/>
  <c r="E482" i="8"/>
  <c r="L481" i="8"/>
  <c r="E481" i="8"/>
  <c r="L480" i="8"/>
  <c r="E480" i="8"/>
  <c r="L479" i="8"/>
  <c r="E479" i="8"/>
  <c r="L478" i="8"/>
  <c r="E478" i="8"/>
  <c r="L477" i="8"/>
  <c r="E477" i="8"/>
  <c r="L476" i="8"/>
  <c r="E476" i="8"/>
  <c r="L475" i="8"/>
  <c r="E475" i="8"/>
  <c r="L474" i="8"/>
  <c r="E474" i="8"/>
  <c r="L473" i="8"/>
  <c r="E473" i="8"/>
  <c r="L472" i="8"/>
  <c r="E472" i="8"/>
  <c r="L471" i="8"/>
  <c r="E471" i="8"/>
  <c r="L470" i="8"/>
  <c r="E470" i="8"/>
  <c r="L469" i="8"/>
  <c r="E469" i="8"/>
  <c r="L468" i="8"/>
  <c r="E468" i="8"/>
  <c r="L467" i="8"/>
  <c r="E467" i="8"/>
  <c r="L466" i="8"/>
  <c r="E466" i="8"/>
  <c r="L465" i="8"/>
  <c r="E465" i="8"/>
  <c r="L464" i="8"/>
  <c r="E464" i="8"/>
  <c r="L463" i="8"/>
  <c r="E463" i="8"/>
  <c r="L462" i="8"/>
  <c r="E462" i="8"/>
  <c r="L461" i="8"/>
  <c r="E461" i="8"/>
  <c r="L460" i="8"/>
  <c r="E460" i="8"/>
  <c r="L459" i="8"/>
  <c r="E459" i="8"/>
  <c r="L458" i="8"/>
  <c r="E458" i="8"/>
  <c r="L457" i="8"/>
  <c r="E457" i="8"/>
  <c r="L456" i="8"/>
  <c r="E456" i="8"/>
  <c r="L455" i="8"/>
  <c r="E455" i="8"/>
  <c r="L454" i="8"/>
  <c r="E454" i="8"/>
  <c r="L453" i="8"/>
  <c r="E453" i="8"/>
  <c r="L452" i="8"/>
  <c r="E452" i="8"/>
  <c r="L451" i="8"/>
  <c r="E451" i="8"/>
  <c r="L450" i="8"/>
  <c r="E450" i="8"/>
  <c r="L449" i="8"/>
  <c r="E449" i="8"/>
  <c r="L448" i="8"/>
  <c r="E448" i="8"/>
  <c r="L447" i="8"/>
  <c r="E447" i="8"/>
  <c r="L446" i="8"/>
  <c r="E446" i="8"/>
  <c r="L445" i="8"/>
  <c r="E445" i="8"/>
  <c r="L444" i="8"/>
  <c r="E444" i="8"/>
  <c r="L443" i="8"/>
  <c r="E443" i="8"/>
  <c r="L442" i="8"/>
  <c r="E442" i="8"/>
  <c r="L441" i="8"/>
  <c r="E441" i="8"/>
  <c r="L440" i="8"/>
  <c r="E440" i="8"/>
  <c r="L439" i="8"/>
  <c r="E439" i="8"/>
  <c r="L438" i="8"/>
  <c r="E438" i="8"/>
  <c r="L437" i="8"/>
  <c r="E437" i="8"/>
  <c r="L436" i="8"/>
  <c r="E436" i="8"/>
  <c r="L435" i="8"/>
  <c r="E435" i="8"/>
  <c r="L434" i="8"/>
  <c r="E434" i="8"/>
  <c r="L433" i="8"/>
  <c r="E433" i="8"/>
  <c r="L432" i="8"/>
  <c r="E432" i="8"/>
  <c r="L431" i="8"/>
  <c r="E431" i="8"/>
  <c r="L430" i="8"/>
  <c r="E430" i="8"/>
  <c r="L429" i="8"/>
  <c r="E429" i="8"/>
  <c r="L428" i="8"/>
  <c r="E428" i="8"/>
  <c r="L427" i="8"/>
  <c r="E427" i="8"/>
  <c r="L426" i="8"/>
  <c r="E426" i="8"/>
  <c r="L425" i="8"/>
  <c r="E425" i="8"/>
  <c r="L424" i="8"/>
  <c r="E424" i="8"/>
  <c r="L423" i="8"/>
  <c r="E423" i="8"/>
  <c r="L422" i="8"/>
  <c r="E422" i="8"/>
  <c r="L421" i="8"/>
  <c r="E421" i="8"/>
  <c r="L420" i="8"/>
  <c r="E420" i="8"/>
  <c r="L419" i="8"/>
  <c r="E419" i="8"/>
  <c r="L418" i="8"/>
  <c r="E418" i="8"/>
  <c r="L417" i="8"/>
  <c r="E417" i="8"/>
  <c r="L416" i="8"/>
  <c r="E416" i="8"/>
  <c r="L415" i="8"/>
  <c r="E415" i="8"/>
  <c r="L414" i="8"/>
  <c r="E414" i="8"/>
  <c r="L413" i="8"/>
  <c r="E413" i="8"/>
  <c r="L412" i="8"/>
  <c r="E412" i="8"/>
  <c r="L411" i="8"/>
  <c r="E411" i="8"/>
  <c r="L410" i="8"/>
  <c r="E410" i="8"/>
  <c r="L409" i="8"/>
  <c r="E409" i="8"/>
  <c r="L408" i="8"/>
  <c r="E408" i="8"/>
  <c r="L407" i="8"/>
  <c r="E407" i="8"/>
  <c r="L406" i="8"/>
  <c r="E406" i="8"/>
  <c r="L405" i="8"/>
  <c r="E405" i="8"/>
  <c r="L404" i="8"/>
  <c r="E404" i="8"/>
  <c r="L403" i="8"/>
  <c r="E403" i="8"/>
  <c r="L402" i="8"/>
  <c r="E402" i="8"/>
  <c r="L401" i="8"/>
  <c r="E401" i="8"/>
  <c r="L400" i="8"/>
  <c r="E400" i="8"/>
  <c r="L399" i="8"/>
  <c r="E399" i="8"/>
  <c r="L398" i="8"/>
  <c r="E398" i="8"/>
  <c r="L397" i="8"/>
  <c r="E397" i="8"/>
  <c r="L396" i="8"/>
  <c r="E396" i="8"/>
  <c r="L395" i="8"/>
  <c r="E395" i="8"/>
  <c r="L394" i="8"/>
  <c r="E394" i="8"/>
  <c r="L393" i="8"/>
  <c r="E393" i="8"/>
  <c r="L392" i="8"/>
  <c r="E392" i="8"/>
  <c r="L391" i="8"/>
  <c r="E391" i="8"/>
  <c r="L390" i="8"/>
  <c r="E390" i="8"/>
  <c r="L389" i="8"/>
  <c r="E389" i="8"/>
  <c r="L388" i="8"/>
  <c r="E388" i="8"/>
  <c r="L387" i="8"/>
  <c r="E387" i="8"/>
  <c r="L386" i="8"/>
  <c r="E386" i="8"/>
  <c r="L385" i="8"/>
  <c r="E385" i="8"/>
  <c r="L384" i="8"/>
  <c r="E384" i="8"/>
  <c r="L383" i="8"/>
  <c r="E383" i="8"/>
  <c r="L382" i="8"/>
  <c r="E382" i="8"/>
  <c r="L381" i="8"/>
  <c r="E381" i="8"/>
  <c r="L380" i="8"/>
  <c r="E380" i="8"/>
  <c r="L379" i="8"/>
  <c r="E379" i="8"/>
  <c r="L378" i="8"/>
  <c r="E378" i="8"/>
  <c r="L377" i="8"/>
  <c r="E377" i="8"/>
  <c r="L376" i="8"/>
  <c r="E376" i="8"/>
  <c r="L375" i="8"/>
  <c r="E375" i="8"/>
  <c r="L374" i="8"/>
  <c r="E374" i="8"/>
  <c r="L373" i="8"/>
  <c r="E373" i="8"/>
  <c r="L372" i="8"/>
  <c r="E372" i="8"/>
  <c r="L371" i="8"/>
  <c r="E371" i="8"/>
  <c r="L370" i="8"/>
  <c r="E370" i="8"/>
  <c r="L369" i="8"/>
  <c r="E369" i="8"/>
  <c r="L368" i="8"/>
  <c r="E368" i="8"/>
  <c r="L367" i="8"/>
  <c r="E367" i="8"/>
  <c r="L366" i="8"/>
  <c r="E366" i="8"/>
  <c r="L365" i="8"/>
  <c r="E365" i="8"/>
  <c r="L364" i="8"/>
  <c r="E364" i="8"/>
  <c r="L363" i="8"/>
  <c r="E363" i="8"/>
  <c r="L362" i="8"/>
  <c r="E362" i="8"/>
  <c r="L361" i="8"/>
  <c r="E361" i="8"/>
  <c r="L360" i="8"/>
  <c r="E360" i="8"/>
  <c r="L359" i="8"/>
  <c r="E359" i="8"/>
  <c r="L358" i="8"/>
  <c r="E358" i="8"/>
  <c r="L357" i="8"/>
  <c r="E357" i="8"/>
  <c r="L356" i="8"/>
  <c r="E356" i="8"/>
  <c r="L355" i="8"/>
  <c r="E355" i="8"/>
  <c r="L354" i="8"/>
  <c r="E354" i="8"/>
  <c r="L353" i="8"/>
  <c r="E353" i="8"/>
  <c r="L352" i="8"/>
  <c r="E352" i="8"/>
  <c r="L351" i="8"/>
  <c r="E351" i="8"/>
  <c r="L350" i="8"/>
  <c r="E350" i="8"/>
  <c r="L349" i="8"/>
  <c r="E349" i="8"/>
  <c r="L348" i="8"/>
  <c r="E348" i="8"/>
  <c r="L347" i="8"/>
  <c r="E347" i="8"/>
  <c r="L346" i="8"/>
  <c r="E346" i="8"/>
  <c r="L345" i="8"/>
  <c r="E345" i="8"/>
  <c r="L344" i="8"/>
  <c r="E344" i="8"/>
  <c r="L343" i="8"/>
  <c r="E343" i="8"/>
  <c r="L342" i="8"/>
  <c r="E342" i="8"/>
  <c r="L341" i="8"/>
  <c r="E341" i="8"/>
  <c r="L340" i="8"/>
  <c r="E340" i="8"/>
  <c r="L339" i="8"/>
  <c r="E339" i="8"/>
  <c r="L338" i="8"/>
  <c r="E338" i="8"/>
  <c r="L337" i="8"/>
  <c r="E337" i="8"/>
  <c r="L336" i="8"/>
  <c r="E336" i="8"/>
  <c r="L335" i="8"/>
  <c r="E335" i="8"/>
  <c r="L334" i="8"/>
  <c r="E334" i="8"/>
  <c r="L333" i="8"/>
  <c r="E333" i="8"/>
  <c r="L332" i="8"/>
  <c r="E332" i="8"/>
  <c r="L331" i="8"/>
  <c r="E331" i="8"/>
  <c r="L330" i="8"/>
  <c r="E330" i="8"/>
  <c r="L329" i="8"/>
  <c r="E329" i="8"/>
  <c r="L328" i="8"/>
  <c r="E328" i="8"/>
  <c r="L327" i="8"/>
  <c r="E327" i="8"/>
  <c r="L326" i="8"/>
  <c r="E326" i="8"/>
  <c r="L325" i="8"/>
  <c r="E325" i="8"/>
  <c r="L324" i="8"/>
  <c r="E324" i="8"/>
  <c r="L323" i="8"/>
  <c r="E323" i="8"/>
  <c r="L322" i="8"/>
  <c r="E322" i="8"/>
  <c r="L321" i="8"/>
  <c r="E321" i="8"/>
  <c r="L320" i="8"/>
  <c r="E320" i="8"/>
  <c r="L319" i="8"/>
  <c r="E319" i="8"/>
  <c r="L318" i="8"/>
  <c r="E318" i="8"/>
  <c r="L317" i="8"/>
  <c r="E317" i="8"/>
  <c r="L316" i="8"/>
  <c r="E316" i="8"/>
  <c r="L315" i="8"/>
  <c r="E315" i="8"/>
  <c r="L314" i="8"/>
  <c r="E314" i="8"/>
  <c r="L313" i="8"/>
  <c r="E313" i="8"/>
  <c r="L312" i="8"/>
  <c r="E312" i="8"/>
  <c r="L311" i="8"/>
  <c r="E311" i="8"/>
  <c r="L310" i="8"/>
  <c r="E310" i="8"/>
  <c r="L309" i="8"/>
  <c r="E309" i="8"/>
  <c r="L308" i="8"/>
  <c r="E308" i="8"/>
  <c r="L307" i="8"/>
  <c r="E307" i="8"/>
  <c r="L306" i="8"/>
  <c r="E306" i="8"/>
  <c r="L305" i="8"/>
  <c r="E305" i="8"/>
  <c r="L304" i="8"/>
  <c r="E304" i="8"/>
  <c r="L303" i="8"/>
  <c r="E303" i="8"/>
  <c r="L302" i="8"/>
  <c r="E302" i="8"/>
  <c r="L301" i="8"/>
  <c r="E301" i="8"/>
  <c r="L300" i="8"/>
  <c r="E300" i="8"/>
  <c r="L299" i="8"/>
  <c r="E299" i="8"/>
  <c r="L298" i="8"/>
  <c r="E298" i="8"/>
  <c r="L297" i="8"/>
  <c r="E297" i="8"/>
  <c r="L296" i="8"/>
  <c r="E296" i="8"/>
  <c r="L295" i="8"/>
  <c r="E295" i="8"/>
  <c r="L294" i="8"/>
  <c r="E294" i="8"/>
  <c r="L293" i="8"/>
  <c r="E293" i="8"/>
  <c r="L292" i="8"/>
  <c r="E292" i="8"/>
  <c r="L291" i="8"/>
  <c r="E291" i="8"/>
  <c r="L290" i="8"/>
  <c r="E290" i="8"/>
  <c r="L289" i="8"/>
  <c r="E289" i="8"/>
  <c r="L288" i="8"/>
  <c r="E288" i="8"/>
  <c r="L287" i="8"/>
  <c r="E287" i="8"/>
  <c r="L286" i="8"/>
  <c r="E286" i="8"/>
  <c r="L285" i="8"/>
  <c r="E285" i="8"/>
  <c r="L284" i="8"/>
  <c r="E284" i="8"/>
  <c r="L283" i="8"/>
  <c r="E283" i="8"/>
  <c r="L282" i="8"/>
  <c r="E282" i="8"/>
  <c r="L281" i="8"/>
  <c r="E281" i="8"/>
  <c r="L280" i="8"/>
  <c r="E280" i="8"/>
  <c r="L279" i="8"/>
  <c r="E279" i="8"/>
  <c r="L278" i="8"/>
  <c r="E278" i="8"/>
  <c r="L277" i="8"/>
  <c r="E277" i="8"/>
  <c r="L276" i="8"/>
  <c r="E276" i="8"/>
  <c r="L275" i="8"/>
  <c r="E275" i="8"/>
  <c r="L274" i="8"/>
  <c r="E274" i="8"/>
  <c r="L273" i="8"/>
  <c r="E273" i="8"/>
  <c r="L272" i="8"/>
  <c r="E272" i="8"/>
  <c r="L271" i="8"/>
  <c r="E271" i="8"/>
  <c r="L270" i="8"/>
  <c r="E270" i="8"/>
  <c r="L269" i="8"/>
  <c r="E269" i="8"/>
  <c r="L268" i="8"/>
  <c r="E268" i="8"/>
  <c r="L267" i="8"/>
  <c r="E267" i="8"/>
  <c r="L266" i="8"/>
  <c r="E266" i="8"/>
  <c r="L265" i="8"/>
  <c r="E265" i="8"/>
  <c r="L264" i="8"/>
  <c r="E264" i="8"/>
  <c r="L263" i="8"/>
  <c r="E263" i="8"/>
  <c r="L262" i="8"/>
  <c r="E262" i="8"/>
  <c r="L261" i="8"/>
  <c r="E261" i="8"/>
  <c r="L260" i="8"/>
  <c r="E260" i="8"/>
  <c r="L259" i="8"/>
  <c r="E259" i="8"/>
  <c r="L258" i="8"/>
  <c r="E258" i="8"/>
  <c r="L257" i="8"/>
  <c r="E257" i="8"/>
  <c r="L256" i="8"/>
  <c r="E256" i="8"/>
  <c r="L255" i="8"/>
  <c r="E255" i="8"/>
  <c r="L254" i="8"/>
  <c r="E254" i="8"/>
  <c r="L253" i="8"/>
  <c r="E253" i="8"/>
  <c r="L252" i="8"/>
  <c r="E252" i="8"/>
  <c r="L251" i="8"/>
  <c r="E251" i="8"/>
  <c r="L250" i="8"/>
  <c r="E250" i="8"/>
  <c r="L249" i="8"/>
  <c r="E249" i="8"/>
  <c r="L248" i="8"/>
  <c r="E248" i="8"/>
  <c r="L247" i="8"/>
  <c r="E247" i="8"/>
  <c r="L246" i="8"/>
  <c r="E246" i="8"/>
  <c r="L245" i="8"/>
  <c r="E245" i="8"/>
  <c r="L244" i="8"/>
  <c r="E244" i="8"/>
  <c r="L243" i="8"/>
  <c r="E243" i="8"/>
  <c r="L242" i="8"/>
  <c r="E242" i="8"/>
  <c r="L241" i="8"/>
  <c r="E241" i="8"/>
  <c r="L240" i="8"/>
  <c r="E240" i="8"/>
  <c r="L239" i="8"/>
  <c r="E239" i="8"/>
  <c r="L238" i="8"/>
  <c r="E238" i="8"/>
  <c r="L237" i="8"/>
  <c r="E237" i="8"/>
  <c r="L236" i="8"/>
  <c r="E236" i="8"/>
  <c r="L235" i="8"/>
  <c r="E235" i="8"/>
  <c r="L234" i="8"/>
  <c r="E234" i="8"/>
  <c r="L233" i="8"/>
  <c r="E233" i="8"/>
  <c r="L232" i="8"/>
  <c r="E232" i="8"/>
  <c r="L231" i="8"/>
  <c r="E231" i="8"/>
  <c r="L230" i="8"/>
  <c r="E230" i="8"/>
  <c r="L229" i="8"/>
  <c r="E229" i="8"/>
  <c r="L228" i="8"/>
  <c r="E228" i="8"/>
  <c r="L227" i="8"/>
  <c r="E227" i="8"/>
  <c r="L226" i="8"/>
  <c r="E226" i="8"/>
  <c r="L225" i="8"/>
  <c r="E225" i="8"/>
  <c r="L224" i="8"/>
  <c r="E224" i="8"/>
  <c r="L223" i="8"/>
  <c r="E223" i="8"/>
  <c r="L222" i="8"/>
  <c r="E222" i="8"/>
  <c r="L221" i="8"/>
  <c r="E221" i="8"/>
  <c r="L220" i="8"/>
  <c r="E220" i="8"/>
  <c r="L219" i="8"/>
  <c r="E219" i="8"/>
  <c r="L218" i="8"/>
  <c r="E218" i="8"/>
  <c r="L217" i="8"/>
  <c r="E217" i="8"/>
  <c r="L216" i="8"/>
  <c r="E216" i="8"/>
  <c r="L215" i="8"/>
  <c r="E215" i="8"/>
  <c r="L214" i="8"/>
  <c r="E214" i="8"/>
  <c r="L213" i="8"/>
  <c r="E213" i="8"/>
  <c r="L212" i="8"/>
  <c r="E212" i="8"/>
  <c r="L211" i="8"/>
  <c r="E211" i="8"/>
  <c r="L210" i="8"/>
  <c r="E210" i="8"/>
  <c r="L209" i="8"/>
  <c r="E209" i="8"/>
  <c r="L208" i="8"/>
  <c r="E208" i="8"/>
  <c r="L207" i="8"/>
  <c r="E207" i="8"/>
  <c r="L206" i="8"/>
  <c r="E206" i="8"/>
  <c r="L205" i="8"/>
  <c r="E205" i="8"/>
  <c r="L204" i="8"/>
  <c r="E204" i="8"/>
  <c r="L203" i="8"/>
  <c r="E203" i="8"/>
  <c r="L202" i="8"/>
  <c r="E202" i="8"/>
  <c r="L201" i="8"/>
  <c r="E201" i="8"/>
  <c r="L200" i="8"/>
  <c r="E200" i="8"/>
  <c r="L199" i="8"/>
  <c r="E199" i="8"/>
  <c r="L198" i="8"/>
  <c r="E198" i="8"/>
  <c r="L197" i="8"/>
  <c r="E197" i="8"/>
  <c r="L196" i="8"/>
  <c r="E196" i="8"/>
  <c r="L195" i="8"/>
  <c r="E195" i="8"/>
  <c r="L194" i="8"/>
  <c r="E194" i="8"/>
  <c r="L193" i="8"/>
  <c r="E193" i="8"/>
  <c r="L192" i="8"/>
  <c r="E192" i="8"/>
  <c r="L191" i="8"/>
  <c r="E191" i="8"/>
  <c r="L190" i="8"/>
  <c r="E190" i="8"/>
  <c r="L189" i="8"/>
  <c r="E189" i="8"/>
  <c r="L188" i="8"/>
  <c r="E188" i="8"/>
  <c r="L187" i="8"/>
  <c r="E187" i="8"/>
  <c r="L186" i="8"/>
  <c r="E186" i="8"/>
  <c r="L185" i="8"/>
  <c r="E185" i="8"/>
  <c r="L184" i="8"/>
  <c r="E184" i="8"/>
  <c r="L183" i="8"/>
  <c r="E183" i="8"/>
  <c r="L182" i="8"/>
  <c r="E182" i="8"/>
  <c r="L181" i="8"/>
  <c r="E181" i="8"/>
  <c r="L180" i="8"/>
  <c r="E180" i="8"/>
  <c r="L179" i="8"/>
  <c r="E179" i="8"/>
  <c r="L178" i="8"/>
  <c r="E178" i="8"/>
  <c r="L177" i="8"/>
  <c r="E177" i="8"/>
  <c r="L176" i="8"/>
  <c r="E176" i="8"/>
  <c r="L175" i="8"/>
  <c r="E175" i="8"/>
  <c r="L174" i="8"/>
  <c r="E174" i="8"/>
  <c r="L173" i="8"/>
  <c r="E173" i="8"/>
  <c r="L172" i="8"/>
  <c r="E172" i="8"/>
  <c r="L171" i="8"/>
  <c r="E171" i="8"/>
  <c r="L170" i="8"/>
  <c r="E170" i="8"/>
  <c r="L169" i="8"/>
  <c r="E169" i="8"/>
  <c r="L168" i="8"/>
  <c r="E168" i="8"/>
  <c r="L167" i="8"/>
  <c r="E167" i="8"/>
  <c r="L166" i="8"/>
  <c r="E166" i="8"/>
  <c r="L165" i="8"/>
  <c r="E165" i="8"/>
  <c r="L164" i="8"/>
  <c r="E164" i="8"/>
  <c r="L163" i="8"/>
  <c r="E163" i="8"/>
  <c r="L162" i="8"/>
  <c r="E162" i="8"/>
  <c r="L161" i="8"/>
  <c r="E161" i="8"/>
  <c r="L160" i="8"/>
  <c r="E160" i="8"/>
  <c r="L159" i="8"/>
  <c r="E159" i="8"/>
  <c r="L158" i="8"/>
  <c r="E158" i="8"/>
  <c r="L157" i="8"/>
  <c r="E157" i="8"/>
  <c r="L156" i="8"/>
  <c r="E156" i="8"/>
  <c r="L155" i="8"/>
  <c r="E155" i="8"/>
  <c r="L154" i="8"/>
  <c r="E154" i="8"/>
  <c r="L153" i="8"/>
  <c r="E153" i="8"/>
  <c r="L152" i="8"/>
  <c r="E152" i="8"/>
  <c r="L151" i="8"/>
  <c r="E151" i="8"/>
  <c r="L150" i="8"/>
  <c r="E150" i="8"/>
  <c r="L149" i="8"/>
  <c r="E149" i="8"/>
  <c r="L148" i="8"/>
  <c r="E148" i="8"/>
  <c r="L147" i="8"/>
  <c r="E147" i="8"/>
  <c r="L146" i="8"/>
  <c r="E146" i="8"/>
  <c r="L145" i="8"/>
  <c r="E145" i="8"/>
  <c r="L144" i="8"/>
  <c r="E144" i="8"/>
  <c r="L143" i="8"/>
  <c r="E143" i="8"/>
  <c r="L142" i="8"/>
  <c r="E142" i="8"/>
  <c r="L141" i="8"/>
  <c r="E141" i="8"/>
  <c r="L140" i="8"/>
  <c r="E140" i="8"/>
  <c r="L139" i="8"/>
  <c r="E139" i="8"/>
  <c r="L138" i="8"/>
  <c r="E138" i="8"/>
  <c r="L137" i="8"/>
  <c r="E137" i="8"/>
  <c r="L136" i="8"/>
  <c r="E136" i="8"/>
  <c r="L135" i="8"/>
  <c r="E135" i="8"/>
  <c r="L134" i="8"/>
  <c r="E134" i="8"/>
  <c r="L133" i="8"/>
  <c r="E133" i="8"/>
  <c r="L132" i="8"/>
  <c r="E132" i="8"/>
  <c r="L131" i="8"/>
  <c r="E131" i="8"/>
  <c r="L130" i="8"/>
  <c r="E130" i="8"/>
  <c r="L129" i="8"/>
  <c r="E129" i="8"/>
  <c r="L128" i="8"/>
  <c r="E128" i="8"/>
  <c r="L127" i="8"/>
  <c r="E127" i="8"/>
  <c r="L126" i="8"/>
  <c r="E126" i="8"/>
  <c r="L125" i="8"/>
  <c r="E125" i="8"/>
  <c r="L124" i="8"/>
  <c r="E124" i="8"/>
  <c r="L123" i="8"/>
  <c r="E123" i="8"/>
  <c r="L122" i="8"/>
  <c r="E122" i="8"/>
  <c r="L121" i="8"/>
  <c r="E121" i="8"/>
  <c r="L120" i="8"/>
  <c r="E120" i="8"/>
  <c r="L119" i="8"/>
  <c r="E119" i="8"/>
  <c r="L118" i="8"/>
  <c r="E118" i="8"/>
  <c r="L117" i="8"/>
  <c r="E117" i="8"/>
  <c r="L116" i="8"/>
  <c r="E116" i="8"/>
  <c r="L115" i="8"/>
  <c r="E115" i="8"/>
  <c r="L114" i="8"/>
  <c r="E114" i="8"/>
  <c r="L113" i="8"/>
  <c r="E113" i="8"/>
  <c r="L112" i="8"/>
  <c r="E112" i="8"/>
  <c r="L111" i="8"/>
  <c r="E111" i="8"/>
  <c r="L110" i="8"/>
  <c r="E110" i="8"/>
  <c r="L109" i="8"/>
  <c r="E109" i="8"/>
  <c r="L108" i="8"/>
  <c r="E108" i="8"/>
  <c r="L107" i="8"/>
  <c r="E107" i="8"/>
  <c r="L106" i="8"/>
  <c r="E106" i="8"/>
  <c r="L105" i="8"/>
  <c r="E105" i="8"/>
  <c r="L104" i="8"/>
  <c r="E104" i="8"/>
  <c r="L103" i="8"/>
  <c r="E103" i="8"/>
  <c r="L102" i="8"/>
  <c r="E102" i="8"/>
  <c r="L101" i="8"/>
  <c r="E101" i="8"/>
  <c r="L100" i="8"/>
  <c r="E100" i="8"/>
  <c r="L99" i="8"/>
  <c r="E99" i="8"/>
  <c r="L98" i="8"/>
  <c r="E98" i="8"/>
  <c r="L97" i="8"/>
  <c r="E97" i="8"/>
  <c r="L96" i="8"/>
  <c r="E96" i="8"/>
  <c r="L95" i="8"/>
  <c r="E95" i="8"/>
  <c r="L94" i="8"/>
  <c r="E94" i="8"/>
  <c r="L93" i="8"/>
  <c r="E93" i="8"/>
  <c r="L92" i="8"/>
  <c r="E92" i="8"/>
  <c r="L91" i="8"/>
  <c r="E91" i="8"/>
  <c r="L90" i="8"/>
  <c r="E90" i="8"/>
  <c r="L89" i="8"/>
  <c r="E89" i="8"/>
  <c r="L88" i="8"/>
  <c r="E88" i="8"/>
  <c r="L87" i="8"/>
  <c r="E87" i="8"/>
  <c r="L86" i="8"/>
  <c r="E86" i="8"/>
  <c r="L85" i="8"/>
  <c r="E85" i="8"/>
  <c r="L84" i="8"/>
  <c r="E84" i="8"/>
  <c r="L83" i="8"/>
  <c r="E83" i="8"/>
  <c r="L82" i="8"/>
  <c r="E82" i="8"/>
  <c r="L81" i="8"/>
  <c r="E81" i="8"/>
  <c r="L80" i="8"/>
  <c r="E80" i="8"/>
  <c r="L79" i="8"/>
  <c r="E79" i="8"/>
  <c r="L78" i="8"/>
  <c r="E78" i="8"/>
  <c r="L77" i="8"/>
  <c r="E77" i="8"/>
  <c r="L76" i="8"/>
  <c r="E76" i="8"/>
  <c r="L75" i="8"/>
  <c r="E75" i="8"/>
  <c r="L74" i="8"/>
  <c r="E74" i="8"/>
  <c r="L73" i="8"/>
  <c r="E73" i="8"/>
  <c r="L72" i="8"/>
  <c r="E72" i="8"/>
  <c r="L71" i="8"/>
  <c r="E71" i="8"/>
  <c r="L70" i="8"/>
  <c r="E70" i="8"/>
  <c r="L69" i="8"/>
  <c r="E69" i="8"/>
  <c r="L68" i="8"/>
  <c r="E68" i="8"/>
  <c r="L67" i="8"/>
  <c r="E67" i="8"/>
  <c r="L66" i="8"/>
  <c r="E66" i="8"/>
  <c r="L65" i="8"/>
  <c r="E65" i="8"/>
  <c r="L64" i="8"/>
  <c r="E64" i="8"/>
  <c r="L63" i="8"/>
  <c r="E63" i="8"/>
  <c r="L62" i="8"/>
  <c r="E62" i="8"/>
  <c r="L61" i="8"/>
  <c r="E61" i="8"/>
  <c r="L60" i="8"/>
  <c r="E60" i="8"/>
  <c r="L59" i="8"/>
  <c r="E59" i="8"/>
  <c r="L58" i="8"/>
  <c r="E58" i="8"/>
  <c r="L57" i="8"/>
  <c r="E57" i="8"/>
  <c r="L56" i="8"/>
  <c r="E56" i="8"/>
  <c r="L55" i="8"/>
  <c r="E55" i="8"/>
  <c r="L54" i="8"/>
  <c r="E54" i="8"/>
  <c r="L53" i="8"/>
  <c r="E53" i="8"/>
  <c r="L52" i="8"/>
  <c r="E52" i="8"/>
  <c r="L51" i="8"/>
  <c r="E51" i="8"/>
  <c r="L50" i="8"/>
  <c r="E50" i="8"/>
  <c r="L49" i="8"/>
  <c r="E49" i="8"/>
  <c r="L48" i="8"/>
  <c r="E48" i="8"/>
  <c r="L47" i="8"/>
  <c r="E47" i="8"/>
  <c r="L46" i="8"/>
  <c r="E46" i="8"/>
  <c r="L45" i="8"/>
  <c r="E45" i="8"/>
  <c r="L44" i="8"/>
  <c r="E44" i="8"/>
  <c r="L43" i="8"/>
  <c r="E43" i="8"/>
  <c r="L42" i="8"/>
  <c r="E42" i="8"/>
  <c r="L41" i="8"/>
  <c r="E41" i="8"/>
  <c r="L40" i="8"/>
  <c r="E40" i="8"/>
  <c r="L39" i="8"/>
  <c r="E39" i="8"/>
  <c r="L38" i="8"/>
  <c r="E38" i="8"/>
  <c r="L37" i="8"/>
  <c r="E37" i="8"/>
  <c r="L36" i="8"/>
  <c r="E36" i="8"/>
  <c r="L35" i="8"/>
  <c r="E35" i="8"/>
  <c r="L34" i="8"/>
  <c r="E34" i="8"/>
  <c r="L33" i="8"/>
  <c r="E33" i="8"/>
  <c r="L32" i="8"/>
  <c r="E32" i="8"/>
  <c r="L31" i="8"/>
  <c r="E31" i="8"/>
  <c r="L30" i="8"/>
  <c r="E30" i="8"/>
  <c r="L29" i="8"/>
  <c r="E29" i="8"/>
  <c r="L28" i="8"/>
  <c r="E28" i="8"/>
  <c r="L27" i="8"/>
  <c r="E27" i="8"/>
  <c r="L26" i="8"/>
  <c r="E26" i="8"/>
  <c r="L25" i="8"/>
  <c r="E25" i="8"/>
  <c r="L24" i="8"/>
  <c r="E24" i="8"/>
  <c r="L23" i="8"/>
  <c r="E23" i="8"/>
  <c r="L22" i="8"/>
  <c r="E22" i="8"/>
  <c r="L21" i="8"/>
  <c r="E21" i="8"/>
  <c r="L20" i="8"/>
  <c r="E20" i="8"/>
  <c r="L19" i="8"/>
  <c r="E19" i="8"/>
  <c r="L18" i="8"/>
  <c r="E18" i="8"/>
  <c r="L17" i="8"/>
  <c r="E17" i="8"/>
  <c r="L16" i="8"/>
  <c r="E16" i="8"/>
  <c r="L15" i="8"/>
  <c r="E15" i="8"/>
  <c r="L14" i="8"/>
  <c r="E14" i="8"/>
  <c r="L13" i="8"/>
  <c r="E13" i="8"/>
  <c r="L12" i="8"/>
  <c r="E12" i="8"/>
  <c r="L11" i="8"/>
  <c r="E11" i="8"/>
  <c r="L10" i="8"/>
  <c r="E10" i="8"/>
  <c r="L9" i="8"/>
  <c r="E9" i="8"/>
  <c r="L8" i="8"/>
  <c r="E8" i="8"/>
  <c r="L7" i="8"/>
  <c r="E7" i="8"/>
  <c r="L6" i="8"/>
  <c r="E6" i="8"/>
  <c r="E300" i="7"/>
  <c r="B300" i="7"/>
  <c r="E299" i="7"/>
  <c r="B299" i="7"/>
  <c r="E298" i="7"/>
  <c r="B298" i="7"/>
  <c r="E297" i="7"/>
  <c r="B297" i="7"/>
  <c r="E296" i="7"/>
  <c r="B296" i="7"/>
  <c r="E295" i="7"/>
  <c r="B295" i="7"/>
  <c r="E294" i="7"/>
  <c r="B294" i="7"/>
  <c r="E293" i="7"/>
  <c r="B293" i="7"/>
  <c r="E292" i="7"/>
  <c r="B292" i="7"/>
  <c r="E291" i="7"/>
  <c r="B291" i="7"/>
  <c r="E290" i="7"/>
  <c r="B290" i="7"/>
  <c r="E289" i="7"/>
  <c r="B289" i="7"/>
  <c r="E288" i="7"/>
  <c r="B288" i="7"/>
  <c r="E287" i="7"/>
  <c r="B287" i="7"/>
  <c r="E286" i="7"/>
  <c r="B286" i="7"/>
  <c r="E285" i="7"/>
  <c r="B285" i="7"/>
  <c r="E284" i="7"/>
  <c r="B284" i="7"/>
  <c r="E283" i="7"/>
  <c r="B283" i="7"/>
  <c r="E282" i="7"/>
  <c r="B282" i="7"/>
  <c r="E281" i="7"/>
  <c r="B281" i="7"/>
  <c r="E280" i="7"/>
  <c r="B280" i="7"/>
  <c r="E279" i="7"/>
  <c r="B279" i="7"/>
  <c r="E278" i="7"/>
  <c r="B278" i="7"/>
  <c r="E277" i="7"/>
  <c r="B277" i="7"/>
  <c r="E276" i="7"/>
  <c r="B276" i="7"/>
  <c r="E275" i="7"/>
  <c r="B275" i="7"/>
  <c r="E274" i="7"/>
  <c r="B274" i="7"/>
  <c r="E273" i="7"/>
  <c r="B273" i="7"/>
  <c r="E272" i="7"/>
  <c r="B272" i="7"/>
  <c r="E271" i="7"/>
  <c r="B271" i="7"/>
  <c r="E270" i="7"/>
  <c r="B270" i="7"/>
  <c r="E269" i="7"/>
  <c r="B269" i="7"/>
  <c r="E268" i="7"/>
  <c r="B268" i="7"/>
  <c r="E267" i="7"/>
  <c r="B267" i="7"/>
  <c r="E266" i="7"/>
  <c r="B266" i="7"/>
  <c r="E265" i="7"/>
  <c r="B265" i="7"/>
  <c r="E264" i="7"/>
  <c r="B264" i="7"/>
  <c r="E263" i="7"/>
  <c r="B263" i="7"/>
  <c r="E262" i="7"/>
  <c r="B262" i="7"/>
  <c r="E261" i="7"/>
  <c r="B261" i="7"/>
  <c r="E260" i="7"/>
  <c r="B260" i="7"/>
  <c r="E259" i="7"/>
  <c r="B259" i="7"/>
  <c r="E258" i="7"/>
  <c r="B258" i="7"/>
  <c r="E257" i="7"/>
  <c r="B257" i="7"/>
  <c r="E256" i="7"/>
  <c r="B256" i="7"/>
  <c r="E255" i="7"/>
  <c r="B255" i="7"/>
  <c r="E254" i="7"/>
  <c r="B254" i="7"/>
  <c r="E253" i="7"/>
  <c r="B253" i="7"/>
  <c r="E252" i="7"/>
  <c r="B252" i="7"/>
  <c r="E251" i="7"/>
  <c r="B251" i="7"/>
  <c r="E250" i="7"/>
  <c r="B250" i="7"/>
  <c r="E249" i="7"/>
  <c r="B249" i="7"/>
  <c r="E248" i="7"/>
  <c r="B248" i="7"/>
  <c r="E247" i="7"/>
  <c r="B247" i="7"/>
  <c r="E246" i="7"/>
  <c r="B246" i="7"/>
  <c r="E245" i="7"/>
  <c r="B245" i="7"/>
  <c r="E244" i="7"/>
  <c r="B244" i="7"/>
  <c r="E243" i="7"/>
  <c r="B243" i="7"/>
  <c r="E242" i="7"/>
  <c r="B242" i="7"/>
  <c r="E241" i="7"/>
  <c r="B241" i="7"/>
  <c r="E240" i="7"/>
  <c r="B240" i="7"/>
  <c r="E239" i="7"/>
  <c r="B239" i="7"/>
  <c r="E238" i="7"/>
  <c r="B238" i="7"/>
  <c r="E237" i="7"/>
  <c r="B237" i="7"/>
  <c r="E236" i="7"/>
  <c r="B236" i="7"/>
  <c r="E235" i="7"/>
  <c r="B235" i="7"/>
  <c r="E234" i="7"/>
  <c r="B234" i="7"/>
  <c r="E233" i="7"/>
  <c r="B233" i="7"/>
  <c r="E232" i="7"/>
  <c r="B232" i="7"/>
  <c r="E231" i="7"/>
  <c r="B231" i="7"/>
  <c r="E230" i="7"/>
  <c r="B230" i="7"/>
  <c r="E229" i="7"/>
  <c r="B229" i="7"/>
  <c r="E228" i="7"/>
  <c r="B228" i="7"/>
  <c r="E227" i="7"/>
  <c r="B227" i="7"/>
  <c r="E226" i="7"/>
  <c r="B226" i="7"/>
  <c r="E225" i="7"/>
  <c r="B225" i="7"/>
  <c r="E224" i="7"/>
  <c r="B224" i="7"/>
  <c r="E223" i="7"/>
  <c r="B223" i="7"/>
  <c r="E222" i="7"/>
  <c r="B222" i="7"/>
  <c r="E221" i="7"/>
  <c r="B221" i="7"/>
  <c r="E220" i="7"/>
  <c r="B220" i="7"/>
  <c r="E219" i="7"/>
  <c r="B219" i="7"/>
  <c r="E218" i="7"/>
  <c r="B218" i="7"/>
  <c r="E217" i="7"/>
  <c r="B217" i="7"/>
  <c r="E216" i="7"/>
  <c r="B216" i="7"/>
  <c r="E215" i="7"/>
  <c r="B215" i="7"/>
  <c r="E214" i="7"/>
  <c r="B214" i="7"/>
  <c r="E213" i="7"/>
  <c r="B213" i="7"/>
  <c r="E212" i="7"/>
  <c r="B212" i="7"/>
  <c r="E211" i="7"/>
  <c r="B211" i="7"/>
  <c r="E210" i="7"/>
  <c r="B210" i="7"/>
  <c r="E209" i="7"/>
  <c r="B209" i="7"/>
  <c r="E208" i="7"/>
  <c r="B208" i="7"/>
  <c r="E207" i="7"/>
  <c r="B207" i="7"/>
  <c r="E206" i="7"/>
  <c r="B206" i="7"/>
  <c r="E205" i="7"/>
  <c r="B205" i="7"/>
  <c r="E204" i="7"/>
  <c r="B204" i="7"/>
  <c r="E203" i="7"/>
  <c r="B203" i="7"/>
  <c r="E202" i="7"/>
  <c r="B202" i="7"/>
  <c r="E201" i="7"/>
  <c r="B201" i="7"/>
  <c r="E200" i="7"/>
  <c r="B200" i="7"/>
  <c r="E199" i="7"/>
  <c r="B199" i="7"/>
  <c r="E198" i="7"/>
  <c r="B198" i="7"/>
  <c r="E197" i="7"/>
  <c r="B197" i="7"/>
  <c r="E196" i="7"/>
  <c r="B196" i="7"/>
  <c r="E195" i="7"/>
  <c r="B195" i="7"/>
  <c r="E194" i="7"/>
  <c r="B194" i="7"/>
  <c r="E193" i="7"/>
  <c r="B193" i="7"/>
  <c r="E192" i="7"/>
  <c r="B192" i="7"/>
  <c r="E191" i="7"/>
  <c r="B191" i="7"/>
  <c r="E190" i="7"/>
  <c r="B190" i="7"/>
  <c r="E189" i="7"/>
  <c r="B189" i="7"/>
  <c r="E188" i="7"/>
  <c r="B188" i="7"/>
  <c r="E187" i="7"/>
  <c r="B187" i="7"/>
  <c r="E186" i="7"/>
  <c r="B186" i="7"/>
  <c r="E185" i="7"/>
  <c r="B185" i="7"/>
  <c r="E184" i="7"/>
  <c r="B184" i="7"/>
  <c r="E183" i="7"/>
  <c r="B183" i="7"/>
  <c r="E182" i="7"/>
  <c r="B182" i="7"/>
  <c r="E181" i="7"/>
  <c r="B181" i="7"/>
  <c r="E180" i="7"/>
  <c r="B180" i="7"/>
  <c r="E179" i="7"/>
  <c r="B179" i="7"/>
  <c r="E178" i="7"/>
  <c r="B178" i="7"/>
  <c r="E177" i="7"/>
  <c r="B177" i="7"/>
  <c r="E176" i="7"/>
  <c r="B176" i="7"/>
  <c r="E175" i="7"/>
  <c r="B175" i="7"/>
  <c r="E174" i="7"/>
  <c r="B174" i="7"/>
  <c r="E173" i="7"/>
  <c r="B173" i="7"/>
  <c r="E172" i="7"/>
  <c r="B172" i="7"/>
  <c r="E171" i="7"/>
  <c r="B171" i="7"/>
  <c r="E170" i="7"/>
  <c r="B170" i="7"/>
  <c r="E169" i="7"/>
  <c r="B169" i="7"/>
  <c r="E168" i="7"/>
  <c r="B168" i="7"/>
  <c r="E167" i="7"/>
  <c r="B167" i="7"/>
  <c r="E166" i="7"/>
  <c r="B166" i="7"/>
  <c r="E165" i="7"/>
  <c r="B165" i="7"/>
  <c r="E164" i="7"/>
  <c r="B164" i="7"/>
  <c r="E163" i="7"/>
  <c r="B163" i="7"/>
  <c r="E162" i="7"/>
  <c r="B162" i="7"/>
  <c r="E161" i="7"/>
  <c r="B161" i="7"/>
  <c r="E160" i="7"/>
  <c r="B160" i="7"/>
  <c r="E159" i="7"/>
  <c r="B159" i="7"/>
  <c r="E158" i="7"/>
  <c r="B158" i="7"/>
  <c r="E157" i="7"/>
  <c r="B157" i="7"/>
  <c r="E156" i="7"/>
  <c r="B156" i="7"/>
  <c r="E155" i="7"/>
  <c r="B155" i="7"/>
  <c r="E154" i="7"/>
  <c r="B154" i="7"/>
  <c r="E153" i="7"/>
  <c r="B153" i="7"/>
  <c r="E152" i="7"/>
  <c r="B152" i="7"/>
  <c r="E151" i="7"/>
  <c r="B151" i="7"/>
  <c r="E150" i="7"/>
  <c r="B150" i="7"/>
  <c r="E149" i="7"/>
  <c r="B149" i="7"/>
  <c r="E148" i="7"/>
  <c r="B148" i="7"/>
  <c r="E147" i="7"/>
  <c r="B147" i="7"/>
  <c r="E146" i="7"/>
  <c r="B146" i="7"/>
  <c r="E145" i="7"/>
  <c r="B145" i="7"/>
  <c r="E144" i="7"/>
  <c r="B144" i="7"/>
  <c r="E143" i="7"/>
  <c r="B143" i="7"/>
  <c r="E142" i="7"/>
  <c r="B142" i="7"/>
  <c r="E141" i="7"/>
  <c r="B141" i="7"/>
  <c r="E140" i="7"/>
  <c r="B140" i="7"/>
  <c r="E139" i="7"/>
  <c r="B139" i="7"/>
  <c r="E138" i="7"/>
  <c r="B138" i="7"/>
  <c r="E137" i="7"/>
  <c r="B137" i="7"/>
  <c r="E136" i="7"/>
  <c r="B136" i="7"/>
  <c r="E135" i="7"/>
  <c r="B135" i="7"/>
  <c r="E134" i="7"/>
  <c r="B134" i="7"/>
  <c r="E133" i="7"/>
  <c r="B133" i="7"/>
  <c r="E132" i="7"/>
  <c r="B132" i="7"/>
  <c r="E131" i="7"/>
  <c r="B131" i="7"/>
  <c r="E130" i="7"/>
  <c r="B130" i="7"/>
  <c r="E129" i="7"/>
  <c r="B129" i="7"/>
  <c r="E128" i="7"/>
  <c r="B128" i="7"/>
  <c r="E127" i="7"/>
  <c r="B127" i="7"/>
  <c r="E126" i="7"/>
  <c r="B126" i="7"/>
  <c r="E125" i="7"/>
  <c r="B125" i="7"/>
  <c r="E124" i="7"/>
  <c r="B124" i="7"/>
  <c r="E123" i="7"/>
  <c r="B123" i="7"/>
  <c r="E122" i="7"/>
  <c r="B122" i="7"/>
  <c r="E121" i="7"/>
  <c r="B121" i="7"/>
  <c r="E120" i="7"/>
  <c r="B120" i="7"/>
  <c r="E119" i="7"/>
  <c r="B119" i="7"/>
  <c r="E118" i="7"/>
  <c r="B118" i="7"/>
  <c r="E117" i="7"/>
  <c r="B117" i="7"/>
  <c r="E116" i="7"/>
  <c r="B116" i="7"/>
  <c r="E115" i="7"/>
  <c r="B115" i="7"/>
  <c r="E114" i="7"/>
  <c r="B114" i="7"/>
  <c r="E113" i="7"/>
  <c r="B113" i="7"/>
  <c r="E112" i="7"/>
  <c r="B112" i="7"/>
  <c r="E111" i="7"/>
  <c r="B111" i="7"/>
  <c r="E110" i="7"/>
  <c r="B110" i="7"/>
  <c r="E109" i="7"/>
  <c r="B109" i="7"/>
  <c r="E108" i="7"/>
  <c r="B108" i="7"/>
  <c r="E107" i="7"/>
  <c r="B107" i="7"/>
  <c r="E106" i="7"/>
  <c r="B106" i="7"/>
  <c r="E105" i="7"/>
  <c r="B105" i="7"/>
  <c r="E104" i="7"/>
  <c r="B104" i="7"/>
  <c r="E103" i="7"/>
  <c r="B103" i="7"/>
  <c r="E102" i="7"/>
  <c r="B102" i="7"/>
  <c r="E101" i="7"/>
  <c r="B101" i="7"/>
  <c r="E100" i="7"/>
  <c r="B100" i="7"/>
  <c r="E99" i="7"/>
  <c r="B99" i="7"/>
  <c r="E98" i="7"/>
  <c r="B98" i="7"/>
  <c r="E97" i="7"/>
  <c r="B97" i="7"/>
  <c r="E96" i="7"/>
  <c r="B96" i="7"/>
  <c r="E95" i="7"/>
  <c r="B95" i="7"/>
  <c r="E94" i="7"/>
  <c r="B94" i="7"/>
  <c r="E93" i="7"/>
  <c r="B93" i="7"/>
  <c r="E92" i="7"/>
  <c r="B92" i="7"/>
  <c r="E91" i="7"/>
  <c r="B91" i="7"/>
  <c r="E90" i="7"/>
  <c r="B90" i="7"/>
  <c r="E89" i="7"/>
  <c r="B89" i="7"/>
  <c r="E88" i="7"/>
  <c r="B88" i="7"/>
  <c r="E87" i="7"/>
  <c r="B87" i="7"/>
  <c r="E86" i="7"/>
  <c r="B86" i="7"/>
  <c r="E85" i="7"/>
  <c r="B85" i="7"/>
  <c r="E84" i="7"/>
  <c r="B84" i="7"/>
  <c r="E83" i="7"/>
  <c r="B83" i="7"/>
  <c r="E82" i="7"/>
  <c r="B82" i="7"/>
  <c r="E81" i="7"/>
  <c r="B81" i="7"/>
  <c r="E80" i="7"/>
  <c r="B80" i="7"/>
  <c r="E79" i="7"/>
  <c r="B79" i="7"/>
  <c r="E78" i="7"/>
  <c r="B78" i="7"/>
  <c r="E77" i="7"/>
  <c r="B77" i="7"/>
  <c r="E76" i="7"/>
  <c r="B76" i="7"/>
  <c r="E75" i="7"/>
  <c r="B75" i="7"/>
  <c r="E74" i="7"/>
  <c r="B74" i="7"/>
  <c r="E73" i="7"/>
  <c r="B73" i="7"/>
  <c r="E72" i="7"/>
  <c r="B72" i="7"/>
  <c r="E71" i="7"/>
  <c r="B71" i="7"/>
  <c r="E70" i="7"/>
  <c r="B70" i="7"/>
  <c r="E69" i="7"/>
  <c r="B69" i="7"/>
  <c r="E68" i="7"/>
  <c r="B68" i="7"/>
  <c r="E67" i="7"/>
  <c r="B67" i="7"/>
  <c r="E66" i="7"/>
  <c r="B66" i="7"/>
  <c r="E65" i="7"/>
  <c r="B65" i="7"/>
  <c r="E64" i="7"/>
  <c r="B64" i="7"/>
  <c r="E63" i="7"/>
  <c r="B63" i="7"/>
  <c r="E62" i="7"/>
  <c r="B62" i="7"/>
  <c r="E61" i="7"/>
  <c r="B61" i="7"/>
  <c r="E60" i="7"/>
  <c r="B60" i="7"/>
  <c r="E59" i="7"/>
  <c r="B59" i="7"/>
  <c r="E58" i="7"/>
  <c r="B58" i="7"/>
  <c r="E57" i="7"/>
  <c r="B57" i="7"/>
  <c r="E56" i="7"/>
  <c r="B56" i="7"/>
  <c r="E55" i="7"/>
  <c r="B55" i="7"/>
  <c r="E54" i="7"/>
  <c r="B54" i="7"/>
  <c r="E53" i="7"/>
  <c r="B53" i="7"/>
  <c r="E52" i="7"/>
  <c r="B52" i="7"/>
  <c r="E51" i="7"/>
  <c r="B51" i="7"/>
  <c r="E50" i="7"/>
  <c r="B50" i="7"/>
  <c r="E49" i="7"/>
  <c r="B49" i="7"/>
  <c r="E48" i="7"/>
  <c r="B48" i="7"/>
  <c r="E47" i="7"/>
  <c r="B47" i="7"/>
  <c r="E46" i="7"/>
  <c r="B46" i="7"/>
  <c r="E45" i="7"/>
  <c r="B45" i="7"/>
  <c r="E44" i="7"/>
  <c r="B44" i="7"/>
  <c r="E43" i="7"/>
  <c r="B43" i="7"/>
  <c r="E42" i="7"/>
  <c r="B42" i="7"/>
  <c r="E41" i="7"/>
  <c r="B41" i="7"/>
  <c r="E40" i="7"/>
  <c r="B40" i="7"/>
  <c r="E39" i="7"/>
  <c r="B39" i="7"/>
  <c r="E38" i="7"/>
  <c r="B38" i="7"/>
  <c r="E37" i="7"/>
  <c r="B37" i="7"/>
  <c r="E36" i="7"/>
  <c r="B36" i="7"/>
  <c r="E35" i="7"/>
  <c r="B35" i="7"/>
  <c r="E34" i="7"/>
  <c r="B34" i="7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B27" i="7"/>
  <c r="E26" i="7"/>
  <c r="B26" i="7"/>
  <c r="E25" i="7"/>
  <c r="B25" i="7"/>
  <c r="E24" i="7"/>
  <c r="B24" i="7"/>
  <c r="E23" i="7"/>
  <c r="B23" i="7"/>
  <c r="E22" i="7"/>
  <c r="B22" i="7"/>
  <c r="E21" i="7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B14" i="7"/>
  <c r="E13" i="7"/>
  <c r="B13" i="7"/>
  <c r="E12" i="7"/>
  <c r="B12" i="7"/>
  <c r="E11" i="7"/>
  <c r="B11" i="7"/>
  <c r="E10" i="7"/>
  <c r="B10" i="7"/>
  <c r="E9" i="7"/>
  <c r="B9" i="7"/>
  <c r="E8" i="7"/>
  <c r="B8" i="7"/>
  <c r="E7" i="7"/>
  <c r="B7" i="7"/>
  <c r="E6" i="7"/>
  <c r="B6" i="7"/>
  <c r="M112" i="5"/>
  <c r="Q110" i="5"/>
  <c r="N110" i="5" s="1"/>
  <c r="I110" i="5"/>
  <c r="G110" i="5"/>
  <c r="Q109" i="5"/>
  <c r="N109" i="5"/>
  <c r="I109" i="5"/>
  <c r="G109" i="5"/>
  <c r="Q108" i="5"/>
  <c r="N108" i="5"/>
  <c r="I108" i="5"/>
  <c r="G108" i="5"/>
  <c r="Q107" i="5"/>
  <c r="N107" i="5"/>
  <c r="I107" i="5"/>
  <c r="G107" i="5"/>
  <c r="Q106" i="5"/>
  <c r="N106" i="5"/>
  <c r="I106" i="5"/>
  <c r="G106" i="5"/>
  <c r="K106" i="5" s="1"/>
  <c r="Q105" i="5"/>
  <c r="N105" i="5"/>
  <c r="I105" i="5"/>
  <c r="G105" i="5"/>
  <c r="Q104" i="5"/>
  <c r="N104" i="5"/>
  <c r="I104" i="5"/>
  <c r="G104" i="5"/>
  <c r="Q103" i="5"/>
  <c r="N103" i="5"/>
  <c r="I103" i="5"/>
  <c r="G103" i="5"/>
  <c r="Q102" i="5"/>
  <c r="N102" i="5"/>
  <c r="I102" i="5"/>
  <c r="G102" i="5"/>
  <c r="Q101" i="5"/>
  <c r="N101" i="5" s="1"/>
  <c r="I101" i="5"/>
  <c r="G101" i="5"/>
  <c r="Q100" i="5"/>
  <c r="N100" i="5" s="1"/>
  <c r="I100" i="5"/>
  <c r="G100" i="5"/>
  <c r="Q99" i="5"/>
  <c r="N99" i="5" s="1"/>
  <c r="I99" i="5"/>
  <c r="G99" i="5"/>
  <c r="Q98" i="5"/>
  <c r="N98" i="5" s="1"/>
  <c r="I98" i="5"/>
  <c r="G98" i="5"/>
  <c r="Q97" i="5"/>
  <c r="N97" i="5" s="1"/>
  <c r="I97" i="5"/>
  <c r="G97" i="5"/>
  <c r="Q96" i="5"/>
  <c r="N96" i="5" s="1"/>
  <c r="I96" i="5"/>
  <c r="G96" i="5"/>
  <c r="Q95" i="5"/>
  <c r="N95" i="5"/>
  <c r="I95" i="5"/>
  <c r="G95" i="5"/>
  <c r="Q94" i="5"/>
  <c r="N94" i="5"/>
  <c r="I94" i="5"/>
  <c r="G94" i="5"/>
  <c r="Q93" i="5"/>
  <c r="N93" i="5"/>
  <c r="I93" i="5"/>
  <c r="G93" i="5"/>
  <c r="Q92" i="5"/>
  <c r="N92" i="5"/>
  <c r="I92" i="5"/>
  <c r="G92" i="5"/>
  <c r="Q91" i="5"/>
  <c r="N91" i="5"/>
  <c r="I91" i="5"/>
  <c r="G91" i="5"/>
  <c r="Q90" i="5"/>
  <c r="N90" i="5" s="1"/>
  <c r="I90" i="5"/>
  <c r="G90" i="5"/>
  <c r="Q89" i="5"/>
  <c r="N89" i="5"/>
  <c r="I89" i="5"/>
  <c r="G89" i="5"/>
  <c r="Q88" i="5"/>
  <c r="N88" i="5" s="1"/>
  <c r="I88" i="5"/>
  <c r="G88" i="5"/>
  <c r="Q87" i="5"/>
  <c r="N87" i="5" s="1"/>
  <c r="I87" i="5"/>
  <c r="G87" i="5"/>
  <c r="Q86" i="5"/>
  <c r="N86" i="5" s="1"/>
  <c r="I86" i="5"/>
  <c r="G86" i="5"/>
  <c r="Q85" i="5"/>
  <c r="N85" i="5" s="1"/>
  <c r="I85" i="5"/>
  <c r="G85" i="5"/>
  <c r="Q84" i="5"/>
  <c r="N84" i="5" s="1"/>
  <c r="I84" i="5"/>
  <c r="G84" i="5"/>
  <c r="Q83" i="5"/>
  <c r="N83" i="5" s="1"/>
  <c r="I83" i="5"/>
  <c r="G83" i="5"/>
  <c r="Q82" i="5"/>
  <c r="N82" i="5"/>
  <c r="I82" i="5"/>
  <c r="G82" i="5"/>
  <c r="Q81" i="5"/>
  <c r="N81" i="5"/>
  <c r="I81" i="5"/>
  <c r="G81" i="5"/>
  <c r="Q80" i="5"/>
  <c r="N80" i="5"/>
  <c r="I80" i="5"/>
  <c r="G80" i="5"/>
  <c r="Q79" i="5"/>
  <c r="N79" i="5"/>
  <c r="I79" i="5"/>
  <c r="G79" i="5"/>
  <c r="Q78" i="5"/>
  <c r="N78" i="5"/>
  <c r="I78" i="5"/>
  <c r="G78" i="5"/>
  <c r="Q77" i="5"/>
  <c r="N77" i="5" s="1"/>
  <c r="I77" i="5"/>
  <c r="G77" i="5"/>
  <c r="Q76" i="5"/>
  <c r="N76" i="5"/>
  <c r="I76" i="5"/>
  <c r="G76" i="5"/>
  <c r="Q75" i="5"/>
  <c r="N75" i="5" s="1"/>
  <c r="I75" i="5"/>
  <c r="G75" i="5"/>
  <c r="Q74" i="5"/>
  <c r="N74" i="5"/>
  <c r="I74" i="5"/>
  <c r="G74" i="5"/>
  <c r="Q73" i="5"/>
  <c r="N73" i="5"/>
  <c r="I73" i="5"/>
  <c r="G73" i="5"/>
  <c r="Q72" i="5"/>
  <c r="N72" i="5"/>
  <c r="I72" i="5"/>
  <c r="G72" i="5"/>
  <c r="Q71" i="5"/>
  <c r="N71" i="5"/>
  <c r="I71" i="5"/>
  <c r="G71" i="5"/>
  <c r="Q70" i="5"/>
  <c r="N70" i="5" s="1"/>
  <c r="I70" i="5"/>
  <c r="G70" i="5"/>
  <c r="Q69" i="5"/>
  <c r="N69" i="5" s="1"/>
  <c r="I69" i="5"/>
  <c r="G69" i="5"/>
  <c r="Q68" i="5"/>
  <c r="N68" i="5"/>
  <c r="I68" i="5"/>
  <c r="G68" i="5"/>
  <c r="Q67" i="5"/>
  <c r="N67" i="5" s="1"/>
  <c r="I67" i="5"/>
  <c r="G67" i="5"/>
  <c r="Q66" i="5"/>
  <c r="N66" i="5"/>
  <c r="I66" i="5"/>
  <c r="G66" i="5"/>
  <c r="Q65" i="5"/>
  <c r="N65" i="5" s="1"/>
  <c r="I65" i="5"/>
  <c r="G65" i="5"/>
  <c r="Q64" i="5"/>
  <c r="N64" i="5" s="1"/>
  <c r="I64" i="5"/>
  <c r="G64" i="5"/>
  <c r="Q63" i="5"/>
  <c r="N63" i="5" s="1"/>
  <c r="I63" i="5"/>
  <c r="G63" i="5"/>
  <c r="Q62" i="5"/>
  <c r="N62" i="5" s="1"/>
  <c r="I62" i="5"/>
  <c r="G62" i="5"/>
  <c r="Q61" i="5"/>
  <c r="N61" i="5" s="1"/>
  <c r="I61" i="5"/>
  <c r="G61" i="5"/>
  <c r="Q60" i="5"/>
  <c r="N60" i="5" s="1"/>
  <c r="I60" i="5"/>
  <c r="G60" i="5"/>
  <c r="Q59" i="5"/>
  <c r="N59" i="5" s="1"/>
  <c r="I59" i="5"/>
  <c r="G59" i="5"/>
  <c r="Q58" i="5"/>
  <c r="N58" i="5" s="1"/>
  <c r="I58" i="5"/>
  <c r="G58" i="5"/>
  <c r="Q57" i="5"/>
  <c r="N57" i="5" s="1"/>
  <c r="I57" i="5"/>
  <c r="G57" i="5"/>
  <c r="Q56" i="5"/>
  <c r="N56" i="5" s="1"/>
  <c r="I56" i="5"/>
  <c r="G56" i="5"/>
  <c r="Q55" i="5"/>
  <c r="N55" i="5" s="1"/>
  <c r="I55" i="5"/>
  <c r="G55" i="5"/>
  <c r="Q54" i="5"/>
  <c r="N54" i="5" s="1"/>
  <c r="I54" i="5"/>
  <c r="G54" i="5"/>
  <c r="Q53" i="5"/>
  <c r="N53" i="5" s="1"/>
  <c r="I53" i="5"/>
  <c r="G53" i="5"/>
  <c r="Q52" i="5"/>
  <c r="N52" i="5" s="1"/>
  <c r="I52" i="5"/>
  <c r="G52" i="5"/>
  <c r="Q51" i="5"/>
  <c r="N51" i="5" s="1"/>
  <c r="I51" i="5"/>
  <c r="G51" i="5"/>
  <c r="Q50" i="5"/>
  <c r="N50" i="5" s="1"/>
  <c r="I50" i="5"/>
  <c r="G50" i="5"/>
  <c r="Q49" i="5"/>
  <c r="N49" i="5" s="1"/>
  <c r="I49" i="5"/>
  <c r="G49" i="5"/>
  <c r="Q48" i="5"/>
  <c r="N48" i="5" s="1"/>
  <c r="I48" i="5"/>
  <c r="G48" i="5"/>
  <c r="Q47" i="5"/>
  <c r="N47" i="5" s="1"/>
  <c r="I47" i="5"/>
  <c r="G47" i="5"/>
  <c r="Q46" i="5"/>
  <c r="N46" i="5" s="1"/>
  <c r="I46" i="5"/>
  <c r="G46" i="5"/>
  <c r="Q45" i="5"/>
  <c r="N45" i="5" s="1"/>
  <c r="I45" i="5"/>
  <c r="Q44" i="5"/>
  <c r="N44" i="5" s="1"/>
  <c r="I44" i="5"/>
  <c r="G44" i="5"/>
  <c r="Q43" i="5"/>
  <c r="N43" i="5" s="1"/>
  <c r="I43" i="5"/>
  <c r="G43" i="5"/>
  <c r="Q42" i="5"/>
  <c r="N42" i="5" s="1"/>
  <c r="I42" i="5"/>
  <c r="G42" i="5"/>
  <c r="Q41" i="5"/>
  <c r="N41" i="5" s="1"/>
  <c r="I41" i="5"/>
  <c r="G41" i="5"/>
  <c r="Q40" i="5"/>
  <c r="N40" i="5" s="1"/>
  <c r="I40" i="5"/>
  <c r="G40" i="5"/>
  <c r="Q39" i="5"/>
  <c r="N39" i="5" s="1"/>
  <c r="I39" i="5"/>
  <c r="G39" i="5"/>
  <c r="Q38" i="5"/>
  <c r="N38" i="5" s="1"/>
  <c r="I38" i="5"/>
  <c r="G38" i="5"/>
  <c r="Q37" i="5"/>
  <c r="N37" i="5" s="1"/>
  <c r="I37" i="5"/>
  <c r="G37" i="5"/>
  <c r="Q36" i="5"/>
  <c r="N36" i="5" s="1"/>
  <c r="I36" i="5"/>
  <c r="G36" i="5"/>
  <c r="Q35" i="5"/>
  <c r="N35" i="5" s="1"/>
  <c r="I35" i="5"/>
  <c r="G35" i="5"/>
  <c r="Q34" i="5"/>
  <c r="N34" i="5" s="1"/>
  <c r="I34" i="5"/>
  <c r="G34" i="5"/>
  <c r="Q33" i="5"/>
  <c r="N33" i="5" s="1"/>
  <c r="I33" i="5"/>
  <c r="G33" i="5"/>
  <c r="Q32" i="5"/>
  <c r="N32" i="5" s="1"/>
  <c r="I32" i="5"/>
  <c r="G32" i="5"/>
  <c r="Q31" i="5"/>
  <c r="N31" i="5" s="1"/>
  <c r="I31" i="5"/>
  <c r="G31" i="5"/>
  <c r="Q30" i="5"/>
  <c r="N30" i="5" s="1"/>
  <c r="I30" i="5"/>
  <c r="G30" i="5"/>
  <c r="Q29" i="5"/>
  <c r="N29" i="5" s="1"/>
  <c r="I29" i="5"/>
  <c r="G29" i="5"/>
  <c r="Q28" i="5"/>
  <c r="N28" i="5" s="1"/>
  <c r="I28" i="5"/>
  <c r="G28" i="5"/>
  <c r="Q27" i="5"/>
  <c r="N27" i="5" s="1"/>
  <c r="I27" i="5"/>
  <c r="G27" i="5"/>
  <c r="Q26" i="5"/>
  <c r="N26" i="5" s="1"/>
  <c r="I26" i="5"/>
  <c r="G26" i="5"/>
  <c r="Q25" i="5"/>
  <c r="N25" i="5" s="1"/>
  <c r="I25" i="5"/>
  <c r="G25" i="5"/>
  <c r="Q24" i="5"/>
  <c r="N24" i="5" s="1"/>
  <c r="I24" i="5"/>
  <c r="G24" i="5"/>
  <c r="Q23" i="5"/>
  <c r="N23" i="5" s="1"/>
  <c r="I23" i="5"/>
  <c r="G23" i="5"/>
  <c r="Q22" i="5"/>
  <c r="N22" i="5" s="1"/>
  <c r="I22" i="5"/>
  <c r="G22" i="5"/>
  <c r="Q21" i="5"/>
  <c r="N21" i="5" s="1"/>
  <c r="I21" i="5"/>
  <c r="G21" i="5"/>
  <c r="Q20" i="5"/>
  <c r="N20" i="5" s="1"/>
  <c r="I20" i="5"/>
  <c r="G20" i="5"/>
  <c r="Q19" i="5"/>
  <c r="N19" i="5" s="1"/>
  <c r="I19" i="5"/>
  <c r="G19" i="5"/>
  <c r="Q18" i="5"/>
  <c r="N18" i="5" s="1"/>
  <c r="K18" i="5"/>
  <c r="I18" i="5"/>
  <c r="G18" i="5"/>
  <c r="L18" i="5" s="1"/>
  <c r="Q17" i="5"/>
  <c r="N17" i="5" s="1"/>
  <c r="I17" i="5"/>
  <c r="G17" i="5"/>
  <c r="Q16" i="5"/>
  <c r="N16" i="5" s="1"/>
  <c r="I16" i="5"/>
  <c r="G16" i="5"/>
  <c r="Q15" i="5"/>
  <c r="N15" i="5"/>
  <c r="I15" i="5"/>
  <c r="G15" i="5"/>
  <c r="Q14" i="5"/>
  <c r="N14" i="5" s="1"/>
  <c r="I14" i="5"/>
  <c r="G14" i="5"/>
  <c r="Q13" i="5"/>
  <c r="N13" i="5" s="1"/>
  <c r="I13" i="5"/>
  <c r="G13" i="5"/>
  <c r="Q12" i="5"/>
  <c r="N12" i="5"/>
  <c r="I12" i="5"/>
  <c r="G12" i="5"/>
  <c r="Q11" i="5"/>
  <c r="N11" i="5"/>
  <c r="I11" i="5"/>
  <c r="G11" i="5"/>
  <c r="Q10" i="5"/>
  <c r="N10" i="5" s="1"/>
  <c r="I10" i="5"/>
  <c r="G10" i="5"/>
  <c r="Q9" i="5"/>
  <c r="N9" i="5"/>
  <c r="I9" i="5"/>
  <c r="G9" i="5"/>
  <c r="Q8" i="5"/>
  <c r="N8" i="5"/>
  <c r="I8" i="5"/>
  <c r="G8" i="5"/>
  <c r="Q7" i="5"/>
  <c r="N7" i="5"/>
  <c r="I7" i="5"/>
  <c r="G7" i="5"/>
  <c r="Q6" i="5"/>
  <c r="N6" i="5"/>
  <c r="I6" i="5"/>
  <c r="G6" i="5"/>
  <c r="Q5" i="5"/>
  <c r="I5" i="5"/>
  <c r="G5" i="5"/>
  <c r="K2" i="5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W32" i="3"/>
  <c r="V32" i="3"/>
  <c r="W31" i="3"/>
  <c r="V31" i="3"/>
  <c r="L31" i="3"/>
  <c r="W30" i="3"/>
  <c r="V30" i="3"/>
  <c r="L30" i="3"/>
  <c r="W29" i="3"/>
  <c r="V29" i="3"/>
  <c r="L29" i="3"/>
  <c r="W28" i="3"/>
  <c r="V28" i="3"/>
  <c r="L28" i="3"/>
  <c r="W27" i="3"/>
  <c r="V27" i="3"/>
  <c r="W26" i="3"/>
  <c r="V26" i="3"/>
  <c r="L26" i="3"/>
  <c r="W25" i="3"/>
  <c r="V25" i="3"/>
  <c r="L25" i="3"/>
  <c r="W24" i="3"/>
  <c r="V24" i="3"/>
  <c r="L24" i="3"/>
  <c r="W23" i="3"/>
  <c r="V23" i="3"/>
  <c r="L23" i="3"/>
  <c r="W22" i="3"/>
  <c r="V22" i="3"/>
  <c r="L22" i="3"/>
  <c r="W21" i="3"/>
  <c r="V21" i="3"/>
  <c r="L21" i="3"/>
  <c r="W20" i="3"/>
  <c r="V20" i="3"/>
  <c r="L20" i="3"/>
  <c r="W19" i="3"/>
  <c r="V19" i="3"/>
  <c r="L19" i="3"/>
  <c r="W18" i="3"/>
  <c r="V18" i="3"/>
  <c r="L18" i="3"/>
  <c r="W17" i="3"/>
  <c r="V17" i="3"/>
  <c r="L17" i="3"/>
  <c r="W16" i="3"/>
  <c r="V16" i="3"/>
  <c r="L16" i="3"/>
  <c r="W15" i="3"/>
  <c r="V15" i="3"/>
  <c r="L15" i="3"/>
  <c r="W14" i="3"/>
  <c r="V14" i="3"/>
  <c r="L14" i="3"/>
  <c r="W13" i="3"/>
  <c r="V13" i="3"/>
  <c r="L13" i="3"/>
  <c r="W12" i="3"/>
  <c r="V12" i="3"/>
  <c r="L12" i="3"/>
  <c r="W11" i="3"/>
  <c r="V11" i="3"/>
  <c r="L11" i="3"/>
  <c r="W10" i="3"/>
  <c r="V10" i="3"/>
  <c r="L10" i="3"/>
  <c r="W9" i="3"/>
  <c r="V9" i="3"/>
  <c r="L9" i="3"/>
  <c r="W8" i="3"/>
  <c r="V8" i="3"/>
  <c r="L8" i="3"/>
  <c r="W7" i="3"/>
  <c r="V7" i="3"/>
  <c r="L7" i="3"/>
  <c r="W6" i="3"/>
  <c r="V6" i="3"/>
  <c r="L6" i="3"/>
  <c r="W5" i="3"/>
  <c r="V5" i="3"/>
  <c r="L5" i="3"/>
  <c r="J5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C31" i="2"/>
  <c r="C30" i="2"/>
  <c r="E28" i="2" s="1"/>
  <c r="C29" i="2"/>
  <c r="C28" i="2"/>
  <c r="E29" i="2" s="1"/>
  <c r="C27" i="2"/>
  <c r="C24" i="2"/>
  <c r="E26" i="2" s="1"/>
  <c r="E22" i="2"/>
  <c r="C22" i="2"/>
  <c r="C19" i="2"/>
  <c r="C18" i="2"/>
  <c r="F14" i="2"/>
  <c r="F12" i="2"/>
  <c r="F11" i="2"/>
  <c r="F10" i="2"/>
  <c r="F9" i="2"/>
  <c r="C9" i="2"/>
  <c r="F6" i="2"/>
  <c r="B55" i="13" l="1"/>
  <c r="B54" i="13"/>
  <c r="B53" i="13"/>
  <c r="B52" i="13"/>
  <c r="B51" i="13"/>
  <c r="B50" i="13"/>
  <c r="B49" i="13"/>
  <c r="B48" i="13"/>
  <c r="K110" i="5"/>
  <c r="K109" i="5"/>
  <c r="K108" i="5"/>
  <c r="K107" i="5"/>
  <c r="O106" i="5"/>
  <c r="L106" i="5"/>
  <c r="K105" i="5"/>
  <c r="K104" i="5"/>
  <c r="O104" i="5" s="1"/>
  <c r="L104" i="5"/>
  <c r="K103" i="5"/>
  <c r="K102" i="5"/>
  <c r="O102" i="5" s="1"/>
  <c r="L102" i="5"/>
  <c r="K101" i="5"/>
  <c r="K100" i="5"/>
  <c r="K99" i="5"/>
  <c r="K98" i="5"/>
  <c r="O98" i="5" s="1"/>
  <c r="L98" i="5"/>
  <c r="K97" i="5"/>
  <c r="K96" i="5"/>
  <c r="O96" i="5" s="1"/>
  <c r="L96" i="5"/>
  <c r="K95" i="5"/>
  <c r="K94" i="5"/>
  <c r="O94" i="5" s="1"/>
  <c r="L94" i="5"/>
  <c r="K93" i="5"/>
  <c r="K92" i="5"/>
  <c r="K91" i="5"/>
  <c r="K90" i="5"/>
  <c r="K89" i="5"/>
  <c r="O89" i="5" s="1"/>
  <c r="L89" i="5"/>
  <c r="K88" i="5"/>
  <c r="K87" i="5"/>
  <c r="K86" i="5"/>
  <c r="O86" i="5" s="1"/>
  <c r="L86" i="5"/>
  <c r="K85" i="5"/>
  <c r="K84" i="5"/>
  <c r="K83" i="5"/>
  <c r="K82" i="5"/>
  <c r="O82" i="5" s="1"/>
  <c r="L82" i="5"/>
  <c r="K81" i="5"/>
  <c r="K80" i="5"/>
  <c r="K79" i="5"/>
  <c r="K78" i="5"/>
  <c r="K77" i="5"/>
  <c r="O77" i="5" s="1"/>
  <c r="L77" i="5"/>
  <c r="K76" i="5"/>
  <c r="K75" i="5"/>
  <c r="O75" i="5" s="1"/>
  <c r="L75" i="5"/>
  <c r="K74" i="5"/>
  <c r="K73" i="5"/>
  <c r="K72" i="5"/>
  <c r="O72" i="5" s="1"/>
  <c r="L72" i="5"/>
  <c r="K71" i="5"/>
  <c r="K70" i="5"/>
  <c r="K69" i="5"/>
  <c r="O69" i="5" s="1"/>
  <c r="L69" i="5"/>
  <c r="K68" i="5"/>
  <c r="K67" i="5"/>
  <c r="O67" i="5" s="1"/>
  <c r="L67" i="5"/>
  <c r="K66" i="5"/>
  <c r="K65" i="5"/>
  <c r="O65" i="5" s="1"/>
  <c r="L65" i="5"/>
  <c r="K64" i="5"/>
  <c r="K63" i="5"/>
  <c r="K62" i="5"/>
  <c r="L27" i="3"/>
  <c r="K61" i="5"/>
  <c r="O61" i="5" s="1"/>
  <c r="L61" i="5"/>
  <c r="K60" i="5"/>
  <c r="K59" i="5"/>
  <c r="O59" i="5" s="1"/>
  <c r="L59" i="5"/>
  <c r="K58" i="5"/>
  <c r="O58" i="5" s="1"/>
  <c r="L58" i="5"/>
  <c r="K57" i="5"/>
  <c r="K56" i="5"/>
  <c r="K55" i="5"/>
  <c r="O55" i="5" s="1"/>
  <c r="L55" i="5"/>
  <c r="K54" i="5"/>
  <c r="K53" i="5"/>
  <c r="O53" i="5" s="1"/>
  <c r="L53" i="5"/>
  <c r="K52" i="5"/>
  <c r="K51" i="5"/>
  <c r="L32" i="3"/>
  <c r="K50" i="5"/>
  <c r="O50" i="5" s="1"/>
  <c r="L50" i="5"/>
  <c r="K49" i="5"/>
  <c r="O49" i="5" s="1"/>
  <c r="L49" i="5"/>
  <c r="K48" i="5"/>
  <c r="O48" i="5" s="1"/>
  <c r="L48" i="5"/>
  <c r="K47" i="5"/>
  <c r="O47" i="5" s="1"/>
  <c r="L47" i="5"/>
  <c r="K46" i="5"/>
  <c r="O46" i="5" s="1"/>
  <c r="L46" i="5"/>
  <c r="K44" i="5"/>
  <c r="O44" i="5" s="1"/>
  <c r="L44" i="5"/>
  <c r="K43" i="5"/>
  <c r="O43" i="5" s="1"/>
  <c r="L43" i="5"/>
  <c r="K42" i="5"/>
  <c r="O42" i="5" s="1"/>
  <c r="L42" i="5"/>
  <c r="K41" i="5"/>
  <c r="O41" i="5" s="1"/>
  <c r="L41" i="5"/>
  <c r="K40" i="5"/>
  <c r="K39" i="5"/>
  <c r="O39" i="5" s="1"/>
  <c r="L39" i="5"/>
  <c r="K38" i="5"/>
  <c r="O38" i="5" s="1"/>
  <c r="L38" i="5"/>
  <c r="K37" i="5"/>
  <c r="O37" i="5" s="1"/>
  <c r="L37" i="5"/>
  <c r="K36" i="5"/>
  <c r="K35" i="5"/>
  <c r="O35" i="5" s="1"/>
  <c r="L35" i="5"/>
  <c r="K34" i="5"/>
  <c r="O34" i="5" s="1"/>
  <c r="L34" i="5"/>
  <c r="K33" i="5"/>
  <c r="O33" i="5" s="1"/>
  <c r="L33" i="5"/>
  <c r="K32" i="5"/>
  <c r="O32" i="5" s="1"/>
  <c r="L32" i="5"/>
  <c r="K31" i="5"/>
  <c r="K30" i="5"/>
  <c r="K29" i="5"/>
  <c r="K28" i="5"/>
  <c r="O28" i="5" s="1"/>
  <c r="L28" i="5"/>
  <c r="K27" i="5"/>
  <c r="K26" i="5"/>
  <c r="O26" i="5" s="1"/>
  <c r="L26" i="5"/>
  <c r="K25" i="5"/>
  <c r="K24" i="5"/>
  <c r="O24" i="5" s="1"/>
  <c r="L24" i="5"/>
  <c r="K23" i="5"/>
  <c r="O23" i="5" s="1"/>
  <c r="L23" i="5"/>
  <c r="K22" i="5"/>
  <c r="O22" i="5" s="1"/>
  <c r="L22" i="5"/>
  <c r="K21" i="5"/>
  <c r="O21" i="5" s="1"/>
  <c r="L21" i="5"/>
  <c r="K20" i="5"/>
  <c r="O20" i="5" s="1"/>
  <c r="L20" i="5"/>
  <c r="K19" i="5"/>
  <c r="K17" i="5"/>
  <c r="O17" i="5" s="1"/>
  <c r="L17" i="5"/>
  <c r="K16" i="5"/>
  <c r="O16" i="5" s="1"/>
  <c r="L16" i="5"/>
  <c r="K15" i="5"/>
  <c r="O15" i="5" s="1"/>
  <c r="L15" i="5"/>
  <c r="K14" i="5"/>
  <c r="O14" i="5" s="1"/>
  <c r="L14" i="5"/>
  <c r="K13" i="5"/>
  <c r="K12" i="5"/>
  <c r="K11" i="5"/>
  <c r="O11" i="5" s="1"/>
  <c r="L11" i="5"/>
  <c r="K10" i="5"/>
  <c r="K9" i="5"/>
  <c r="O9" i="5" s="1"/>
  <c r="L9" i="5"/>
  <c r="K8" i="5"/>
  <c r="O8" i="5" s="1"/>
  <c r="L8" i="5"/>
  <c r="K7" i="5"/>
  <c r="O7" i="5" s="1"/>
  <c r="L7" i="5"/>
  <c r="K6" i="5"/>
  <c r="O6" i="5" s="1"/>
  <c r="L6" i="5"/>
  <c r="E7" i="6"/>
  <c r="N5" i="5"/>
  <c r="N112" i="5" s="1"/>
  <c r="C7" i="6"/>
  <c r="J7" i="6" s="1"/>
  <c r="E6" i="6"/>
  <c r="C9" i="6"/>
  <c r="C6" i="6"/>
  <c r="E9" i="6"/>
  <c r="C10" i="6"/>
  <c r="E10" i="6"/>
  <c r="C11" i="6"/>
  <c r="C5" i="6"/>
  <c r="C12" i="6"/>
  <c r="E12" i="6"/>
  <c r="J13" i="6"/>
  <c r="E5" i="6"/>
  <c r="E13" i="6"/>
  <c r="E8" i="6"/>
  <c r="C8" i="6"/>
  <c r="E11" i="6"/>
  <c r="F45" i="5"/>
  <c r="G45" i="5" s="1"/>
  <c r="K5" i="5"/>
  <c r="L5" i="5" s="1"/>
  <c r="B35" i="13"/>
  <c r="B34" i="13"/>
  <c r="B33" i="13"/>
  <c r="B32" i="13"/>
  <c r="B31" i="13"/>
  <c r="B30" i="13"/>
  <c r="B29" i="13"/>
  <c r="B28" i="13"/>
  <c r="B18" i="13"/>
  <c r="C18" i="13" s="1"/>
  <c r="B24" i="13"/>
  <c r="C24" i="13" s="1"/>
  <c r="B22" i="13"/>
  <c r="C22" i="13" s="1"/>
  <c r="B21" i="13"/>
  <c r="C21" i="13" s="1"/>
  <c r="B20" i="13"/>
  <c r="C20" i="13" s="1"/>
  <c r="B23" i="13"/>
  <c r="C23" i="13" s="1"/>
  <c r="B19" i="13"/>
  <c r="C19" i="13" s="1"/>
  <c r="B25" i="13"/>
  <c r="C25" i="13" s="1"/>
  <c r="M12" i="3"/>
  <c r="M9" i="3"/>
  <c r="M28" i="3"/>
  <c r="M24" i="3"/>
  <c r="M14" i="3"/>
  <c r="M22" i="3"/>
  <c r="M8" i="3"/>
  <c r="M7" i="3"/>
  <c r="M23" i="3"/>
  <c r="M29" i="3"/>
  <c r="M11" i="3"/>
  <c r="M32" i="3"/>
  <c r="M15" i="3"/>
  <c r="M20" i="3"/>
  <c r="M10" i="3"/>
  <c r="M30" i="3"/>
  <c r="L34" i="3"/>
  <c r="M16" i="3"/>
  <c r="M6" i="3"/>
  <c r="M19" i="3"/>
  <c r="M13" i="3"/>
  <c r="M5" i="3"/>
  <c r="M31" i="3"/>
  <c r="M18" i="3"/>
  <c r="M26" i="3"/>
  <c r="M17" i="3"/>
  <c r="M27" i="3"/>
  <c r="M25" i="3"/>
  <c r="M21" i="3"/>
  <c r="K5" i="3"/>
  <c r="M8" i="11"/>
  <c r="L9" i="11"/>
  <c r="M9" i="11"/>
  <c r="L10" i="11"/>
  <c r="M10" i="11"/>
  <c r="L11" i="11"/>
  <c r="M11" i="11"/>
  <c r="L12" i="11"/>
  <c r="M12" i="11"/>
  <c r="L13" i="11"/>
  <c r="M13" i="11"/>
  <c r="L14" i="11"/>
  <c r="M14" i="11"/>
  <c r="L15" i="11"/>
  <c r="L5" i="11"/>
  <c r="R5" i="3"/>
  <c r="S5" i="3" s="1"/>
  <c r="M15" i="11"/>
  <c r="L16" i="11"/>
  <c r="M16" i="11"/>
  <c r="L17" i="11"/>
  <c r="M17" i="11"/>
  <c r="M18" i="11"/>
  <c r="M5" i="11"/>
  <c r="L6" i="11"/>
  <c r="M6" i="11"/>
  <c r="L7" i="11"/>
  <c r="M7" i="11"/>
  <c r="L8" i="11"/>
  <c r="L18" i="11"/>
  <c r="C5" i="13"/>
  <c r="C6" i="13" s="1"/>
  <c r="C7" i="13" s="1"/>
  <c r="O18" i="5"/>
  <c r="C23" i="2" l="1"/>
  <c r="C55" i="13"/>
  <c r="D55" i="13"/>
  <c r="C54" i="13"/>
  <c r="D54" i="13"/>
  <c r="C53" i="13"/>
  <c r="D53" i="13"/>
  <c r="C52" i="13"/>
  <c r="D52" i="13"/>
  <c r="C51" i="13"/>
  <c r="D51" i="13"/>
  <c r="C50" i="13"/>
  <c r="D50" i="13"/>
  <c r="C49" i="13"/>
  <c r="D49" i="13"/>
  <c r="C48" i="13"/>
  <c r="D48" i="13"/>
  <c r="C15" i="6"/>
  <c r="J5" i="6"/>
  <c r="F5" i="2"/>
  <c r="F7" i="2" s="1"/>
  <c r="G2" i="5"/>
  <c r="K45" i="5"/>
  <c r="O5" i="5"/>
  <c r="O112" i="5" s="1"/>
  <c r="K112" i="5"/>
  <c r="F8" i="2"/>
  <c r="F15" i="2" s="1"/>
  <c r="C35" i="13"/>
  <c r="D35" i="13"/>
  <c r="C34" i="13"/>
  <c r="D34" i="13"/>
  <c r="C33" i="13"/>
  <c r="D33" i="13"/>
  <c r="C32" i="13"/>
  <c r="D32" i="13"/>
  <c r="C31" i="13"/>
  <c r="D31" i="13"/>
  <c r="C30" i="13"/>
  <c r="D30" i="13"/>
  <c r="C29" i="13"/>
  <c r="D29" i="13"/>
  <c r="C28" i="13"/>
  <c r="C11" i="13"/>
  <c r="M34" i="3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C15" i="2"/>
  <c r="J6" i="3"/>
  <c r="J7" i="3"/>
  <c r="U5" i="3"/>
  <c r="U6" i="3"/>
  <c r="J9" i="6"/>
  <c r="J10" i="6"/>
  <c r="J11" i="6"/>
  <c r="E15" i="6"/>
  <c r="J8" i="6"/>
  <c r="J6" i="6"/>
  <c r="J12" i="6"/>
  <c r="O110" i="5"/>
  <c r="L110" i="5"/>
  <c r="O109" i="5"/>
  <c r="L109" i="5"/>
  <c r="O108" i="5"/>
  <c r="L108" i="5"/>
  <c r="O107" i="5"/>
  <c r="L107" i="5"/>
  <c r="O105" i="5"/>
  <c r="L105" i="5"/>
  <c r="O103" i="5"/>
  <c r="L103" i="5"/>
  <c r="O101" i="5"/>
  <c r="L101" i="5"/>
  <c r="O100" i="5"/>
  <c r="L100" i="5"/>
  <c r="O99" i="5"/>
  <c r="L99" i="5"/>
  <c r="O97" i="5"/>
  <c r="L97" i="5"/>
  <c r="O95" i="5"/>
  <c r="L95" i="5"/>
  <c r="O93" i="5"/>
  <c r="L93" i="5"/>
  <c r="O92" i="5"/>
  <c r="L92" i="5"/>
  <c r="O91" i="5"/>
  <c r="L91" i="5"/>
  <c r="O90" i="5"/>
  <c r="L90" i="5"/>
  <c r="O88" i="5"/>
  <c r="L88" i="5"/>
  <c r="O87" i="5"/>
  <c r="L87" i="5"/>
  <c r="O85" i="5"/>
  <c r="L85" i="5"/>
  <c r="O84" i="5"/>
  <c r="L84" i="5"/>
  <c r="O83" i="5"/>
  <c r="L83" i="5"/>
  <c r="O81" i="5"/>
  <c r="L81" i="5"/>
  <c r="O80" i="5"/>
  <c r="L80" i="5"/>
  <c r="O79" i="5"/>
  <c r="L79" i="5"/>
  <c r="O78" i="5"/>
  <c r="L78" i="5"/>
  <c r="O76" i="5"/>
  <c r="L76" i="5"/>
  <c r="O74" i="5"/>
  <c r="L74" i="5"/>
  <c r="O73" i="5"/>
  <c r="L73" i="5"/>
  <c r="O71" i="5"/>
  <c r="L71" i="5"/>
  <c r="O70" i="5"/>
  <c r="L70" i="5"/>
  <c r="O68" i="5"/>
  <c r="L68" i="5"/>
  <c r="O66" i="5"/>
  <c r="L66" i="5"/>
  <c r="O64" i="5"/>
  <c r="L64" i="5"/>
  <c r="O63" i="5"/>
  <c r="L63" i="5"/>
  <c r="O62" i="5"/>
  <c r="L62" i="5"/>
  <c r="O60" i="5"/>
  <c r="L60" i="5"/>
  <c r="O57" i="5"/>
  <c r="L57" i="5"/>
  <c r="O56" i="5"/>
  <c r="L56" i="5"/>
  <c r="O54" i="5"/>
  <c r="L54" i="5"/>
  <c r="O52" i="5"/>
  <c r="L52" i="5"/>
  <c r="O51" i="5"/>
  <c r="L51" i="5"/>
  <c r="O40" i="5"/>
  <c r="L40" i="5"/>
  <c r="O36" i="5"/>
  <c r="L36" i="5"/>
  <c r="O31" i="5"/>
  <c r="L31" i="5"/>
  <c r="O30" i="5"/>
  <c r="L30" i="5"/>
  <c r="O29" i="5"/>
  <c r="L29" i="5"/>
  <c r="O27" i="5"/>
  <c r="L27" i="5"/>
  <c r="O25" i="5"/>
  <c r="L25" i="5"/>
  <c r="O19" i="5"/>
  <c r="L19" i="5"/>
  <c r="O13" i="5"/>
  <c r="L13" i="5"/>
  <c r="O12" i="5"/>
  <c r="L12" i="5"/>
  <c r="O10" i="5"/>
  <c r="L10" i="5"/>
  <c r="G112" i="5"/>
  <c r="L35" i="3"/>
  <c r="AP5" i="3"/>
  <c r="AQ5" i="3"/>
  <c r="AR5" i="3"/>
  <c r="AS5" i="3"/>
  <c r="T5" i="3"/>
  <c r="AD5" i="3"/>
  <c r="X5" i="3"/>
  <c r="AC5" i="3"/>
  <c r="AB5" i="3"/>
  <c r="AA5" i="3"/>
  <c r="AG5" i="3"/>
  <c r="AH5" i="3"/>
  <c r="AO5" i="3"/>
  <c r="AI5" i="3"/>
  <c r="AF5" i="3"/>
  <c r="AJ5" i="3"/>
  <c r="AK5" i="3"/>
  <c r="AL5" i="3"/>
  <c r="AM5" i="3"/>
  <c r="AN5" i="3"/>
  <c r="AE5" i="3"/>
  <c r="Z5" i="3"/>
  <c r="J15" i="6" l="1"/>
  <c r="F16" i="2"/>
  <c r="E27" i="2" s="1"/>
  <c r="R6" i="3"/>
  <c r="K6" i="3"/>
  <c r="R7" i="3"/>
  <c r="S7" i="3" s="1"/>
  <c r="K7" i="3"/>
  <c r="B38" i="13"/>
  <c r="F13" i="2"/>
  <c r="O45" i="5"/>
  <c r="L45" i="5"/>
  <c r="L112" i="5" s="1"/>
  <c r="U7" i="3"/>
  <c r="S6" i="3" l="1"/>
  <c r="Z6" i="3"/>
  <c r="T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T7" i="3"/>
  <c r="AA7" i="3"/>
  <c r="AB7" i="3"/>
  <c r="AC7" i="3"/>
  <c r="AD7" i="3"/>
  <c r="Z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J9" i="3"/>
  <c r="J8" i="3"/>
  <c r="C38" i="13"/>
  <c r="D38" i="13"/>
  <c r="H6" i="4"/>
  <c r="O6" i="4"/>
  <c r="E6" i="4"/>
  <c r="F6" i="4"/>
  <c r="G6" i="4"/>
  <c r="S6" i="4"/>
  <c r="L6" i="4"/>
  <c r="M6" i="4"/>
  <c r="N6" i="4"/>
  <c r="P6" i="4"/>
  <c r="Q6" i="4"/>
  <c r="R6" i="4"/>
  <c r="I6" i="4"/>
  <c r="J6" i="4"/>
  <c r="K6" i="4"/>
  <c r="U6" i="4"/>
  <c r="D6" i="4"/>
  <c r="V6" i="4"/>
  <c r="T6" i="4"/>
  <c r="C6" i="4"/>
  <c r="X6" i="3"/>
  <c r="X7" i="3"/>
  <c r="F7" i="4"/>
  <c r="I7" i="4"/>
  <c r="K7" i="4"/>
  <c r="N7" i="4"/>
  <c r="U7" i="4"/>
  <c r="C7" i="4"/>
  <c r="D7" i="4"/>
  <c r="G7" i="4"/>
  <c r="J7" i="4"/>
  <c r="M7" i="4"/>
  <c r="T7" i="4"/>
  <c r="H7" i="4"/>
  <c r="V7" i="4"/>
  <c r="E7" i="4"/>
  <c r="L7" i="4"/>
  <c r="O7" i="4"/>
  <c r="P7" i="4"/>
  <c r="Q7" i="4"/>
  <c r="R7" i="4"/>
  <c r="S7" i="4"/>
  <c r="U9" i="3" l="1"/>
  <c r="S9" i="4"/>
  <c r="R9" i="3"/>
  <c r="S9" i="3" s="1"/>
  <c r="K9" i="3"/>
  <c r="U8" i="3"/>
  <c r="R8" i="3"/>
  <c r="K8" i="3"/>
  <c r="V8" i="4" s="1"/>
  <c r="B39" i="13"/>
  <c r="B40" i="13"/>
  <c r="U9" i="4" l="1"/>
  <c r="Q9" i="4"/>
  <c r="O9" i="4"/>
  <c r="M9" i="4"/>
  <c r="K9" i="4"/>
  <c r="G9" i="4"/>
  <c r="E9" i="4"/>
  <c r="C9" i="4"/>
  <c r="V9" i="4"/>
  <c r="T9" i="4"/>
  <c r="R9" i="4"/>
  <c r="P9" i="4"/>
  <c r="N9" i="4"/>
  <c r="L9" i="4"/>
  <c r="J9" i="4"/>
  <c r="H9" i="4"/>
  <c r="I9" i="4"/>
  <c r="T9" i="3"/>
  <c r="Z9" i="3"/>
  <c r="AB9" i="3"/>
  <c r="AC9" i="3"/>
  <c r="AD9" i="3"/>
  <c r="AE9" i="3"/>
  <c r="AA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J10" i="3"/>
  <c r="S8" i="3"/>
  <c r="E26" i="12"/>
  <c r="L26" i="12" s="1"/>
  <c r="T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D39" i="13"/>
  <c r="C39" i="13"/>
  <c r="D40" i="13"/>
  <c r="C40" i="13"/>
  <c r="F9" i="4"/>
  <c r="D9" i="4"/>
  <c r="X9" i="3"/>
  <c r="U8" i="4"/>
  <c r="T8" i="4"/>
  <c r="S8" i="4"/>
  <c r="R8" i="4"/>
  <c r="Q8" i="4"/>
  <c r="P8" i="4"/>
  <c r="O8" i="4"/>
  <c r="N8" i="4"/>
  <c r="M8" i="4"/>
  <c r="L8" i="4"/>
  <c r="X8" i="3"/>
  <c r="K8" i="4"/>
  <c r="J8" i="4"/>
  <c r="I8" i="4"/>
  <c r="H8" i="4"/>
  <c r="G8" i="4"/>
  <c r="F8" i="4"/>
  <c r="E8" i="4"/>
  <c r="D8" i="4"/>
  <c r="C8" i="4"/>
  <c r="U10" i="3" l="1"/>
  <c r="R10" i="3"/>
  <c r="K10" i="3"/>
  <c r="B42" i="13"/>
  <c r="B41" i="13"/>
  <c r="O10" i="4" l="1"/>
  <c r="P10" i="4"/>
  <c r="S10" i="3"/>
  <c r="D28" i="13"/>
  <c r="T10" i="3"/>
  <c r="AA10" i="3"/>
  <c r="AB10" i="3"/>
  <c r="AC10" i="3"/>
  <c r="AD10" i="3"/>
  <c r="AE10" i="3"/>
  <c r="Z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J12" i="3"/>
  <c r="J11" i="3"/>
  <c r="E27" i="12"/>
  <c r="L27" i="12" s="1"/>
  <c r="J25" i="3"/>
  <c r="C42" i="13"/>
  <c r="D42" i="13"/>
  <c r="C41" i="13"/>
  <c r="D41" i="13"/>
  <c r="R10" i="4"/>
  <c r="N10" i="4"/>
  <c r="M10" i="4"/>
  <c r="L10" i="4"/>
  <c r="K10" i="4"/>
  <c r="G10" i="4"/>
  <c r="J10" i="4"/>
  <c r="I10" i="4"/>
  <c r="H10" i="4"/>
  <c r="X10" i="3"/>
  <c r="Q10" i="4"/>
  <c r="F10" i="4"/>
  <c r="E10" i="4"/>
  <c r="D10" i="4"/>
  <c r="C10" i="4"/>
  <c r="V10" i="4"/>
  <c r="U10" i="4"/>
  <c r="T10" i="4"/>
  <c r="S10" i="4"/>
  <c r="U12" i="3" l="1"/>
  <c r="C12" i="4"/>
  <c r="R12" i="3"/>
  <c r="S12" i="3" s="1"/>
  <c r="K12" i="3"/>
  <c r="U11" i="3"/>
  <c r="C11" i="4"/>
  <c r="R11" i="3"/>
  <c r="K11" i="3"/>
  <c r="U25" i="3"/>
  <c r="C25" i="4"/>
  <c r="R25" i="3"/>
  <c r="S25" i="3" s="1"/>
  <c r="K25" i="3"/>
  <c r="B43" i="13"/>
  <c r="L12" i="4" l="1"/>
  <c r="J12" i="4"/>
  <c r="H12" i="4"/>
  <c r="F12" i="4"/>
  <c r="V11" i="4"/>
  <c r="L11" i="4"/>
  <c r="F11" i="4"/>
  <c r="E11" i="4"/>
  <c r="D11" i="4"/>
  <c r="X11" i="3"/>
  <c r="P25" i="4"/>
  <c r="L25" i="4"/>
  <c r="I25" i="4"/>
  <c r="F25" i="4"/>
  <c r="R25" i="4"/>
  <c r="N25" i="4"/>
  <c r="K25" i="4"/>
  <c r="H25" i="4"/>
  <c r="X25" i="3"/>
  <c r="S25" i="4"/>
  <c r="Q25" i="4"/>
  <c r="O25" i="4"/>
  <c r="M25" i="4"/>
  <c r="J25" i="4"/>
  <c r="G25" i="4"/>
  <c r="Z12" i="3"/>
  <c r="AA12" i="3"/>
  <c r="AB12" i="3"/>
  <c r="AC12" i="3"/>
  <c r="AD12" i="3"/>
  <c r="AE12" i="3"/>
  <c r="T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J13" i="3"/>
  <c r="S11" i="3"/>
  <c r="T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Z25" i="3"/>
  <c r="AA25" i="3"/>
  <c r="AB25" i="3"/>
  <c r="AC25" i="3"/>
  <c r="AD25" i="3"/>
  <c r="AE25" i="3"/>
  <c r="T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J27" i="3"/>
  <c r="J26" i="3"/>
  <c r="D43" i="13"/>
  <c r="C43" i="13"/>
  <c r="U12" i="4"/>
  <c r="S12" i="4"/>
  <c r="Q12" i="4"/>
  <c r="O12" i="4"/>
  <c r="M12" i="4"/>
  <c r="K12" i="4"/>
  <c r="I12" i="4"/>
  <c r="G12" i="4"/>
  <c r="D12" i="4"/>
  <c r="V12" i="4"/>
  <c r="T12" i="4"/>
  <c r="R12" i="4"/>
  <c r="P12" i="4"/>
  <c r="N12" i="4"/>
  <c r="E12" i="4"/>
  <c r="X12" i="3"/>
  <c r="U11" i="4"/>
  <c r="T11" i="4"/>
  <c r="S11" i="4"/>
  <c r="R11" i="4"/>
  <c r="Q11" i="4"/>
  <c r="P11" i="4"/>
  <c r="O11" i="4"/>
  <c r="N11" i="4"/>
  <c r="M11" i="4"/>
  <c r="K11" i="4"/>
  <c r="J11" i="4"/>
  <c r="I11" i="4"/>
  <c r="H11" i="4"/>
  <c r="G11" i="4"/>
  <c r="V25" i="4"/>
  <c r="T25" i="4"/>
  <c r="U25" i="4"/>
  <c r="E25" i="4"/>
  <c r="D25" i="4"/>
  <c r="U13" i="3" l="1"/>
  <c r="M13" i="4"/>
  <c r="L13" i="4"/>
  <c r="K13" i="4"/>
  <c r="J13" i="4"/>
  <c r="I13" i="4"/>
  <c r="G13" i="4"/>
  <c r="F13" i="4"/>
  <c r="E13" i="4"/>
  <c r="D13" i="4"/>
  <c r="C13" i="4"/>
  <c r="R13" i="3"/>
  <c r="K13" i="3"/>
  <c r="X13" i="3"/>
  <c r="U27" i="3"/>
  <c r="D27" i="4"/>
  <c r="C27" i="4"/>
  <c r="R27" i="3"/>
  <c r="S27" i="3" s="1"/>
  <c r="K27" i="3"/>
  <c r="V27" i="4" s="1"/>
  <c r="U26" i="3"/>
  <c r="D26" i="4"/>
  <c r="C26" i="4"/>
  <c r="R26" i="3"/>
  <c r="S26" i="3" s="1"/>
  <c r="K26" i="3"/>
  <c r="V13" i="4" l="1"/>
  <c r="T13" i="4"/>
  <c r="R13" i="4"/>
  <c r="Q13" i="4"/>
  <c r="P13" i="4"/>
  <c r="O13" i="4"/>
  <c r="N13" i="4"/>
  <c r="H13" i="4"/>
  <c r="I26" i="4"/>
  <c r="X26" i="3"/>
  <c r="S13" i="3"/>
  <c r="AA13" i="3"/>
  <c r="AB13" i="3"/>
  <c r="AC13" i="3"/>
  <c r="AD13" i="3"/>
  <c r="AE13" i="3"/>
  <c r="T13" i="3"/>
  <c r="Z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J14" i="3"/>
  <c r="Z27" i="3"/>
  <c r="T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Z26" i="3"/>
  <c r="AB26" i="3"/>
  <c r="AC26" i="3"/>
  <c r="AD26" i="3"/>
  <c r="AE26" i="3"/>
  <c r="AA26" i="3"/>
  <c r="AF26" i="3"/>
  <c r="AG26" i="3"/>
  <c r="AH26" i="3"/>
  <c r="AI26" i="3"/>
  <c r="AJ26" i="3"/>
  <c r="T26" i="3"/>
  <c r="AK26" i="3"/>
  <c r="AL26" i="3"/>
  <c r="AM26" i="3"/>
  <c r="AN26" i="3"/>
  <c r="AO26" i="3"/>
  <c r="AP26" i="3"/>
  <c r="AQ26" i="3"/>
  <c r="AR26" i="3"/>
  <c r="AS26" i="3"/>
  <c r="J28" i="3"/>
  <c r="U13" i="4"/>
  <c r="S13" i="4"/>
  <c r="U27" i="4"/>
  <c r="T27" i="4"/>
  <c r="S27" i="4"/>
  <c r="R27" i="4"/>
  <c r="Q27" i="4"/>
  <c r="P27" i="4"/>
  <c r="O27" i="4"/>
  <c r="N27" i="4"/>
  <c r="M27" i="4"/>
  <c r="L27" i="4"/>
  <c r="H27" i="4"/>
  <c r="G27" i="4"/>
  <c r="F27" i="4"/>
  <c r="E27" i="4"/>
  <c r="X27" i="3"/>
  <c r="K27" i="4"/>
  <c r="J27" i="4"/>
  <c r="I27" i="4"/>
  <c r="T26" i="4"/>
  <c r="R26" i="4"/>
  <c r="P26" i="4"/>
  <c r="M26" i="4"/>
  <c r="J26" i="4"/>
  <c r="V26" i="4"/>
  <c r="U26" i="4"/>
  <c r="S26" i="4"/>
  <c r="Q26" i="4"/>
  <c r="N26" i="4"/>
  <c r="L26" i="4"/>
  <c r="O26" i="4"/>
  <c r="K26" i="4"/>
  <c r="H26" i="4"/>
  <c r="G26" i="4"/>
  <c r="F26" i="4"/>
  <c r="E26" i="4"/>
  <c r="U14" i="3" l="1"/>
  <c r="F14" i="4"/>
  <c r="E14" i="4"/>
  <c r="D14" i="4"/>
  <c r="C14" i="4"/>
  <c r="R14" i="3"/>
  <c r="K14" i="3"/>
  <c r="U28" i="3"/>
  <c r="M28" i="4"/>
  <c r="K28" i="4"/>
  <c r="I28" i="4"/>
  <c r="E28" i="4"/>
  <c r="C28" i="4"/>
  <c r="F28" i="4"/>
  <c r="D28" i="4"/>
  <c r="R28" i="3"/>
  <c r="S28" i="3" s="1"/>
  <c r="K28" i="3"/>
  <c r="O28" i="4" s="1"/>
  <c r="X28" i="3"/>
  <c r="S14" i="3" l="1"/>
  <c r="E28" i="12"/>
  <c r="L28" i="12" s="1"/>
  <c r="Z14" i="3"/>
  <c r="AA14" i="3"/>
  <c r="AB14" i="3"/>
  <c r="AC14" i="3"/>
  <c r="AD14" i="3"/>
  <c r="AE14" i="3"/>
  <c r="T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J15" i="3"/>
  <c r="J16" i="3"/>
  <c r="J17" i="3"/>
  <c r="T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J29" i="3"/>
  <c r="J30" i="3"/>
  <c r="S14" i="4"/>
  <c r="R14" i="4"/>
  <c r="Q14" i="4"/>
  <c r="P14" i="4"/>
  <c r="O14" i="4"/>
  <c r="M14" i="4"/>
  <c r="L14" i="4"/>
  <c r="K14" i="4"/>
  <c r="J14" i="4"/>
  <c r="I14" i="4"/>
  <c r="H14" i="4"/>
  <c r="G14" i="4"/>
  <c r="X14" i="3"/>
  <c r="V14" i="4"/>
  <c r="U14" i="4"/>
  <c r="T14" i="4"/>
  <c r="N14" i="4"/>
  <c r="G28" i="4"/>
  <c r="P28" i="4"/>
  <c r="N28" i="4"/>
  <c r="L28" i="4"/>
  <c r="J28" i="4"/>
  <c r="H28" i="4"/>
  <c r="V28" i="4"/>
  <c r="U28" i="4"/>
  <c r="T28" i="4"/>
  <c r="S28" i="4"/>
  <c r="R28" i="4"/>
  <c r="Q28" i="4"/>
  <c r="U15" i="3" l="1"/>
  <c r="V15" i="4"/>
  <c r="U15" i="4"/>
  <c r="T15" i="4"/>
  <c r="S15" i="4"/>
  <c r="R15" i="4"/>
  <c r="P15" i="4"/>
  <c r="O15" i="4"/>
  <c r="G15" i="4"/>
  <c r="F15" i="4"/>
  <c r="E15" i="4"/>
  <c r="D15" i="4"/>
  <c r="C15" i="4"/>
  <c r="R15" i="3"/>
  <c r="K15" i="3"/>
  <c r="X15" i="3"/>
  <c r="U16" i="3"/>
  <c r="G16" i="4"/>
  <c r="F16" i="4"/>
  <c r="E16" i="4"/>
  <c r="D16" i="4"/>
  <c r="C16" i="4"/>
  <c r="R16" i="3"/>
  <c r="S16" i="3" s="1"/>
  <c r="K16" i="3"/>
  <c r="X16" i="3" s="1"/>
  <c r="U17" i="3"/>
  <c r="G17" i="4"/>
  <c r="F17" i="4"/>
  <c r="E17" i="4"/>
  <c r="D17" i="4"/>
  <c r="C17" i="4"/>
  <c r="R17" i="3"/>
  <c r="S17" i="3" s="1"/>
  <c r="K17" i="3"/>
  <c r="U29" i="3"/>
  <c r="G29" i="4"/>
  <c r="F29" i="4"/>
  <c r="E29" i="4"/>
  <c r="D29" i="4"/>
  <c r="C29" i="4"/>
  <c r="R29" i="3"/>
  <c r="S29" i="3" s="1"/>
  <c r="K29" i="3"/>
  <c r="U30" i="3"/>
  <c r="G30" i="4"/>
  <c r="F30" i="4"/>
  <c r="E30" i="4"/>
  <c r="D30" i="4"/>
  <c r="C30" i="4"/>
  <c r="R30" i="3"/>
  <c r="S30" i="3" s="1"/>
  <c r="K30" i="3"/>
  <c r="N15" i="4" l="1"/>
  <c r="M15" i="4"/>
  <c r="L15" i="4"/>
  <c r="K15" i="4"/>
  <c r="J15" i="4"/>
  <c r="V17" i="4"/>
  <c r="U17" i="4"/>
  <c r="L17" i="4"/>
  <c r="T17" i="4"/>
  <c r="S17" i="4"/>
  <c r="R17" i="4"/>
  <c r="Q17" i="4"/>
  <c r="P17" i="4"/>
  <c r="O17" i="4"/>
  <c r="N17" i="4"/>
  <c r="M17" i="4"/>
  <c r="V29" i="4"/>
  <c r="X29" i="3"/>
  <c r="S15" i="3"/>
  <c r="Z15" i="3"/>
  <c r="AA15" i="3"/>
  <c r="AB15" i="3"/>
  <c r="AC15" i="3"/>
  <c r="AD15" i="3"/>
  <c r="AE15" i="3"/>
  <c r="T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J32" i="3"/>
  <c r="T16" i="3"/>
  <c r="AA16" i="3"/>
  <c r="AB16" i="3"/>
  <c r="AC16" i="3"/>
  <c r="AD16" i="3"/>
  <c r="Z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J18" i="3"/>
  <c r="Z17" i="3"/>
  <c r="AA17" i="3"/>
  <c r="AB17" i="3"/>
  <c r="AC17" i="3"/>
  <c r="AD17" i="3"/>
  <c r="AE17" i="3"/>
  <c r="AF17" i="3"/>
  <c r="AG17" i="3"/>
  <c r="AH17" i="3"/>
  <c r="AI17" i="3"/>
  <c r="T17" i="3"/>
  <c r="AJ17" i="3"/>
  <c r="AK17" i="3"/>
  <c r="AL17" i="3"/>
  <c r="AM17" i="3"/>
  <c r="AN17" i="3"/>
  <c r="AO17" i="3"/>
  <c r="AP17" i="3"/>
  <c r="AQ17" i="3"/>
  <c r="AR17" i="3"/>
  <c r="AS17" i="3"/>
  <c r="T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Z30" i="3"/>
  <c r="AA30" i="3"/>
  <c r="AB30" i="3"/>
  <c r="AC30" i="3"/>
  <c r="AD30" i="3"/>
  <c r="AE30" i="3"/>
  <c r="T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I15" i="4"/>
  <c r="H15" i="4"/>
  <c r="Q15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K17" i="4"/>
  <c r="J17" i="4"/>
  <c r="I17" i="4"/>
  <c r="H17" i="4"/>
  <c r="X17" i="3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U30" i="4"/>
  <c r="R30" i="4"/>
  <c r="Q30" i="4"/>
  <c r="X30" i="3"/>
  <c r="V30" i="4"/>
  <c r="T30" i="4"/>
  <c r="S30" i="4"/>
  <c r="P30" i="4"/>
  <c r="O30" i="4"/>
  <c r="N30" i="4"/>
  <c r="M30" i="4"/>
  <c r="L30" i="4"/>
  <c r="K30" i="4"/>
  <c r="J30" i="4"/>
  <c r="I30" i="4"/>
  <c r="H30" i="4"/>
  <c r="U32" i="3" l="1"/>
  <c r="H32" i="4"/>
  <c r="D32" i="4"/>
  <c r="C32" i="4"/>
  <c r="F32" i="4"/>
  <c r="G32" i="4"/>
  <c r="E32" i="4"/>
  <c r="R32" i="3"/>
  <c r="S32" i="3" s="1"/>
  <c r="K32" i="3"/>
  <c r="U18" i="3"/>
  <c r="H18" i="4"/>
  <c r="G18" i="4"/>
  <c r="F18" i="4"/>
  <c r="E18" i="4"/>
  <c r="D18" i="4"/>
  <c r="C18" i="4"/>
  <c r="R18" i="3"/>
  <c r="K18" i="3"/>
  <c r="Z32" i="3" l="1"/>
  <c r="T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S18" i="3"/>
  <c r="E29" i="12"/>
  <c r="L29" i="12" s="1"/>
  <c r="Z18" i="3"/>
  <c r="AA18" i="3"/>
  <c r="AB18" i="3"/>
  <c r="AC18" i="3"/>
  <c r="AD18" i="3"/>
  <c r="T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J19" i="3"/>
  <c r="J20" i="3"/>
  <c r="U32" i="4"/>
  <c r="R32" i="4"/>
  <c r="P32" i="4"/>
  <c r="L32" i="4"/>
  <c r="K32" i="4"/>
  <c r="I32" i="4"/>
  <c r="V32" i="4"/>
  <c r="T32" i="4"/>
  <c r="S32" i="4"/>
  <c r="Q32" i="4"/>
  <c r="O32" i="4"/>
  <c r="M32" i="4"/>
  <c r="J32" i="4"/>
  <c r="N32" i="4"/>
  <c r="X32" i="3"/>
  <c r="X18" i="3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U19" i="3" l="1"/>
  <c r="I19" i="4"/>
  <c r="H19" i="4"/>
  <c r="G19" i="4"/>
  <c r="F19" i="4"/>
  <c r="E19" i="4"/>
  <c r="D19" i="4"/>
  <c r="C19" i="4"/>
  <c r="R19" i="3"/>
  <c r="K19" i="3"/>
  <c r="U20" i="3"/>
  <c r="I20" i="4"/>
  <c r="H20" i="4"/>
  <c r="G20" i="4"/>
  <c r="F20" i="4"/>
  <c r="E20" i="4"/>
  <c r="D20" i="4"/>
  <c r="C20" i="4"/>
  <c r="R20" i="3"/>
  <c r="S20" i="3" s="1"/>
  <c r="K20" i="3"/>
  <c r="S19" i="3" l="1"/>
  <c r="T19" i="3"/>
  <c r="AA19" i="3"/>
  <c r="AB19" i="3"/>
  <c r="AC19" i="3"/>
  <c r="AD19" i="3"/>
  <c r="Z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J23" i="3"/>
  <c r="T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J21" i="3"/>
  <c r="V19" i="4"/>
  <c r="U19" i="4"/>
  <c r="T19" i="4"/>
  <c r="S19" i="4"/>
  <c r="R19" i="4"/>
  <c r="J19" i="4"/>
  <c r="Q19" i="4"/>
  <c r="P19" i="4"/>
  <c r="O19" i="4"/>
  <c r="N19" i="4"/>
  <c r="M19" i="4"/>
  <c r="L19" i="4"/>
  <c r="K19" i="4"/>
  <c r="X19" i="3"/>
  <c r="T20" i="4"/>
  <c r="U20" i="4"/>
  <c r="V20" i="4"/>
  <c r="S20" i="4"/>
  <c r="R20" i="4"/>
  <c r="Q20" i="4"/>
  <c r="P20" i="4"/>
  <c r="O20" i="4"/>
  <c r="N20" i="4"/>
  <c r="M20" i="4"/>
  <c r="L20" i="4"/>
  <c r="K20" i="4"/>
  <c r="J20" i="4"/>
  <c r="X20" i="3"/>
  <c r="U23" i="3" l="1"/>
  <c r="K23" i="4"/>
  <c r="J23" i="4"/>
  <c r="I23" i="4"/>
  <c r="H23" i="4"/>
  <c r="G23" i="4"/>
  <c r="F23" i="4"/>
  <c r="E23" i="4"/>
  <c r="D23" i="4"/>
  <c r="C23" i="4"/>
  <c r="R23" i="3"/>
  <c r="S23" i="3" s="1"/>
  <c r="K23" i="3"/>
  <c r="U21" i="3"/>
  <c r="K21" i="4"/>
  <c r="J21" i="4"/>
  <c r="I21" i="4"/>
  <c r="H21" i="4"/>
  <c r="G21" i="4"/>
  <c r="F21" i="4"/>
  <c r="E21" i="4"/>
  <c r="D21" i="4"/>
  <c r="C21" i="4"/>
  <c r="R21" i="3"/>
  <c r="K21" i="3"/>
  <c r="J31" i="3" l="1"/>
  <c r="Z23" i="3"/>
  <c r="AA23" i="3"/>
  <c r="AB23" i="3"/>
  <c r="AC23" i="3"/>
  <c r="AD23" i="3"/>
  <c r="T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S21" i="3"/>
  <c r="Z21" i="3"/>
  <c r="T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J22" i="3"/>
  <c r="V23" i="4"/>
  <c r="U23" i="4"/>
  <c r="T23" i="4"/>
  <c r="S23" i="4"/>
  <c r="R23" i="4"/>
  <c r="Q23" i="4"/>
  <c r="P23" i="4"/>
  <c r="O23" i="4"/>
  <c r="N23" i="4"/>
  <c r="M23" i="4"/>
  <c r="L23" i="4"/>
  <c r="X23" i="3"/>
  <c r="V21" i="4"/>
  <c r="U21" i="4"/>
  <c r="T21" i="4"/>
  <c r="S21" i="4"/>
  <c r="R21" i="4"/>
  <c r="Q21" i="4"/>
  <c r="P21" i="4"/>
  <c r="O21" i="4"/>
  <c r="N21" i="4"/>
  <c r="X21" i="3"/>
  <c r="M21" i="4"/>
  <c r="L21" i="4"/>
  <c r="K31" i="3" l="1"/>
  <c r="R31" i="3"/>
  <c r="S31" i="3" s="1"/>
  <c r="C31" i="4"/>
  <c r="D31" i="4"/>
  <c r="E31" i="4"/>
  <c r="F31" i="4"/>
  <c r="G31" i="4"/>
  <c r="H31" i="4"/>
  <c r="I31" i="4"/>
  <c r="J31" i="4"/>
  <c r="K31" i="4"/>
  <c r="L31" i="4"/>
  <c r="M31" i="4"/>
  <c r="U31" i="3"/>
  <c r="U22" i="3"/>
  <c r="M22" i="4"/>
  <c r="L22" i="4"/>
  <c r="K22" i="4"/>
  <c r="J22" i="4"/>
  <c r="I22" i="4"/>
  <c r="H22" i="4"/>
  <c r="G22" i="4"/>
  <c r="F22" i="4"/>
  <c r="E22" i="4"/>
  <c r="D22" i="4"/>
  <c r="C22" i="4"/>
  <c r="R22" i="3"/>
  <c r="K22" i="3"/>
  <c r="E32" i="12" l="1"/>
  <c r="L32" i="12" s="1"/>
  <c r="Z31" i="3"/>
  <c r="AA31" i="3"/>
  <c r="AB31" i="3"/>
  <c r="AC31" i="3"/>
  <c r="AD31" i="3"/>
  <c r="T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S22" i="3"/>
  <c r="E30" i="12"/>
  <c r="L30" i="12" s="1"/>
  <c r="AA22" i="3"/>
  <c r="AB22" i="3"/>
  <c r="AC22" i="3"/>
  <c r="AD22" i="3"/>
  <c r="T22" i="3"/>
  <c r="Z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J24" i="3"/>
  <c r="N31" i="4"/>
  <c r="X31" i="3"/>
  <c r="Q31" i="4"/>
  <c r="R31" i="4"/>
  <c r="T31" i="4"/>
  <c r="V31" i="4"/>
  <c r="O31" i="4"/>
  <c r="P31" i="4"/>
  <c r="S31" i="4"/>
  <c r="U31" i="4"/>
  <c r="V22" i="4"/>
  <c r="U22" i="4"/>
  <c r="T22" i="4"/>
  <c r="S22" i="4"/>
  <c r="R22" i="4"/>
  <c r="Q22" i="4"/>
  <c r="P22" i="4"/>
  <c r="N22" i="4"/>
  <c r="O22" i="4"/>
  <c r="X22" i="3"/>
  <c r="U24" i="3" l="1"/>
  <c r="C10" i="13" s="1"/>
  <c r="C12" i="13" s="1"/>
  <c r="V24" i="4"/>
  <c r="V34" i="4" s="1"/>
  <c r="U24" i="4"/>
  <c r="U34" i="4" s="1"/>
  <c r="O24" i="4"/>
  <c r="O34" i="4" s="1"/>
  <c r="N24" i="4"/>
  <c r="M24" i="4"/>
  <c r="M34" i="4" s="1"/>
  <c r="L24" i="4"/>
  <c r="L34" i="4" s="1"/>
  <c r="K24" i="4"/>
  <c r="K34" i="4" s="1"/>
  <c r="J24" i="4"/>
  <c r="J34" i="4" s="1"/>
  <c r="I24" i="4"/>
  <c r="I34" i="4" s="1"/>
  <c r="H24" i="4"/>
  <c r="H34" i="4" s="1"/>
  <c r="G24" i="4"/>
  <c r="G34" i="4" s="1"/>
  <c r="F24" i="4"/>
  <c r="F34" i="4" s="1"/>
  <c r="E24" i="4"/>
  <c r="E34" i="4" s="1"/>
  <c r="D24" i="4"/>
  <c r="D34" i="4" s="1"/>
  <c r="C24" i="4"/>
  <c r="C34" i="4" s="1"/>
  <c r="R24" i="3"/>
  <c r="K24" i="3"/>
  <c r="N34" i="4"/>
  <c r="C14" i="2" l="1"/>
  <c r="C16" i="2" s="1"/>
  <c r="E24" i="2" s="1"/>
  <c r="S24" i="3"/>
  <c r="C10" i="2"/>
  <c r="E31" i="12"/>
  <c r="L31" i="12" s="1"/>
  <c r="T24" i="3"/>
  <c r="C17" i="2" s="1"/>
  <c r="E23" i="2" s="1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T24" i="4"/>
  <c r="T34" i="4" s="1"/>
  <c r="S24" i="4"/>
  <c r="S34" i="4" s="1"/>
  <c r="R24" i="4"/>
  <c r="R34" i="4" s="1"/>
  <c r="Q24" i="4"/>
  <c r="Q34" i="4" s="1"/>
  <c r="P24" i="4"/>
  <c r="P34" i="4" s="1"/>
  <c r="X24" i="3"/>
  <c r="E21" i="12" l="1"/>
  <c r="L21" i="12" s="1"/>
  <c r="E34" i="12"/>
  <c r="L34" i="12" s="1"/>
  <c r="E40" i="12"/>
  <c r="L40" i="12" s="1"/>
  <c r="E43" i="12"/>
  <c r="L43" i="12" s="1"/>
  <c r="E52" i="12"/>
  <c r="L52" i="12" s="1"/>
  <c r="E55" i="12"/>
  <c r="L55" i="12" s="1"/>
  <c r="E65" i="12"/>
  <c r="L65" i="12" s="1"/>
  <c r="E71" i="12"/>
  <c r="L71" i="12" s="1"/>
  <c r="E75" i="12"/>
  <c r="L75" i="12" s="1"/>
  <c r="E78" i="12"/>
  <c r="L78" i="12" s="1"/>
  <c r="E81" i="12"/>
  <c r="L81" i="12" s="1"/>
  <c r="E90" i="12"/>
  <c r="L90" i="12" s="1"/>
  <c r="E102" i="12"/>
  <c r="L102" i="12" s="1"/>
  <c r="E105" i="12"/>
  <c r="L105" i="12" s="1"/>
  <c r="E108" i="12"/>
  <c r="L108" i="12" s="1"/>
  <c r="E115" i="12"/>
  <c r="L115" i="12" s="1"/>
  <c r="E123" i="12"/>
  <c r="L123" i="12" s="1"/>
  <c r="E126" i="12"/>
  <c r="L126" i="12" s="1"/>
  <c r="E129" i="12"/>
  <c r="L129" i="12" s="1"/>
  <c r="E132" i="12"/>
  <c r="L132" i="12" s="1"/>
  <c r="E135" i="12"/>
  <c r="L135" i="12" s="1"/>
  <c r="E138" i="12"/>
  <c r="L138" i="12" s="1"/>
  <c r="E140" i="12"/>
  <c r="L140" i="12" s="1"/>
  <c r="E5" i="12"/>
  <c r="E8" i="12"/>
  <c r="L8" i="12" s="1"/>
  <c r="E9" i="12"/>
  <c r="L9" i="12" s="1"/>
  <c r="E10" i="12"/>
  <c r="L10" i="12" s="1"/>
  <c r="E12" i="12"/>
  <c r="L12" i="12" s="1"/>
  <c r="E13" i="12"/>
  <c r="L13" i="12" s="1"/>
  <c r="E16" i="12"/>
  <c r="L16" i="12" s="1"/>
  <c r="E17" i="12"/>
  <c r="L17" i="12" s="1"/>
  <c r="E18" i="12"/>
  <c r="L18" i="12" s="1"/>
  <c r="E20" i="12"/>
  <c r="L20" i="12" s="1"/>
  <c r="E37" i="12"/>
  <c r="L37" i="12" s="1"/>
  <c r="E42" i="12"/>
  <c r="L42" i="12" s="1"/>
  <c r="E45" i="12"/>
  <c r="L45" i="12" s="1"/>
  <c r="E48" i="12"/>
  <c r="L48" i="12" s="1"/>
  <c r="E56" i="12"/>
  <c r="L56" i="12" s="1"/>
  <c r="E59" i="12"/>
  <c r="L59" i="12" s="1"/>
  <c r="E62" i="12"/>
  <c r="L62" i="12" s="1"/>
  <c r="E68" i="12"/>
  <c r="L68" i="12" s="1"/>
  <c r="E77" i="12"/>
  <c r="L77" i="12" s="1"/>
  <c r="E80" i="12"/>
  <c r="L80" i="12" s="1"/>
  <c r="E85" i="12"/>
  <c r="L85" i="12" s="1"/>
  <c r="E96" i="12"/>
  <c r="L96" i="12" s="1"/>
  <c r="E99" i="12"/>
  <c r="L99" i="12" s="1"/>
  <c r="E103" i="12"/>
  <c r="L103" i="12" s="1"/>
  <c r="E106" i="12"/>
  <c r="L106" i="12" s="1"/>
  <c r="E112" i="12"/>
  <c r="L112" i="12" s="1"/>
  <c r="E119" i="12"/>
  <c r="L119" i="12" s="1"/>
  <c r="E122" i="12"/>
  <c r="L122" i="12" s="1"/>
  <c r="E127" i="12"/>
  <c r="L127" i="12" s="1"/>
  <c r="E130" i="12"/>
  <c r="L130" i="12" s="1"/>
  <c r="E136" i="12"/>
  <c r="L136" i="12" s="1"/>
  <c r="E143" i="12"/>
  <c r="L143" i="12" s="1"/>
  <c r="C14" i="13"/>
  <c r="E22" i="12"/>
  <c r="L22" i="12" s="1"/>
  <c r="E23" i="12"/>
  <c r="L23" i="12" s="1"/>
  <c r="E35" i="12"/>
  <c r="L35" i="12" s="1"/>
  <c r="E38" i="12"/>
  <c r="L38" i="12" s="1"/>
  <c r="E44" i="12"/>
  <c r="L44" i="12" s="1"/>
  <c r="E51" i="12"/>
  <c r="L51" i="12" s="1"/>
  <c r="E54" i="12"/>
  <c r="L54" i="12" s="1"/>
  <c r="E64" i="12"/>
  <c r="L64" i="12" s="1"/>
  <c r="E69" i="12"/>
  <c r="L69" i="12" s="1"/>
  <c r="E74" i="12"/>
  <c r="L74" i="12" s="1"/>
  <c r="E83" i="12"/>
  <c r="L83" i="12" s="1"/>
  <c r="E86" i="12"/>
  <c r="L86" i="12" s="1"/>
  <c r="E89" i="12"/>
  <c r="L89" i="12" s="1"/>
  <c r="E92" i="12"/>
  <c r="L92" i="12" s="1"/>
  <c r="E95" i="12"/>
  <c r="L95" i="12" s="1"/>
  <c r="E98" i="12"/>
  <c r="L98" i="12" s="1"/>
  <c r="E110" i="12"/>
  <c r="L110" i="12" s="1"/>
  <c r="E113" i="12"/>
  <c r="L113" i="12" s="1"/>
  <c r="E116" i="12"/>
  <c r="L116" i="12" s="1"/>
  <c r="E120" i="12"/>
  <c r="L120" i="12" s="1"/>
  <c r="E124" i="12"/>
  <c r="L124" i="12" s="1"/>
  <c r="E131" i="12"/>
  <c r="L131" i="12" s="1"/>
  <c r="E134" i="12"/>
  <c r="L134" i="12" s="1"/>
  <c r="E142" i="12"/>
  <c r="L142" i="12" s="1"/>
  <c r="E6" i="12"/>
  <c r="L6" i="12" s="1"/>
  <c r="E7" i="12"/>
  <c r="L7" i="12" s="1"/>
  <c r="E11" i="12"/>
  <c r="L11" i="12" s="1"/>
  <c r="E14" i="12"/>
  <c r="L14" i="12" s="1"/>
  <c r="E15" i="12"/>
  <c r="L15" i="12" s="1"/>
  <c r="E19" i="12"/>
  <c r="L19" i="12" s="1"/>
  <c r="E41" i="12"/>
  <c r="L41" i="12" s="1"/>
  <c r="E47" i="12"/>
  <c r="L47" i="12" s="1"/>
  <c r="E50" i="12"/>
  <c r="L50" i="12" s="1"/>
  <c r="E53" i="12"/>
  <c r="L53" i="12" s="1"/>
  <c r="E58" i="12"/>
  <c r="L58" i="12" s="1"/>
  <c r="E61" i="12"/>
  <c r="L61" i="12" s="1"/>
  <c r="E66" i="12"/>
  <c r="L66" i="12" s="1"/>
  <c r="E70" i="12"/>
  <c r="L70" i="12" s="1"/>
  <c r="E73" i="12"/>
  <c r="L73" i="12" s="1"/>
  <c r="E76" i="12"/>
  <c r="L76" i="12" s="1"/>
  <c r="E79" i="12"/>
  <c r="L79" i="12" s="1"/>
  <c r="E82" i="12"/>
  <c r="L82" i="12" s="1"/>
  <c r="E88" i="12"/>
  <c r="L88" i="12" s="1"/>
  <c r="E93" i="12"/>
  <c r="L93" i="12" s="1"/>
  <c r="E100" i="12"/>
  <c r="L100" i="12" s="1"/>
  <c r="E107" i="12"/>
  <c r="L107" i="12" s="1"/>
  <c r="E111" i="12"/>
  <c r="L111" i="12" s="1"/>
  <c r="E114" i="12"/>
  <c r="L114" i="12" s="1"/>
  <c r="E117" i="12"/>
  <c r="L117" i="12" s="1"/>
  <c r="E133" i="12"/>
  <c r="L133" i="12" s="1"/>
  <c r="E139" i="12"/>
  <c r="L139" i="12" s="1"/>
  <c r="E25" i="12"/>
  <c r="L25" i="12" s="1"/>
  <c r="E24" i="12"/>
  <c r="L24" i="12" s="1"/>
  <c r="E33" i="12"/>
  <c r="L33" i="12" s="1"/>
  <c r="E36" i="12"/>
  <c r="L36" i="12" s="1"/>
  <c r="E39" i="12"/>
  <c r="L39" i="12" s="1"/>
  <c r="E46" i="12"/>
  <c r="L46" i="12" s="1"/>
  <c r="E49" i="12"/>
  <c r="L49" i="12" s="1"/>
  <c r="E57" i="12"/>
  <c r="L57" i="12" s="1"/>
  <c r="E60" i="12"/>
  <c r="L60" i="12" s="1"/>
  <c r="E63" i="12"/>
  <c r="L63" i="12" s="1"/>
  <c r="E67" i="12"/>
  <c r="L67" i="12" s="1"/>
  <c r="E72" i="12"/>
  <c r="L72" i="12" s="1"/>
  <c r="E84" i="12"/>
  <c r="L84" i="12" s="1"/>
  <c r="E87" i="12"/>
  <c r="L87" i="12" s="1"/>
  <c r="E91" i="12"/>
  <c r="L91" i="12" s="1"/>
  <c r="E94" i="12"/>
  <c r="L94" i="12" s="1"/>
  <c r="E97" i="12"/>
  <c r="L97" i="12" s="1"/>
  <c r="E101" i="12"/>
  <c r="L101" i="12" s="1"/>
  <c r="E104" i="12"/>
  <c r="L104" i="12" s="1"/>
  <c r="E109" i="12"/>
  <c r="L109" i="12" s="1"/>
  <c r="E118" i="12"/>
  <c r="L118" i="12" s="1"/>
  <c r="E121" i="12"/>
  <c r="L121" i="12" s="1"/>
  <c r="E125" i="12"/>
  <c r="L125" i="12" s="1"/>
  <c r="E128" i="12"/>
  <c r="L128" i="12" s="1"/>
  <c r="E137" i="12"/>
  <c r="L137" i="12" s="1"/>
  <c r="E141" i="12"/>
  <c r="L141" i="12" s="1"/>
  <c r="B45" i="13"/>
  <c r="B44" i="13"/>
  <c r="C26" i="2" l="1"/>
  <c r="L5" i="12"/>
  <c r="C25" i="2" s="1"/>
  <c r="E25" i="2" s="1"/>
  <c r="C45" i="13"/>
  <c r="D45" i="13"/>
  <c r="C44" i="13"/>
  <c r="D4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0"/>
            <rFont val="Arial"/>
            <family val="2"/>
          </rPr>
          <t>Data-base sugerida: 26/10/2026. Ajuste para a data real de retomada.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0" authorId="0" shapeId="0" xr:uid="{00000000-0006-0000-0200-000001000000}">
      <text>
        <r>
          <rPr>
            <sz val="10"/>
            <rFont val="Arial"/>
            <family val="2"/>
          </rPr>
          <t>Escoramento parcial: informe o % já executado.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400-000001000000}">
      <text>
        <r>
          <rPr>
            <sz val="10"/>
            <rFont val="Arial"/>
            <family val="2"/>
          </rPr>
          <t>Fonte: Orcamento_Intervencao_Estrutural_DP_Macae3_Manfac_REV_04.xlsx, VALOR TOTAL ESTIMADO.</t>
        </r>
      </text>
    </comment>
    <comment ref="J2" authorId="0" shapeId="0" xr:uid="{00000000-0006-0000-0400-000002000000}">
      <text>
        <r>
          <rPr>
            <sz val="10"/>
            <rFont val="Arial"/>
            <family val="2"/>
          </rPr>
          <t>Fonte: DSP - LPU PADRÃO - REFORMA LIGHT - DP MACAÉ 3 rev 2.xlsx, célula L7 (VALOR TOTAL PEDIDO).</t>
        </r>
      </text>
    </comment>
  </commentList>
</comments>
</file>

<file path=xl/sharedStrings.xml><?xml version="1.0" encoding="utf-8"?>
<sst xmlns="http://schemas.openxmlformats.org/spreadsheetml/2006/main" count="1514" uniqueCount="826">
  <si>
    <t>SGO MANFAC – Sistema de Gestão, Controle e Comunicação de Obra</t>
  </si>
  <si>
    <t>Obra DP Macaé 3 (DPSP DS 1505) – base única: tudo é registrado uma vez e alimenta painel, relatórios e comunicação.</t>
  </si>
  <si>
    <t>COMO LER AS CORES</t>
  </si>
  <si>
    <t>Amarelo, texto azul</t>
  </si>
  <si>
    <t>Campo para preencher ou ajustar.</t>
  </si>
  <si>
    <t>Branco, texto preto</t>
  </si>
  <si>
    <t>Fórmula. Não sobrescrever.</t>
  </si>
  <si>
    <t>Cinza itálico</t>
  </si>
  <si>
    <t>Linha de exemplo (não entra em nenhum total).</t>
  </si>
  <si>
    <t>ABAS</t>
  </si>
  <si>
    <t>PAINEL</t>
  </si>
  <si>
    <t>Visão da gestão MANFAC: parâmetros, avanço, financeiro interno, pendências, comunicação e alertas automáticos.</t>
  </si>
  <si>
    <t>CRONOGRAMA</t>
  </si>
  <si>
    <t>28 atividades (20 da frente estrutural + 8 da reforma light) com predecessoras, dias úteis, peso pelo valor do orçamento, status, % realizado e gráfico de barras semanal.</t>
  </si>
  <si>
    <t>ORCAMENTO</t>
  </si>
  <si>
    <t>REV_04 e LPU rev 2 na mesma tabela. Cada linha ligada a uma atividade (peso físico), com % medido, custo previsto e custo real vindo de COMPRAS e LOCACOES.</t>
  </si>
  <si>
    <t>CONFLITOS</t>
  </si>
  <si>
    <t>Nove sobreposições de escopo entre REV_04 e LPU, com valores e ação recomendada.</t>
  </si>
  <si>
    <t>RDO</t>
  </si>
  <si>
    <t>Registro diário do encarregado, validado pelo engenheiro. Base do informe diário ao cliente.</t>
  </si>
  <si>
    <t>COMPRAS / LOCACOES</t>
  </si>
  <si>
    <t>Pedidos, entregas e locações com custo acumulado por dia. Cada lançamento usa a chave de um item do orçamento.</t>
  </si>
  <si>
    <t>MEDICOES</t>
  </si>
  <si>
    <t>Ciclo medição → aprovação DPSP → NF → recebimento, com dias em aprovação.</t>
  </si>
  <si>
    <t>PENDENCIAS</t>
  </si>
  <si>
    <t>Travas, riscos, decisões do cliente e ajustes de escopo. Já carregada com 14 pontos da conferência de 23/10/2026.</t>
  </si>
  <si>
    <t>COMUNICACAO</t>
  </si>
  <si>
    <t>Agenda de envios gerada pelo cronograma (diários, semanais às sextas, mensais no último dia útil, fases e entrega) e histórico de envio, com situação automática.</t>
  </si>
  <si>
    <t>RELATORIO_CLIENTE</t>
  </si>
  <si>
    <t>Relatório semanal pronto para PDF, sem custos: avanço, concluídas, em andamento, próxima semana, decisões do cliente e fotos.</t>
  </si>
  <si>
    <t>CURVA_S</t>
  </si>
  <si>
    <t>Previsto x realizado por semana. O realizado é registrado toda sexta (copiar do PAINEL).</t>
  </si>
  <si>
    <t>LISTAS</t>
  </si>
  <si>
    <t>Listas suspensas e feriados usados no cálculo de dias úteis.</t>
  </si>
  <si>
    <t>ROTINA</t>
  </si>
  <si>
    <t>Diariamente</t>
  </si>
  <si>
    <t>Encarregado preenche o RDO → engenheiro valida → COP envia o informe diário e marca "Enviado?" = Sim e a data real em COMUNICACAO. Atualizar status e % no CRONOGRAMA.</t>
  </si>
  <si>
    <t>Sexta-feira</t>
  </si>
  <si>
    <t>Atualizar CRONOGRAMA e PENDENCIAS → GO avalia desvios no PAINEL → copiar avanço realizado na CURVA_S → salvar RELATORIO_CLIENTE em PDF e enviar.</t>
  </si>
  <si>
    <t>Último dia útil do mês</t>
  </si>
  <si>
    <t>Engenharia e Financeiro atualizam ORCAMENTO (% medido) e MEDICOES → GO valida → relatório mensal ao cliente.</t>
  </si>
  <si>
    <t>Exceção</t>
  </si>
  <si>
    <t>Risco de atraso, custo adicional ou decisão do cliente: comunicação imediata, registrada em COMUNICACAO (linhas amarelas no fim).</t>
  </si>
  <si>
    <t>PREMISSAS</t>
  </si>
  <si>
    <t>Datas</t>
  </si>
  <si>
    <t>Data-base 26/10/2026 (ajustável no PAINEL). Durações em dias úteis são estimativas MANFAC para validação do engenheiro.</t>
  </si>
  <si>
    <t>Peso físico</t>
  </si>
  <si>
    <t>Proporcional ao valor de venda vinculado a cada atividade. Indiretos (9.1–9.3) e imposto (9.4) do REV_04 ficam fora do peso.</t>
  </si>
  <si>
    <t>Situação atual</t>
  </si>
  <si>
    <t>Escoramento parcial: falta a viga principal. Demolições bloqueadas até o nº 6 ficar "Concluído". Status das atividades 1 a 5 a confirmar.</t>
  </si>
  <si>
    <t>Fontes</t>
  </si>
  <si>
    <t>REV_04 (orçamento estrutural), LPU Padrão Reforma Light DP Macaé 3 rev 2, Laudo EGUTI Rev.00 (09/06/2026), Layout aprovado Macaé RJ, Fases da Obra Macaé 3.</t>
  </si>
  <si>
    <t>SGO – Painel da Obra | DP Macaé 3 (DPSP DS 1505)</t>
  </si>
  <si>
    <t>Visão da gestão MANFAC. Uso interno: contém custos e margem. Para o cliente, use a aba RELATORIO_CLIENTE.</t>
  </si>
  <si>
    <t>PARÂMETROS DA OBRA</t>
  </si>
  <si>
    <t>FINANCEIRO (USO INTERNO)</t>
  </si>
  <si>
    <t>Obra</t>
  </si>
  <si>
    <t>DP Macaé 3 – Intervenção estrutural + reforma light</t>
  </si>
  <si>
    <t>Pedido estrutural – REV_04</t>
  </si>
  <si>
    <t>Cliente</t>
  </si>
  <si>
    <t>Grupo DPSP – DS 1505</t>
  </si>
  <si>
    <t>Pedido reforma light – LPU rev 2</t>
  </si>
  <si>
    <t>Endereço</t>
  </si>
  <si>
    <t>Rua Maria Francisca Borges Reid, s/nº – Glória, Macaé/RJ</t>
  </si>
  <si>
    <t>Total contratado</t>
  </si>
  <si>
    <t>Data-base do planejamento (início das atividades restantes)</t>
  </si>
  <si>
    <t>Medido acumulado (aba ORCAMENTO)</t>
  </si>
  <si>
    <t>Data de referência (hoje – pode fixar para fechar relatório)</t>
  </si>
  <si>
    <t>Medições apresentadas</t>
  </si>
  <si>
    <t>Previsão de término (cronograma)</t>
  </si>
  <si>
    <t>Medições aprovadas</t>
  </si>
  <si>
    <t>Engenheiro responsável</t>
  </si>
  <si>
    <t>Faturado (NF emitida)</t>
  </si>
  <si>
    <t>Recebido</t>
  </si>
  <si>
    <t>PRAZO E AVANÇO FÍSICO</t>
  </si>
  <si>
    <t>Saldo a medir</t>
  </si>
  <si>
    <t>Avanço previsto até a data de referência</t>
  </si>
  <si>
    <t>Custo real (compras + locações)</t>
  </si>
  <si>
    <t>Avanço realizado</t>
  </si>
  <si>
    <t>Resultado sobre o medido (medido – custo real)</t>
  </si>
  <si>
    <t>Desvio (pontos percentuais)</t>
  </si>
  <si>
    <t>Exposição a glosa por sobreposição REV_04 x LPU (não resolvida)</t>
  </si>
  <si>
    <t>Atividades atrasadas ou com início atrasado</t>
  </si>
  <si>
    <t>Atividades concluídas</t>
  </si>
  <si>
    <t>Trava estrutural (escoramento da viga principal)</t>
  </si>
  <si>
    <t>PENDÊNCIAS, COMUNICAÇÃO E RECURSOS</t>
  </si>
  <si>
    <t>ALERTAS AUTOMÁTICOS</t>
  </si>
  <si>
    <t>Pendências em aberto</t>
  </si>
  <si>
    <t>Pendências vencidas</t>
  </si>
  <si>
    <t>Decisões aguardando o cliente</t>
  </si>
  <si>
    <t>Comunicações ao cliente atrasadas</t>
  </si>
  <si>
    <t>Próximo envio programado</t>
  </si>
  <si>
    <t>RDOs registrados</t>
  </si>
  <si>
    <t>RDOs registrados e não enviados ao cliente</t>
  </si>
  <si>
    <t>Locações ativas</t>
  </si>
  <si>
    <t>Locações vencidas (renovar ou devolver)</t>
  </si>
  <si>
    <t>Compras com entrega atrasada</t>
  </si>
  <si>
    <t>Cronograma físico – atividades, travas e avanço</t>
  </si>
  <si>
    <t>Amarelo = preencher. Datas previstas calculadas por predecessoras e dias úteis (feriados na aba LISTAS). Peso = valor do orçamento vinculado à atividade.</t>
  </si>
  <si>
    <t>Gráfico de barras por semana (segunda-feira)</t>
  </si>
  <si>
    <t>Nº</t>
  </si>
  <si>
    <t>Frente</t>
  </si>
  <si>
    <t>Etapa</t>
  </si>
  <si>
    <t>Atividade</t>
  </si>
  <si>
    <t>Saída / trava</t>
  </si>
  <si>
    <t>Pred. 1</t>
  </si>
  <si>
    <t>Pred. 2</t>
  </si>
  <si>
    <t>Dias úteis</t>
  </si>
  <si>
    <t>Responsável</t>
  </si>
  <si>
    <t>Início previsto</t>
  </si>
  <si>
    <t>Fim previsto</t>
  </si>
  <si>
    <t>Valor vinculado</t>
  </si>
  <si>
    <t>Peso</t>
  </si>
  <si>
    <t>Status</t>
  </si>
  <si>
    <t>% realizado</t>
  </si>
  <si>
    <t>Início real</t>
  </si>
  <si>
    <t>Fim real</t>
  </si>
  <si>
    <t>% previsto (hoje)</t>
  </si>
  <si>
    <t>Desvio</t>
  </si>
  <si>
    <t>Situação</t>
  </si>
  <si>
    <t>% prev. data relatório</t>
  </si>
  <si>
    <t>aux1</t>
  </si>
  <si>
    <t>aux2</t>
  </si>
  <si>
    <t>aux3</t>
  </si>
  <si>
    <t>Estrutural</t>
  </si>
  <si>
    <t>1 – Mobilização e isolamento</t>
  </si>
  <si>
    <t>Reunião de partida no local: identificar P1–P4, treliça e faixa de piso afetada</t>
  </si>
  <si>
    <t>Mapa de frentes validado pelo RT</t>
  </si>
  <si>
    <t>Não iniciado</t>
  </si>
  <si>
    <t>Pontos de acompanhamento fotográfico, relatório "antes da obra" e marcos de nível</t>
  </si>
  <si>
    <t>Registro-base para medição e comparação</t>
  </si>
  <si>
    <t>Instalar divisória de fechamento da área</t>
  </si>
  <si>
    <t>Área isolada e sinalizada</t>
  </si>
  <si>
    <t>Remover produtos, virar o balcão e mudar o mobiliário da área afetada</t>
  </si>
  <si>
    <t>Frente de trabalho livre</t>
  </si>
  <si>
    <t>Aliviar a carga do mezanino (retirar estoque do depósito)</t>
  </si>
  <si>
    <t>Mezanino descarregado</t>
  </si>
  <si>
    <t>2 – Estabilização</t>
  </si>
  <si>
    <t>Escoramento provisório sob a treliça (P2/P3 e vão P3–P4); macaco só para encunhar</t>
  </si>
  <si>
    <t>PARCIAL – falta a viga principal. Libera demolições. Manter até o nº 15</t>
  </si>
  <si>
    <t>Em andamento</t>
  </si>
  <si>
    <t>3 – Investigação e projeto</t>
  </si>
  <si>
    <t>Levantamento topográfico de níveis e medição dos m² da faixa afetada</t>
  </si>
  <si>
    <t>Croqui com m² e cotas</t>
  </si>
  <si>
    <t>Estudo de solo: SPT e poço de inspeção com abertura localizada do piso</t>
  </si>
  <si>
    <t>Laudo de sondagem</t>
  </si>
  <si>
    <t>Projeto estrutural de reforço (treliça, apoios e fundações) + ART</t>
  </si>
  <si>
    <t>Projeto executivo aprovado</t>
  </si>
  <si>
    <t>Fechar quantitativos e revisar o orçamento da Fase 2</t>
  </si>
  <si>
    <t>Escopo e valor aprovados pela DPSP</t>
  </si>
  <si>
    <t>4 – Desmobilização e demolição</t>
  </si>
  <si>
    <t>Abertura de porta com retirada de vidro (logística de entulho e materiais)</t>
  </si>
  <si>
    <t>Acesso liberado</t>
  </si>
  <si>
    <t>Descarte de gôndolas e geladeira</t>
  </si>
  <si>
    <t>Termo de baixa de patrimônio DPSP</t>
  </si>
  <si>
    <t>Desmobilização do banheiro</t>
  </si>
  <si>
    <t>Banheiro liberado para obra</t>
  </si>
  <si>
    <t>Demolição do piso (revestimento, contrapiso e laje) + descarte com CTR</t>
  </si>
  <si>
    <t>Solo exposto na área delimitada</t>
  </si>
  <si>
    <t>5 – Reforço e reconstrução</t>
  </si>
  <si>
    <t>Reforço das fundações de P2/P3 e da treliça, conforme projeto</t>
  </si>
  <si>
    <t>Estrutura reforçada e conferida pelo RT</t>
  </si>
  <si>
    <t>Remoção do solo inadequado, base de brita e compactação em camadas (máx. 20 cm)</t>
  </si>
  <si>
    <t>Base aprovada</t>
  </si>
  <si>
    <t>Nova laje de piso armada com nível final (inclui cura)</t>
  </si>
  <si>
    <t>Laje curada e nivelada</t>
  </si>
  <si>
    <t>Piso do banheiro e revestimento do salão</t>
  </si>
  <si>
    <t>Piso entregue</t>
  </si>
  <si>
    <t>6 – Acabamentos e entrega</t>
  </si>
  <si>
    <t>Recuperação do mezanino: drywall, piso cerâmico, copa e WCs</t>
  </si>
  <si>
    <t>Mezanino recuperado</t>
  </si>
  <si>
    <t>Retirada do escoramento, conferência final de níveis, limpeza e liberação</t>
  </si>
  <si>
    <t>Loja liberada; relatório "depois"</t>
  </si>
  <si>
    <t>Reforma light</t>
  </si>
  <si>
    <t>R – Reforma light</t>
  </si>
  <si>
    <t>Demolição de forro (250 m²) e drywall (100 m²)</t>
  </si>
  <si>
    <t>Somente após nº 6 concluído</t>
  </si>
  <si>
    <t>Infraestrutura elétrica, rede, iluminação e ativações</t>
  </si>
  <si>
    <t>Circuitos testados</t>
  </si>
  <si>
    <t>Ar-condicionado: retirada, reinstalação de splits e drenos</t>
  </si>
  <si>
    <t>Equipamentos operando</t>
  </si>
  <si>
    <t>Drywall novo (190 m²) com reforço em MDF</t>
  </si>
  <si>
    <t>No mezanino, só após nº 15</t>
  </si>
  <si>
    <t>Forro mineral (250 m²) e abertura de luminárias</t>
  </si>
  <si>
    <t>Forro fechado</t>
  </si>
  <si>
    <t>Portas, molas, grelhas, guia de porta de enrolar e fechadura</t>
  </si>
  <si>
    <t>Esquadrias instaladas</t>
  </si>
  <si>
    <t>Pintura (fundo, massa e acabamento)</t>
  </si>
  <si>
    <t>Pintura concluída</t>
  </si>
  <si>
    <t>Fachada: fixação de vidros e pintura</t>
  </si>
  <si>
    <t>Fachada entregue</t>
  </si>
  <si>
    <t>Total</t>
  </si>
  <si>
    <t>Valor de orçamento sem atividade (indiretos e imposto – fora do peso)</t>
  </si>
  <si>
    <t>Curva S – avanço previsto x realizado (semanal)</t>
  </si>
  <si>
    <t>Previsto calculado do cronograma. Realizado: toda sexta, copie aqui o avanço realizado do PAINEL (linha amarela).</t>
  </si>
  <si>
    <t>Previsto acumulado</t>
  </si>
  <si>
    <t>Realizado acumulado</t>
  </si>
  <si>
    <t>Orçamento consolidado – Estrutural REV_04 + Reforma light LPU rev 2</t>
  </si>
  <si>
    <t>Preços copiados das fontes (azul). Amarelo = vínculo com atividade, % medido e custo previsto. Atividade 0 = indireto/imposto (fora do peso físico).</t>
  </si>
  <si>
    <t>Conferência com as fontes:</t>
  </si>
  <si>
    <t>REV_04</t>
  </si>
  <si>
    <t>LPU</t>
  </si>
  <si>
    <t>Origem</t>
  </si>
  <si>
    <t>Item</t>
  </si>
  <si>
    <t>Descrição</t>
  </si>
  <si>
    <t>Un.</t>
  </si>
  <si>
    <t>Qtd.</t>
  </si>
  <si>
    <t>Preço unit. (R$)</t>
  </si>
  <si>
    <t>Total (R$)</t>
  </si>
  <si>
    <t>Ativ. nº</t>
  </si>
  <si>
    <t>% medido</t>
  </si>
  <si>
    <t>Valor medido</t>
  </si>
  <si>
    <t>Custo previsto</t>
  </si>
  <si>
    <t>Custo real</t>
  </si>
  <si>
    <t>Resultado (medido – custo real)</t>
  </si>
  <si>
    <t>Chave</t>
  </si>
  <si>
    <t>Estrutural REV_04</t>
  </si>
  <si>
    <t>1.1</t>
  </si>
  <si>
    <t>Isolamento e sinalização da área (salão e mezanino)</t>
  </si>
  <si>
    <t>vb</t>
  </si>
  <si>
    <t>1.2</t>
  </si>
  <si>
    <t>Mobilização e desmobilização de equipe/ferramentas</t>
  </si>
  <si>
    <t>1.3</t>
  </si>
  <si>
    <t>Proteções provisórias e contenção de poeira/entulho</t>
  </si>
  <si>
    <t>1.4</t>
  </si>
  <si>
    <t>Remanejamento de gôndolas, estoque e mobiliário da área de intervenção (térreo e mezanino)</t>
  </si>
  <si>
    <t>1.5</t>
  </si>
  <si>
    <t>Adicional para trabalho fora do horário comercial (noturno/fim de semana)</t>
  </si>
  <si>
    <t>2.1</t>
  </si>
  <si>
    <t>Escoramento provisório sob a treliça principal – apoios P2/P3 e vão livre P3–P4 (10,00 m)</t>
  </si>
  <si>
    <t>2.2</t>
  </si>
  <si>
    <t>Materiais para escoramento e travamento (escoras metálicas, vigas de distribuição, calços)</t>
  </si>
  <si>
    <t>2.3</t>
  </si>
  <si>
    <t>Mão de obra especializada para montagem e desmontagem</t>
  </si>
  <si>
    <t>2.4</t>
  </si>
  <si>
    <t>Monitoramento de recalque (marcos + leituras topográficas periódicas) durante a obra</t>
  </si>
  <si>
    <t>3.1</t>
  </si>
  <si>
    <t>Corte e abertura localizada do piso junto às bases de P2 e P3</t>
  </si>
  <si>
    <t>3.2</t>
  </si>
  <si>
    <t>Retirada de revestimento, contrapiso e laje de piso danificada</t>
  </si>
  <si>
    <t>3.3</t>
  </si>
  <si>
    <t>Carga, transporte e descarte de entulho (com CTR)</t>
  </si>
  <si>
    <t>4.1</t>
  </si>
  <si>
    <t>Inspeção das bases, ligações, apoios e geometria da treliça</t>
  </si>
  <si>
    <t>4.2</t>
  </si>
  <si>
    <t>Verificação do solo/base sob o piso (poço de inspeção) e registro fotográfico</t>
  </si>
  <si>
    <t>4.3</t>
  </si>
  <si>
    <t>Levantamento topográfico de níveis/recalque (salão, mezanino e treliça)</t>
  </si>
  <si>
    <t>4.4</t>
  </si>
  <si>
    <t>Sondagem à percussão SPT com laudo (NBR 6484) – mín. furos a definir com projetista</t>
  </si>
  <si>
    <t>4.5</t>
  </si>
  <si>
    <t>Projeto estrutural de reforço (treliça, apoios e fundações dos pilares metálicos) + ART</t>
  </si>
  <si>
    <t>4.6</t>
  </si>
  <si>
    <t>ART de execução / responsável técnico da obra</t>
  </si>
  <si>
    <t>5.1</t>
  </si>
  <si>
    <t>Remoção de solo inadequado (fofo/colapsível)</t>
  </si>
  <si>
    <t>5.2</t>
  </si>
  <si>
    <t>Fornecimento de material granular (brita graduada/rachão)</t>
  </si>
  <si>
    <t>5.3</t>
  </si>
  <si>
    <t>Compactação mecânica em camadas (máx. 20 cm) com controle</t>
  </si>
  <si>
    <t>5.4</t>
  </si>
  <si>
    <t>Lastro de brita</t>
  </si>
  <si>
    <t>6.1</t>
  </si>
  <si>
    <t>Concreto estrutural (base/lajão/blocos)</t>
  </si>
  <si>
    <t>6.2</t>
  </si>
  <si>
    <t>Aço para armadura</t>
  </si>
  <si>
    <t>6.3</t>
  </si>
  <si>
    <t>Formas, espaçadores, arame recozido e consumíveis</t>
  </si>
  <si>
    <t>6.4</t>
  </si>
  <si>
    <t>Chumbadores / elementos de fixação (inclui chumbamento químico)</t>
  </si>
  <si>
    <t>6.5</t>
  </si>
  <si>
    <t>Reforço de fundações dos pilares P2/P3 (ex.: microestaca/estaca mega)</t>
  </si>
  <si>
    <t>6.6</t>
  </si>
  <si>
    <t>Reforço, realinhamento e reaperto da treliça metálica e ligações; pintura anticorrosiva</t>
  </si>
  <si>
    <t>6.7</t>
  </si>
  <si>
    <t>Macaqueamento controlado e renivelamento dos apoios</t>
  </si>
  <si>
    <t>7.1</t>
  </si>
  <si>
    <t>Nova laje de piso em concreto armado / contrapiso</t>
  </si>
  <si>
    <t>7.2</t>
  </si>
  <si>
    <t>Recomposição de piso/revestimento (porcelanato do salão)</t>
  </si>
  <si>
    <t>7.3</t>
  </si>
  <si>
    <t>Acabamentos e arremates finais (rodapés, soleiras, juntas)</t>
  </si>
  <si>
    <t>7.4</t>
  </si>
  <si>
    <t>Limpeza final e liberação da área</t>
  </si>
  <si>
    <t>8.1</t>
  </si>
  <si>
    <t>Recuperação de divisórias em drywall (copa, DML, vestiário, WCs) – trincas e deslocamentos</t>
  </si>
  <si>
    <t>8.2</t>
  </si>
  <si>
    <t>Recomposição de piso cerâmico sobre painel wall (copa, WCs, vestiário)</t>
  </si>
  <si>
    <t>8.3</t>
  </si>
  <si>
    <t>Reposicionamento de bancada/pia da copa e revisão hidráulica/infiltrações</t>
  </si>
  <si>
    <t>8.4</t>
  </si>
  <si>
    <t>Pintura das áreas recuperadas</t>
  </si>
  <si>
    <t>9.1</t>
  </si>
  <si>
    <t>Locação de equipamentos e ferramentas especiais</t>
  </si>
  <si>
    <t>9.2</t>
  </si>
  <si>
    <t>Frete / transporte de materiais</t>
  </si>
  <si>
    <t>9.3</t>
  </si>
  <si>
    <t>Outros custos operacionais (hospedagem/alimentação equipe – Macaé)</t>
  </si>
  <si>
    <t>9.4</t>
  </si>
  <si>
    <t>Alíquota de imposto sobre os serviços (base = itens 1.1 a 9.3)</t>
  </si>
  <si>
    <t>%</t>
  </si>
  <si>
    <t>Reforma light LPU</t>
  </si>
  <si>
    <t>LAUDO TÉCNICO ESTRUTURAL</t>
  </si>
  <si>
    <t>unit.</t>
  </si>
  <si>
    <t>MOBILIZAÇÃO DE OBRA</t>
  </si>
  <si>
    <t>DESMOBILIZAÇÃO DE OBRA</t>
  </si>
  <si>
    <t>DESLOCAMENTO DE EQUIPE - SOMENTE ACIMA DE 50 KM DA BASE.</t>
  </si>
  <si>
    <t>km</t>
  </si>
  <si>
    <t>3.40</t>
  </si>
  <si>
    <t>LOCAÇÃO DE ANDAIME METÁLICO TUBULAR DE ENCAIXE, TIPO DE TORRE, COM LARGURA DE 1 ATÉ 1,5 M E ALTURA DE *1,00* M, INCLUSIVE MONTAGEM</t>
  </si>
  <si>
    <t>M²/MÊS</t>
  </si>
  <si>
    <t>PINTURA - FACHADA</t>
  </si>
  <si>
    <t>m²</t>
  </si>
  <si>
    <t>DEMOLIÇÃO DE FORRO DE ESTUQUE OU GESSO EM PLACAS (COM BOTA FORA E TRANSPORTE)</t>
  </si>
  <si>
    <t>5.22</t>
  </si>
  <si>
    <t>DEMOLIÇÃO DE PAREDES EM DRYWALL E DIVISÓRIAS (COM BOTA FORA E TRANSPORTE)</t>
  </si>
  <si>
    <t>5.32</t>
  </si>
  <si>
    <t>DESMONTAGEM DE MOBILIÁRIO</t>
  </si>
  <si>
    <t>5.33</t>
  </si>
  <si>
    <t>RETIRADA DE LOUÇAS E METAIS - CONSIDERANDO 2 PROFISSIONAIS</t>
  </si>
  <si>
    <t>diária</t>
  </si>
  <si>
    <t>5.34</t>
  </si>
  <si>
    <t>RETIRADA DE APARELHOS SANITÁRIOS</t>
  </si>
  <si>
    <t>5.41</t>
  </si>
  <si>
    <t>RETIRADA DE PISOS DE MADEIRA, CERÂMICO, PORCELANATO, VINÍLICO, FORMICA COM BOTA FORA</t>
  </si>
  <si>
    <t>5.42</t>
  </si>
  <si>
    <t>RETIRADA DE PORTAS, JANELAS, PORTÕES E ACESSÓRIOS DE MADEIRA, VIDRO, METÁLICOS (SE NECESSÁRIO COM BOTA FORA)</t>
  </si>
  <si>
    <t>5.47</t>
  </si>
  <si>
    <t>LOCAÇÃO DE CAÇAMBA ESTACIONÁRIA 4M³ (ENTULHO MISTO)</t>
  </si>
  <si>
    <t>6.11</t>
  </si>
  <si>
    <t>DESMONTAGEM E MONTAGEM DO MOBILIÁRIO (MARCENEIRO E MONTADOR)</t>
  </si>
  <si>
    <t>CJ</t>
  </si>
  <si>
    <t>6.16</t>
  </si>
  <si>
    <t>CARGA MANUAL DE ENTULHO EM CAÇAMBA</t>
  </si>
  <si>
    <t>m³</t>
  </si>
  <si>
    <t>6.18</t>
  </si>
  <si>
    <t>RETIRADA DE CLIMATIZADORA E CONDENSADORA DE AR E TODA INFRA - 4 PROFISSIONAIS (SE NECESSÁRIO COM DESCARTE)</t>
  </si>
  <si>
    <t>6.19</t>
  </si>
  <si>
    <t>CARREGAMENTO E TRANSPORTE DE MOBILIÁRIO (CAMINHÃO 3/4 COM CAPACIDADE DE 21M³ E AJUDANTE PARA CARREGAMENTO)</t>
  </si>
  <si>
    <t>7.5</t>
  </si>
  <si>
    <t>FORNECIMENTO E INSTALAÇÃO LONA PLASTICA PRETA, PARA IMPERMEABILIZAÇÃO, ESPESSURA 150 MICRAS.</t>
  </si>
  <si>
    <t>12.6</t>
  </si>
  <si>
    <t>DRY ST/MDF/ST - PAREDE DE DRYWALL COM REFORÇO EM MDF EM 1 LADO - COMPOSTA POR PERFIS GUIAS E MONTANTES EM AÇO GALVANIZADO, COM UMA CHAPA DE GESSO STANDARD EM CADA FACE, UMA CHAPA DE MDF NA PARTE INTERNA E MONTANTES SIMPLES A CADA 500 MM.</t>
  </si>
  <si>
    <t>12.13</t>
  </si>
  <si>
    <t>CANTONEIRA DE ABAS IGUAIS 5,8" EM ALUMÍNIO NA COR BRANCA COM H=2,00M PARA PROTEÇÃO DE QUINAS VIVAS DE PAREDES E PILARES</t>
  </si>
  <si>
    <t>15.01</t>
  </si>
  <si>
    <t>PLACA MINERAL MODULAR 625X1250MM COR BRANCA COM PERFIL EM AÇO NAVAL COM PINTURA BRANCA</t>
  </si>
  <si>
    <t>18.4</t>
  </si>
  <si>
    <t>MÃO DE OBRA PARA INSTALAÇÃO DE PORCELANATO ESMALTADO ELIANE MUNARI CONCRETO OU PORTINARI URBAN CONCRETO OU PORTOBELLO SAMPA PACAEMBU NAT 90X90 RET E FORNECIMENTO DE ARGAMASSA E REJUNTE (PISO DE FORNECIMENTO DA DPSP)</t>
  </si>
  <si>
    <t>18.5</t>
  </si>
  <si>
    <t>MÃO DE OBRA PARA INSTALAÇÃO E CORTE DE RODAPÉ H= 10CM ESMALTADO ELIANE MUNARI CONCRETO OU PORTINARI URBAN CONCRETO OU PORTOBELLO SAMPA PACAEMBU NAT 90X90 RET E FORNECIMENTO DE ARGAMASSA E REJUNTE (PISO DE FORNECIMENTO DA DPSP)</t>
  </si>
  <si>
    <t>18.6</t>
  </si>
  <si>
    <t>MÃO DE OBRA PARA INSTALAÇÃO DE PORCELANATO ESMALTADO ELAINE AMAZONIA AMENDOA OU PORCELANATO ESMALTADO PORTINARI ABITARE AC 19X90 RET (PISO DE FORNECIMENTO DA DPSP)</t>
  </si>
  <si>
    <t>20.10</t>
  </si>
  <si>
    <t>ABERTURA DE LUMINÁRIAS</t>
  </si>
  <si>
    <t>21.1</t>
  </si>
  <si>
    <t>FUNDO PREPARADOR PARA PINTURA EM PAREDE DE ALVENARIA/GESSO</t>
  </si>
  <si>
    <t>21.4</t>
  </si>
  <si>
    <t>MASSA CORRIDA (SUVINIL/ CORAL) SOBRE PAREDE/FORRO</t>
  </si>
  <si>
    <t>21.7</t>
  </si>
  <si>
    <t>PINTURA ACRÍLICO FOSCO SUAVE (SUVINIL) BRANCO NEVE / PAPEL DE PRESENTE - PARA USO INTERNO</t>
  </si>
  <si>
    <t>24.2</t>
  </si>
  <si>
    <t>MOLA PARA PORTA (DORMA)</t>
  </si>
  <si>
    <t>24.3</t>
  </si>
  <si>
    <t>GRELHA EM ALUMÍNIO PARA PORTA, COM PINTURA ELETROSTÁTICA BRANCA</t>
  </si>
  <si>
    <t>25.3</t>
  </si>
  <si>
    <t>PORTA DE ABRIR UMA FOLHA DE MADEIRA SÓLIDA 0,80 X 2,10M COM BATENTE E GUARNIÇÕES, FUNDO SELADOR E PINTURA COM ESMALTE SINTÉTICO BRANCO BRILHO. INCLUSO DOBRADIÇAS REF.: 1535 CR - PAPAIZ, MOLA AÉREA REF.: 200/3 - DORMA, FECHADURA COMPLETA REF.: 271 R61 CR 340MZ - PAPAIZ, CHAPA EM ALUMÍNIO FOSCO E=1,5MM NA ÁREA DO PUXADOR MEDINDO 40X20CM NOS DOIS LADOS E SEM GRELHA</t>
  </si>
  <si>
    <t>25.96</t>
  </si>
  <si>
    <t>GUIA DA PORTA DE ENROLAR COM REFORÇO EM AÇO OU FERRO CONFORME PADRÃO DE LOJA RUA E SHOPPING</t>
  </si>
  <si>
    <t>KG</t>
  </si>
  <si>
    <t>27.168</t>
  </si>
  <si>
    <t>TUBO PVC SOLDÁVEL Ø 100 MM, SÉRIE REFORÇADA PARA ÁGUA PLUVIAL</t>
  </si>
  <si>
    <t>Mt.</t>
  </si>
  <si>
    <t>27.207</t>
  </si>
  <si>
    <t>TROCA DE DRENO PARA AR CONDICIONADO - TUBULAÇÕES, CONEXÕES (AMANCO/ TIGRE, COM ISOLAMENTO TÉRMICO) - NÃO INTERLIGAR NO ESGOTO</t>
  </si>
  <si>
    <t>ponto</t>
  </si>
  <si>
    <t>28.75</t>
  </si>
  <si>
    <t>CANALETA EM PVC SEMI ABERTA 50X80X2.000MM, RÍGIDO, RESISTENTE AO IMPACTO 2,1-100KG.CM/CM, RESISTÊNCIA TÉRMICA MÁXIMA 70°C, PARA ORGANIZAÇÃO DOS CABOS ELÉTRICOS, NO INTERIOR DO QUADRO ELÉTRICO</t>
  </si>
  <si>
    <t>28.84</t>
  </si>
  <si>
    <t>ELETRODUTO DE AÇO GALVANIZAÇÃO ELETROLÍTICA LEVE INCLUSIVE CONEXÕES Ø 32 MM 1 1/4"</t>
  </si>
  <si>
    <t>28.94</t>
  </si>
  <si>
    <t>CONDULETE EM LIGA DE ALUMÍNIO FUNDIDO COM OU SEM ROSCA TIPO "T" Ø 3/4" E TAMPA CEGA</t>
  </si>
  <si>
    <t>28.309</t>
  </si>
  <si>
    <t>PARAFUSO CABEÇA LENTILHA 1/4" X 3/4"</t>
  </si>
  <si>
    <t>28.339</t>
  </si>
  <si>
    <t>PONTO DE REDE COM INSTALAÇÃO DE CABO DE REDE U/UTP CAT.6, 4 PARES TRANÇADOS EM INFRAESTRUTURA EXISTENTE, DISTÂNCIA MÁXIMA DE 10,00M</t>
  </si>
  <si>
    <t>28.340</t>
  </si>
  <si>
    <t>PONTO DE REDE COM INSTALAÇÃO DE CABO DE REDE U/UTP CAT.6, 4 PARES TRANÇADOS EM INFRAESTRUTURA EXISTENTE, DISTÂNCIA MÁXIMA DE 30,00M</t>
  </si>
  <si>
    <t>29.19</t>
  </si>
  <si>
    <t>CABO ISOLADO EM EPR 2,50 MM² - 0,6/1 KV - 90°C - FLEXÍVEL</t>
  </si>
  <si>
    <t>29.41</t>
  </si>
  <si>
    <t>PLUG FEMEA 2P+T -AXIAL 10A - 250V - PARA RABICHO LUMINARIA</t>
  </si>
  <si>
    <t>29.42</t>
  </si>
  <si>
    <t>PLUG MACHO 2P+T - AXIAL 10A - 250V - PARA RABICHO LUMINARIA</t>
  </si>
  <si>
    <t>29.47</t>
  </si>
  <si>
    <t>TOMADA ELÉTRICA NO MÓVEL OU PAREDE COM 1 PLUG 2P+T 10A, MONTADA EM CONDULETE DE ALUMÍNIO TIPO "E" DE Ø 3/4" E TAMPA PARA CONDULETE COM 1 POSTO</t>
  </si>
  <si>
    <t>29.69</t>
  </si>
  <si>
    <t>UNIDUT RETO Ø 3/4"</t>
  </si>
  <si>
    <t>29.122</t>
  </si>
  <si>
    <t>CABO ISOLADO EM PVC 6,00 MM² - 750 V - 70°C - FLEXÍVEL AFUMEX OU EQUIVALENTE</t>
  </si>
  <si>
    <t>29.140</t>
  </si>
  <si>
    <t>MÃO DE OBRA PARA MONTAGEM E INSTALAÇÃO DE LUMINÁRIAS LED COM RABICHOS (MACHO/FÊMEA) DE EMBUTIR EM FORROS DE DRYWALL/ MINERAL/ PVC - (LUMINÁRIAS DE FORNECIMENTO DA DPSP)</t>
  </si>
  <si>
    <t>29.158</t>
  </si>
  <si>
    <t>LUMINÁRIA DE LED COMPLETA PARA EMERGÊNCIA DE 15 W - TIPO ROTA DE FUGA.</t>
  </si>
  <si>
    <t>29.160</t>
  </si>
  <si>
    <t>REMANEJAMENTO DE CABEAMENTOS (CIRCUITOS ELÉTRICOS)</t>
  </si>
  <si>
    <t>35.30</t>
  </si>
  <si>
    <t>INSTALAÇÕES ELÉTRICAS - DESATIVAÇÃO OU ATIVAÇÃO DAS INSTALAÇÕES EXISTENTES (SE ATIVAÇÃO E DESATIVAÇÃO CONSIDERAR 2 UNIDADES)</t>
  </si>
  <si>
    <t>36.4</t>
  </si>
  <si>
    <t>INSTALAÇÃO DE SPLIT - 18.000 BTUS (EQUIPAMENTO FORNECIDO PELA DPSP) (MATERIAL + MÃO DE OBRA)</t>
  </si>
  <si>
    <t>36.7</t>
  </si>
  <si>
    <t>INSTALAÇÃO DE SPLIT - ACIMA DE 24 .000 BTUS (EQUIPAMENTO FORNECIDO PELA DPSP) (MATERIAL + MÃO DE OBRA)</t>
  </si>
  <si>
    <t>36.9</t>
  </si>
  <si>
    <t>CARGA FREON R-410 DUPONT</t>
  </si>
  <si>
    <t>36.12</t>
  </si>
  <si>
    <t>CARGA DE NITROGÊNIO</t>
  </si>
  <si>
    <t>36.13</t>
  </si>
  <si>
    <t>CARGA OXIACETILENO</t>
  </si>
  <si>
    <t>36.19</t>
  </si>
  <si>
    <t>CABO ISOLADO EM EPR 4,00 MM² - 0,6/1 KV - 90°C - FLEXÍVEL</t>
  </si>
  <si>
    <t>38.1</t>
  </si>
  <si>
    <t>LIMPEZA FINAL PARA ENTREGA DA OBRA - MÃO DE OBRA</t>
  </si>
  <si>
    <t>41.4</t>
  </si>
  <si>
    <t>ART DE PROJETO DEVIDAMENTE QUITADA COM ART PARA OBRA OU SERVIÇO COM CONTRATOS ACIMA DE R$15.000,00 - ART. 2º § 1º DA RESOLUÇÃO Nº 1.067/15 E ANEXO DA DECISÃO PLENÁRIA (PL) Nº 1.759/17, REGISTRO PRINCIPAL (MATRIZ) OU REGISTRO SECUNDÁRIO, EMISSÃO DE CERTIDÃO DE REGISTRO E QUITAÇÃO DE PESSOA JURÍDICA OU PESSOA FÍSICA, REQUERIMENTO DE REGISTRO DE OBRA INTELECTUAL E VISTO DE REGISTRO</t>
  </si>
  <si>
    <t>46.57</t>
  </si>
  <si>
    <t>TUBO ESPONJOSO DE AR CONDICIONADO</t>
  </si>
  <si>
    <t>ml</t>
  </si>
  <si>
    <t>48.31</t>
  </si>
  <si>
    <t>FITA TELADA PARA DRYWALL</t>
  </si>
  <si>
    <t>48.67</t>
  </si>
  <si>
    <t>FIXAÇÃO DE VIDROS DE FACHADA ESP 8MM COM COLA PROPRIA MÃO DE OBRA E APLICAÇÃO</t>
  </si>
  <si>
    <t>48.68</t>
  </si>
  <si>
    <t>REMOÇÃO DE VIDRO DE VITRINE</t>
  </si>
  <si>
    <t>S/N-1</t>
  </si>
  <si>
    <t>Fornecimento e instalaçao de Malha Lycra para faseamento de obra</t>
  </si>
  <si>
    <t>S/N-2</t>
  </si>
  <si>
    <t>FORNECIMENTO E INSTALAÇÃO DE FECHADURA ELETRONICA</t>
  </si>
  <si>
    <t>TOTAL</t>
  </si>
  <si>
    <t>Sobreposição de escopo – REV_04 x LPU</t>
  </si>
  <si>
    <t>Mesmo serviço nos dois pedidos = risco de glosa ou cobrança em duplicidade. Definir a fronteira por área antes da 1ª medição.</t>
  </si>
  <si>
    <t>Tema</t>
  </si>
  <si>
    <t>Itens REV_04</t>
  </si>
  <si>
    <t>Valor REV_04</t>
  </si>
  <si>
    <t>Itens LPU</t>
  </si>
  <si>
    <t>Valor LPU</t>
  </si>
  <si>
    <t>Risco</t>
  </si>
  <si>
    <t>Ação recomendada</t>
  </si>
  <si>
    <t>Decisão registrada</t>
  </si>
  <si>
    <t>Exposição (menor valor)</t>
  </si>
  <si>
    <t>Isolamento da área</t>
  </si>
  <si>
    <t>Malha lycra (LPU) e isolamento (REV_04) cobrem o mesmo fechamento.</t>
  </si>
  <si>
    <t>Separar: LPU para a loja inteira, REV_04 só para a faixa estrutural e o mezanino.</t>
  </si>
  <si>
    <t>Aberto</t>
  </si>
  <si>
    <t>Mobilização</t>
  </si>
  <si>
    <t>2.1, 2.2, 2.3</t>
  </si>
  <si>
    <t>Duas mobilizações para a mesma obra.</t>
  </si>
  <si>
    <t>Manter uma só por pedido e declarar qual cobre o deslocamento para Macaé.</t>
  </si>
  <si>
    <t>Mobiliário</t>
  </si>
  <si>
    <t>5.32, 6.11, 6.19</t>
  </si>
  <si>
    <t>Remanejamento cobrado nos dois pedidos.</t>
  </si>
  <si>
    <t>Vincular cada pedido a ambientes distintos no layout.</t>
  </si>
  <si>
    <t>Demolição de piso</t>
  </si>
  <si>
    <t>Retirada de revestimento em área sobreposta.</t>
  </si>
  <si>
    <t>REV_04 = faixa da divisa esquerda (fig. B do laudo); LPU = restante.</t>
  </si>
  <si>
    <t>Entulho e caçambas</t>
  </si>
  <si>
    <t>5.47, 6.16</t>
  </si>
  <si>
    <t>Descarte cobrado em dobro.</t>
  </si>
  <si>
    <t>Ratear caçambas por frente e registrar CTR por pedido.</t>
  </si>
  <si>
    <t>Porcelanato do salão</t>
  </si>
  <si>
    <t>Mão de obra de assentamento nos dois pedidos.</t>
  </si>
  <si>
    <t>REV_04 só na faixa reconstruída; LPU no restante. Conferir m² com o layout.</t>
  </si>
  <si>
    <t>Projeto, ART e laudo</t>
  </si>
  <si>
    <t>4.5, 4.6</t>
  </si>
  <si>
    <t>1.4, 41.4</t>
  </si>
  <si>
    <t>LPU já prevê 2 laudos estruturais e ART de projeto.</t>
  </si>
  <si>
    <t>Confirmar se o laudo EGUTI foi pago pela LPU 1.4 e não repetir ART.</t>
  </si>
  <si>
    <t>Limpeza final</t>
  </si>
  <si>
    <t>Limpeza na entrega duplicada.</t>
  </si>
  <si>
    <t>Manter só a LPU 38.1, com m² corrigido.</t>
  </si>
  <si>
    <t>Retirada de vidro (interno à LPU)</t>
  </si>
  <si>
    <t>—</t>
  </si>
  <si>
    <t>5.42, 48.68</t>
  </si>
  <si>
    <t>Dois itens da LPU para retirar vidro (20 m² cada).</t>
  </si>
  <si>
    <t>Confirmar com a DPSP se são vidros diferentes; senão excluir um.</t>
  </si>
  <si>
    <t>Registro Diário de Obra (RDO)</t>
  </si>
  <si>
    <t>Encarregado registra ao fim do expediente; engenheiro valida; COP envia o informe diário. Linha cinza = exemplo (não é somada).</t>
  </si>
  <si>
    <t>Data</t>
  </si>
  <si>
    <t>Dia</t>
  </si>
  <si>
    <t>Clima</t>
  </si>
  <si>
    <t>Serviços executados</t>
  </si>
  <si>
    <t>Efetivo</t>
  </si>
  <si>
    <t>Empresa / equipe</t>
  </si>
  <si>
    <t>Equipamentos</t>
  </si>
  <si>
    <t>Link das fotos</t>
  </si>
  <si>
    <t>Ocorrências / impedimentos</t>
  </si>
  <si>
    <t>Programação para amanhã</t>
  </si>
  <si>
    <t>Registrado por</t>
  </si>
  <si>
    <t>Validado por</t>
  </si>
  <si>
    <t>Enviado?</t>
  </si>
  <si>
    <t>EXEMPLO</t>
  </si>
  <si>
    <t>sex</t>
  </si>
  <si>
    <t>Sol</t>
  </si>
  <si>
    <t>Escoramento provisório…</t>
  </si>
  <si>
    <t>Montagem de 4 escoras sob a treliça entre P3 e P4</t>
  </si>
  <si>
    <t>un</t>
  </si>
  <si>
    <t>Equipe MANFAC</t>
  </si>
  <si>
    <t>Escoras metálicas, macaco 10 t</t>
  </si>
  <si>
    <t>pasta/2026-10-30</t>
  </si>
  <si>
    <t>Sem impedimentos</t>
  </si>
  <si>
    <t>Concluir escoramento da viga principal</t>
  </si>
  <si>
    <t>Encarregado</t>
  </si>
  <si>
    <t>Engenheiro</t>
  </si>
  <si>
    <t>Sim</t>
  </si>
  <si>
    <t>Compras e materiais</t>
  </si>
  <si>
    <t>Cada pedido vinculado a um item do orçamento (chave) para custo real por item. Cancelados não entram no custo.</t>
  </si>
  <si>
    <t>Data pedido</t>
  </si>
  <si>
    <t>Fornecedor</t>
  </si>
  <si>
    <t>Chave orçamento</t>
  </si>
  <si>
    <t>Valor total (R$)</t>
  </si>
  <si>
    <t>Previsão entrega</t>
  </si>
  <si>
    <t>Entrega real</t>
  </si>
  <si>
    <t>NF</t>
  </si>
  <si>
    <t>Observação</t>
  </si>
  <si>
    <t>Fornecedor X</t>
  </si>
  <si>
    <t>Brita graduada 10 m³</t>
  </si>
  <si>
    <t>REV|5.2</t>
  </si>
  <si>
    <t>Remoção do solo…</t>
  </si>
  <si>
    <t>dd/mm</t>
  </si>
  <si>
    <t>Pedido emitido</t>
  </si>
  <si>
    <t>No prazo</t>
  </si>
  <si>
    <t>Locações de equipamentos</t>
  </si>
  <si>
    <t>Custo corre por dia até a devolução. Situação avisa quando o prazo contratado vence.</t>
  </si>
  <si>
    <t>Equipamento</t>
  </si>
  <si>
    <t>Início</t>
  </si>
  <si>
    <t>Devolução real</t>
  </si>
  <si>
    <t>R$/dia por un.</t>
  </si>
  <si>
    <t>Dias cobrados</t>
  </si>
  <si>
    <t>Custo acumulado</t>
  </si>
  <si>
    <t>EXEMPLO – escoras metálicas</t>
  </si>
  <si>
    <t>Locadora X</t>
  </si>
  <si>
    <t>REV|2.2</t>
  </si>
  <si>
    <t>Ativa</t>
  </si>
  <si>
    <t>Manter até o reforço (nº 15)</t>
  </si>
  <si>
    <t>Medições e faturamento</t>
  </si>
  <si>
    <t>Do envio da medição ao recebimento. Situação calculada pelas datas preenchidas.</t>
  </si>
  <si>
    <t>Pedido</t>
  </si>
  <si>
    <t>Período de</t>
  </si>
  <si>
    <t>Período até</t>
  </si>
  <si>
    <t>Valor medido (R$)</t>
  </si>
  <si>
    <t>Data envio</t>
  </si>
  <si>
    <t>Aprovador DPSP</t>
  </si>
  <si>
    <t>Data aprovação</t>
  </si>
  <si>
    <t>Nº OS / pedido</t>
  </si>
  <si>
    <t>NF nº</t>
  </si>
  <si>
    <t>Data NF</t>
  </si>
  <si>
    <t>Valor NF (R$)</t>
  </si>
  <si>
    <t>Recebido em</t>
  </si>
  <si>
    <t>Dias em aprovação</t>
  </si>
  <si>
    <t>EX</t>
  </si>
  <si>
    <t>Analista DPSP</t>
  </si>
  <si>
    <t>Em aprovação</t>
  </si>
  <si>
    <t>Pendências, riscos e decisões do cliente</t>
  </si>
  <si>
    <t>Inclui as travas da obra e os pontos levantados na conferência de laudo, layout, REV_04 e LPU (23/10/2026).</t>
  </si>
  <si>
    <t>Tipo</t>
  </si>
  <si>
    <t>Impacto</t>
  </si>
  <si>
    <t>Cliente?</t>
  </si>
  <si>
    <t>Abertura</t>
  </si>
  <si>
    <t>Prazo</t>
  </si>
  <si>
    <t>Fechamento</t>
  </si>
  <si>
    <t>Dias em aberto</t>
  </si>
  <si>
    <t>aux</t>
  </si>
  <si>
    <t>No relatório do cliente?</t>
  </si>
  <si>
    <t>Trava</t>
  </si>
  <si>
    <t>Escorar a viga principal (treliça P3–P4, 10,00 m) conforme definição do RT</t>
  </si>
  <si>
    <t>Bloqueia todas as demolições (nº 11 a 14 e 21)</t>
  </si>
  <si>
    <t>Engenheiro de obras</t>
  </si>
  <si>
    <t>Não</t>
  </si>
  <si>
    <t>Aberta</t>
  </si>
  <si>
    <t>Iniciar leituras periódicas dos marcos de nível para confirmar que o escoramento estabilizou os recalques</t>
  </si>
  <si>
    <t>Recalque ativo = risco de colapso localizado (laudo 7.4.a)</t>
  </si>
  <si>
    <t>Decisão do cliente</t>
  </si>
  <si>
    <t>Autorização formal de baixa de patrimônio para descarte de gôndolas e geladeira</t>
  </si>
  <si>
    <t>Sem autorização, nº 12 não pode ser executada</t>
  </si>
  <si>
    <t>Analista de obras / COP</t>
  </si>
  <si>
    <t>Confirmar se o vidro a retirar é de fachada; se for, obter autorização do Best Center / condomínio</t>
  </si>
  <si>
    <t>Bloqueia nº 11 e 28</t>
  </si>
  <si>
    <t>Registrar formalmente que Mall, estacionamento e drenagem do centro comercial estão fora do escopo</t>
  </si>
  <si>
    <t>Evita assumir passivo classificado como alto risco (laudo 7.2)</t>
  </si>
  <si>
    <t>GO</t>
  </si>
  <si>
    <t>Definir qual banheiro será desmobilizado: térreo ou WC do mezanino</t>
  </si>
  <si>
    <t>Define escopo de nº 13 e 18</t>
  </si>
  <si>
    <t>Escopo</t>
  </si>
  <si>
    <t>Precificar itens sem cobertura: descarte de gôndolas/geladeira, reexecução do banheiro e relatório fotográfico. Retirada de louças e de vidro já consta na LPU (5.33, 5.34, 5.42, 48.68)</t>
  </si>
  <si>
    <t>Execução sem receita</t>
  </si>
  <si>
    <t>Orçamentos</t>
  </si>
  <si>
    <t>Conflito</t>
  </si>
  <si>
    <t>Resolver as 9 sobreposições REV_04 x LPU (aba CONFLITOS) e registrar a fronteira por área</t>
  </si>
  <si>
    <t>Glosa na medição ou cobrança em duplicidade</t>
  </si>
  <si>
    <t>Quantitativo</t>
  </si>
  <si>
    <t>LPU 38.1 – limpeza final de 1.200 m², contra ≈ 224 m² somando as áreas do layout aprovado</t>
  </si>
  <si>
    <t>Glosa provável de ≈ R$ 6.200 na conferência DPSP</t>
  </si>
  <si>
    <t>LPU 18.4 + 18.6 – porcelanato de 250 m², contra 142,93 m² de área de vendas + medicamentos no térreo</t>
  </si>
  <si>
    <t>Compra ou medição acima do real</t>
  </si>
  <si>
    <t>LPU 21.1 – fundo preparador em 400 m², enquanto massa e pintura somam 260 m²</t>
  </si>
  <si>
    <t>Ajustar quantidade ou justificar</t>
  </si>
  <si>
    <t>Comercial</t>
  </si>
  <si>
    <t>Definir com a DPSP o critério do imposto no REV_04: 17% por fora (R$ 42.568) ou por dentro (≈ R$ 51.287)</t>
  </si>
  <si>
    <t>Diferença de ≈ R$ 8.700 na margem</t>
  </si>
  <si>
    <t>Financeiro</t>
  </si>
  <si>
    <t>Recolocar no REV_04 a observação do item 7.2: "mesmo padrão existente, sujeito a disponibilidade"</t>
  </si>
  <si>
    <t>Proteção caso o porcelanato esteja fora de linha</t>
  </si>
  <si>
    <t>Dados</t>
  </si>
  <si>
    <t>LPU: dois itens sem código (malha lycra e fechadura) e fechadura sem parcela de mão de obra (regra 40/60)</t>
  </si>
  <si>
    <t>Questionamento na conferência DPSP</t>
  </si>
  <si>
    <t>Comunicação com o cliente – programação e histórico de envios</t>
  </si>
  <si>
    <t>Datas previstas geradas pelo cronograma. Preencha data real, destinatários e link do PDF a cada envio. Risco relevante = comunicação imediata (incluir linha).</t>
  </si>
  <si>
    <t>Referência</t>
  </si>
  <si>
    <t>Data prevista</t>
  </si>
  <si>
    <t>Data real</t>
  </si>
  <si>
    <t>Destinatários</t>
  </si>
  <si>
    <t>Link do PDF</t>
  </si>
  <si>
    <t>Confirmação</t>
  </si>
  <si>
    <t>Comentários do cliente</t>
  </si>
  <si>
    <t>Respostas pendentes</t>
  </si>
  <si>
    <t>Relatório semanal</t>
  </si>
  <si>
    <t>Semana 1</t>
  </si>
  <si>
    <t>Engenharia (atualiza) / GO (valida)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</si>
  <si>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</si>
  <si>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</si>
  <si>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</si>
  <si>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</si>
  <si>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</si>
  <si>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</si>
  <si>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</si>
  <si>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</si>
  <si>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</si>
  <si>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</si>
  <si>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</si>
  <si>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</si>
  <si>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</si>
  <si>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</si>
  <si>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</si>
  <si>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Relatório mensal</t>
  </si>
  <si>
    <t>Mês 1</t>
  </si>
  <si>
    <t>Engenharia + Financeiro / GO valida</t>
  </si>
  <si>
    <t>Mês 2</t>
  </si>
  <si>
    <t>Mês 3</t>
  </si>
  <si>
    <t>Mês 4</t>
  </si>
  <si>
    <t>Mês 5</t>
  </si>
  <si>
    <t>Relatório de fase</t>
  </si>
  <si>
    <t>Conclusão da etapa 1 – Mobilização e isolamento</t>
  </si>
  <si>
    <t>Conclusão da etapa 2 – Estabilização</t>
  </si>
  <si>
    <t>Conclusão da etapa 3 – Investigação e projeto</t>
  </si>
  <si>
    <t>Conclusão da etapa 4 – Desmobilização e demolição</t>
  </si>
  <si>
    <t>Conclusão da etapa 5 – Reforço e reconstrução</t>
  </si>
  <si>
    <t>Conclusão da etapa 6 – Acabamentos e entrega</t>
  </si>
  <si>
    <t>Conclusão da etapa R – Reforma light</t>
  </si>
  <si>
    <t>Relatório de entrega</t>
  </si>
  <si>
    <t>Antes e depois, documentação e aceite final</t>
  </si>
  <si>
    <t>Engenheiro de obras / GO</t>
  </si>
  <si>
    <t>Informe diário</t>
  </si>
  <si>
    <t>RDO nº 1</t>
  </si>
  <si>
    <t>Engenheiro valida / COP envia</t>
  </si>
  <si>
    <t>RDO nº 2</t>
  </si>
  <si>
    <t>RDO nº 3</t>
  </si>
  <si>
    <t>RDO nº 4</t>
  </si>
  <si>
    <t>RDO nº 5</t>
  </si>
  <si>
    <t>RDO nº 6</t>
  </si>
  <si>
    <t>RDO nº 7</t>
  </si>
  <si>
    <t>RDO nº 8</t>
  </si>
  <si>
    <t>RDO nº 9</t>
  </si>
  <si>
    <t>RDO nº 10</t>
  </si>
  <si>
    <t>RDO nº 11</t>
  </si>
  <si>
    <t>RDO nº 12</t>
  </si>
  <si>
    <t>RDO nº 13</t>
  </si>
  <si>
    <t>RDO nº 14</t>
  </si>
  <si>
    <t>RDO nº 15</t>
  </si>
  <si>
    <t>RDO nº 16</t>
  </si>
  <si>
    <t>RDO nº 17</t>
  </si>
  <si>
    <t>RDO nº 18</t>
  </si>
  <si>
    <t>RDO nº 19</t>
  </si>
  <si>
    <t>RDO nº 20</t>
  </si>
  <si>
    <t>RDO nº 21</t>
  </si>
  <si>
    <t>RDO nº 22</t>
  </si>
  <si>
    <t>RDO nº 23</t>
  </si>
  <si>
    <t>RDO nº 24</t>
  </si>
  <si>
    <t>RDO nº 25</t>
  </si>
  <si>
    <t>RDO nº 26</t>
  </si>
  <si>
    <t>RDO nº 27</t>
  </si>
  <si>
    <t>RDO nº 28</t>
  </si>
  <si>
    <t>RDO nº 29</t>
  </si>
  <si>
    <t>RDO nº 30</t>
  </si>
  <si>
    <t>RDO nº 31</t>
  </si>
  <si>
    <t>RDO nº 32</t>
  </si>
  <si>
    <t>RDO nº 33</t>
  </si>
  <si>
    <t>RDO nº 34</t>
  </si>
  <si>
    <t>RDO nº 35</t>
  </si>
  <si>
    <t>RDO nº 36</t>
  </si>
  <si>
    <t>RDO nº 37</t>
  </si>
  <si>
    <t>RDO nº 38</t>
  </si>
  <si>
    <t>RDO nº 39</t>
  </si>
  <si>
    <t>RDO nº 40</t>
  </si>
  <si>
    <t>RDO nº 41</t>
  </si>
  <si>
    <t>RDO nº 42</t>
  </si>
  <si>
    <t>RDO nº 43</t>
  </si>
  <si>
    <t>RDO nº 44</t>
  </si>
  <si>
    <t>RDO nº 45</t>
  </si>
  <si>
    <t>RDO nº 46</t>
  </si>
  <si>
    <t>RDO nº 47</t>
  </si>
  <si>
    <t>RDO nº 48</t>
  </si>
  <si>
    <t>RDO nº 49</t>
  </si>
  <si>
    <t>RDO nº 50</t>
  </si>
  <si>
    <t>RDO nº 51</t>
  </si>
  <si>
    <t>RDO nº 52</t>
  </si>
  <si>
    <t>RDO nº 53</t>
  </si>
  <si>
    <t>RDO nº 54</t>
  </si>
  <si>
    <t>RDO nº 55</t>
  </si>
  <si>
    <t>RDO nº 56</t>
  </si>
  <si>
    <t>RDO nº 57</t>
  </si>
  <si>
    <t>RDO nº 58</t>
  </si>
  <si>
    <t>RDO nº 59</t>
  </si>
  <si>
    <t>RDO nº 60</t>
  </si>
  <si>
    <t>RDO nº 61</t>
  </si>
  <si>
    <t>RDO nº 62</t>
  </si>
  <si>
    <t>RDO nº 63</t>
  </si>
  <si>
    <t>RDO nº 64</t>
  </si>
  <si>
    <t>RDO nº 65</t>
  </si>
  <si>
    <t>RDO nº 66</t>
  </si>
  <si>
    <t>RDO nº 67</t>
  </si>
  <si>
    <t>RDO nº 68</t>
  </si>
  <si>
    <t>RDO nº 69</t>
  </si>
  <si>
    <t>RDO nº 70</t>
  </si>
  <si>
    <t>RDO nº 71</t>
  </si>
  <si>
    <t>RDO nº 72</t>
  </si>
  <si>
    <t>RDO nº 73</t>
  </si>
  <si>
    <t>RDO nº 74</t>
  </si>
  <si>
    <t>RDO nº 75</t>
  </si>
  <si>
    <t>RDO nº 76</t>
  </si>
  <si>
    <t>RDO nº 77</t>
  </si>
  <si>
    <t>RDO nº 78</t>
  </si>
  <si>
    <t>RDO nº 79</t>
  </si>
  <si>
    <t>RDO nº 80</t>
  </si>
  <si>
    <t>RDO nº 81</t>
  </si>
  <si>
    <t>RDO nº 82</t>
  </si>
  <si>
    <t>RDO nº 83</t>
  </si>
  <si>
    <t>RDO nº 84</t>
  </si>
  <si>
    <t>RDO nº 85</t>
  </si>
  <si>
    <t>RDO nº 86</t>
  </si>
  <si>
    <t>RDO nº 87</t>
  </si>
  <si>
    <t>RDO nº 88</t>
  </si>
  <si>
    <t>RDO nº 89</t>
  </si>
  <si>
    <t>RDO nº 90</t>
  </si>
  <si>
    <t>RDO nº 91</t>
  </si>
  <si>
    <t>RDO nº 92</t>
  </si>
  <si>
    <t>RDO nº 93</t>
  </si>
  <si>
    <t>RDO nº 94</t>
  </si>
  <si>
    <t>RDO nº 95</t>
  </si>
  <si>
    <t>RDO nº 96</t>
  </si>
  <si>
    <t>RDO nº 97</t>
  </si>
  <si>
    <t>RDO nº 98</t>
  </si>
  <si>
    <t>RDO nº 99</t>
  </si>
  <si>
    <t>RDO nº 100</t>
  </si>
  <si>
    <t>RDO nº 101</t>
  </si>
  <si>
    <t>RDO nº 102</t>
  </si>
  <si>
    <t>RDO nº 103</t>
  </si>
  <si>
    <t>RDO nº 104</t>
  </si>
  <si>
    <t>RDO nº 105</t>
  </si>
  <si>
    <t>RDO nº 106</t>
  </si>
  <si>
    <t>RDO nº 107</t>
  </si>
  <si>
    <t>RDO nº 108</t>
  </si>
  <si>
    <t>RDO nº 109</t>
  </si>
  <si>
    <t>RDO nº 110</t>
  </si>
  <si>
    <t>Linhas em amarelo ao final: comunicações imediatas (atraso, custo adicional ou decisão do cliente).</t>
  </si>
  <si>
    <t>MANFAC | Relatório Semanal de Obra</t>
  </si>
  <si>
    <t>Visão do cliente: sem custos, margem ou fornecedores. Imprimir ou salvar em PDF para envio na sexta-feira.</t>
  </si>
  <si>
    <t>Data de referência (qualquer dia da semana)</t>
  </si>
  <si>
    <t>Semana de</t>
  </si>
  <si>
    <t>até</t>
  </si>
  <si>
    <t>INDICADORES DA SEMANA</t>
  </si>
  <si>
    <t>Avanço planejado até a sexta-feira</t>
  </si>
  <si>
    <t>Avanço realizado (posição atual)</t>
  </si>
  <si>
    <t>Etapas da obra concluídas</t>
  </si>
  <si>
    <t>Data prevista de entrega</t>
  </si>
  <si>
    <t>Principal impedimento</t>
  </si>
  <si>
    <t>ATIVIDADES CONCLUÍDAS</t>
  </si>
  <si>
    <t>Concluída em</t>
  </si>
  <si>
    <t>EM ANDAMENTO</t>
  </si>
  <si>
    <t>Término previsto</t>
  </si>
  <si>
    <t>PROGRAMAÇÃO DA PRÓXIMA SEMANA</t>
  </si>
  <si>
    <t>Término</t>
  </si>
  <si>
    <t>DECISÕES QUE DEPENDEM DO CLIENTE</t>
  </si>
  <si>
    <t>REGISTRO FOTOGRÁFICO DA SEMANA</t>
  </si>
  <si>
    <t>Link da pasta de fotos datadas e identificadas</t>
  </si>
  <si>
    <t>Observações da engenharia</t>
  </si>
  <si>
    <t>MANFAC Engenharia – relatório gerado da base única de controle da obra (SGO).</t>
  </si>
  <si>
    <t>Listas e parâmetros de apoio</t>
  </si>
  <si>
    <t>Valores usados nas listas suspensas e no calendário. Feriados editáveis (amarelo).</t>
  </si>
  <si>
    <t>Status atividade</t>
  </si>
  <si>
    <t>Status pendência</t>
  </si>
  <si>
    <t>Tipo pendência</t>
  </si>
  <si>
    <t>Sim/Não</t>
  </si>
  <si>
    <t>Feriados</t>
  </si>
  <si>
    <t>Tipo comunicação</t>
  </si>
  <si>
    <t>Status compra</t>
  </si>
  <si>
    <t>Funções</t>
  </si>
  <si>
    <t>Finados</t>
  </si>
  <si>
    <t>Cotação</t>
  </si>
  <si>
    <t>Em tratativa</t>
  </si>
  <si>
    <t>Proclamação da República</t>
  </si>
  <si>
    <t>Concluído</t>
  </si>
  <si>
    <t>Concluída</t>
  </si>
  <si>
    <t>Consciência Negra</t>
  </si>
  <si>
    <t>Entregue</t>
  </si>
  <si>
    <t>Bloqueado</t>
  </si>
  <si>
    <t>Natal</t>
  </si>
  <si>
    <t>Cancelado</t>
  </si>
  <si>
    <t>Compras e Almoxarifado</t>
  </si>
  <si>
    <t>Confraternização Universal</t>
  </si>
  <si>
    <t>Carnaval (ponto facultativo – ajustar)</t>
  </si>
  <si>
    <t>Comunicação imediata</t>
  </si>
  <si>
    <t>CEO</t>
  </si>
  <si>
    <t>Sexta-feira Santa</t>
  </si>
  <si>
    <t>Segurança do trabalho</t>
  </si>
  <si>
    <t>Tiradentes</t>
  </si>
  <si>
    <t>São Jorge (estadual RJ)</t>
  </si>
  <si>
    <t>Conferir feriados municipais de Macaé e recessos do shopping.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</si>
</sst>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$ &quot;#,##0.00;&quot;-R$ &quot;#,##0.00;\-"/>
    <numFmt numFmtId="165" formatCode="0.0%;\-0.0%;\-"/>
    <numFmt numFmtId="166" formatCode="\+0.0&quot; p.p.&quot;;\-0.0&quot; p.p.&quot;;&quot;0,0 p.p.&quot;"/>
    <numFmt numFmtId="167" formatCode="dd/mm"/>
    <numFmt numFmtId="168" formatCode="\+0%;\-0%;0%"/>
    <numFmt numFmtId="169" formatCode=";;;"/>
    <numFmt numFmtId="170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0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1" xfId="0" applyFont="1" applyFill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4" fontId="4" fillId="3" borderId="1" xfId="0" applyNumberFormat="1" applyFont="1" applyFill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  <xf numFmtId="167" fontId="11" fillId="5" borderId="0" xfId="0" applyNumberFormat="1" applyFont="1" applyFill="1" applyAlignment="1">
      <alignment horizontal="center" textRotation="90"/>
    </xf>
    <xf numFmtId="0" fontId="5" fillId="0" borderId="1" xfId="0" applyFont="1" applyBorder="1" applyAlignment="1">
      <alignment horizontal="center" vertical="top" wrapText="1"/>
    </xf>
    <xf numFmtId="9" fontId="4" fillId="3" borderId="1" xfId="0" applyNumberFormat="1" applyFont="1" applyFill="1" applyBorder="1" applyAlignment="1">
      <alignment vertical="top" wrapText="1"/>
    </xf>
    <xf numFmtId="168" fontId="5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9" fontId="0" fillId="0" borderId="1" xfId="0" applyNumberFormat="1" applyBorder="1"/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167" fontId="10" fillId="5" borderId="1" xfId="0" applyNumberFormat="1" applyFont="1" applyFill="1" applyBorder="1" applyAlignment="1">
      <alignment horizontal="center" vertical="top" wrapText="1"/>
    </xf>
    <xf numFmtId="170" fontId="7" fillId="0" borderId="1" xfId="0" applyNumberFormat="1" applyFont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15">
    <dxf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b/>
        <color rgb="FF9C0006"/>
        <name val="Arial"/>
        <charset val="1"/>
      </font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2F5597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99CCFF"/>
      <rgbColor rgb="FFFCE4D6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Curva S – Macaé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CURVA_S!$B$34</c:f>
              <c:strCache>
                <c:ptCount val="1"/>
                <c:pt idx="0">
                  <c:v>Previsto acumulado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CURVA_S!$C$3:$V$3</c:f>
              <c:numCache>
                <c:formatCode>dd/mm</c:formatCode>
                <c:ptCount val="20"/>
                <c:pt idx="0">
                  <c:v>46325</c:v>
                </c:pt>
                <c:pt idx="1">
                  <c:v>46332</c:v>
                </c:pt>
                <c:pt idx="2">
                  <c:v>46339</c:v>
                </c:pt>
                <c:pt idx="3">
                  <c:v>46346</c:v>
                </c:pt>
                <c:pt idx="4">
                  <c:v>46353</c:v>
                </c:pt>
                <c:pt idx="5">
                  <c:v>46360</c:v>
                </c:pt>
                <c:pt idx="6">
                  <c:v>46367</c:v>
                </c:pt>
                <c:pt idx="7">
                  <c:v>46374</c:v>
                </c:pt>
                <c:pt idx="8">
                  <c:v>46381</c:v>
                </c:pt>
                <c:pt idx="9">
                  <c:v>46388</c:v>
                </c:pt>
                <c:pt idx="10">
                  <c:v>46395</c:v>
                </c:pt>
                <c:pt idx="11">
                  <c:v>46402</c:v>
                </c:pt>
                <c:pt idx="12">
                  <c:v>46409</c:v>
                </c:pt>
                <c:pt idx="13">
                  <c:v>46416</c:v>
                </c:pt>
                <c:pt idx="14">
                  <c:v>46423</c:v>
                </c:pt>
                <c:pt idx="15">
                  <c:v>46430</c:v>
                </c:pt>
                <c:pt idx="16">
                  <c:v>46437</c:v>
                </c:pt>
                <c:pt idx="17">
                  <c:v>46444</c:v>
                </c:pt>
                <c:pt idx="18">
                  <c:v>46451</c:v>
                </c:pt>
                <c:pt idx="19">
                  <c:v>46458</c:v>
                </c:pt>
              </c:numCache>
            </c:numRef>
          </c:cat>
          <c:val>
            <c:numRef>
              <c:f>CURVA_S!$C$34:$V$34</c:f>
              <c:numCache>
                <c:formatCode>0%</c:formatCode>
                <c:ptCount val="20"/>
                <c:pt idx="0">
                  <c:v>8.6772333069375915E-2</c:v>
                </c:pt>
                <c:pt idx="1">
                  <c:v>0.17778975626465374</c:v>
                </c:pt>
                <c:pt idx="2">
                  <c:v>0.29616581621050098</c:v>
                </c:pt>
                <c:pt idx="3">
                  <c:v>0.36614764998766508</c:v>
                </c:pt>
                <c:pt idx="4">
                  <c:v>0.42622342701397797</c:v>
                </c:pt>
                <c:pt idx="5">
                  <c:v>0.49314968661741926</c:v>
                </c:pt>
                <c:pt idx="6">
                  <c:v>0.63934416938547423</c:v>
                </c:pt>
                <c:pt idx="7">
                  <c:v>0.73044897893150296</c:v>
                </c:pt>
                <c:pt idx="8">
                  <c:v>0.78412984023139354</c:v>
                </c:pt>
                <c:pt idx="9">
                  <c:v>0.82224370861270979</c:v>
                </c:pt>
                <c:pt idx="10">
                  <c:v>0.86156322629590198</c:v>
                </c:pt>
                <c:pt idx="11">
                  <c:v>0.91046489193572311</c:v>
                </c:pt>
                <c:pt idx="12">
                  <c:v>0.96081068695910987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F3-48FC-99F0-88DC003A8D4A}"/>
            </c:ext>
          </c:extLst>
        </c:ser>
        <c:ser>
          <c:idx val="1"/>
          <c:order val="1"/>
          <c:tx>
            <c:strRef>
              <c:f>CURVA_S!$B$35</c:f>
              <c:strCache>
                <c:ptCount val="1"/>
                <c:pt idx="0">
                  <c:v>Realizado acumulado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CURVA_S!$C$3:$V$3</c:f>
              <c:numCache>
                <c:formatCode>dd/mm</c:formatCode>
                <c:ptCount val="20"/>
                <c:pt idx="0">
                  <c:v>46325</c:v>
                </c:pt>
                <c:pt idx="1">
                  <c:v>46332</c:v>
                </c:pt>
                <c:pt idx="2">
                  <c:v>46339</c:v>
                </c:pt>
                <c:pt idx="3">
                  <c:v>46346</c:v>
                </c:pt>
                <c:pt idx="4">
                  <c:v>46353</c:v>
                </c:pt>
                <c:pt idx="5">
                  <c:v>46360</c:v>
                </c:pt>
                <c:pt idx="6">
                  <c:v>46367</c:v>
                </c:pt>
                <c:pt idx="7">
                  <c:v>46374</c:v>
                </c:pt>
                <c:pt idx="8">
                  <c:v>46381</c:v>
                </c:pt>
                <c:pt idx="9">
                  <c:v>46388</c:v>
                </c:pt>
                <c:pt idx="10">
                  <c:v>46395</c:v>
                </c:pt>
                <c:pt idx="11">
                  <c:v>46402</c:v>
                </c:pt>
                <c:pt idx="12">
                  <c:v>46409</c:v>
                </c:pt>
                <c:pt idx="13">
                  <c:v>46416</c:v>
                </c:pt>
                <c:pt idx="14">
                  <c:v>46423</c:v>
                </c:pt>
                <c:pt idx="15">
                  <c:v>46430</c:v>
                </c:pt>
                <c:pt idx="16">
                  <c:v>46437</c:v>
                </c:pt>
                <c:pt idx="17">
                  <c:v>46444</c:v>
                </c:pt>
                <c:pt idx="18">
                  <c:v>46451</c:v>
                </c:pt>
                <c:pt idx="19">
                  <c:v>46458</c:v>
                </c:pt>
              </c:numCache>
            </c:numRef>
          </c:cat>
          <c:val>
            <c:numRef>
              <c:f>CURVA_S!$C$35:$V$35</c:f>
              <c:numCache>
                <c:formatCode>0%</c:formatCode>
                <c:ptCount val="2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F3-48FC-99F0-88DC003A8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663033"/>
        <c:axId val="23100182"/>
      </c:lineChart>
      <c:dateAx>
        <c:axId val="696630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 (sexta-feira)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100182"/>
        <c:crosses val="autoZero"/>
        <c:auto val="1"/>
        <c:lblOffset val="100"/>
        <c:baseTimeUnit val="days"/>
      </c:dateAx>
      <c:valAx>
        <c:axId val="2310018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Avanço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9663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160560</xdr:rowOff>
    </xdr:from>
    <xdr:to>
      <xdr:col>13</xdr:col>
      <xdr:colOff>40680</xdr:colOff>
      <xdr:row>52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4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8" customWidth="1"/>
    <col min="3" max="3" width="100" customWidth="1"/>
  </cols>
  <sheetData>
    <row r="1" spans="2:3" ht="18" x14ac:dyDescent="0.4">
      <c r="B1" s="6" t="s">
        <v>0</v>
      </c>
    </row>
    <row r="2" spans="2:3" x14ac:dyDescent="0.35">
      <c r="B2" s="7" t="s">
        <v>1</v>
      </c>
    </row>
    <row r="5" spans="2:3" x14ac:dyDescent="0.35">
      <c r="B5" s="8" t="s">
        <v>2</v>
      </c>
      <c r="C5" s="9"/>
    </row>
    <row r="6" spans="2:3" x14ac:dyDescent="0.35">
      <c r="B6" s="1" t="s">
        <v>3</v>
      </c>
      <c r="C6" s="5" t="s">
        <v>4</v>
      </c>
    </row>
    <row r="7" spans="2:3" x14ac:dyDescent="0.35">
      <c r="B7" s="10" t="s">
        <v>5</v>
      </c>
      <c r="C7" s="5" t="s">
        <v>6</v>
      </c>
    </row>
    <row r="8" spans="2:3" x14ac:dyDescent="0.35">
      <c r="B8" s="11" t="s">
        <v>7</v>
      </c>
      <c r="C8" s="5" t="s">
        <v>8</v>
      </c>
    </row>
    <row r="10" spans="2:3" x14ac:dyDescent="0.35">
      <c r="B10" s="8" t="s">
        <v>9</v>
      </c>
      <c r="C10" s="9"/>
    </row>
    <row r="11" spans="2:3" x14ac:dyDescent="0.35">
      <c r="B11" s="10" t="s">
        <v>10</v>
      </c>
      <c r="C11" s="5" t="s">
        <v>11</v>
      </c>
    </row>
    <row r="12" spans="2:3" ht="25" x14ac:dyDescent="0.35">
      <c r="B12" s="10" t="s">
        <v>12</v>
      </c>
      <c r="C12" s="5" t="s">
        <v>13</v>
      </c>
    </row>
    <row r="13" spans="2:3" ht="25" x14ac:dyDescent="0.35">
      <c r="B13" s="10" t="s">
        <v>14</v>
      </c>
      <c r="C13" s="5" t="s">
        <v>15</v>
      </c>
    </row>
    <row r="14" spans="2:3" x14ac:dyDescent="0.35">
      <c r="B14" s="10" t="s">
        <v>16</v>
      </c>
      <c r="C14" s="5" t="s">
        <v>17</v>
      </c>
    </row>
    <row r="15" spans="2:3" x14ac:dyDescent="0.35">
      <c r="B15" s="10" t="s">
        <v>18</v>
      </c>
      <c r="C15" s="5" t="s">
        <v>19</v>
      </c>
    </row>
    <row r="16" spans="2:3" x14ac:dyDescent="0.35">
      <c r="B16" s="10" t="s">
        <v>20</v>
      </c>
      <c r="C16" s="5" t="s">
        <v>21</v>
      </c>
    </row>
    <row r="17" spans="2:3" x14ac:dyDescent="0.35">
      <c r="B17" s="10" t="s">
        <v>22</v>
      </c>
      <c r="C17" s="5" t="s">
        <v>23</v>
      </c>
    </row>
    <row r="18" spans="2:3" x14ac:dyDescent="0.35">
      <c r="B18" s="10" t="s">
        <v>24</v>
      </c>
      <c r="C18" s="5" t="s">
        <v>25</v>
      </c>
    </row>
    <row r="19" spans="2:3" ht="25" x14ac:dyDescent="0.35">
      <c r="B19" s="10" t="s">
        <v>26</v>
      </c>
      <c r="C19" s="5" t="s">
        <v>27</v>
      </c>
    </row>
    <row r="20" spans="2:3" ht="25" x14ac:dyDescent="0.35">
      <c r="B20" s="10" t="s">
        <v>28</v>
      </c>
      <c r="C20" s="5" t="s">
        <v>29</v>
      </c>
    </row>
    <row r="21" spans="2:3" x14ac:dyDescent="0.35">
      <c r="B21" s="10" t="s">
        <v>30</v>
      </c>
      <c r="C21" s="5" t="s">
        <v>31</v>
      </c>
    </row>
    <row r="22" spans="2:3" x14ac:dyDescent="0.35">
      <c r="B22" s="10" t="s">
        <v>32</v>
      </c>
      <c r="C22" s="5" t="s">
        <v>33</v>
      </c>
    </row>
    <row r="24" spans="2:3" x14ac:dyDescent="0.35">
      <c r="B24" s="8" t="s">
        <v>34</v>
      </c>
      <c r="C24" s="9"/>
    </row>
    <row r="25" spans="2:3" ht="25" x14ac:dyDescent="0.35">
      <c r="B25" s="10" t="s">
        <v>35</v>
      </c>
      <c r="C25" s="5" t="s">
        <v>36</v>
      </c>
    </row>
    <row r="26" spans="2:3" ht="25" x14ac:dyDescent="0.35">
      <c r="B26" s="10" t="s">
        <v>37</v>
      </c>
      <c r="C26" s="5" t="s">
        <v>38</v>
      </c>
    </row>
    <row r="27" spans="2:3" x14ac:dyDescent="0.35">
      <c r="B27" s="10" t="s">
        <v>39</v>
      </c>
      <c r="C27" s="5" t="s">
        <v>40</v>
      </c>
    </row>
    <row r="28" spans="2:3" ht="25" x14ac:dyDescent="0.35">
      <c r="B28" s="10" t="s">
        <v>41</v>
      </c>
      <c r="C28" s="5" t="s">
        <v>42</v>
      </c>
    </row>
    <row r="30" spans="2:3" x14ac:dyDescent="0.35">
      <c r="B30" s="8" t="s">
        <v>43</v>
      </c>
      <c r="C30" s="9"/>
    </row>
    <row r="31" spans="2:3" ht="25" x14ac:dyDescent="0.35">
      <c r="B31" s="10" t="s">
        <v>44</v>
      </c>
      <c r="C31" s="5" t="s">
        <v>45</v>
      </c>
    </row>
    <row r="32" spans="2:3" ht="25" x14ac:dyDescent="0.35">
      <c r="B32" s="10" t="s">
        <v>46</v>
      </c>
      <c r="C32" s="5" t="s">
        <v>47</v>
      </c>
    </row>
    <row r="33" spans="2:3" ht="25" x14ac:dyDescent="0.35">
      <c r="B33" s="10" t="s">
        <v>48</v>
      </c>
      <c r="C33" s="5" t="s">
        <v>49</v>
      </c>
    </row>
    <row r="34" spans="2:3" ht="25" x14ac:dyDescent="0.35">
      <c r="B34" s="10" t="s">
        <v>50</v>
      </c>
      <c r="C34" s="5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F31"/>
  <sheetViews>
    <sheetView showGridLines="0" zoomScaleNormal="100" workbookViewId="0">
      <pane ySplit="3" topLeftCell="A18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44" customWidth="1"/>
    <col min="3" max="3" width="26" customWidth="1"/>
    <col min="4" max="4" width="4" customWidth="1"/>
    <col min="5" max="5" width="44" customWidth="1"/>
    <col min="6" max="6" width="26" customWidth="1"/>
  </cols>
  <sheetData>
    <row r="1" spans="1:6" ht="18" x14ac:dyDescent="0.4">
      <c r="A1" s="6" t="s">
        <v>52</v>
      </c>
    </row>
    <row r="2" spans="1:6" x14ac:dyDescent="0.35">
      <c r="A2" s="7" t="s">
        <v>53</v>
      </c>
    </row>
    <row r="4" spans="1:6" x14ac:dyDescent="0.35">
      <c r="B4" s="8" t="s">
        <v>54</v>
      </c>
      <c r="C4" s="9"/>
      <c r="E4" s="8" t="s">
        <v>55</v>
      </c>
      <c r="F4" s="9"/>
    </row>
    <row r="5" spans="1:6" ht="25" x14ac:dyDescent="0.35">
      <c r="B5" s="10" t="s">
        <v>56</v>
      </c>
      <c r="C5" s="1" t="s">
        <v>57</v>
      </c>
      <c r="E5" s="10" t="s">
        <v>58</v>
      </c>
      <c r="F5" s="12">
        <f>SUMIFS(ORCAMENTO!G:G,ORCAMENTO!A:A,"Estrutural REV_04")</f>
        <v>292968</v>
      </c>
    </row>
    <row r="6" spans="1:6" x14ac:dyDescent="0.35">
      <c r="B6" s="10" t="s">
        <v>59</v>
      </c>
      <c r="C6" s="1" t="s">
        <v>60</v>
      </c>
      <c r="E6" s="10" t="s">
        <v>61</v>
      </c>
      <c r="F6" s="12">
        <f>SUMIFS(ORCAMENTO!G:G,ORCAMENTO!A:A,"Reforma light LPU")</f>
        <v>213372.40958777125</v>
      </c>
    </row>
    <row r="7" spans="1:6" ht="25" x14ac:dyDescent="0.35">
      <c r="B7" s="10" t="s">
        <v>62</v>
      </c>
      <c r="C7" s="1" t="s">
        <v>63</v>
      </c>
      <c r="E7" s="10" t="s">
        <v>64</v>
      </c>
      <c r="F7" s="12">
        <f>F5+F6</f>
        <v>506340.40958777128</v>
      </c>
    </row>
    <row r="8" spans="1:6" ht="26" x14ac:dyDescent="0.35">
      <c r="B8" s="10" t="s">
        <v>65</v>
      </c>
      <c r="C8" s="13">
        <v>46321</v>
      </c>
      <c r="E8" s="10" t="s">
        <v>66</v>
      </c>
      <c r="F8" s="12">
        <f>SUM(ORCAMENTO!K5:K200)</f>
        <v>0</v>
      </c>
    </row>
    <row r="9" spans="1:6" ht="26" x14ac:dyDescent="0.35">
      <c r="B9" s="10" t="s">
        <v>67</v>
      </c>
      <c r="C9" s="13">
        <f ca="1">TODAY()</f>
        <v>46318</v>
      </c>
      <c r="E9" s="10" t="s">
        <v>68</v>
      </c>
      <c r="F9" s="12">
        <f>SUM(MEDICOES!E6:E200)</f>
        <v>0</v>
      </c>
    </row>
    <row r="10" spans="1:6" x14ac:dyDescent="0.35">
      <c r="B10" s="10" t="s">
        <v>69</v>
      </c>
      <c r="C10" s="2">
        <f>MAX(CRONOGRAMA!K5:K32)</f>
        <v>46415</v>
      </c>
      <c r="E10" s="10" t="s">
        <v>70</v>
      </c>
      <c r="F10" s="12">
        <f>SUMIFS(MEDICOES!E6:E200,MEDICOES!H6:H200,"&lt;&gt;")</f>
        <v>0</v>
      </c>
    </row>
    <row r="11" spans="1:6" x14ac:dyDescent="0.35">
      <c r="B11" s="10" t="s">
        <v>71</v>
      </c>
      <c r="C11" s="1"/>
      <c r="E11" s="10" t="s">
        <v>72</v>
      </c>
      <c r="F11" s="12">
        <f>SUM(MEDICOES!L6:L200)</f>
        <v>0</v>
      </c>
    </row>
    <row r="12" spans="1:6" x14ac:dyDescent="0.35">
      <c r="E12" s="10" t="s">
        <v>73</v>
      </c>
      <c r="F12" s="12">
        <f>SUMIFS(MEDICOES!L6:L200,MEDICOES!M6:M200,"&lt;&gt;")</f>
        <v>0</v>
      </c>
    </row>
    <row r="13" spans="1:6" x14ac:dyDescent="0.35">
      <c r="B13" s="8" t="s">
        <v>74</v>
      </c>
      <c r="C13" s="9"/>
      <c r="E13" s="10" t="s">
        <v>75</v>
      </c>
      <c r="F13" s="12">
        <f>F7-F8</f>
        <v>506340.40958777128</v>
      </c>
    </row>
    <row r="14" spans="1:6" x14ac:dyDescent="0.35">
      <c r="B14" s="10" t="s">
        <v>76</v>
      </c>
      <c r="C14" s="4">
        <f ca="1">SUMPRODUCT(CRONOGRAMA!M5:M32,CRONOGRAMA!R5:R32)</f>
        <v>0</v>
      </c>
      <c r="E14" s="10" t="s">
        <v>77</v>
      </c>
      <c r="F14" s="12">
        <f>SUMIFS(COMPRAS!G6:G500,COMPRAS!J6:J500,"&lt;&gt;Cancelado")+SUM(LOCACOES!I6:I200)</f>
        <v>0</v>
      </c>
    </row>
    <row r="15" spans="1:6" x14ac:dyDescent="0.35">
      <c r="B15" s="10" t="s">
        <v>78</v>
      </c>
      <c r="C15" s="4">
        <f>SUMPRODUCT(CRONOGRAMA!M5:M32,CRONOGRAMA!O5:O32)</f>
        <v>0</v>
      </c>
      <c r="E15" s="10" t="s">
        <v>79</v>
      </c>
      <c r="F15" s="12">
        <f>F8-F14</f>
        <v>0</v>
      </c>
    </row>
    <row r="16" spans="1:6" ht="26" x14ac:dyDescent="0.35">
      <c r="B16" s="10" t="s">
        <v>80</v>
      </c>
      <c r="C16" s="3">
        <f ca="1">(C15-C14)*100</f>
        <v>0</v>
      </c>
      <c r="E16" s="10" t="s">
        <v>81</v>
      </c>
      <c r="F16" s="12">
        <f>SUMIFS(CONFLITOS!J5:J13,CONFLITOS!I5:I13,"&lt;&gt;Resolvido")</f>
        <v>35912.639999999999</v>
      </c>
    </row>
    <row r="17" spans="2:6" x14ac:dyDescent="0.35">
      <c r="B17" s="10" t="s">
        <v>82</v>
      </c>
      <c r="C17" s="14">
        <f ca="1">COUNTIF(CRONOGRAMA!T5:T32,"ATRASADA")+COUNTIF(CRONOGRAMA!T5:T32,"INÍCIO ATRASADO")</f>
        <v>0</v>
      </c>
    </row>
    <row r="18" spans="2:6" x14ac:dyDescent="0.35">
      <c r="B18" s="10" t="s">
        <v>83</v>
      </c>
      <c r="C18" s="5" t="str">
        <f>COUNTIF(CRONOGRAMA!N5:N32,"Concluído")&amp;" de "&amp;COUNTA(CRONOGRAMA!A5:A32)</f>
        <v>0 de 28</v>
      </c>
    </row>
    <row r="19" spans="2:6" ht="25" x14ac:dyDescent="0.35">
      <c r="B19" s="10" t="s">
        <v>84</v>
      </c>
      <c r="C19" s="5" t="str">
        <f>IF(CRONOGRAMA!N10="Concluído","LIBERADA – demolições autorizadas","BLOQUEADA – demolições proibidas")</f>
        <v>BLOQUEADA – demolições proibidas</v>
      </c>
    </row>
    <row r="21" spans="2:6" x14ac:dyDescent="0.35">
      <c r="B21" s="8" t="s">
        <v>85</v>
      </c>
      <c r="C21" s="9"/>
      <c r="E21" s="8" t="s">
        <v>86</v>
      </c>
      <c r="F21" s="9"/>
    </row>
    <row r="22" spans="2:6" x14ac:dyDescent="0.35">
      <c r="B22" s="10" t="s">
        <v>87</v>
      </c>
      <c r="C22" s="14">
        <f>COUNTIFS(PENDENCIAS!C5:C200,"&lt;&gt;",PENDENCIAS!J5:J200,"&lt;&gt;Concluída")</f>
        <v>14</v>
      </c>
      <c r="E22" s="40" t="str">
        <f>IF(CRONOGRAMA!N10&lt;&gt;"Concluído","Escoramento da viga principal pendente: nenhuma demolição pode começar.","")</f>
        <v>Escoramento da viga principal pendente: nenhuma demolição pode começar.</v>
      </c>
      <c r="F22" s="40"/>
    </row>
    <row r="23" spans="2:6" x14ac:dyDescent="0.35">
      <c r="B23" s="10" t="s">
        <v>88</v>
      </c>
      <c r="C23" s="14">
        <f ca="1">COUNTIF(PENDENCIAS!M5:M200,"VENCIDA")</f>
        <v>0</v>
      </c>
      <c r="E23" s="40" t="str">
        <f ca="1">IF(C17&gt;0,C17&amp;" atividade(s) atrasada(s) – comunicar o cliente hoje, sem esperar o semanal.","")</f>
        <v/>
      </c>
      <c r="F23" s="40"/>
    </row>
    <row r="24" spans="2:6" x14ac:dyDescent="0.35">
      <c r="B24" s="10" t="s">
        <v>89</v>
      </c>
      <c r="C24" s="14">
        <f>COUNTIFS(PENDENCIAS!G5:G200,"Sim",PENDENCIAS!J5:J200,"&lt;&gt;Concluída",PENDENCIAS!C5:C200,"&lt;&gt;")</f>
        <v>6</v>
      </c>
      <c r="E24" s="40" t="str">
        <f ca="1">IF(C16&lt;-5,"Desvio acima de 5 p.p. – definir ação de recuperação e registrar no semanal.","")</f>
        <v/>
      </c>
      <c r="F24" s="40"/>
    </row>
    <row r="25" spans="2:6" x14ac:dyDescent="0.35">
      <c r="B25" s="10" t="s">
        <v>90</v>
      </c>
      <c r="C25" s="14">
        <f ca="1">COUNTIF(COMUNICACAO!L5:L300,"ATRASADO")</f>
        <v>0</v>
      </c>
      <c r="E25" s="40" t="str">
        <f ca="1">IF(C25&gt;0,C25&amp;" comunicação(ões) ao cliente atrasada(s).","")</f>
        <v/>
      </c>
      <c r="F25" s="40"/>
    </row>
    <row r="26" spans="2:6" x14ac:dyDescent="0.35">
      <c r="B26" s="10" t="s">
        <v>91</v>
      </c>
      <c r="C26" s="2">
        <f ca="1">_xlfn.MINIFS(COMUNICACAO!E5:E300,COMUNICACAO!F5:F300,"",COMUNICACAO!E5:E300,"&gt;="&amp;DataRef)</f>
        <v>46321</v>
      </c>
      <c r="E26" s="40" t="str">
        <f>IF(C24&gt;0,C24&amp;" decisão(ões) aguardando o cliente – cobrar no próximo informe.","")</f>
        <v>6 decisão(ões) aguardando o cliente – cobrar no próximo informe.</v>
      </c>
      <c r="F26" s="40"/>
    </row>
    <row r="27" spans="2:6" x14ac:dyDescent="0.35">
      <c r="B27" s="10" t="s">
        <v>92</v>
      </c>
      <c r="C27" s="14">
        <f>COUNT(RDO!A6:A500)</f>
        <v>0</v>
      </c>
      <c r="E27" s="40" t="str">
        <f>IF(F16&gt;0,"Exposição de R$ "&amp;FIXED(F16,0)&amp;" em escopo sobreposto REV_04 x LPU – resolver antes da 1ª medição.","")</f>
        <v>Exposição de R$ 35.913 em escopo sobreposto REV_04 x LPU – resolver antes da 1ª medição.</v>
      </c>
      <c r="F27" s="40"/>
    </row>
    <row r="28" spans="2:6" x14ac:dyDescent="0.35">
      <c r="B28" s="10" t="s">
        <v>93</v>
      </c>
      <c r="C28" s="14">
        <f>COUNTIFS(RDO!A6:A500,"&lt;&gt;",RDO!Q6:Q500,"&lt;&gt;Sim")</f>
        <v>0</v>
      </c>
      <c r="E28" s="40" t="str">
        <f>IF(C30&gt;0,C30&amp;" locação(ões) vencida(s) – custo correndo.","")</f>
        <v/>
      </c>
      <c r="F28" s="40"/>
    </row>
    <row r="29" spans="2:6" x14ac:dyDescent="0.35">
      <c r="B29" s="10" t="s">
        <v>94</v>
      </c>
      <c r="C29" s="14">
        <f>COUNTIF(LOCACOES!K6:K200,"Ativa")+COUNTIF(LOCACOES!K6:K200,"VENCIDA*")</f>
        <v>0</v>
      </c>
      <c r="E29" s="40" t="str">
        <f>IF(C28&gt;0,C28&amp;" RDO(s) sem envio ao cliente.","")</f>
        <v/>
      </c>
      <c r="F29" s="40"/>
    </row>
    <row r="30" spans="2:6" x14ac:dyDescent="0.35">
      <c r="B30" s="10" t="s">
        <v>95</v>
      </c>
      <c r="C30" s="14">
        <f>COUNTIF(LOCACOES!K6:K200,"VENCIDA*")</f>
        <v>0</v>
      </c>
    </row>
    <row r="31" spans="2:6" x14ac:dyDescent="0.35">
      <c r="B31" s="10" t="s">
        <v>96</v>
      </c>
      <c r="C31" s="14">
        <f>COUNTIF(COMPRAS!L6:L500,"ATRASADA")</f>
        <v>0</v>
      </c>
    </row>
  </sheetData>
  <mergeCells count="8">
    <mergeCell ref="E27:F27"/>
    <mergeCell ref="E28:F28"/>
    <mergeCell ref="E29:F29"/>
    <mergeCell ref="E22:F22"/>
    <mergeCell ref="E23:F23"/>
    <mergeCell ref="E24:F24"/>
    <mergeCell ref="E25:F25"/>
    <mergeCell ref="E26:F2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5"/>
  <sheetViews>
    <sheetView showGridLines="0" zoomScaleNormal="10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L5" sqref="L5:L8"/>
    </sheetView>
  </sheetViews>
  <sheetFormatPr defaultColWidth="8.6328125" defaultRowHeight="14.5" x14ac:dyDescent="0.35"/>
  <cols>
    <col min="1" max="1" width="5" customWidth="1"/>
    <col min="2" max="2" width="10" customWidth="1"/>
    <col min="3" max="3" width="22" customWidth="1"/>
    <col min="4" max="4" width="40" customWidth="1"/>
    <col min="5" max="5" width="30" customWidth="1"/>
    <col min="6" max="7" width="7" customWidth="1"/>
    <col min="8" max="8" width="8" customWidth="1"/>
    <col min="9" max="9" width="20" customWidth="1"/>
    <col min="10" max="11" width="11" customWidth="1"/>
    <col min="12" max="12" width="14" customWidth="1"/>
    <col min="13" max="13" width="8" customWidth="1"/>
    <col min="14" max="14" width="14" customWidth="1"/>
    <col min="15" max="15" width="9" customWidth="1"/>
    <col min="16" max="17" width="11" customWidth="1"/>
    <col min="18" max="18" width="10" customWidth="1"/>
    <col min="19" max="19" width="9" customWidth="1"/>
    <col min="20" max="20" width="15" customWidth="1"/>
    <col min="21" max="21" width="9" customWidth="1"/>
    <col min="22" max="24" width="5" hidden="1" customWidth="1"/>
    <col min="25" max="25" width="2" customWidth="1"/>
    <col min="26" max="45" width="4.1796875" customWidth="1"/>
  </cols>
  <sheetData>
    <row r="1" spans="1:45" ht="18" x14ac:dyDescent="0.4">
      <c r="A1" s="6" t="s">
        <v>97</v>
      </c>
    </row>
    <row r="2" spans="1:45" x14ac:dyDescent="0.35">
      <c r="A2" s="7" t="s">
        <v>98</v>
      </c>
    </row>
    <row r="3" spans="1:45" x14ac:dyDescent="0.35">
      <c r="Z3" s="7" t="s">
        <v>99</v>
      </c>
    </row>
    <row r="4" spans="1:45" ht="31.5" customHeight="1" x14ac:dyDescent="0.35">
      <c r="A4" s="15" t="s">
        <v>100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110</v>
      </c>
      <c r="L4" s="15" t="s">
        <v>111</v>
      </c>
      <c r="M4" s="15" t="s">
        <v>112</v>
      </c>
      <c r="N4" s="15" t="s">
        <v>113</v>
      </c>
      <c r="O4" s="15" t="s">
        <v>114</v>
      </c>
      <c r="P4" s="15" t="s">
        <v>115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120</v>
      </c>
      <c r="V4" s="15" t="s">
        <v>121</v>
      </c>
      <c r="W4" s="15" t="s">
        <v>122</v>
      </c>
      <c r="X4" s="15" t="s">
        <v>123</v>
      </c>
      <c r="Y4" s="15"/>
      <c r="Z4" s="16">
        <f>DataBase-WEEKDAY(DataBase,2)+1+0</f>
        <v>46321</v>
      </c>
      <c r="AA4" s="16">
        <f>DataBase-WEEKDAY(DataBase,2)+1+7</f>
        <v>46328</v>
      </c>
      <c r="AB4" s="16">
        <f>DataBase-WEEKDAY(DataBase,2)+1+14</f>
        <v>46335</v>
      </c>
      <c r="AC4" s="16">
        <f>DataBase-WEEKDAY(DataBase,2)+1+21</f>
        <v>46342</v>
      </c>
      <c r="AD4" s="16">
        <f>DataBase-WEEKDAY(DataBase,2)+1+28</f>
        <v>46349</v>
      </c>
      <c r="AE4" s="16">
        <f>DataBase-WEEKDAY(DataBase,2)+1+35</f>
        <v>46356</v>
      </c>
      <c r="AF4" s="16">
        <f>DataBase-WEEKDAY(DataBase,2)+1+42</f>
        <v>46363</v>
      </c>
      <c r="AG4" s="16">
        <f>DataBase-WEEKDAY(DataBase,2)+1+49</f>
        <v>46370</v>
      </c>
      <c r="AH4" s="16">
        <f>DataBase-WEEKDAY(DataBase,2)+1+56</f>
        <v>46377</v>
      </c>
      <c r="AI4" s="16">
        <f>DataBase-WEEKDAY(DataBase,2)+1+63</f>
        <v>46384</v>
      </c>
      <c r="AJ4" s="16">
        <f>DataBase-WEEKDAY(DataBase,2)+1+70</f>
        <v>46391</v>
      </c>
      <c r="AK4" s="16">
        <f>DataBase-WEEKDAY(DataBase,2)+1+77</f>
        <v>46398</v>
      </c>
      <c r="AL4" s="16">
        <f>DataBase-WEEKDAY(DataBase,2)+1+84</f>
        <v>46405</v>
      </c>
      <c r="AM4" s="16">
        <f>DataBase-WEEKDAY(DataBase,2)+1+91</f>
        <v>46412</v>
      </c>
      <c r="AN4" s="16">
        <f>DataBase-WEEKDAY(DataBase,2)+1+98</f>
        <v>46419</v>
      </c>
      <c r="AO4" s="16">
        <f>DataBase-WEEKDAY(DataBase,2)+1+105</f>
        <v>46426</v>
      </c>
      <c r="AP4" s="16">
        <f>DataBase-WEEKDAY(DataBase,2)+1+112</f>
        <v>46433</v>
      </c>
      <c r="AQ4" s="16">
        <f>DataBase-WEEKDAY(DataBase,2)+1+119</f>
        <v>46440</v>
      </c>
      <c r="AR4" s="16">
        <f>DataBase-WEEKDAY(DataBase,2)+1+126</f>
        <v>46447</v>
      </c>
      <c r="AS4" s="16">
        <f>DataBase-WEEKDAY(DataBase,2)+1+133</f>
        <v>46454</v>
      </c>
    </row>
    <row r="5" spans="1:45" ht="25" x14ac:dyDescent="0.35">
      <c r="A5" s="17">
        <v>1</v>
      </c>
      <c r="B5" s="5" t="s">
        <v>124</v>
      </c>
      <c r="C5" s="5" t="s">
        <v>125</v>
      </c>
      <c r="D5" s="5" t="s">
        <v>126</v>
      </c>
      <c r="E5" s="5" t="s">
        <v>127</v>
      </c>
      <c r="F5" s="1"/>
      <c r="G5" s="1"/>
      <c r="H5" s="1">
        <v>1</v>
      </c>
      <c r="I5" s="1"/>
      <c r="J5" s="2">
        <f t="shared" ref="J5:J32" si="0">IF(AND(F5="",G5=""),WORKDAY(DataBase-1,1,Feriados),WORKDAY(MAX(IFERROR(INDEX($K$5:$K$32,MATCH(F5,$A$5:$A$32,0)),0),IFERROR(INDEX($K$5:$K$32,MATCH(G5,$A$5:$A$32,0)),0)),1,Feriados))</f>
        <v>46321</v>
      </c>
      <c r="K5" s="2">
        <f t="shared" ref="K5:K32" si="1">WORKDAY(J5,MAX(H5,1)-1,Feriados)</f>
        <v>46321</v>
      </c>
      <c r="L5" s="12">
        <f>SUMIFS(ORCAMENTO!$G$5:$G$200,ORCAMENTO!$H$5:$H$200,A5)</f>
        <v>6650</v>
      </c>
      <c r="M5" s="4">
        <f t="shared" ref="M5:M32" si="2">IF(SUM($L$5:$L$32)=0,0,L5/SUM($L$5:$L$32))</f>
        <v>1.5190541601883909E-2</v>
      </c>
      <c r="N5" s="1" t="s">
        <v>128</v>
      </c>
      <c r="O5" s="18"/>
      <c r="P5" s="13"/>
      <c r="Q5" s="13"/>
      <c r="R5" s="4">
        <f t="shared" ref="R5:R32" ca="1" si="3">IF(DataRef&lt;J5,0,IF(DataRef&gt;=K5,1,NETWORKDAYS(J5,DataRef,Feriados)/MAX(H5,1)))</f>
        <v>0</v>
      </c>
      <c r="S5" s="19">
        <f t="shared" ref="S5:S32" ca="1" si="4">N(O5)-R5</f>
        <v>0</v>
      </c>
      <c r="T5" s="5" t="str">
        <f t="shared" ref="T5:T32" ca="1" si="5">IF(N5="Concluído","Concluída",IF(N5="Bloqueado","BLOQUEADA",IF(DataRef&gt;K5,"ATRASADA",IF(AND(DataRef&gt;=J5,N5="Não iniciado"),"INÍCIO ATRASADO","No prazo"))))</f>
        <v>No prazo</v>
      </c>
      <c r="U5" s="4">
        <f t="shared" ref="U5:U32" ca="1" si="6">IF(RelSex&lt;J5,0,IF(RelSex&gt;=K5,1,NETWORKDAYS(J5,RelSex,Feriados)/MAX(H5,1)))</f>
        <v>0</v>
      </c>
      <c r="V5" s="20" t="str">
        <f>IF(N5="Concluído",COUNTIF($N$5:N5,"Concluído"),"")</f>
        <v/>
      </c>
      <c r="W5" s="20" t="str">
        <f>IF(N5="Em andamento",COUNTIF($N$5:N5,"Em andamento"),"")</f>
        <v/>
      </c>
      <c r="X5" s="20">
        <f ca="1">IF(AND(N5&lt;&gt;"Concluído",J5&lt;=RelSex+7,K5&gt;RelSex),COUNTIFS($N$5:N5,"&lt;&gt;Concluído",$J$5:J5,"&lt;="&amp;(RelSex+7),$K$5:K5,"&gt;"&amp;RelSex),"")</f>
        <v>1</v>
      </c>
      <c r="Z5" s="21">
        <f t="shared" ref="Z5:AI14" si="7">IF(AND(Z$4&lt;=$K5,Z$4+4&gt;=$J5),1,"")</f>
        <v>1</v>
      </c>
      <c r="AA5" s="21" t="str">
        <f t="shared" si="7"/>
        <v/>
      </c>
      <c r="AB5" s="21" t="str">
        <f t="shared" si="7"/>
        <v/>
      </c>
      <c r="AC5" s="21" t="str">
        <f t="shared" si="7"/>
        <v/>
      </c>
      <c r="AD5" s="21" t="str">
        <f t="shared" si="7"/>
        <v/>
      </c>
      <c r="AE5" s="21" t="str">
        <f t="shared" si="7"/>
        <v/>
      </c>
      <c r="AF5" s="21" t="str">
        <f t="shared" si="7"/>
        <v/>
      </c>
      <c r="AG5" s="21" t="str">
        <f t="shared" si="7"/>
        <v/>
      </c>
      <c r="AH5" s="21" t="str">
        <f t="shared" si="7"/>
        <v/>
      </c>
      <c r="AI5" s="21" t="str">
        <f t="shared" si="7"/>
        <v/>
      </c>
      <c r="AJ5" s="21" t="str">
        <f t="shared" ref="AJ5:AS14" si="8">IF(AND(AJ$4&lt;=$K5,AJ$4+4&gt;=$J5),1,"")</f>
        <v/>
      </c>
      <c r="AK5" s="21" t="str">
        <f t="shared" si="8"/>
        <v/>
      </c>
      <c r="AL5" s="21" t="str">
        <f t="shared" si="8"/>
        <v/>
      </c>
      <c r="AM5" s="21" t="str">
        <f t="shared" si="8"/>
        <v/>
      </c>
      <c r="AN5" s="21" t="str">
        <f t="shared" si="8"/>
        <v/>
      </c>
      <c r="AO5" s="21" t="str">
        <f t="shared" si="8"/>
        <v/>
      </c>
      <c r="AP5" s="21" t="str">
        <f t="shared" si="8"/>
        <v/>
      </c>
      <c r="AQ5" s="21" t="str">
        <f t="shared" si="8"/>
        <v/>
      </c>
      <c r="AR5" s="21" t="str">
        <f t="shared" si="8"/>
        <v/>
      </c>
      <c r="AS5" s="21" t="str">
        <f t="shared" si="8"/>
        <v/>
      </c>
    </row>
    <row r="6" spans="1:45" ht="25" x14ac:dyDescent="0.35">
      <c r="A6" s="17">
        <v>2</v>
      </c>
      <c r="B6" s="5" t="s">
        <v>124</v>
      </c>
      <c r="C6" s="5" t="s">
        <v>125</v>
      </c>
      <c r="D6" s="5" t="s">
        <v>129</v>
      </c>
      <c r="E6" s="5" t="s">
        <v>130</v>
      </c>
      <c r="F6" s="1">
        <v>1</v>
      </c>
      <c r="G6" s="1"/>
      <c r="H6" s="1">
        <v>2</v>
      </c>
      <c r="I6" s="1"/>
      <c r="J6" s="2">
        <f t="shared" si="0"/>
        <v>46322</v>
      </c>
      <c r="K6" s="2">
        <f t="shared" si="1"/>
        <v>46323</v>
      </c>
      <c r="L6" s="12">
        <f>SUMIFS(ORCAMENTO!$G$5:$G$200,ORCAMENTO!$H$5:$H$200,A6)</f>
        <v>4500</v>
      </c>
      <c r="M6" s="4">
        <f t="shared" si="2"/>
        <v>1.0279313865936479E-2</v>
      </c>
      <c r="N6" s="1" t="s">
        <v>128</v>
      </c>
      <c r="O6" s="18"/>
      <c r="P6" s="13"/>
      <c r="Q6" s="13"/>
      <c r="R6" s="4">
        <f t="shared" ca="1" si="3"/>
        <v>0</v>
      </c>
      <c r="S6" s="19">
        <f t="shared" ca="1" si="4"/>
        <v>0</v>
      </c>
      <c r="T6" s="5" t="str">
        <f t="shared" ca="1" si="5"/>
        <v>No prazo</v>
      </c>
      <c r="U6" s="4">
        <f t="shared" ca="1" si="6"/>
        <v>0</v>
      </c>
      <c r="V6" s="20" t="str">
        <f>IF(N6="Concluído",COUNTIF($N$5:N6,"Concluído"),"")</f>
        <v/>
      </c>
      <c r="W6" s="20" t="str">
        <f>IF(N6="Em andamento",COUNTIF($N$5:N6,"Em andamento"),"")</f>
        <v/>
      </c>
      <c r="X6" s="20">
        <f ca="1">IF(AND(N6&lt;&gt;"Concluído",J6&lt;=RelSex+7,K6&gt;RelSex),COUNTIFS($N$5:N6,"&lt;&gt;Concluído",$J$5:J6,"&lt;="&amp;(RelSex+7),$K$5:K6,"&gt;"&amp;RelSex),"")</f>
        <v>2</v>
      </c>
      <c r="Z6" s="21">
        <f t="shared" si="7"/>
        <v>1</v>
      </c>
      <c r="AA6" s="21" t="str">
        <f t="shared" si="7"/>
        <v/>
      </c>
      <c r="AB6" s="21" t="str">
        <f t="shared" si="7"/>
        <v/>
      </c>
      <c r="AC6" s="21" t="str">
        <f t="shared" si="7"/>
        <v/>
      </c>
      <c r="AD6" s="21" t="str">
        <f t="shared" si="7"/>
        <v/>
      </c>
      <c r="AE6" s="21" t="str">
        <f t="shared" si="7"/>
        <v/>
      </c>
      <c r="AF6" s="21" t="str">
        <f t="shared" si="7"/>
        <v/>
      </c>
      <c r="AG6" s="21" t="str">
        <f t="shared" si="7"/>
        <v/>
      </c>
      <c r="AH6" s="21" t="str">
        <f t="shared" si="7"/>
        <v/>
      </c>
      <c r="AI6" s="21" t="str">
        <f t="shared" si="7"/>
        <v/>
      </c>
      <c r="AJ6" s="21" t="str">
        <f t="shared" si="8"/>
        <v/>
      </c>
      <c r="AK6" s="21" t="str">
        <f t="shared" si="8"/>
        <v/>
      </c>
      <c r="AL6" s="21" t="str">
        <f t="shared" si="8"/>
        <v/>
      </c>
      <c r="AM6" s="21" t="str">
        <f t="shared" si="8"/>
        <v/>
      </c>
      <c r="AN6" s="21" t="str">
        <f t="shared" si="8"/>
        <v/>
      </c>
      <c r="AO6" s="21" t="str">
        <f t="shared" si="8"/>
        <v/>
      </c>
      <c r="AP6" s="21" t="str">
        <f t="shared" si="8"/>
        <v/>
      </c>
      <c r="AQ6" s="21" t="str">
        <f t="shared" si="8"/>
        <v/>
      </c>
      <c r="AR6" s="21" t="str">
        <f t="shared" si="8"/>
        <v/>
      </c>
      <c r="AS6" s="21" t="str">
        <f t="shared" si="8"/>
        <v/>
      </c>
    </row>
    <row r="7" spans="1:45" ht="25" x14ac:dyDescent="0.35">
      <c r="A7" s="17">
        <v>3</v>
      </c>
      <c r="B7" s="5" t="s">
        <v>124</v>
      </c>
      <c r="C7" s="5" t="s">
        <v>125</v>
      </c>
      <c r="D7" s="5" t="s">
        <v>131</v>
      </c>
      <c r="E7" s="5" t="s">
        <v>132</v>
      </c>
      <c r="F7" s="1">
        <v>1</v>
      </c>
      <c r="G7" s="1"/>
      <c r="H7" s="1">
        <v>2</v>
      </c>
      <c r="I7" s="1"/>
      <c r="J7" s="2">
        <f t="shared" si="0"/>
        <v>46322</v>
      </c>
      <c r="K7" s="2">
        <f t="shared" si="1"/>
        <v>46323</v>
      </c>
      <c r="L7" s="12">
        <f>SUMIFS(ORCAMENTO!$G$5:$G$200,ORCAMENTO!$H$5:$H$200,A7)</f>
        <v>17869.2</v>
      </c>
      <c r="M7" s="4">
        <f t="shared" si="2"/>
        <v>4.0818470074042698E-2</v>
      </c>
      <c r="N7" s="1" t="s">
        <v>128</v>
      </c>
      <c r="O7" s="18"/>
      <c r="P7" s="13"/>
      <c r="Q7" s="13"/>
      <c r="R7" s="4">
        <f t="shared" ca="1" si="3"/>
        <v>0</v>
      </c>
      <c r="S7" s="19">
        <f t="shared" ca="1" si="4"/>
        <v>0</v>
      </c>
      <c r="T7" s="5" t="str">
        <f t="shared" ca="1" si="5"/>
        <v>No prazo</v>
      </c>
      <c r="U7" s="4">
        <f t="shared" ca="1" si="6"/>
        <v>0</v>
      </c>
      <c r="V7" s="20" t="str">
        <f>IF(N7="Concluído",COUNTIF($N$5:N7,"Concluído"),"")</f>
        <v/>
      </c>
      <c r="W7" s="20" t="str">
        <f>IF(N7="Em andamento",COUNTIF($N$5:N7,"Em andamento"),"")</f>
        <v/>
      </c>
      <c r="X7" s="20">
        <f ca="1">IF(AND(N7&lt;&gt;"Concluído",J7&lt;=RelSex+7,K7&gt;RelSex),COUNTIFS($N$5:N7,"&lt;&gt;Concluído",$J$5:J7,"&lt;="&amp;(RelSex+7),$K$5:K7,"&gt;"&amp;RelSex),"")</f>
        <v>3</v>
      </c>
      <c r="Z7" s="21">
        <f t="shared" si="7"/>
        <v>1</v>
      </c>
      <c r="AA7" s="21" t="str">
        <f t="shared" si="7"/>
        <v/>
      </c>
      <c r="AB7" s="21" t="str">
        <f t="shared" si="7"/>
        <v/>
      </c>
      <c r="AC7" s="21" t="str">
        <f t="shared" si="7"/>
        <v/>
      </c>
      <c r="AD7" s="21" t="str">
        <f t="shared" si="7"/>
        <v/>
      </c>
      <c r="AE7" s="21" t="str">
        <f t="shared" si="7"/>
        <v/>
      </c>
      <c r="AF7" s="21" t="str">
        <f t="shared" si="7"/>
        <v/>
      </c>
      <c r="AG7" s="21" t="str">
        <f t="shared" si="7"/>
        <v/>
      </c>
      <c r="AH7" s="21" t="str">
        <f t="shared" si="7"/>
        <v/>
      </c>
      <c r="AI7" s="21" t="str">
        <f t="shared" si="7"/>
        <v/>
      </c>
      <c r="AJ7" s="21" t="str">
        <f t="shared" si="8"/>
        <v/>
      </c>
      <c r="AK7" s="21" t="str">
        <f t="shared" si="8"/>
        <v/>
      </c>
      <c r="AL7" s="21" t="str">
        <f t="shared" si="8"/>
        <v/>
      </c>
      <c r="AM7" s="21" t="str">
        <f t="shared" si="8"/>
        <v/>
      </c>
      <c r="AN7" s="21" t="str">
        <f t="shared" si="8"/>
        <v/>
      </c>
      <c r="AO7" s="21" t="str">
        <f t="shared" si="8"/>
        <v/>
      </c>
      <c r="AP7" s="21" t="str">
        <f t="shared" si="8"/>
        <v/>
      </c>
      <c r="AQ7" s="21" t="str">
        <f t="shared" si="8"/>
        <v/>
      </c>
      <c r="AR7" s="21" t="str">
        <f t="shared" si="8"/>
        <v/>
      </c>
      <c r="AS7" s="21" t="str">
        <f t="shared" si="8"/>
        <v/>
      </c>
    </row>
    <row r="8" spans="1:45" ht="25" x14ac:dyDescent="0.35">
      <c r="A8" s="17">
        <v>4</v>
      </c>
      <c r="B8" s="5" t="s">
        <v>124</v>
      </c>
      <c r="C8" s="5" t="s">
        <v>125</v>
      </c>
      <c r="D8" s="5" t="s">
        <v>133</v>
      </c>
      <c r="E8" s="5" t="s">
        <v>134</v>
      </c>
      <c r="F8" s="1">
        <v>3</v>
      </c>
      <c r="G8" s="1"/>
      <c r="H8" s="1">
        <v>3</v>
      </c>
      <c r="I8" s="1"/>
      <c r="J8" s="2">
        <f t="shared" si="0"/>
        <v>46324</v>
      </c>
      <c r="K8" s="2">
        <f t="shared" si="1"/>
        <v>46329</v>
      </c>
      <c r="L8" s="12">
        <f>SUMIFS(ORCAMENTO!$G$5:$G$200,ORCAMENTO!$H$5:$H$200,A8)</f>
        <v>5851</v>
      </c>
      <c r="M8" s="4">
        <f t="shared" si="2"/>
        <v>1.3365392317687632E-2</v>
      </c>
      <c r="N8" s="1" t="s">
        <v>128</v>
      </c>
      <c r="O8" s="18"/>
      <c r="P8" s="13"/>
      <c r="Q8" s="13"/>
      <c r="R8" s="4">
        <f t="shared" ca="1" si="3"/>
        <v>0</v>
      </c>
      <c r="S8" s="19">
        <f t="shared" ca="1" si="4"/>
        <v>0</v>
      </c>
      <c r="T8" s="5" t="str">
        <f t="shared" ca="1" si="5"/>
        <v>No prazo</v>
      </c>
      <c r="U8" s="4">
        <f t="shared" ca="1" si="6"/>
        <v>0</v>
      </c>
      <c r="V8" s="20" t="str">
        <f>IF(N8="Concluído",COUNTIF($N$5:N8,"Concluído"),"")</f>
        <v/>
      </c>
      <c r="W8" s="20" t="str">
        <f>IF(N8="Em andamento",COUNTIF($N$5:N8,"Em andamento"),"")</f>
        <v/>
      </c>
      <c r="X8" s="20">
        <f ca="1">IF(AND(N8&lt;&gt;"Concluído",J8&lt;=RelSex+7,K8&gt;RelSex),COUNTIFS($N$5:N8,"&lt;&gt;Concluído",$J$5:J8,"&lt;="&amp;(RelSex+7),$K$5:K8,"&gt;"&amp;RelSex),"")</f>
        <v>4</v>
      </c>
      <c r="Z8" s="21">
        <f t="shared" si="7"/>
        <v>1</v>
      </c>
      <c r="AA8" s="21">
        <f t="shared" si="7"/>
        <v>1</v>
      </c>
      <c r="AB8" s="21" t="str">
        <f t="shared" si="7"/>
        <v/>
      </c>
      <c r="AC8" s="21" t="str">
        <f t="shared" si="7"/>
        <v/>
      </c>
      <c r="AD8" s="21" t="str">
        <f t="shared" si="7"/>
        <v/>
      </c>
      <c r="AE8" s="21" t="str">
        <f t="shared" si="7"/>
        <v/>
      </c>
      <c r="AF8" s="21" t="str">
        <f t="shared" si="7"/>
        <v/>
      </c>
      <c r="AG8" s="21" t="str">
        <f t="shared" si="7"/>
        <v/>
      </c>
      <c r="AH8" s="21" t="str">
        <f t="shared" si="7"/>
        <v/>
      </c>
      <c r="AI8" s="21" t="str">
        <f t="shared" si="7"/>
        <v/>
      </c>
      <c r="AJ8" s="21" t="str">
        <f t="shared" si="8"/>
        <v/>
      </c>
      <c r="AK8" s="21" t="str">
        <f t="shared" si="8"/>
        <v/>
      </c>
      <c r="AL8" s="21" t="str">
        <f t="shared" si="8"/>
        <v/>
      </c>
      <c r="AM8" s="21" t="str">
        <f t="shared" si="8"/>
        <v/>
      </c>
      <c r="AN8" s="21" t="str">
        <f t="shared" si="8"/>
        <v/>
      </c>
      <c r="AO8" s="21" t="str">
        <f t="shared" si="8"/>
        <v/>
      </c>
      <c r="AP8" s="21" t="str">
        <f t="shared" si="8"/>
        <v/>
      </c>
      <c r="AQ8" s="21" t="str">
        <f t="shared" si="8"/>
        <v/>
      </c>
      <c r="AR8" s="21" t="str">
        <f t="shared" si="8"/>
        <v/>
      </c>
      <c r="AS8" s="21" t="str">
        <f t="shared" si="8"/>
        <v/>
      </c>
    </row>
    <row r="9" spans="1:45" ht="25" x14ac:dyDescent="0.35">
      <c r="A9" s="17">
        <v>5</v>
      </c>
      <c r="B9" s="5" t="s">
        <v>124</v>
      </c>
      <c r="C9" s="5" t="s">
        <v>125</v>
      </c>
      <c r="D9" s="5" t="s">
        <v>135</v>
      </c>
      <c r="E9" s="5" t="s">
        <v>136</v>
      </c>
      <c r="F9" s="1">
        <v>3</v>
      </c>
      <c r="G9" s="1"/>
      <c r="H9" s="1">
        <v>1</v>
      </c>
      <c r="I9" s="1"/>
      <c r="J9" s="2">
        <f t="shared" si="0"/>
        <v>46324</v>
      </c>
      <c r="K9" s="2">
        <f t="shared" si="1"/>
        <v>46324</v>
      </c>
      <c r="L9" s="12">
        <f>SUMIFS(ORCAMENTO!$G$5:$G$200,ORCAMENTO!$H$5:$H$200,A9)</f>
        <v>0</v>
      </c>
      <c r="M9" s="4">
        <f t="shared" si="2"/>
        <v>0</v>
      </c>
      <c r="N9" s="1" t="s">
        <v>128</v>
      </c>
      <c r="O9" s="18"/>
      <c r="P9" s="13"/>
      <c r="Q9" s="13"/>
      <c r="R9" s="4">
        <f t="shared" ca="1" si="3"/>
        <v>0</v>
      </c>
      <c r="S9" s="19">
        <f t="shared" ca="1" si="4"/>
        <v>0</v>
      </c>
      <c r="T9" s="5" t="str">
        <f t="shared" ca="1" si="5"/>
        <v>No prazo</v>
      </c>
      <c r="U9" s="4">
        <f t="shared" ca="1" si="6"/>
        <v>0</v>
      </c>
      <c r="V9" s="20" t="str">
        <f>IF(N9="Concluído",COUNTIF($N$5:N9,"Concluído"),"")</f>
        <v/>
      </c>
      <c r="W9" s="20" t="str">
        <f>IF(N9="Em andamento",COUNTIF($N$5:N9,"Em andamento"),"")</f>
        <v/>
      </c>
      <c r="X9" s="20">
        <f ca="1">IF(AND(N9&lt;&gt;"Concluído",J9&lt;=RelSex+7,K9&gt;RelSex),COUNTIFS($N$5:N9,"&lt;&gt;Concluído",$J$5:J9,"&lt;="&amp;(RelSex+7),$K$5:K9,"&gt;"&amp;RelSex),"")</f>
        <v>5</v>
      </c>
      <c r="Z9" s="21">
        <f t="shared" si="7"/>
        <v>1</v>
      </c>
      <c r="AA9" s="21" t="str">
        <f t="shared" si="7"/>
        <v/>
      </c>
      <c r="AB9" s="21" t="str">
        <f t="shared" si="7"/>
        <v/>
      </c>
      <c r="AC9" s="21" t="str">
        <f t="shared" si="7"/>
        <v/>
      </c>
      <c r="AD9" s="21" t="str">
        <f t="shared" si="7"/>
        <v/>
      </c>
      <c r="AE9" s="21" t="str">
        <f t="shared" si="7"/>
        <v/>
      </c>
      <c r="AF9" s="21" t="str">
        <f t="shared" si="7"/>
        <v/>
      </c>
      <c r="AG9" s="21" t="str">
        <f t="shared" si="7"/>
        <v/>
      </c>
      <c r="AH9" s="21" t="str">
        <f t="shared" si="7"/>
        <v/>
      </c>
      <c r="AI9" s="21" t="str">
        <f t="shared" si="7"/>
        <v/>
      </c>
      <c r="AJ9" s="21" t="str">
        <f t="shared" si="8"/>
        <v/>
      </c>
      <c r="AK9" s="21" t="str">
        <f t="shared" si="8"/>
        <v/>
      </c>
      <c r="AL9" s="21" t="str">
        <f t="shared" si="8"/>
        <v/>
      </c>
      <c r="AM9" s="21" t="str">
        <f t="shared" si="8"/>
        <v/>
      </c>
      <c r="AN9" s="21" t="str">
        <f t="shared" si="8"/>
        <v/>
      </c>
      <c r="AO9" s="21" t="str">
        <f t="shared" si="8"/>
        <v/>
      </c>
      <c r="AP9" s="21" t="str">
        <f t="shared" si="8"/>
        <v/>
      </c>
      <c r="AQ9" s="21" t="str">
        <f t="shared" si="8"/>
        <v/>
      </c>
      <c r="AR9" s="21" t="str">
        <f t="shared" si="8"/>
        <v/>
      </c>
      <c r="AS9" s="21" t="str">
        <f t="shared" si="8"/>
        <v/>
      </c>
    </row>
    <row r="10" spans="1:45" ht="37.5" x14ac:dyDescent="0.35">
      <c r="A10" s="17">
        <v>6</v>
      </c>
      <c r="B10" s="5" t="s">
        <v>124</v>
      </c>
      <c r="C10" s="5" t="s">
        <v>137</v>
      </c>
      <c r="D10" s="5" t="s">
        <v>138</v>
      </c>
      <c r="E10" s="5" t="s">
        <v>139</v>
      </c>
      <c r="F10" s="1">
        <v>5</v>
      </c>
      <c r="G10" s="1"/>
      <c r="H10" s="1">
        <v>3</v>
      </c>
      <c r="I10" s="1"/>
      <c r="J10" s="2">
        <f t="shared" si="0"/>
        <v>46325</v>
      </c>
      <c r="K10" s="2">
        <f t="shared" si="1"/>
        <v>46330</v>
      </c>
      <c r="L10" s="12">
        <f>SUMIFS(ORCAMENTO!$G$5:$G$200,ORCAMENTO!$H$5:$H$200,A10)</f>
        <v>15200</v>
      </c>
      <c r="M10" s="4">
        <f t="shared" si="2"/>
        <v>3.4721237947163218E-2</v>
      </c>
      <c r="N10" s="1" t="s">
        <v>140</v>
      </c>
      <c r="O10" s="18"/>
      <c r="P10" s="13"/>
      <c r="Q10" s="13"/>
      <c r="R10" s="4">
        <f t="shared" ca="1" si="3"/>
        <v>0</v>
      </c>
      <c r="S10" s="19">
        <f t="shared" ca="1" si="4"/>
        <v>0</v>
      </c>
      <c r="T10" s="5" t="str">
        <f t="shared" ca="1" si="5"/>
        <v>No prazo</v>
      </c>
      <c r="U10" s="4">
        <f t="shared" ca="1" si="6"/>
        <v>0</v>
      </c>
      <c r="V10" s="20" t="str">
        <f>IF(N10="Concluído",COUNTIF($N$5:N10,"Concluído"),"")</f>
        <v/>
      </c>
      <c r="W10" s="20">
        <f>IF(N10="Em andamento",COUNTIF($N$5:N10,"Em andamento"),"")</f>
        <v>1</v>
      </c>
      <c r="X10" s="20">
        <f ca="1">IF(AND(N10&lt;&gt;"Concluído",J10&lt;=RelSex+7,K10&gt;RelSex),COUNTIFS($N$5:N10,"&lt;&gt;Concluído",$J$5:J10,"&lt;="&amp;(RelSex+7),$K$5:K10,"&gt;"&amp;RelSex),"")</f>
        <v>6</v>
      </c>
      <c r="Z10" s="21">
        <f t="shared" si="7"/>
        <v>1</v>
      </c>
      <c r="AA10" s="21">
        <f t="shared" si="7"/>
        <v>1</v>
      </c>
      <c r="AB10" s="21" t="str">
        <f t="shared" si="7"/>
        <v/>
      </c>
      <c r="AC10" s="21" t="str">
        <f t="shared" si="7"/>
        <v/>
      </c>
      <c r="AD10" s="21" t="str">
        <f t="shared" si="7"/>
        <v/>
      </c>
      <c r="AE10" s="21" t="str">
        <f t="shared" si="7"/>
        <v/>
      </c>
      <c r="AF10" s="21" t="str">
        <f t="shared" si="7"/>
        <v/>
      </c>
      <c r="AG10" s="21" t="str">
        <f t="shared" si="7"/>
        <v/>
      </c>
      <c r="AH10" s="21" t="str">
        <f t="shared" si="7"/>
        <v/>
      </c>
      <c r="AI10" s="21" t="str">
        <f t="shared" si="7"/>
        <v/>
      </c>
      <c r="AJ10" s="21" t="str">
        <f t="shared" si="8"/>
        <v/>
      </c>
      <c r="AK10" s="21" t="str">
        <f t="shared" si="8"/>
        <v/>
      </c>
      <c r="AL10" s="21" t="str">
        <f t="shared" si="8"/>
        <v/>
      </c>
      <c r="AM10" s="21" t="str">
        <f t="shared" si="8"/>
        <v/>
      </c>
      <c r="AN10" s="21" t="str">
        <f t="shared" si="8"/>
        <v/>
      </c>
      <c r="AO10" s="21" t="str">
        <f t="shared" si="8"/>
        <v/>
      </c>
      <c r="AP10" s="21" t="str">
        <f t="shared" si="8"/>
        <v/>
      </c>
      <c r="AQ10" s="21" t="str">
        <f t="shared" si="8"/>
        <v/>
      </c>
      <c r="AR10" s="21" t="str">
        <f t="shared" si="8"/>
        <v/>
      </c>
      <c r="AS10" s="21" t="str">
        <f t="shared" si="8"/>
        <v/>
      </c>
    </row>
    <row r="11" spans="1:45" ht="25" x14ac:dyDescent="0.35">
      <c r="A11" s="17">
        <v>7</v>
      </c>
      <c r="B11" s="5" t="s">
        <v>124</v>
      </c>
      <c r="C11" s="5" t="s">
        <v>141</v>
      </c>
      <c r="D11" s="5" t="s">
        <v>142</v>
      </c>
      <c r="E11" s="5" t="s">
        <v>143</v>
      </c>
      <c r="F11" s="1">
        <v>6</v>
      </c>
      <c r="G11" s="1"/>
      <c r="H11" s="1">
        <v>2</v>
      </c>
      <c r="I11" s="1"/>
      <c r="J11" s="2">
        <f t="shared" si="0"/>
        <v>46331</v>
      </c>
      <c r="K11" s="2">
        <f t="shared" si="1"/>
        <v>46332</v>
      </c>
      <c r="L11" s="12">
        <f>SUMIFS(ORCAMENTO!$G$5:$G$200,ORCAMENTO!$H$5:$H$200,A11)</f>
        <v>11500</v>
      </c>
      <c r="M11" s="4">
        <f t="shared" si="2"/>
        <v>2.6269357657393227E-2</v>
      </c>
      <c r="N11" s="1" t="s">
        <v>128</v>
      </c>
      <c r="O11" s="18"/>
      <c r="P11" s="13"/>
      <c r="Q11" s="13"/>
      <c r="R11" s="4">
        <f t="shared" ca="1" si="3"/>
        <v>0</v>
      </c>
      <c r="S11" s="19">
        <f t="shared" ca="1" si="4"/>
        <v>0</v>
      </c>
      <c r="T11" s="5" t="str">
        <f t="shared" ca="1" si="5"/>
        <v>No prazo</v>
      </c>
      <c r="U11" s="4">
        <f t="shared" ca="1" si="6"/>
        <v>0</v>
      </c>
      <c r="V11" s="20" t="str">
        <f>IF(N11="Concluído",COUNTIF($N$5:N11,"Concluído"),"")</f>
        <v/>
      </c>
      <c r="W11" s="20" t="str">
        <f>IF(N11="Em andamento",COUNTIF($N$5:N11,"Em andamento"),"")</f>
        <v/>
      </c>
      <c r="X11" s="20" t="str">
        <f ca="1">IF(AND(N11&lt;&gt;"Concluído",J11&lt;=RelSex+7,K11&gt;RelSex),COUNTIFS($N$5:N11,"&lt;&gt;Concluído",$J$5:J11,"&lt;="&amp;(RelSex+7),$K$5:K11,"&gt;"&amp;RelSex),"")</f>
        <v/>
      </c>
      <c r="Z11" s="21" t="str">
        <f t="shared" si="7"/>
        <v/>
      </c>
      <c r="AA11" s="21">
        <f t="shared" si="7"/>
        <v>1</v>
      </c>
      <c r="AB11" s="21" t="str">
        <f t="shared" si="7"/>
        <v/>
      </c>
      <c r="AC11" s="21" t="str">
        <f t="shared" si="7"/>
        <v/>
      </c>
      <c r="AD11" s="21" t="str">
        <f t="shared" si="7"/>
        <v/>
      </c>
      <c r="AE11" s="21" t="str">
        <f t="shared" si="7"/>
        <v/>
      </c>
      <c r="AF11" s="21" t="str">
        <f t="shared" si="7"/>
        <v/>
      </c>
      <c r="AG11" s="21" t="str">
        <f t="shared" si="7"/>
        <v/>
      </c>
      <c r="AH11" s="21" t="str">
        <f t="shared" si="7"/>
        <v/>
      </c>
      <c r="AI11" s="21" t="str">
        <f t="shared" si="7"/>
        <v/>
      </c>
      <c r="AJ11" s="21" t="str">
        <f t="shared" si="8"/>
        <v/>
      </c>
      <c r="AK11" s="21" t="str">
        <f t="shared" si="8"/>
        <v/>
      </c>
      <c r="AL11" s="21" t="str">
        <f t="shared" si="8"/>
        <v/>
      </c>
      <c r="AM11" s="21" t="str">
        <f t="shared" si="8"/>
        <v/>
      </c>
      <c r="AN11" s="21" t="str">
        <f t="shared" si="8"/>
        <v/>
      </c>
      <c r="AO11" s="21" t="str">
        <f t="shared" si="8"/>
        <v/>
      </c>
      <c r="AP11" s="21" t="str">
        <f t="shared" si="8"/>
        <v/>
      </c>
      <c r="AQ11" s="21" t="str">
        <f t="shared" si="8"/>
        <v/>
      </c>
      <c r="AR11" s="21" t="str">
        <f t="shared" si="8"/>
        <v/>
      </c>
      <c r="AS11" s="21" t="str">
        <f t="shared" si="8"/>
        <v/>
      </c>
    </row>
    <row r="12" spans="1:45" ht="25" x14ac:dyDescent="0.35">
      <c r="A12" s="17">
        <v>8</v>
      </c>
      <c r="B12" s="5" t="s">
        <v>124</v>
      </c>
      <c r="C12" s="5" t="s">
        <v>141</v>
      </c>
      <c r="D12" s="5" t="s">
        <v>144</v>
      </c>
      <c r="E12" s="5" t="s">
        <v>145</v>
      </c>
      <c r="F12" s="1">
        <v>6</v>
      </c>
      <c r="G12" s="1"/>
      <c r="H12" s="1">
        <v>5</v>
      </c>
      <c r="I12" s="1"/>
      <c r="J12" s="2">
        <f t="shared" si="0"/>
        <v>46331</v>
      </c>
      <c r="K12" s="2">
        <f t="shared" si="1"/>
        <v>46337</v>
      </c>
      <c r="L12" s="12">
        <f>SUMIFS(ORCAMENTO!$G$5:$G$200,ORCAMENTO!$H$5:$H$200,A12)</f>
        <v>38000</v>
      </c>
      <c r="M12" s="4">
        <f t="shared" si="2"/>
        <v>8.6803094867908048E-2</v>
      </c>
      <c r="N12" s="1" t="s">
        <v>128</v>
      </c>
      <c r="O12" s="18"/>
      <c r="P12" s="13"/>
      <c r="Q12" s="13"/>
      <c r="R12" s="4">
        <f t="shared" ca="1" si="3"/>
        <v>0</v>
      </c>
      <c r="S12" s="19">
        <f t="shared" ca="1" si="4"/>
        <v>0</v>
      </c>
      <c r="T12" s="5" t="str">
        <f t="shared" ca="1" si="5"/>
        <v>No prazo</v>
      </c>
      <c r="U12" s="4">
        <f t="shared" ca="1" si="6"/>
        <v>0</v>
      </c>
      <c r="V12" s="20" t="str">
        <f>IF(N12="Concluído",COUNTIF($N$5:N12,"Concluído"),"")</f>
        <v/>
      </c>
      <c r="W12" s="20" t="str">
        <f>IF(N12="Em andamento",COUNTIF($N$5:N12,"Em andamento"),"")</f>
        <v/>
      </c>
      <c r="X12" s="20" t="str">
        <f ca="1">IF(AND(N12&lt;&gt;"Concluído",J12&lt;=RelSex+7,K12&gt;RelSex),COUNTIFS($N$5:N12,"&lt;&gt;Concluído",$J$5:J12,"&lt;="&amp;(RelSex+7),$K$5:K12,"&gt;"&amp;RelSex),"")</f>
        <v/>
      </c>
      <c r="Z12" s="21" t="str">
        <f t="shared" si="7"/>
        <v/>
      </c>
      <c r="AA12" s="21">
        <f t="shared" si="7"/>
        <v>1</v>
      </c>
      <c r="AB12" s="21">
        <f t="shared" si="7"/>
        <v>1</v>
      </c>
      <c r="AC12" s="21" t="str">
        <f t="shared" si="7"/>
        <v/>
      </c>
      <c r="AD12" s="21" t="str">
        <f t="shared" si="7"/>
        <v/>
      </c>
      <c r="AE12" s="21" t="str">
        <f t="shared" si="7"/>
        <v/>
      </c>
      <c r="AF12" s="21" t="str">
        <f t="shared" si="7"/>
        <v/>
      </c>
      <c r="AG12" s="21" t="str">
        <f t="shared" si="7"/>
        <v/>
      </c>
      <c r="AH12" s="21" t="str">
        <f t="shared" si="7"/>
        <v/>
      </c>
      <c r="AI12" s="21" t="str">
        <f t="shared" si="7"/>
        <v/>
      </c>
      <c r="AJ12" s="21" t="str">
        <f t="shared" si="8"/>
        <v/>
      </c>
      <c r="AK12" s="21" t="str">
        <f t="shared" si="8"/>
        <v/>
      </c>
      <c r="AL12" s="21" t="str">
        <f t="shared" si="8"/>
        <v/>
      </c>
      <c r="AM12" s="21" t="str">
        <f t="shared" si="8"/>
        <v/>
      </c>
      <c r="AN12" s="21" t="str">
        <f t="shared" si="8"/>
        <v/>
      </c>
      <c r="AO12" s="21" t="str">
        <f t="shared" si="8"/>
        <v/>
      </c>
      <c r="AP12" s="21" t="str">
        <f t="shared" si="8"/>
        <v/>
      </c>
      <c r="AQ12" s="21" t="str">
        <f t="shared" si="8"/>
        <v/>
      </c>
      <c r="AR12" s="21" t="str">
        <f t="shared" si="8"/>
        <v/>
      </c>
      <c r="AS12" s="21" t="str">
        <f t="shared" si="8"/>
        <v/>
      </c>
    </row>
    <row r="13" spans="1:45" ht="25" x14ac:dyDescent="0.35">
      <c r="A13" s="17">
        <v>9</v>
      </c>
      <c r="B13" s="5" t="s">
        <v>124</v>
      </c>
      <c r="C13" s="5" t="s">
        <v>141</v>
      </c>
      <c r="D13" s="5" t="s">
        <v>146</v>
      </c>
      <c r="E13" s="5" t="s">
        <v>147</v>
      </c>
      <c r="F13" s="1">
        <v>8</v>
      </c>
      <c r="G13" s="1">
        <v>7</v>
      </c>
      <c r="H13" s="1">
        <v>10</v>
      </c>
      <c r="I13" s="1"/>
      <c r="J13" s="2">
        <f t="shared" si="0"/>
        <v>46338</v>
      </c>
      <c r="K13" s="2">
        <f t="shared" si="1"/>
        <v>46352</v>
      </c>
      <c r="L13" s="12">
        <f>SUMIFS(ORCAMENTO!$G$5:$G$200,ORCAMENTO!$H$5:$H$200,A13)</f>
        <v>16293.44</v>
      </c>
      <c r="M13" s="4">
        <f t="shared" si="2"/>
        <v>3.7218974159067574E-2</v>
      </c>
      <c r="N13" s="1" t="s">
        <v>128</v>
      </c>
      <c r="O13" s="18"/>
      <c r="P13" s="13"/>
      <c r="Q13" s="13"/>
      <c r="R13" s="4">
        <f t="shared" ca="1" si="3"/>
        <v>0</v>
      </c>
      <c r="S13" s="19">
        <f t="shared" ca="1" si="4"/>
        <v>0</v>
      </c>
      <c r="T13" s="5" t="str">
        <f t="shared" ca="1" si="5"/>
        <v>No prazo</v>
      </c>
      <c r="U13" s="4">
        <f t="shared" ca="1" si="6"/>
        <v>0</v>
      </c>
      <c r="V13" s="20" t="str">
        <f>IF(N13="Concluído",COUNTIF($N$5:N13,"Concluído"),"")</f>
        <v/>
      </c>
      <c r="W13" s="20" t="str">
        <f>IF(N13="Em andamento",COUNTIF($N$5:N13,"Em andamento"),"")</f>
        <v/>
      </c>
      <c r="X13" s="20" t="str">
        <f ca="1">IF(AND(N13&lt;&gt;"Concluído",J13&lt;=RelSex+7,K13&gt;RelSex),COUNTIFS($N$5:N13,"&lt;&gt;Concluído",$J$5:J13,"&lt;="&amp;(RelSex+7),$K$5:K13,"&gt;"&amp;RelSex),"")</f>
        <v/>
      </c>
      <c r="Z13" s="21" t="str">
        <f t="shared" si="7"/>
        <v/>
      </c>
      <c r="AA13" s="21" t="str">
        <f t="shared" si="7"/>
        <v/>
      </c>
      <c r="AB13" s="21">
        <f t="shared" si="7"/>
        <v>1</v>
      </c>
      <c r="AC13" s="21">
        <f t="shared" si="7"/>
        <v>1</v>
      </c>
      <c r="AD13" s="21">
        <f t="shared" si="7"/>
        <v>1</v>
      </c>
      <c r="AE13" s="21" t="str">
        <f t="shared" si="7"/>
        <v/>
      </c>
      <c r="AF13" s="21" t="str">
        <f t="shared" si="7"/>
        <v/>
      </c>
      <c r="AG13" s="21" t="str">
        <f t="shared" si="7"/>
        <v/>
      </c>
      <c r="AH13" s="21" t="str">
        <f t="shared" si="7"/>
        <v/>
      </c>
      <c r="AI13" s="21" t="str">
        <f t="shared" si="7"/>
        <v/>
      </c>
      <c r="AJ13" s="21" t="str">
        <f t="shared" si="8"/>
        <v/>
      </c>
      <c r="AK13" s="21" t="str">
        <f t="shared" si="8"/>
        <v/>
      </c>
      <c r="AL13" s="21" t="str">
        <f t="shared" si="8"/>
        <v/>
      </c>
      <c r="AM13" s="21" t="str">
        <f t="shared" si="8"/>
        <v/>
      </c>
      <c r="AN13" s="21" t="str">
        <f t="shared" si="8"/>
        <v/>
      </c>
      <c r="AO13" s="21" t="str">
        <f t="shared" si="8"/>
        <v/>
      </c>
      <c r="AP13" s="21" t="str">
        <f t="shared" si="8"/>
        <v/>
      </c>
      <c r="AQ13" s="21" t="str">
        <f t="shared" si="8"/>
        <v/>
      </c>
      <c r="AR13" s="21" t="str">
        <f t="shared" si="8"/>
        <v/>
      </c>
      <c r="AS13" s="21" t="str">
        <f t="shared" si="8"/>
        <v/>
      </c>
    </row>
    <row r="14" spans="1:45" ht="25" x14ac:dyDescent="0.35">
      <c r="A14" s="17">
        <v>10</v>
      </c>
      <c r="B14" s="5" t="s">
        <v>124</v>
      </c>
      <c r="C14" s="5" t="s">
        <v>141</v>
      </c>
      <c r="D14" s="5" t="s">
        <v>148</v>
      </c>
      <c r="E14" s="5" t="s">
        <v>149</v>
      </c>
      <c r="F14" s="1">
        <v>9</v>
      </c>
      <c r="G14" s="1"/>
      <c r="H14" s="1">
        <v>5</v>
      </c>
      <c r="I14" s="1"/>
      <c r="J14" s="2">
        <f t="shared" si="0"/>
        <v>46353</v>
      </c>
      <c r="K14" s="2">
        <f t="shared" si="1"/>
        <v>46359</v>
      </c>
      <c r="L14" s="12">
        <f>SUMIFS(ORCAMENTO!$G$5:$G$200,ORCAMENTO!$H$5:$H$200,A14)</f>
        <v>0</v>
      </c>
      <c r="M14" s="4">
        <f t="shared" si="2"/>
        <v>0</v>
      </c>
      <c r="N14" s="1" t="s">
        <v>128</v>
      </c>
      <c r="O14" s="18"/>
      <c r="P14" s="13"/>
      <c r="Q14" s="13"/>
      <c r="R14" s="4">
        <f t="shared" ca="1" si="3"/>
        <v>0</v>
      </c>
      <c r="S14" s="19">
        <f t="shared" ca="1" si="4"/>
        <v>0</v>
      </c>
      <c r="T14" s="5" t="str">
        <f t="shared" ca="1" si="5"/>
        <v>No prazo</v>
      </c>
      <c r="U14" s="4">
        <f t="shared" ca="1" si="6"/>
        <v>0</v>
      </c>
      <c r="V14" s="20" t="str">
        <f>IF(N14="Concluído",COUNTIF($N$5:N14,"Concluído"),"")</f>
        <v/>
      </c>
      <c r="W14" s="20" t="str">
        <f>IF(N14="Em andamento",COUNTIF($N$5:N14,"Em andamento"),"")</f>
        <v/>
      </c>
      <c r="X14" s="20" t="str">
        <f ca="1">IF(AND(N14&lt;&gt;"Concluído",J14&lt;=RelSex+7,K14&gt;RelSex),COUNTIFS($N$5:N14,"&lt;&gt;Concluído",$J$5:J14,"&lt;="&amp;(RelSex+7),$K$5:K14,"&gt;"&amp;RelSex),"")</f>
        <v/>
      </c>
      <c r="Z14" s="21" t="str">
        <f t="shared" si="7"/>
        <v/>
      </c>
      <c r="AA14" s="21" t="str">
        <f t="shared" si="7"/>
        <v/>
      </c>
      <c r="AB14" s="21" t="str">
        <f t="shared" si="7"/>
        <v/>
      </c>
      <c r="AC14" s="21" t="str">
        <f t="shared" si="7"/>
        <v/>
      </c>
      <c r="AD14" s="21">
        <f t="shared" si="7"/>
        <v>1</v>
      </c>
      <c r="AE14" s="21">
        <f t="shared" si="7"/>
        <v>1</v>
      </c>
      <c r="AF14" s="21" t="str">
        <f t="shared" si="7"/>
        <v/>
      </c>
      <c r="AG14" s="21" t="str">
        <f t="shared" si="7"/>
        <v/>
      </c>
      <c r="AH14" s="21" t="str">
        <f t="shared" si="7"/>
        <v/>
      </c>
      <c r="AI14" s="21" t="str">
        <f t="shared" si="7"/>
        <v/>
      </c>
      <c r="AJ14" s="21" t="str">
        <f t="shared" si="8"/>
        <v/>
      </c>
      <c r="AK14" s="21" t="str">
        <f t="shared" si="8"/>
        <v/>
      </c>
      <c r="AL14" s="21" t="str">
        <f t="shared" si="8"/>
        <v/>
      </c>
      <c r="AM14" s="21" t="str">
        <f t="shared" si="8"/>
        <v/>
      </c>
      <c r="AN14" s="21" t="str">
        <f t="shared" si="8"/>
        <v/>
      </c>
      <c r="AO14" s="21" t="str">
        <f t="shared" si="8"/>
        <v/>
      </c>
      <c r="AP14" s="21" t="str">
        <f t="shared" si="8"/>
        <v/>
      </c>
      <c r="AQ14" s="21" t="str">
        <f t="shared" si="8"/>
        <v/>
      </c>
      <c r="AR14" s="21" t="str">
        <f t="shared" si="8"/>
        <v/>
      </c>
      <c r="AS14" s="21" t="str">
        <f t="shared" si="8"/>
        <v/>
      </c>
    </row>
    <row r="15" spans="1:45" ht="25" x14ac:dyDescent="0.35">
      <c r="A15" s="17">
        <v>11</v>
      </c>
      <c r="B15" s="5" t="s">
        <v>124</v>
      </c>
      <c r="C15" s="5" t="s">
        <v>150</v>
      </c>
      <c r="D15" s="5" t="s">
        <v>151</v>
      </c>
      <c r="E15" s="5" t="s">
        <v>152</v>
      </c>
      <c r="F15" s="1">
        <v>10</v>
      </c>
      <c r="G15" s="1"/>
      <c r="H15" s="1">
        <v>1</v>
      </c>
      <c r="I15" s="1"/>
      <c r="J15" s="2">
        <f t="shared" si="0"/>
        <v>46360</v>
      </c>
      <c r="K15" s="2">
        <f t="shared" si="1"/>
        <v>46360</v>
      </c>
      <c r="L15" s="12">
        <f>SUMIFS(ORCAMENTO!$G$5:$G$200,ORCAMENTO!$H$5:$H$200,A15)</f>
        <v>2100</v>
      </c>
      <c r="M15" s="4">
        <f t="shared" si="2"/>
        <v>4.7970131374370237E-3</v>
      </c>
      <c r="N15" s="1" t="s">
        <v>128</v>
      </c>
      <c r="O15" s="18"/>
      <c r="P15" s="13"/>
      <c r="Q15" s="13"/>
      <c r="R15" s="4">
        <f t="shared" ca="1" si="3"/>
        <v>0</v>
      </c>
      <c r="S15" s="19">
        <f t="shared" ca="1" si="4"/>
        <v>0</v>
      </c>
      <c r="T15" s="5" t="str">
        <f t="shared" ca="1" si="5"/>
        <v>No prazo</v>
      </c>
      <c r="U15" s="4">
        <f t="shared" ca="1" si="6"/>
        <v>0</v>
      </c>
      <c r="V15" s="20" t="str">
        <f>IF(N15="Concluído",COUNTIF($N$5:N15,"Concluído"),"")</f>
        <v/>
      </c>
      <c r="W15" s="20" t="str">
        <f>IF(N15="Em andamento",COUNTIF($N$5:N15,"Em andamento"),"")</f>
        <v/>
      </c>
      <c r="X15" s="20" t="str">
        <f ca="1">IF(AND(N15&lt;&gt;"Concluído",J15&lt;=RelSex+7,K15&gt;RelSex),COUNTIFS($N$5:N15,"&lt;&gt;Concluído",$J$5:J15,"&lt;="&amp;(RelSex+7),$K$5:K15,"&gt;"&amp;RelSex),"")</f>
        <v/>
      </c>
      <c r="Z15" s="21" t="str">
        <f t="shared" ref="Z15:AI24" si="9">IF(AND(Z$4&lt;=$K15,Z$4+4&gt;=$J15),1,"")</f>
        <v/>
      </c>
      <c r="AA15" s="21" t="str">
        <f t="shared" si="9"/>
        <v/>
      </c>
      <c r="AB15" s="21" t="str">
        <f t="shared" si="9"/>
        <v/>
      </c>
      <c r="AC15" s="21" t="str">
        <f t="shared" si="9"/>
        <v/>
      </c>
      <c r="AD15" s="21" t="str">
        <f t="shared" si="9"/>
        <v/>
      </c>
      <c r="AE15" s="21">
        <f t="shared" si="9"/>
        <v>1</v>
      </c>
      <c r="AF15" s="21" t="str">
        <f t="shared" si="9"/>
        <v/>
      </c>
      <c r="AG15" s="21" t="str">
        <f t="shared" si="9"/>
        <v/>
      </c>
      <c r="AH15" s="21" t="str">
        <f t="shared" si="9"/>
        <v/>
      </c>
      <c r="AI15" s="21" t="str">
        <f t="shared" si="9"/>
        <v/>
      </c>
      <c r="AJ15" s="21" t="str">
        <f t="shared" ref="AJ15:AS24" si="10">IF(AND(AJ$4&lt;=$K15,AJ$4+4&gt;=$J15),1,"")</f>
        <v/>
      </c>
      <c r="AK15" s="21" t="str">
        <f t="shared" si="10"/>
        <v/>
      </c>
      <c r="AL15" s="21" t="str">
        <f t="shared" si="10"/>
        <v/>
      </c>
      <c r="AM15" s="21" t="str">
        <f t="shared" si="10"/>
        <v/>
      </c>
      <c r="AN15" s="21" t="str">
        <f t="shared" si="10"/>
        <v/>
      </c>
      <c r="AO15" s="21" t="str">
        <f t="shared" si="10"/>
        <v/>
      </c>
      <c r="AP15" s="21" t="str">
        <f t="shared" si="10"/>
        <v/>
      </c>
      <c r="AQ15" s="21" t="str">
        <f t="shared" si="10"/>
        <v/>
      </c>
      <c r="AR15" s="21" t="str">
        <f t="shared" si="10"/>
        <v/>
      </c>
      <c r="AS15" s="21" t="str">
        <f t="shared" si="10"/>
        <v/>
      </c>
    </row>
    <row r="16" spans="1:45" ht="25" x14ac:dyDescent="0.35">
      <c r="A16" s="17">
        <v>12</v>
      </c>
      <c r="B16" s="5" t="s">
        <v>124</v>
      </c>
      <c r="C16" s="5" t="s">
        <v>150</v>
      </c>
      <c r="D16" s="5" t="s">
        <v>153</v>
      </c>
      <c r="E16" s="5" t="s">
        <v>154</v>
      </c>
      <c r="F16" s="1">
        <v>10</v>
      </c>
      <c r="G16" s="1"/>
      <c r="H16" s="1">
        <v>2</v>
      </c>
      <c r="I16" s="1"/>
      <c r="J16" s="2">
        <f t="shared" si="0"/>
        <v>46360</v>
      </c>
      <c r="K16" s="2">
        <f t="shared" si="1"/>
        <v>46363</v>
      </c>
      <c r="L16" s="12">
        <f>SUMIFS(ORCAMENTO!$G$5:$G$200,ORCAMENTO!$H$5:$H$200,A16)</f>
        <v>1729</v>
      </c>
      <c r="M16" s="4">
        <f t="shared" si="2"/>
        <v>3.9495408164898164E-3</v>
      </c>
      <c r="N16" s="1" t="s">
        <v>128</v>
      </c>
      <c r="O16" s="18"/>
      <c r="P16" s="13"/>
      <c r="Q16" s="13"/>
      <c r="R16" s="4">
        <f t="shared" ca="1" si="3"/>
        <v>0</v>
      </c>
      <c r="S16" s="19">
        <f t="shared" ca="1" si="4"/>
        <v>0</v>
      </c>
      <c r="T16" s="5" t="str">
        <f t="shared" ca="1" si="5"/>
        <v>No prazo</v>
      </c>
      <c r="U16" s="4">
        <f t="shared" ca="1" si="6"/>
        <v>0</v>
      </c>
      <c r="V16" s="20" t="str">
        <f>IF(N16="Concluído",COUNTIF($N$5:N16,"Concluído"),"")</f>
        <v/>
      </c>
      <c r="W16" s="20" t="str">
        <f>IF(N16="Em andamento",COUNTIF($N$5:N16,"Em andamento"),"")</f>
        <v/>
      </c>
      <c r="X16" s="20" t="str">
        <f ca="1">IF(AND(N16&lt;&gt;"Concluído",J16&lt;=RelSex+7,K16&gt;RelSex),COUNTIFS($N$5:N16,"&lt;&gt;Concluído",$J$5:J16,"&lt;="&amp;(RelSex+7),$K$5:K16,"&gt;"&amp;RelSex),"")</f>
        <v/>
      </c>
      <c r="Z16" s="21" t="str">
        <f t="shared" si="9"/>
        <v/>
      </c>
      <c r="AA16" s="21" t="str">
        <f t="shared" si="9"/>
        <v/>
      </c>
      <c r="AB16" s="21" t="str">
        <f t="shared" si="9"/>
        <v/>
      </c>
      <c r="AC16" s="21" t="str">
        <f t="shared" si="9"/>
        <v/>
      </c>
      <c r="AD16" s="21" t="str">
        <f t="shared" si="9"/>
        <v/>
      </c>
      <c r="AE16" s="21">
        <f t="shared" si="9"/>
        <v>1</v>
      </c>
      <c r="AF16" s="21">
        <f t="shared" si="9"/>
        <v>1</v>
      </c>
      <c r="AG16" s="21" t="str">
        <f t="shared" si="9"/>
        <v/>
      </c>
      <c r="AH16" s="21" t="str">
        <f t="shared" si="9"/>
        <v/>
      </c>
      <c r="AI16" s="21" t="str">
        <f t="shared" si="9"/>
        <v/>
      </c>
      <c r="AJ16" s="21" t="str">
        <f t="shared" si="10"/>
        <v/>
      </c>
      <c r="AK16" s="21" t="str">
        <f t="shared" si="10"/>
        <v/>
      </c>
      <c r="AL16" s="21" t="str">
        <f t="shared" si="10"/>
        <v/>
      </c>
      <c r="AM16" s="21" t="str">
        <f t="shared" si="10"/>
        <v/>
      </c>
      <c r="AN16" s="21" t="str">
        <f t="shared" si="10"/>
        <v/>
      </c>
      <c r="AO16" s="21" t="str">
        <f t="shared" si="10"/>
        <v/>
      </c>
      <c r="AP16" s="21" t="str">
        <f t="shared" si="10"/>
        <v/>
      </c>
      <c r="AQ16" s="21" t="str">
        <f t="shared" si="10"/>
        <v/>
      </c>
      <c r="AR16" s="21" t="str">
        <f t="shared" si="10"/>
        <v/>
      </c>
      <c r="AS16" s="21" t="str">
        <f t="shared" si="10"/>
        <v/>
      </c>
    </row>
    <row r="17" spans="1:45" ht="25" x14ac:dyDescent="0.35">
      <c r="A17" s="17">
        <v>13</v>
      </c>
      <c r="B17" s="5" t="s">
        <v>124</v>
      </c>
      <c r="C17" s="5" t="s">
        <v>150</v>
      </c>
      <c r="D17" s="5" t="s">
        <v>155</v>
      </c>
      <c r="E17" s="5" t="s">
        <v>156</v>
      </c>
      <c r="F17" s="1">
        <v>10</v>
      </c>
      <c r="G17" s="1"/>
      <c r="H17" s="1">
        <v>2</v>
      </c>
      <c r="I17" s="1"/>
      <c r="J17" s="2">
        <f t="shared" si="0"/>
        <v>46360</v>
      </c>
      <c r="K17" s="2">
        <f t="shared" si="1"/>
        <v>46363</v>
      </c>
      <c r="L17" s="12">
        <f>SUMIFS(ORCAMENTO!$G$5:$G$200,ORCAMENTO!$H$5:$H$200,A17)</f>
        <v>438.68</v>
      </c>
      <c r="M17" s="4">
        <f t="shared" si="2"/>
        <v>1.0020732014908921E-3</v>
      </c>
      <c r="N17" s="1" t="s">
        <v>128</v>
      </c>
      <c r="O17" s="18"/>
      <c r="P17" s="13"/>
      <c r="Q17" s="13"/>
      <c r="R17" s="4">
        <f t="shared" ca="1" si="3"/>
        <v>0</v>
      </c>
      <c r="S17" s="19">
        <f t="shared" ca="1" si="4"/>
        <v>0</v>
      </c>
      <c r="T17" s="5" t="str">
        <f t="shared" ca="1" si="5"/>
        <v>No prazo</v>
      </c>
      <c r="U17" s="4">
        <f t="shared" ca="1" si="6"/>
        <v>0</v>
      </c>
      <c r="V17" s="20" t="str">
        <f>IF(N17="Concluído",COUNTIF($N$5:N17,"Concluído"),"")</f>
        <v/>
      </c>
      <c r="W17" s="20" t="str">
        <f>IF(N17="Em andamento",COUNTIF($N$5:N17,"Em andamento"),"")</f>
        <v/>
      </c>
      <c r="X17" s="20" t="str">
        <f ca="1">IF(AND(N17&lt;&gt;"Concluído",J17&lt;=RelSex+7,K17&gt;RelSex),COUNTIFS($N$5:N17,"&lt;&gt;Concluído",$J$5:J17,"&lt;="&amp;(RelSex+7),$K$5:K17,"&gt;"&amp;RelSex),"")</f>
        <v/>
      </c>
      <c r="Z17" s="21" t="str">
        <f t="shared" si="9"/>
        <v/>
      </c>
      <c r="AA17" s="21" t="str">
        <f t="shared" si="9"/>
        <v/>
      </c>
      <c r="AB17" s="21" t="str">
        <f t="shared" si="9"/>
        <v/>
      </c>
      <c r="AC17" s="21" t="str">
        <f t="shared" si="9"/>
        <v/>
      </c>
      <c r="AD17" s="21" t="str">
        <f t="shared" si="9"/>
        <v/>
      </c>
      <c r="AE17" s="21">
        <f t="shared" si="9"/>
        <v>1</v>
      </c>
      <c r="AF17" s="21">
        <f t="shared" si="9"/>
        <v>1</v>
      </c>
      <c r="AG17" s="21" t="str">
        <f t="shared" si="9"/>
        <v/>
      </c>
      <c r="AH17" s="21" t="str">
        <f t="shared" si="9"/>
        <v/>
      </c>
      <c r="AI17" s="21" t="str">
        <f t="shared" si="9"/>
        <v/>
      </c>
      <c r="AJ17" s="21" t="str">
        <f t="shared" si="10"/>
        <v/>
      </c>
      <c r="AK17" s="21" t="str">
        <f t="shared" si="10"/>
        <v/>
      </c>
      <c r="AL17" s="21" t="str">
        <f t="shared" si="10"/>
        <v/>
      </c>
      <c r="AM17" s="21" t="str">
        <f t="shared" si="10"/>
        <v/>
      </c>
      <c r="AN17" s="21" t="str">
        <f t="shared" si="10"/>
        <v/>
      </c>
      <c r="AO17" s="21" t="str">
        <f t="shared" si="10"/>
        <v/>
      </c>
      <c r="AP17" s="21" t="str">
        <f t="shared" si="10"/>
        <v/>
      </c>
      <c r="AQ17" s="21" t="str">
        <f t="shared" si="10"/>
        <v/>
      </c>
      <c r="AR17" s="21" t="str">
        <f t="shared" si="10"/>
        <v/>
      </c>
      <c r="AS17" s="21" t="str">
        <f t="shared" si="10"/>
        <v/>
      </c>
    </row>
    <row r="18" spans="1:45" ht="25" x14ac:dyDescent="0.35">
      <c r="A18" s="17">
        <v>14</v>
      </c>
      <c r="B18" s="5" t="s">
        <v>124</v>
      </c>
      <c r="C18" s="5" t="s">
        <v>150</v>
      </c>
      <c r="D18" s="5" t="s">
        <v>157</v>
      </c>
      <c r="E18" s="5" t="s">
        <v>158</v>
      </c>
      <c r="F18" s="1">
        <v>12</v>
      </c>
      <c r="G18" s="1">
        <v>13</v>
      </c>
      <c r="H18" s="1">
        <v>5</v>
      </c>
      <c r="I18" s="1"/>
      <c r="J18" s="2">
        <f t="shared" si="0"/>
        <v>46364</v>
      </c>
      <c r="K18" s="2">
        <f t="shared" si="1"/>
        <v>46370</v>
      </c>
      <c r="L18" s="12">
        <f>SUMIFS(ORCAMENTO!$G$5:$G$200,ORCAMENTO!$H$5:$H$200,A18)</f>
        <v>23415.86</v>
      </c>
      <c r="M18" s="4">
        <f t="shared" si="2"/>
        <v>5.3488660973517198E-2</v>
      </c>
      <c r="N18" s="1" t="s">
        <v>128</v>
      </c>
      <c r="O18" s="18"/>
      <c r="P18" s="13"/>
      <c r="Q18" s="13"/>
      <c r="R18" s="4">
        <f t="shared" ca="1" si="3"/>
        <v>0</v>
      </c>
      <c r="S18" s="19">
        <f t="shared" ca="1" si="4"/>
        <v>0</v>
      </c>
      <c r="T18" s="5" t="str">
        <f t="shared" ca="1" si="5"/>
        <v>No prazo</v>
      </c>
      <c r="U18" s="4">
        <f t="shared" ca="1" si="6"/>
        <v>0</v>
      </c>
      <c r="V18" s="20" t="str">
        <f>IF(N18="Concluído",COUNTIF($N$5:N18,"Concluído"),"")</f>
        <v/>
      </c>
      <c r="W18" s="20" t="str">
        <f>IF(N18="Em andamento",COUNTIF($N$5:N18,"Em andamento"),"")</f>
        <v/>
      </c>
      <c r="X18" s="20" t="str">
        <f ca="1">IF(AND(N18&lt;&gt;"Concluído",J18&lt;=RelSex+7,K18&gt;RelSex),COUNTIFS($N$5:N18,"&lt;&gt;Concluído",$J$5:J18,"&lt;="&amp;(RelSex+7),$K$5:K18,"&gt;"&amp;RelSex),"")</f>
        <v/>
      </c>
      <c r="Z18" s="21" t="str">
        <f t="shared" si="9"/>
        <v/>
      </c>
      <c r="AA18" s="21" t="str">
        <f t="shared" si="9"/>
        <v/>
      </c>
      <c r="AB18" s="21" t="str">
        <f t="shared" si="9"/>
        <v/>
      </c>
      <c r="AC18" s="21" t="str">
        <f t="shared" si="9"/>
        <v/>
      </c>
      <c r="AD18" s="21" t="str">
        <f t="shared" si="9"/>
        <v/>
      </c>
      <c r="AE18" s="21" t="str">
        <f t="shared" si="9"/>
        <v/>
      </c>
      <c r="AF18" s="21">
        <f t="shared" si="9"/>
        <v>1</v>
      </c>
      <c r="AG18" s="21">
        <f t="shared" si="9"/>
        <v>1</v>
      </c>
      <c r="AH18" s="21" t="str">
        <f t="shared" si="9"/>
        <v/>
      </c>
      <c r="AI18" s="21" t="str">
        <f t="shared" si="9"/>
        <v/>
      </c>
      <c r="AJ18" s="21" t="str">
        <f t="shared" si="10"/>
        <v/>
      </c>
      <c r="AK18" s="21" t="str">
        <f t="shared" si="10"/>
        <v/>
      </c>
      <c r="AL18" s="21" t="str">
        <f t="shared" si="10"/>
        <v/>
      </c>
      <c r="AM18" s="21" t="str">
        <f t="shared" si="10"/>
        <v/>
      </c>
      <c r="AN18" s="21" t="str">
        <f t="shared" si="10"/>
        <v/>
      </c>
      <c r="AO18" s="21" t="str">
        <f t="shared" si="10"/>
        <v/>
      </c>
      <c r="AP18" s="21" t="str">
        <f t="shared" si="10"/>
        <v/>
      </c>
      <c r="AQ18" s="21" t="str">
        <f t="shared" si="10"/>
        <v/>
      </c>
      <c r="AR18" s="21" t="str">
        <f t="shared" si="10"/>
        <v/>
      </c>
      <c r="AS18" s="21" t="str">
        <f t="shared" si="10"/>
        <v/>
      </c>
    </row>
    <row r="19" spans="1:45" ht="25" x14ac:dyDescent="0.35">
      <c r="A19" s="17">
        <v>15</v>
      </c>
      <c r="B19" s="5" t="s">
        <v>124</v>
      </c>
      <c r="C19" s="5" t="s">
        <v>159</v>
      </c>
      <c r="D19" s="5" t="s">
        <v>160</v>
      </c>
      <c r="E19" s="5" t="s">
        <v>161</v>
      </c>
      <c r="F19" s="1">
        <v>14</v>
      </c>
      <c r="G19" s="1"/>
      <c r="H19" s="1">
        <v>10</v>
      </c>
      <c r="I19" s="1"/>
      <c r="J19" s="2">
        <f t="shared" si="0"/>
        <v>46371</v>
      </c>
      <c r="K19" s="2">
        <f t="shared" si="1"/>
        <v>46385</v>
      </c>
      <c r="L19" s="12">
        <f>SUMIFS(ORCAMENTO!$G$5:$G$200,ORCAMENTO!$H$5:$H$200,A19)</f>
        <v>49000</v>
      </c>
      <c r="M19" s="4">
        <f t="shared" si="2"/>
        <v>0.11193030654019723</v>
      </c>
      <c r="N19" s="1" t="s">
        <v>128</v>
      </c>
      <c r="O19" s="18"/>
      <c r="P19" s="13"/>
      <c r="Q19" s="13"/>
      <c r="R19" s="4">
        <f t="shared" ca="1" si="3"/>
        <v>0</v>
      </c>
      <c r="S19" s="19">
        <f t="shared" ca="1" si="4"/>
        <v>0</v>
      </c>
      <c r="T19" s="5" t="str">
        <f t="shared" ca="1" si="5"/>
        <v>No prazo</v>
      </c>
      <c r="U19" s="4">
        <f t="shared" ca="1" si="6"/>
        <v>0</v>
      </c>
      <c r="V19" s="20" t="str">
        <f>IF(N19="Concluído",COUNTIF($N$5:N19,"Concluído"),"")</f>
        <v/>
      </c>
      <c r="W19" s="20" t="str">
        <f>IF(N19="Em andamento",COUNTIF($N$5:N19,"Em andamento"),"")</f>
        <v/>
      </c>
      <c r="X19" s="20" t="str">
        <f ca="1">IF(AND(N19&lt;&gt;"Concluído",J19&lt;=RelSex+7,K19&gt;RelSex),COUNTIFS($N$5:N19,"&lt;&gt;Concluído",$J$5:J19,"&lt;="&amp;(RelSex+7),$K$5:K19,"&gt;"&amp;RelSex),"")</f>
        <v/>
      </c>
      <c r="Z19" s="21" t="str">
        <f t="shared" si="9"/>
        <v/>
      </c>
      <c r="AA19" s="21" t="str">
        <f t="shared" si="9"/>
        <v/>
      </c>
      <c r="AB19" s="21" t="str">
        <f t="shared" si="9"/>
        <v/>
      </c>
      <c r="AC19" s="21" t="str">
        <f t="shared" si="9"/>
        <v/>
      </c>
      <c r="AD19" s="21" t="str">
        <f t="shared" si="9"/>
        <v/>
      </c>
      <c r="AE19" s="21" t="str">
        <f t="shared" si="9"/>
        <v/>
      </c>
      <c r="AF19" s="21" t="str">
        <f t="shared" si="9"/>
        <v/>
      </c>
      <c r="AG19" s="21">
        <f t="shared" si="9"/>
        <v>1</v>
      </c>
      <c r="AH19" s="21">
        <f t="shared" si="9"/>
        <v>1</v>
      </c>
      <c r="AI19" s="21">
        <f t="shared" si="9"/>
        <v>1</v>
      </c>
      <c r="AJ19" s="21" t="str">
        <f t="shared" si="10"/>
        <v/>
      </c>
      <c r="AK19" s="21" t="str">
        <f t="shared" si="10"/>
        <v/>
      </c>
      <c r="AL19" s="21" t="str">
        <f t="shared" si="10"/>
        <v/>
      </c>
      <c r="AM19" s="21" t="str">
        <f t="shared" si="10"/>
        <v/>
      </c>
      <c r="AN19" s="21" t="str">
        <f t="shared" si="10"/>
        <v/>
      </c>
      <c r="AO19" s="21" t="str">
        <f t="shared" si="10"/>
        <v/>
      </c>
      <c r="AP19" s="21" t="str">
        <f t="shared" si="10"/>
        <v/>
      </c>
      <c r="AQ19" s="21" t="str">
        <f t="shared" si="10"/>
        <v/>
      </c>
      <c r="AR19" s="21" t="str">
        <f t="shared" si="10"/>
        <v/>
      </c>
      <c r="AS19" s="21" t="str">
        <f t="shared" si="10"/>
        <v/>
      </c>
    </row>
    <row r="20" spans="1:45" ht="25" x14ac:dyDescent="0.35">
      <c r="A20" s="17">
        <v>16</v>
      </c>
      <c r="B20" s="5" t="s">
        <v>124</v>
      </c>
      <c r="C20" s="5" t="s">
        <v>159</v>
      </c>
      <c r="D20" s="5" t="s">
        <v>162</v>
      </c>
      <c r="E20" s="5" t="s">
        <v>163</v>
      </c>
      <c r="F20" s="1">
        <v>14</v>
      </c>
      <c r="G20" s="1"/>
      <c r="H20" s="1">
        <v>5</v>
      </c>
      <c r="I20" s="1"/>
      <c r="J20" s="2">
        <f t="shared" si="0"/>
        <v>46371</v>
      </c>
      <c r="K20" s="2">
        <f t="shared" si="1"/>
        <v>46377</v>
      </c>
      <c r="L20" s="12">
        <f>SUMIFS(ORCAMENTO!$G$5:$G$200,ORCAMENTO!$H$5:$H$200,A20)</f>
        <v>19500</v>
      </c>
      <c r="M20" s="4">
        <f t="shared" si="2"/>
        <v>4.4543693419058075E-2</v>
      </c>
      <c r="N20" s="1" t="s">
        <v>128</v>
      </c>
      <c r="O20" s="18"/>
      <c r="P20" s="13"/>
      <c r="Q20" s="13"/>
      <c r="R20" s="4">
        <f t="shared" ca="1" si="3"/>
        <v>0</v>
      </c>
      <c r="S20" s="19">
        <f t="shared" ca="1" si="4"/>
        <v>0</v>
      </c>
      <c r="T20" s="5" t="str">
        <f t="shared" ca="1" si="5"/>
        <v>No prazo</v>
      </c>
      <c r="U20" s="4">
        <f t="shared" ca="1" si="6"/>
        <v>0</v>
      </c>
      <c r="V20" s="20" t="str">
        <f>IF(N20="Concluído",COUNTIF($N$5:N20,"Concluído"),"")</f>
        <v/>
      </c>
      <c r="W20" s="20" t="str">
        <f>IF(N20="Em andamento",COUNTIF($N$5:N20,"Em andamento"),"")</f>
        <v/>
      </c>
      <c r="X20" s="20" t="str">
        <f ca="1">IF(AND(N20&lt;&gt;"Concluído",J20&lt;=RelSex+7,K20&gt;RelSex),COUNTIFS($N$5:N20,"&lt;&gt;Concluído",$J$5:J20,"&lt;="&amp;(RelSex+7),$K$5:K20,"&gt;"&amp;RelSex),"")</f>
        <v/>
      </c>
      <c r="Z20" s="21" t="str">
        <f t="shared" si="9"/>
        <v/>
      </c>
      <c r="AA20" s="21" t="str">
        <f t="shared" si="9"/>
        <v/>
      </c>
      <c r="AB20" s="21" t="str">
        <f t="shared" si="9"/>
        <v/>
      </c>
      <c r="AC20" s="21" t="str">
        <f t="shared" si="9"/>
        <v/>
      </c>
      <c r="AD20" s="21" t="str">
        <f t="shared" si="9"/>
        <v/>
      </c>
      <c r="AE20" s="21" t="str">
        <f t="shared" si="9"/>
        <v/>
      </c>
      <c r="AF20" s="21" t="str">
        <f t="shared" si="9"/>
        <v/>
      </c>
      <c r="AG20" s="21">
        <f t="shared" si="9"/>
        <v>1</v>
      </c>
      <c r="AH20" s="21">
        <f t="shared" si="9"/>
        <v>1</v>
      </c>
      <c r="AI20" s="21" t="str">
        <f t="shared" si="9"/>
        <v/>
      </c>
      <c r="AJ20" s="21" t="str">
        <f t="shared" si="10"/>
        <v/>
      </c>
      <c r="AK20" s="21" t="str">
        <f t="shared" si="10"/>
        <v/>
      </c>
      <c r="AL20" s="21" t="str">
        <f t="shared" si="10"/>
        <v/>
      </c>
      <c r="AM20" s="21" t="str">
        <f t="shared" si="10"/>
        <v/>
      </c>
      <c r="AN20" s="21" t="str">
        <f t="shared" si="10"/>
        <v/>
      </c>
      <c r="AO20" s="21" t="str">
        <f t="shared" si="10"/>
        <v/>
      </c>
      <c r="AP20" s="21" t="str">
        <f t="shared" si="10"/>
        <v/>
      </c>
      <c r="AQ20" s="21" t="str">
        <f t="shared" si="10"/>
        <v/>
      </c>
      <c r="AR20" s="21" t="str">
        <f t="shared" si="10"/>
        <v/>
      </c>
      <c r="AS20" s="21" t="str">
        <f t="shared" si="10"/>
        <v/>
      </c>
    </row>
    <row r="21" spans="1:45" ht="25" x14ac:dyDescent="0.35">
      <c r="A21" s="17">
        <v>17</v>
      </c>
      <c r="B21" s="5" t="s">
        <v>124</v>
      </c>
      <c r="C21" s="5" t="s">
        <v>159</v>
      </c>
      <c r="D21" s="5" t="s">
        <v>164</v>
      </c>
      <c r="E21" s="5" t="s">
        <v>165</v>
      </c>
      <c r="F21" s="1">
        <v>16</v>
      </c>
      <c r="G21" s="1">
        <v>15</v>
      </c>
      <c r="H21" s="1">
        <v>10</v>
      </c>
      <c r="I21" s="1"/>
      <c r="J21" s="2">
        <f t="shared" si="0"/>
        <v>46386</v>
      </c>
      <c r="K21" s="2">
        <f t="shared" si="1"/>
        <v>46400</v>
      </c>
      <c r="L21" s="12">
        <f>SUMIFS(ORCAMENTO!$G$5:$G$200,ORCAMENTO!$H$5:$H$200,A21)</f>
        <v>9426</v>
      </c>
      <c r="M21" s="4">
        <f t="shared" si="2"/>
        <v>2.1531736111181612E-2</v>
      </c>
      <c r="N21" s="1" t="s">
        <v>128</v>
      </c>
      <c r="O21" s="18"/>
      <c r="P21" s="13"/>
      <c r="Q21" s="13"/>
      <c r="R21" s="4">
        <f t="shared" ca="1" si="3"/>
        <v>0</v>
      </c>
      <c r="S21" s="19">
        <f t="shared" ca="1" si="4"/>
        <v>0</v>
      </c>
      <c r="T21" s="5" t="str">
        <f t="shared" ca="1" si="5"/>
        <v>No prazo</v>
      </c>
      <c r="U21" s="4">
        <f t="shared" ca="1" si="6"/>
        <v>0</v>
      </c>
      <c r="V21" s="20" t="str">
        <f>IF(N21="Concluído",COUNTIF($N$5:N21,"Concluído"),"")</f>
        <v/>
      </c>
      <c r="W21" s="20" t="str">
        <f>IF(N21="Em andamento",COUNTIF($N$5:N21,"Em andamento"),"")</f>
        <v/>
      </c>
      <c r="X21" s="20" t="str">
        <f ca="1">IF(AND(N21&lt;&gt;"Concluído",J21&lt;=RelSex+7,K21&gt;RelSex),COUNTIFS($N$5:N21,"&lt;&gt;Concluído",$J$5:J21,"&lt;="&amp;(RelSex+7),$K$5:K21,"&gt;"&amp;RelSex),"")</f>
        <v/>
      </c>
      <c r="Z21" s="21" t="str">
        <f t="shared" si="9"/>
        <v/>
      </c>
      <c r="AA21" s="21" t="str">
        <f t="shared" si="9"/>
        <v/>
      </c>
      <c r="AB21" s="21" t="str">
        <f t="shared" si="9"/>
        <v/>
      </c>
      <c r="AC21" s="21" t="str">
        <f t="shared" si="9"/>
        <v/>
      </c>
      <c r="AD21" s="21" t="str">
        <f t="shared" si="9"/>
        <v/>
      </c>
      <c r="AE21" s="21" t="str">
        <f t="shared" si="9"/>
        <v/>
      </c>
      <c r="AF21" s="21" t="str">
        <f t="shared" si="9"/>
        <v/>
      </c>
      <c r="AG21" s="21" t="str">
        <f t="shared" si="9"/>
        <v/>
      </c>
      <c r="AH21" s="21" t="str">
        <f t="shared" si="9"/>
        <v/>
      </c>
      <c r="AI21" s="21">
        <f t="shared" si="9"/>
        <v>1</v>
      </c>
      <c r="AJ21" s="21">
        <f t="shared" si="10"/>
        <v>1</v>
      </c>
      <c r="AK21" s="21">
        <f t="shared" si="10"/>
        <v>1</v>
      </c>
      <c r="AL21" s="21" t="str">
        <f t="shared" si="10"/>
        <v/>
      </c>
      <c r="AM21" s="21" t="str">
        <f t="shared" si="10"/>
        <v/>
      </c>
      <c r="AN21" s="21" t="str">
        <f t="shared" si="10"/>
        <v/>
      </c>
      <c r="AO21" s="21" t="str">
        <f t="shared" si="10"/>
        <v/>
      </c>
      <c r="AP21" s="21" t="str">
        <f t="shared" si="10"/>
        <v/>
      </c>
      <c r="AQ21" s="21" t="str">
        <f t="shared" si="10"/>
        <v/>
      </c>
      <c r="AR21" s="21" t="str">
        <f t="shared" si="10"/>
        <v/>
      </c>
      <c r="AS21" s="21" t="str">
        <f t="shared" si="10"/>
        <v/>
      </c>
    </row>
    <row r="22" spans="1:45" ht="25" x14ac:dyDescent="0.35">
      <c r="A22" s="17">
        <v>18</v>
      </c>
      <c r="B22" s="5" t="s">
        <v>124</v>
      </c>
      <c r="C22" s="5" t="s">
        <v>159</v>
      </c>
      <c r="D22" s="5" t="s">
        <v>166</v>
      </c>
      <c r="E22" s="5" t="s">
        <v>167</v>
      </c>
      <c r="F22" s="1">
        <v>17</v>
      </c>
      <c r="G22" s="1"/>
      <c r="H22" s="1">
        <v>8</v>
      </c>
      <c r="I22" s="1"/>
      <c r="J22" s="2">
        <f t="shared" si="0"/>
        <v>46401</v>
      </c>
      <c r="K22" s="2">
        <f t="shared" si="1"/>
        <v>46412</v>
      </c>
      <c r="L22" s="12">
        <f>SUMIFS(ORCAMENTO!$G$5:$G$200,ORCAMENTO!$H$5:$H$200,A22)</f>
        <v>28000</v>
      </c>
      <c r="M22" s="4">
        <f t="shared" si="2"/>
        <v>6.3960175165826985E-2</v>
      </c>
      <c r="N22" s="1" t="s">
        <v>128</v>
      </c>
      <c r="O22" s="18"/>
      <c r="P22" s="13"/>
      <c r="Q22" s="13"/>
      <c r="R22" s="4">
        <f t="shared" ca="1" si="3"/>
        <v>0</v>
      </c>
      <c r="S22" s="19">
        <f t="shared" ca="1" si="4"/>
        <v>0</v>
      </c>
      <c r="T22" s="5" t="str">
        <f t="shared" ca="1" si="5"/>
        <v>No prazo</v>
      </c>
      <c r="U22" s="4">
        <f t="shared" ca="1" si="6"/>
        <v>0</v>
      </c>
      <c r="V22" s="20" t="str">
        <f>IF(N22="Concluído",COUNTIF($N$5:N22,"Concluído"),"")</f>
        <v/>
      </c>
      <c r="W22" s="20" t="str">
        <f>IF(N22="Em andamento",COUNTIF($N$5:N22,"Em andamento"),"")</f>
        <v/>
      </c>
      <c r="X22" s="20" t="str">
        <f ca="1">IF(AND(N22&lt;&gt;"Concluído",J22&lt;=RelSex+7,K22&gt;RelSex),COUNTIFS($N$5:N22,"&lt;&gt;Concluído",$J$5:J22,"&lt;="&amp;(RelSex+7),$K$5:K22,"&gt;"&amp;RelSex),"")</f>
        <v/>
      </c>
      <c r="Z22" s="21" t="str">
        <f t="shared" si="9"/>
        <v/>
      </c>
      <c r="AA22" s="21" t="str">
        <f t="shared" si="9"/>
        <v/>
      </c>
      <c r="AB22" s="21" t="str">
        <f t="shared" si="9"/>
        <v/>
      </c>
      <c r="AC22" s="21" t="str">
        <f t="shared" si="9"/>
        <v/>
      </c>
      <c r="AD22" s="21" t="str">
        <f t="shared" si="9"/>
        <v/>
      </c>
      <c r="AE22" s="21" t="str">
        <f t="shared" si="9"/>
        <v/>
      </c>
      <c r="AF22" s="21" t="str">
        <f t="shared" si="9"/>
        <v/>
      </c>
      <c r="AG22" s="21" t="str">
        <f t="shared" si="9"/>
        <v/>
      </c>
      <c r="AH22" s="21" t="str">
        <f t="shared" si="9"/>
        <v/>
      </c>
      <c r="AI22" s="21" t="str">
        <f t="shared" si="9"/>
        <v/>
      </c>
      <c r="AJ22" s="21" t="str">
        <f t="shared" si="10"/>
        <v/>
      </c>
      <c r="AK22" s="21">
        <f t="shared" si="10"/>
        <v>1</v>
      </c>
      <c r="AL22" s="21">
        <f t="shared" si="10"/>
        <v>1</v>
      </c>
      <c r="AM22" s="21">
        <f t="shared" si="10"/>
        <v>1</v>
      </c>
      <c r="AN22" s="21" t="str">
        <f t="shared" si="10"/>
        <v/>
      </c>
      <c r="AO22" s="21" t="str">
        <f t="shared" si="10"/>
        <v/>
      </c>
      <c r="AP22" s="21" t="str">
        <f t="shared" si="10"/>
        <v/>
      </c>
      <c r="AQ22" s="21" t="str">
        <f t="shared" si="10"/>
        <v/>
      </c>
      <c r="AR22" s="21" t="str">
        <f t="shared" si="10"/>
        <v/>
      </c>
      <c r="AS22" s="21" t="str">
        <f t="shared" si="10"/>
        <v/>
      </c>
    </row>
    <row r="23" spans="1:45" ht="25" x14ac:dyDescent="0.35">
      <c r="A23" s="17">
        <v>19</v>
      </c>
      <c r="B23" s="5" t="s">
        <v>124</v>
      </c>
      <c r="C23" s="5" t="s">
        <v>168</v>
      </c>
      <c r="D23" s="5" t="s">
        <v>169</v>
      </c>
      <c r="E23" s="5" t="s">
        <v>170</v>
      </c>
      <c r="F23" s="1">
        <v>15</v>
      </c>
      <c r="G23" s="1"/>
      <c r="H23" s="1">
        <v>8</v>
      </c>
      <c r="I23" s="1"/>
      <c r="J23" s="2">
        <f t="shared" si="0"/>
        <v>46386</v>
      </c>
      <c r="K23" s="2">
        <f t="shared" si="1"/>
        <v>46398</v>
      </c>
      <c r="L23" s="12">
        <f>SUMIFS(ORCAMENTO!$G$5:$G$200,ORCAMENTO!$H$5:$H$200,A23)</f>
        <v>20000</v>
      </c>
      <c r="M23" s="4">
        <f t="shared" si="2"/>
        <v>4.5685839404162133E-2</v>
      </c>
      <c r="N23" s="1" t="s">
        <v>128</v>
      </c>
      <c r="O23" s="18"/>
      <c r="P23" s="13"/>
      <c r="Q23" s="13"/>
      <c r="R23" s="4">
        <f t="shared" ca="1" si="3"/>
        <v>0</v>
      </c>
      <c r="S23" s="19">
        <f t="shared" ca="1" si="4"/>
        <v>0</v>
      </c>
      <c r="T23" s="5" t="str">
        <f t="shared" ca="1" si="5"/>
        <v>No prazo</v>
      </c>
      <c r="U23" s="4">
        <f t="shared" ca="1" si="6"/>
        <v>0</v>
      </c>
      <c r="V23" s="20" t="str">
        <f>IF(N23="Concluído",COUNTIF($N$5:N23,"Concluído"),"")</f>
        <v/>
      </c>
      <c r="W23" s="20" t="str">
        <f>IF(N23="Em andamento",COUNTIF($N$5:N23,"Em andamento"),"")</f>
        <v/>
      </c>
      <c r="X23" s="20" t="str">
        <f ca="1">IF(AND(N23&lt;&gt;"Concluído",J23&lt;=RelSex+7,K23&gt;RelSex),COUNTIFS($N$5:N23,"&lt;&gt;Concluído",$J$5:J23,"&lt;="&amp;(RelSex+7),$K$5:K23,"&gt;"&amp;RelSex),"")</f>
        <v/>
      </c>
      <c r="Z23" s="21" t="str">
        <f t="shared" si="9"/>
        <v/>
      </c>
      <c r="AA23" s="21" t="str">
        <f t="shared" si="9"/>
        <v/>
      </c>
      <c r="AB23" s="21" t="str">
        <f t="shared" si="9"/>
        <v/>
      </c>
      <c r="AC23" s="21" t="str">
        <f t="shared" si="9"/>
        <v/>
      </c>
      <c r="AD23" s="21" t="str">
        <f t="shared" si="9"/>
        <v/>
      </c>
      <c r="AE23" s="21" t="str">
        <f t="shared" si="9"/>
        <v/>
      </c>
      <c r="AF23" s="21" t="str">
        <f t="shared" si="9"/>
        <v/>
      </c>
      <c r="AG23" s="21" t="str">
        <f t="shared" si="9"/>
        <v/>
      </c>
      <c r="AH23" s="21" t="str">
        <f t="shared" si="9"/>
        <v/>
      </c>
      <c r="AI23" s="21">
        <f t="shared" si="9"/>
        <v>1</v>
      </c>
      <c r="AJ23" s="21">
        <f t="shared" si="10"/>
        <v>1</v>
      </c>
      <c r="AK23" s="21">
        <f t="shared" si="10"/>
        <v>1</v>
      </c>
      <c r="AL23" s="21" t="str">
        <f t="shared" si="10"/>
        <v/>
      </c>
      <c r="AM23" s="21" t="str">
        <f t="shared" si="10"/>
        <v/>
      </c>
      <c r="AN23" s="21" t="str">
        <f t="shared" si="10"/>
        <v/>
      </c>
      <c r="AO23" s="21" t="str">
        <f t="shared" si="10"/>
        <v/>
      </c>
      <c r="AP23" s="21" t="str">
        <f t="shared" si="10"/>
        <v/>
      </c>
      <c r="AQ23" s="21" t="str">
        <f t="shared" si="10"/>
        <v/>
      </c>
      <c r="AR23" s="21" t="str">
        <f t="shared" si="10"/>
        <v/>
      </c>
      <c r="AS23" s="21" t="str">
        <f t="shared" si="10"/>
        <v/>
      </c>
    </row>
    <row r="24" spans="1:45" ht="25" x14ac:dyDescent="0.35">
      <c r="A24" s="17">
        <v>20</v>
      </c>
      <c r="B24" s="5" t="s">
        <v>124</v>
      </c>
      <c r="C24" s="5" t="s">
        <v>168</v>
      </c>
      <c r="D24" s="5" t="s">
        <v>171</v>
      </c>
      <c r="E24" s="5" t="s">
        <v>172</v>
      </c>
      <c r="F24" s="1">
        <v>18</v>
      </c>
      <c r="G24" s="1">
        <v>27</v>
      </c>
      <c r="H24" s="1">
        <v>3</v>
      </c>
      <c r="I24" s="1"/>
      <c r="J24" s="2">
        <f t="shared" si="0"/>
        <v>46413</v>
      </c>
      <c r="K24" s="2">
        <f t="shared" si="1"/>
        <v>46415</v>
      </c>
      <c r="L24" s="12">
        <f>SUMIFS(ORCAMENTO!$G$5:$G$200,ORCAMENTO!$H$5:$H$200,A24)</f>
        <v>13656</v>
      </c>
      <c r="M24" s="4">
        <f t="shared" si="2"/>
        <v>3.1194291145161902E-2</v>
      </c>
      <c r="N24" s="1" t="s">
        <v>128</v>
      </c>
      <c r="O24" s="18"/>
      <c r="P24" s="13"/>
      <c r="Q24" s="13"/>
      <c r="R24" s="4">
        <f t="shared" ca="1" si="3"/>
        <v>0</v>
      </c>
      <c r="S24" s="19">
        <f t="shared" ca="1" si="4"/>
        <v>0</v>
      </c>
      <c r="T24" s="5" t="str">
        <f t="shared" ca="1" si="5"/>
        <v>No prazo</v>
      </c>
      <c r="U24" s="4">
        <f t="shared" ca="1" si="6"/>
        <v>0</v>
      </c>
      <c r="V24" s="20" t="str">
        <f>IF(N24="Concluído",COUNTIF($N$5:N24,"Concluído"),"")</f>
        <v/>
      </c>
      <c r="W24" s="20" t="str">
        <f>IF(N24="Em andamento",COUNTIF($N$5:N24,"Em andamento"),"")</f>
        <v/>
      </c>
      <c r="X24" s="20" t="str">
        <f ca="1">IF(AND(N24&lt;&gt;"Concluído",J24&lt;=RelSex+7,K24&gt;RelSex),COUNTIFS($N$5:N24,"&lt;&gt;Concluído",$J$5:J24,"&lt;="&amp;(RelSex+7),$K$5:K24,"&gt;"&amp;RelSex),"")</f>
        <v/>
      </c>
      <c r="Z24" s="21" t="str">
        <f t="shared" si="9"/>
        <v/>
      </c>
      <c r="AA24" s="21" t="str">
        <f t="shared" si="9"/>
        <v/>
      </c>
      <c r="AB24" s="21" t="str">
        <f t="shared" si="9"/>
        <v/>
      </c>
      <c r="AC24" s="21" t="str">
        <f t="shared" si="9"/>
        <v/>
      </c>
      <c r="AD24" s="21" t="str">
        <f t="shared" si="9"/>
        <v/>
      </c>
      <c r="AE24" s="21" t="str">
        <f t="shared" si="9"/>
        <v/>
      </c>
      <c r="AF24" s="21" t="str">
        <f t="shared" si="9"/>
        <v/>
      </c>
      <c r="AG24" s="21" t="str">
        <f t="shared" si="9"/>
        <v/>
      </c>
      <c r="AH24" s="21" t="str">
        <f t="shared" si="9"/>
        <v/>
      </c>
      <c r="AI24" s="21" t="str">
        <f t="shared" si="9"/>
        <v/>
      </c>
      <c r="AJ24" s="21" t="str">
        <f t="shared" si="10"/>
        <v/>
      </c>
      <c r="AK24" s="21" t="str">
        <f t="shared" si="10"/>
        <v/>
      </c>
      <c r="AL24" s="21" t="str">
        <f t="shared" si="10"/>
        <v/>
      </c>
      <c r="AM24" s="21">
        <f t="shared" si="10"/>
        <v>1</v>
      </c>
      <c r="AN24" s="21" t="str">
        <f t="shared" si="10"/>
        <v/>
      </c>
      <c r="AO24" s="21" t="str">
        <f t="shared" si="10"/>
        <v/>
      </c>
      <c r="AP24" s="21" t="str">
        <f t="shared" si="10"/>
        <v/>
      </c>
      <c r="AQ24" s="21" t="str">
        <f t="shared" si="10"/>
        <v/>
      </c>
      <c r="AR24" s="21" t="str">
        <f t="shared" si="10"/>
        <v/>
      </c>
      <c r="AS24" s="21" t="str">
        <f t="shared" si="10"/>
        <v/>
      </c>
    </row>
    <row r="25" spans="1:45" ht="25" x14ac:dyDescent="0.35">
      <c r="A25" s="17">
        <v>21</v>
      </c>
      <c r="B25" s="5" t="s">
        <v>173</v>
      </c>
      <c r="C25" s="5" t="s">
        <v>174</v>
      </c>
      <c r="D25" s="5" t="s">
        <v>175</v>
      </c>
      <c r="E25" s="5" t="s">
        <v>176</v>
      </c>
      <c r="F25" s="1">
        <v>6</v>
      </c>
      <c r="G25" s="1"/>
      <c r="H25" s="1">
        <v>4</v>
      </c>
      <c r="I25" s="1"/>
      <c r="J25" s="2">
        <f t="shared" si="0"/>
        <v>46331</v>
      </c>
      <c r="K25" s="2">
        <f t="shared" si="1"/>
        <v>46336</v>
      </c>
      <c r="L25" s="12">
        <f>SUMIFS(ORCAMENTO!$G$5:$G$200,ORCAMENTO!$H$5:$H$200,A25)</f>
        <v>2122.5</v>
      </c>
      <c r="M25" s="4">
        <f t="shared" si="2"/>
        <v>4.8484097067667065E-3</v>
      </c>
      <c r="N25" s="1" t="s">
        <v>128</v>
      </c>
      <c r="O25" s="18"/>
      <c r="P25" s="13"/>
      <c r="Q25" s="13"/>
      <c r="R25" s="4">
        <f t="shared" ca="1" si="3"/>
        <v>0</v>
      </c>
      <c r="S25" s="19">
        <f t="shared" ca="1" si="4"/>
        <v>0</v>
      </c>
      <c r="T25" s="5" t="str">
        <f t="shared" ca="1" si="5"/>
        <v>No prazo</v>
      </c>
      <c r="U25" s="4">
        <f t="shared" ca="1" si="6"/>
        <v>0</v>
      </c>
      <c r="V25" s="20" t="str">
        <f>IF(N25="Concluído",COUNTIF($N$5:N25,"Concluído"),"")</f>
        <v/>
      </c>
      <c r="W25" s="20" t="str">
        <f>IF(N25="Em andamento",COUNTIF($N$5:N25,"Em andamento"),"")</f>
        <v/>
      </c>
      <c r="X25" s="20" t="str">
        <f ca="1">IF(AND(N25&lt;&gt;"Concluído",J25&lt;=RelSex+7,K25&gt;RelSex),COUNTIFS($N$5:N25,"&lt;&gt;Concluído",$J$5:J25,"&lt;="&amp;(RelSex+7),$K$5:K25,"&gt;"&amp;RelSex),"")</f>
        <v/>
      </c>
      <c r="Z25" s="21" t="str">
        <f t="shared" ref="Z25:AI32" si="11">IF(AND(Z$4&lt;=$K25,Z$4+4&gt;=$J25),1,"")</f>
        <v/>
      </c>
      <c r="AA25" s="21">
        <f t="shared" si="11"/>
        <v>1</v>
      </c>
      <c r="AB25" s="21">
        <f t="shared" si="11"/>
        <v>1</v>
      </c>
      <c r="AC25" s="21" t="str">
        <f t="shared" si="11"/>
        <v/>
      </c>
      <c r="AD25" s="21" t="str">
        <f t="shared" si="11"/>
        <v/>
      </c>
      <c r="AE25" s="21" t="str">
        <f t="shared" si="11"/>
        <v/>
      </c>
      <c r="AF25" s="21" t="str">
        <f t="shared" si="11"/>
        <v/>
      </c>
      <c r="AG25" s="21" t="str">
        <f t="shared" si="11"/>
        <v/>
      </c>
      <c r="AH25" s="21" t="str">
        <f t="shared" si="11"/>
        <v/>
      </c>
      <c r="AI25" s="21" t="str">
        <f t="shared" si="11"/>
        <v/>
      </c>
      <c r="AJ25" s="21" t="str">
        <f t="shared" ref="AJ25:AS32" si="12">IF(AND(AJ$4&lt;=$K25,AJ$4+4&gt;=$J25),1,"")</f>
        <v/>
      </c>
      <c r="AK25" s="21" t="str">
        <f t="shared" si="12"/>
        <v/>
      </c>
      <c r="AL25" s="21" t="str">
        <f t="shared" si="12"/>
        <v/>
      </c>
      <c r="AM25" s="21" t="str">
        <f t="shared" si="12"/>
        <v/>
      </c>
      <c r="AN25" s="21" t="str">
        <f t="shared" si="12"/>
        <v/>
      </c>
      <c r="AO25" s="21" t="str">
        <f t="shared" si="12"/>
        <v/>
      </c>
      <c r="AP25" s="21" t="str">
        <f t="shared" si="12"/>
        <v/>
      </c>
      <c r="AQ25" s="21" t="str">
        <f t="shared" si="12"/>
        <v/>
      </c>
      <c r="AR25" s="21" t="str">
        <f t="shared" si="12"/>
        <v/>
      </c>
      <c r="AS25" s="21" t="str">
        <f t="shared" si="12"/>
        <v/>
      </c>
    </row>
    <row r="26" spans="1:45" ht="25" x14ac:dyDescent="0.35">
      <c r="A26" s="17">
        <v>22</v>
      </c>
      <c r="B26" s="5" t="s">
        <v>173</v>
      </c>
      <c r="C26" s="5" t="s">
        <v>174</v>
      </c>
      <c r="D26" s="5" t="s">
        <v>177</v>
      </c>
      <c r="E26" s="5" t="s">
        <v>178</v>
      </c>
      <c r="F26" s="1">
        <v>21</v>
      </c>
      <c r="G26" s="1"/>
      <c r="H26" s="1">
        <v>10</v>
      </c>
      <c r="I26" s="1"/>
      <c r="J26" s="2">
        <f t="shared" si="0"/>
        <v>46337</v>
      </c>
      <c r="K26" s="2">
        <f t="shared" si="1"/>
        <v>46351</v>
      </c>
      <c r="L26" s="12">
        <f>SUMIFS(ORCAMENTO!$G$5:$G$200,ORCAMENTO!$H$5:$H$200,A26)</f>
        <v>38254.25</v>
      </c>
      <c r="M26" s="4">
        <f t="shared" si="2"/>
        <v>8.7383876101333455E-2</v>
      </c>
      <c r="N26" s="1" t="s">
        <v>128</v>
      </c>
      <c r="O26" s="18"/>
      <c r="P26" s="13"/>
      <c r="Q26" s="13"/>
      <c r="R26" s="4">
        <f t="shared" ca="1" si="3"/>
        <v>0</v>
      </c>
      <c r="S26" s="19">
        <f t="shared" ca="1" si="4"/>
        <v>0</v>
      </c>
      <c r="T26" s="5" t="str">
        <f t="shared" ca="1" si="5"/>
        <v>No prazo</v>
      </c>
      <c r="U26" s="4">
        <f t="shared" ca="1" si="6"/>
        <v>0</v>
      </c>
      <c r="V26" s="20" t="str">
        <f>IF(N26="Concluído",COUNTIF($N$5:N26,"Concluído"),"")</f>
        <v/>
      </c>
      <c r="W26" s="20" t="str">
        <f>IF(N26="Em andamento",COUNTIF($N$5:N26,"Em andamento"),"")</f>
        <v/>
      </c>
      <c r="X26" s="20" t="str">
        <f ca="1">IF(AND(N26&lt;&gt;"Concluído",J26&lt;=RelSex+7,K26&gt;RelSex),COUNTIFS($N$5:N26,"&lt;&gt;Concluído",$J$5:J26,"&lt;="&amp;(RelSex+7),$K$5:K26,"&gt;"&amp;RelSex),"")</f>
        <v/>
      </c>
      <c r="Z26" s="21" t="str">
        <f t="shared" si="11"/>
        <v/>
      </c>
      <c r="AA26" s="21" t="str">
        <f t="shared" si="11"/>
        <v/>
      </c>
      <c r="AB26" s="21">
        <f t="shared" si="11"/>
        <v>1</v>
      </c>
      <c r="AC26" s="21">
        <f t="shared" si="11"/>
        <v>1</v>
      </c>
      <c r="AD26" s="21">
        <f t="shared" si="11"/>
        <v>1</v>
      </c>
      <c r="AE26" s="21" t="str">
        <f t="shared" si="11"/>
        <v/>
      </c>
      <c r="AF26" s="21" t="str">
        <f t="shared" si="11"/>
        <v/>
      </c>
      <c r="AG26" s="21" t="str">
        <f t="shared" si="11"/>
        <v/>
      </c>
      <c r="AH26" s="21" t="str">
        <f t="shared" si="11"/>
        <v/>
      </c>
      <c r="AI26" s="21" t="str">
        <f t="shared" si="11"/>
        <v/>
      </c>
      <c r="AJ26" s="21" t="str">
        <f t="shared" si="12"/>
        <v/>
      </c>
      <c r="AK26" s="21" t="str">
        <f t="shared" si="12"/>
        <v/>
      </c>
      <c r="AL26" s="21" t="str">
        <f t="shared" si="12"/>
        <v/>
      </c>
      <c r="AM26" s="21" t="str">
        <f t="shared" si="12"/>
        <v/>
      </c>
      <c r="AN26" s="21" t="str">
        <f t="shared" si="12"/>
        <v/>
      </c>
      <c r="AO26" s="21" t="str">
        <f t="shared" si="12"/>
        <v/>
      </c>
      <c r="AP26" s="21" t="str">
        <f t="shared" si="12"/>
        <v/>
      </c>
      <c r="AQ26" s="21" t="str">
        <f t="shared" si="12"/>
        <v/>
      </c>
      <c r="AR26" s="21" t="str">
        <f t="shared" si="12"/>
        <v/>
      </c>
      <c r="AS26" s="21" t="str">
        <f t="shared" si="12"/>
        <v/>
      </c>
    </row>
    <row r="27" spans="1:45" ht="25" x14ac:dyDescent="0.35">
      <c r="A27" s="17">
        <v>23</v>
      </c>
      <c r="B27" s="5" t="s">
        <v>173</v>
      </c>
      <c r="C27" s="5" t="s">
        <v>174</v>
      </c>
      <c r="D27" s="5" t="s">
        <v>179</v>
      </c>
      <c r="E27" s="5" t="s">
        <v>180</v>
      </c>
      <c r="F27" s="1">
        <v>21</v>
      </c>
      <c r="G27" s="1"/>
      <c r="H27" s="1">
        <v>5</v>
      </c>
      <c r="I27" s="1"/>
      <c r="J27" s="2">
        <f t="shared" si="0"/>
        <v>46337</v>
      </c>
      <c r="K27" s="2">
        <f t="shared" si="1"/>
        <v>46343</v>
      </c>
      <c r="L27" s="12">
        <f>SUMIFS(ORCAMENTO!$G$5:$G$200,ORCAMENTO!$H$5:$H$200,A27)</f>
        <v>22042.6</v>
      </c>
      <c r="M27" s="4">
        <f t="shared" si="2"/>
        <v>5.0351734182509204E-2</v>
      </c>
      <c r="N27" s="1" t="s">
        <v>128</v>
      </c>
      <c r="O27" s="18"/>
      <c r="P27" s="13"/>
      <c r="Q27" s="13"/>
      <c r="R27" s="4">
        <f t="shared" ca="1" si="3"/>
        <v>0</v>
      </c>
      <c r="S27" s="19">
        <f t="shared" ca="1" si="4"/>
        <v>0</v>
      </c>
      <c r="T27" s="5" t="str">
        <f t="shared" ca="1" si="5"/>
        <v>No prazo</v>
      </c>
      <c r="U27" s="4">
        <f t="shared" ca="1" si="6"/>
        <v>0</v>
      </c>
      <c r="V27" s="20" t="str">
        <f>IF(N27="Concluído",COUNTIF($N$5:N27,"Concluído"),"")</f>
        <v/>
      </c>
      <c r="W27" s="20" t="str">
        <f>IF(N27="Em andamento",COUNTIF($N$5:N27,"Em andamento"),"")</f>
        <v/>
      </c>
      <c r="X27" s="20" t="str">
        <f ca="1">IF(AND(N27&lt;&gt;"Concluído",J27&lt;=RelSex+7,K27&gt;RelSex),COUNTIFS($N$5:N27,"&lt;&gt;Concluído",$J$5:J27,"&lt;="&amp;(RelSex+7),$K$5:K27,"&gt;"&amp;RelSex),"")</f>
        <v/>
      </c>
      <c r="Z27" s="21" t="str">
        <f t="shared" si="11"/>
        <v/>
      </c>
      <c r="AA27" s="21" t="str">
        <f t="shared" si="11"/>
        <v/>
      </c>
      <c r="AB27" s="21">
        <f t="shared" si="11"/>
        <v>1</v>
      </c>
      <c r="AC27" s="21">
        <f t="shared" si="11"/>
        <v>1</v>
      </c>
      <c r="AD27" s="21" t="str">
        <f t="shared" si="11"/>
        <v/>
      </c>
      <c r="AE27" s="21" t="str">
        <f t="shared" si="11"/>
        <v/>
      </c>
      <c r="AF27" s="21" t="str">
        <f t="shared" si="11"/>
        <v/>
      </c>
      <c r="AG27" s="21" t="str">
        <f t="shared" si="11"/>
        <v/>
      </c>
      <c r="AH27" s="21" t="str">
        <f t="shared" si="11"/>
        <v/>
      </c>
      <c r="AI27" s="21" t="str">
        <f t="shared" si="11"/>
        <v/>
      </c>
      <c r="AJ27" s="21" t="str">
        <f t="shared" si="12"/>
        <v/>
      </c>
      <c r="AK27" s="21" t="str">
        <f t="shared" si="12"/>
        <v/>
      </c>
      <c r="AL27" s="21" t="str">
        <f t="shared" si="12"/>
        <v/>
      </c>
      <c r="AM27" s="21" t="str">
        <f t="shared" si="12"/>
        <v/>
      </c>
      <c r="AN27" s="21" t="str">
        <f t="shared" si="12"/>
        <v/>
      </c>
      <c r="AO27" s="21" t="str">
        <f t="shared" si="12"/>
        <v/>
      </c>
      <c r="AP27" s="21" t="str">
        <f t="shared" si="12"/>
        <v/>
      </c>
      <c r="AQ27" s="21" t="str">
        <f t="shared" si="12"/>
        <v/>
      </c>
      <c r="AR27" s="21" t="str">
        <f t="shared" si="12"/>
        <v/>
      </c>
      <c r="AS27" s="21" t="str">
        <f t="shared" si="12"/>
        <v/>
      </c>
    </row>
    <row r="28" spans="1:45" ht="25" x14ac:dyDescent="0.35">
      <c r="A28" s="17">
        <v>24</v>
      </c>
      <c r="B28" s="5" t="s">
        <v>173</v>
      </c>
      <c r="C28" s="5" t="s">
        <v>174</v>
      </c>
      <c r="D28" s="5" t="s">
        <v>181</v>
      </c>
      <c r="E28" s="5" t="s">
        <v>182</v>
      </c>
      <c r="F28" s="1">
        <v>22</v>
      </c>
      <c r="G28" s="1"/>
      <c r="H28" s="1">
        <v>6</v>
      </c>
      <c r="I28" s="1"/>
      <c r="J28" s="2">
        <f t="shared" si="0"/>
        <v>46352</v>
      </c>
      <c r="K28" s="2">
        <f t="shared" si="1"/>
        <v>46359</v>
      </c>
      <c r="L28" s="12">
        <f>SUMIFS(ORCAMENTO!$G$5:$G$200,ORCAMENTO!$H$5:$H$200,A28)</f>
        <v>24917.599999999999</v>
      </c>
      <c r="M28" s="4">
        <f t="shared" si="2"/>
        <v>5.6919073596857515E-2</v>
      </c>
      <c r="N28" s="1" t="s">
        <v>128</v>
      </c>
      <c r="O28" s="18"/>
      <c r="P28" s="13"/>
      <c r="Q28" s="13"/>
      <c r="R28" s="4">
        <f t="shared" ca="1" si="3"/>
        <v>0</v>
      </c>
      <c r="S28" s="19">
        <f t="shared" ca="1" si="4"/>
        <v>0</v>
      </c>
      <c r="T28" s="5" t="str">
        <f t="shared" ca="1" si="5"/>
        <v>No prazo</v>
      </c>
      <c r="U28" s="4">
        <f t="shared" ca="1" si="6"/>
        <v>0</v>
      </c>
      <c r="V28" s="20" t="str">
        <f>IF(N28="Concluído",COUNTIF($N$5:N28,"Concluído"),"")</f>
        <v/>
      </c>
      <c r="W28" s="20" t="str">
        <f>IF(N28="Em andamento",COUNTIF($N$5:N28,"Em andamento"),"")</f>
        <v/>
      </c>
      <c r="X28" s="20" t="str">
        <f ca="1">IF(AND(N28&lt;&gt;"Concluído",J28&lt;=RelSex+7,K28&gt;RelSex),COUNTIFS($N$5:N28,"&lt;&gt;Concluído",$J$5:J28,"&lt;="&amp;(RelSex+7),$K$5:K28,"&gt;"&amp;RelSex),"")</f>
        <v/>
      </c>
      <c r="Z28" s="21" t="str">
        <f t="shared" si="11"/>
        <v/>
      </c>
      <c r="AA28" s="21" t="str">
        <f t="shared" si="11"/>
        <v/>
      </c>
      <c r="AB28" s="21" t="str">
        <f t="shared" si="11"/>
        <v/>
      </c>
      <c r="AC28" s="21" t="str">
        <f t="shared" si="11"/>
        <v/>
      </c>
      <c r="AD28" s="21">
        <f t="shared" si="11"/>
        <v>1</v>
      </c>
      <c r="AE28" s="21">
        <f t="shared" si="11"/>
        <v>1</v>
      </c>
      <c r="AF28" s="21" t="str">
        <f t="shared" si="11"/>
        <v/>
      </c>
      <c r="AG28" s="21" t="str">
        <f t="shared" si="11"/>
        <v/>
      </c>
      <c r="AH28" s="21" t="str">
        <f t="shared" si="11"/>
        <v/>
      </c>
      <c r="AI28" s="21" t="str">
        <f t="shared" si="11"/>
        <v/>
      </c>
      <c r="AJ28" s="21" t="str">
        <f t="shared" si="12"/>
        <v/>
      </c>
      <c r="AK28" s="21" t="str">
        <f t="shared" si="12"/>
        <v/>
      </c>
      <c r="AL28" s="21" t="str">
        <f t="shared" si="12"/>
        <v/>
      </c>
      <c r="AM28" s="21" t="str">
        <f t="shared" si="12"/>
        <v/>
      </c>
      <c r="AN28" s="21" t="str">
        <f t="shared" si="12"/>
        <v/>
      </c>
      <c r="AO28" s="21" t="str">
        <f t="shared" si="12"/>
        <v/>
      </c>
      <c r="AP28" s="21" t="str">
        <f t="shared" si="12"/>
        <v/>
      </c>
      <c r="AQ28" s="21" t="str">
        <f t="shared" si="12"/>
        <v/>
      </c>
      <c r="AR28" s="21" t="str">
        <f t="shared" si="12"/>
        <v/>
      </c>
      <c r="AS28" s="21" t="str">
        <f t="shared" si="12"/>
        <v/>
      </c>
    </row>
    <row r="29" spans="1:45" ht="25" x14ac:dyDescent="0.35">
      <c r="A29" s="17">
        <v>25</v>
      </c>
      <c r="B29" s="5" t="s">
        <v>173</v>
      </c>
      <c r="C29" s="5" t="s">
        <v>174</v>
      </c>
      <c r="D29" s="5" t="s">
        <v>183</v>
      </c>
      <c r="E29" s="5" t="s">
        <v>184</v>
      </c>
      <c r="F29" s="1">
        <v>24</v>
      </c>
      <c r="G29" s="1">
        <v>23</v>
      </c>
      <c r="H29" s="1">
        <v>6</v>
      </c>
      <c r="I29" s="1"/>
      <c r="J29" s="2">
        <f t="shared" si="0"/>
        <v>46360</v>
      </c>
      <c r="K29" s="2">
        <f t="shared" si="1"/>
        <v>46367</v>
      </c>
      <c r="L29" s="12">
        <f>SUMIFS(ORCAMENTO!$G$5:$G$200,ORCAMENTO!$H$5:$H$200,A29)</f>
        <v>35648.079587771208</v>
      </c>
      <c r="M29" s="4">
        <f t="shared" si="2"/>
        <v>8.1430621955685276E-2</v>
      </c>
      <c r="N29" s="1" t="s">
        <v>128</v>
      </c>
      <c r="O29" s="18"/>
      <c r="P29" s="13"/>
      <c r="Q29" s="13"/>
      <c r="R29" s="4">
        <f t="shared" ca="1" si="3"/>
        <v>0</v>
      </c>
      <c r="S29" s="19">
        <f t="shared" ca="1" si="4"/>
        <v>0</v>
      </c>
      <c r="T29" s="5" t="str">
        <f t="shared" ca="1" si="5"/>
        <v>No prazo</v>
      </c>
      <c r="U29" s="4">
        <f t="shared" ca="1" si="6"/>
        <v>0</v>
      </c>
      <c r="V29" s="20" t="str">
        <f>IF(N29="Concluído",COUNTIF($N$5:N29,"Concluído"),"")</f>
        <v/>
      </c>
      <c r="W29" s="20" t="str">
        <f>IF(N29="Em andamento",COUNTIF($N$5:N29,"Em andamento"),"")</f>
        <v/>
      </c>
      <c r="X29" s="20" t="str">
        <f ca="1">IF(AND(N29&lt;&gt;"Concluído",J29&lt;=RelSex+7,K29&gt;RelSex),COUNTIFS($N$5:N29,"&lt;&gt;Concluído",$J$5:J29,"&lt;="&amp;(RelSex+7),$K$5:K29,"&gt;"&amp;RelSex),"")</f>
        <v/>
      </c>
      <c r="Z29" s="21" t="str">
        <f t="shared" si="11"/>
        <v/>
      </c>
      <c r="AA29" s="21" t="str">
        <f t="shared" si="11"/>
        <v/>
      </c>
      <c r="AB29" s="21" t="str">
        <f t="shared" si="11"/>
        <v/>
      </c>
      <c r="AC29" s="21" t="str">
        <f t="shared" si="11"/>
        <v/>
      </c>
      <c r="AD29" s="21" t="str">
        <f t="shared" si="11"/>
        <v/>
      </c>
      <c r="AE29" s="21">
        <f t="shared" si="11"/>
        <v>1</v>
      </c>
      <c r="AF29" s="21">
        <f t="shared" si="11"/>
        <v>1</v>
      </c>
      <c r="AG29" s="21" t="str">
        <f t="shared" si="11"/>
        <v/>
      </c>
      <c r="AH29" s="21" t="str">
        <f t="shared" si="11"/>
        <v/>
      </c>
      <c r="AI29" s="21" t="str">
        <f t="shared" si="11"/>
        <v/>
      </c>
      <c r="AJ29" s="21" t="str">
        <f t="shared" si="12"/>
        <v/>
      </c>
      <c r="AK29" s="21" t="str">
        <f t="shared" si="12"/>
        <v/>
      </c>
      <c r="AL29" s="21" t="str">
        <f t="shared" si="12"/>
        <v/>
      </c>
      <c r="AM29" s="21" t="str">
        <f t="shared" si="12"/>
        <v/>
      </c>
      <c r="AN29" s="21" t="str">
        <f t="shared" si="12"/>
        <v/>
      </c>
      <c r="AO29" s="21" t="str">
        <f t="shared" si="12"/>
        <v/>
      </c>
      <c r="AP29" s="21" t="str">
        <f t="shared" si="12"/>
        <v/>
      </c>
      <c r="AQ29" s="21" t="str">
        <f t="shared" si="12"/>
        <v/>
      </c>
      <c r="AR29" s="21" t="str">
        <f t="shared" si="12"/>
        <v/>
      </c>
      <c r="AS29" s="21" t="str">
        <f t="shared" si="12"/>
        <v/>
      </c>
    </row>
    <row r="30" spans="1:45" ht="25" x14ac:dyDescent="0.35">
      <c r="A30" s="17">
        <v>26</v>
      </c>
      <c r="B30" s="5" t="s">
        <v>173</v>
      </c>
      <c r="C30" s="5" t="s">
        <v>174</v>
      </c>
      <c r="D30" s="5" t="s">
        <v>185</v>
      </c>
      <c r="E30" s="5" t="s">
        <v>186</v>
      </c>
      <c r="F30" s="1">
        <v>24</v>
      </c>
      <c r="G30" s="1"/>
      <c r="H30" s="1">
        <v>4</v>
      </c>
      <c r="I30" s="1"/>
      <c r="J30" s="2">
        <f t="shared" si="0"/>
        <v>46360</v>
      </c>
      <c r="K30" s="2">
        <f t="shared" si="1"/>
        <v>46365</v>
      </c>
      <c r="L30" s="12">
        <f>SUMIFS(ORCAMENTO!$G$5:$G$200,ORCAMENTO!$H$5:$H$200,A30)</f>
        <v>14246.2</v>
      </c>
      <c r="M30" s="4">
        <f t="shared" si="2"/>
        <v>3.2542480265978731E-2</v>
      </c>
      <c r="N30" s="1" t="s">
        <v>128</v>
      </c>
      <c r="O30" s="18"/>
      <c r="P30" s="13"/>
      <c r="Q30" s="13"/>
      <c r="R30" s="4">
        <f t="shared" ca="1" si="3"/>
        <v>0</v>
      </c>
      <c r="S30" s="19">
        <f t="shared" ca="1" si="4"/>
        <v>0</v>
      </c>
      <c r="T30" s="5" t="str">
        <f t="shared" ca="1" si="5"/>
        <v>No prazo</v>
      </c>
      <c r="U30" s="4">
        <f t="shared" ca="1" si="6"/>
        <v>0</v>
      </c>
      <c r="V30" s="20" t="str">
        <f>IF(N30="Concluído",COUNTIF($N$5:N30,"Concluído"),"")</f>
        <v/>
      </c>
      <c r="W30" s="20" t="str">
        <f>IF(N30="Em andamento",COUNTIF($N$5:N30,"Em andamento"),"")</f>
        <v/>
      </c>
      <c r="X30" s="20" t="str">
        <f ca="1">IF(AND(N30&lt;&gt;"Concluído",J30&lt;=RelSex+7,K30&gt;RelSex),COUNTIFS($N$5:N30,"&lt;&gt;Concluído",$J$5:J30,"&lt;="&amp;(RelSex+7),$K$5:K30,"&gt;"&amp;RelSex),"")</f>
        <v/>
      </c>
      <c r="Z30" s="21" t="str">
        <f t="shared" si="11"/>
        <v/>
      </c>
      <c r="AA30" s="21" t="str">
        <f t="shared" si="11"/>
        <v/>
      </c>
      <c r="AB30" s="21" t="str">
        <f t="shared" si="11"/>
        <v/>
      </c>
      <c r="AC30" s="21" t="str">
        <f t="shared" si="11"/>
        <v/>
      </c>
      <c r="AD30" s="21" t="str">
        <f t="shared" si="11"/>
        <v/>
      </c>
      <c r="AE30" s="21">
        <f t="shared" si="11"/>
        <v>1</v>
      </c>
      <c r="AF30" s="21">
        <f t="shared" si="11"/>
        <v>1</v>
      </c>
      <c r="AG30" s="21" t="str">
        <f t="shared" si="11"/>
        <v/>
      </c>
      <c r="AH30" s="21" t="str">
        <f t="shared" si="11"/>
        <v/>
      </c>
      <c r="AI30" s="21" t="str">
        <f t="shared" si="11"/>
        <v/>
      </c>
      <c r="AJ30" s="21" t="str">
        <f t="shared" si="12"/>
        <v/>
      </c>
      <c r="AK30" s="21" t="str">
        <f t="shared" si="12"/>
        <v/>
      </c>
      <c r="AL30" s="21" t="str">
        <f t="shared" si="12"/>
        <v/>
      </c>
      <c r="AM30" s="21" t="str">
        <f t="shared" si="12"/>
        <v/>
      </c>
      <c r="AN30" s="21" t="str">
        <f t="shared" si="12"/>
        <v/>
      </c>
      <c r="AO30" s="21" t="str">
        <f t="shared" si="12"/>
        <v/>
      </c>
      <c r="AP30" s="21" t="str">
        <f t="shared" si="12"/>
        <v/>
      </c>
      <c r="AQ30" s="21" t="str">
        <f t="shared" si="12"/>
        <v/>
      </c>
      <c r="AR30" s="21" t="str">
        <f t="shared" si="12"/>
        <v/>
      </c>
      <c r="AS30" s="21" t="str">
        <f t="shared" si="12"/>
        <v/>
      </c>
    </row>
    <row r="31" spans="1:45" ht="25" x14ac:dyDescent="0.35">
      <c r="A31" s="17">
        <v>27</v>
      </c>
      <c r="B31" s="5" t="s">
        <v>173</v>
      </c>
      <c r="C31" s="5" t="s">
        <v>174</v>
      </c>
      <c r="D31" s="5" t="s">
        <v>187</v>
      </c>
      <c r="E31" s="5" t="s">
        <v>188</v>
      </c>
      <c r="F31" s="1">
        <v>25</v>
      </c>
      <c r="G31" s="1">
        <v>19</v>
      </c>
      <c r="H31" s="1">
        <v>6</v>
      </c>
      <c r="I31" s="1"/>
      <c r="J31" s="2">
        <f t="shared" si="0"/>
        <v>46399</v>
      </c>
      <c r="K31" s="2">
        <f t="shared" si="1"/>
        <v>46406</v>
      </c>
      <c r="L31" s="12">
        <f>SUMIFS(ORCAMENTO!$G$5:$G$200,ORCAMENTO!$H$5:$H$200,A31)</f>
        <v>13620</v>
      </c>
      <c r="M31" s="4">
        <f t="shared" si="2"/>
        <v>3.1112056634234411E-2</v>
      </c>
      <c r="N31" s="1" t="s">
        <v>128</v>
      </c>
      <c r="O31" s="18"/>
      <c r="P31" s="13"/>
      <c r="Q31" s="13"/>
      <c r="R31" s="4">
        <f t="shared" ca="1" si="3"/>
        <v>0</v>
      </c>
      <c r="S31" s="19">
        <f t="shared" ca="1" si="4"/>
        <v>0</v>
      </c>
      <c r="T31" s="5" t="str">
        <f t="shared" ca="1" si="5"/>
        <v>No prazo</v>
      </c>
      <c r="U31" s="4">
        <f t="shared" ca="1" si="6"/>
        <v>0</v>
      </c>
      <c r="V31" s="20" t="str">
        <f>IF(N31="Concluído",COUNTIF($N$5:N31,"Concluído"),"")</f>
        <v/>
      </c>
      <c r="W31" s="20" t="str">
        <f>IF(N31="Em andamento",COUNTIF($N$5:N31,"Em andamento"),"")</f>
        <v/>
      </c>
      <c r="X31" s="20" t="str">
        <f ca="1">IF(AND(N31&lt;&gt;"Concluído",J31&lt;=RelSex+7,K31&gt;RelSex),COUNTIFS($N$5:N31,"&lt;&gt;Concluído",$J$5:J31,"&lt;="&amp;(RelSex+7),$K$5:K31,"&gt;"&amp;RelSex),"")</f>
        <v/>
      </c>
      <c r="Z31" s="21" t="str">
        <f t="shared" si="11"/>
        <v/>
      </c>
      <c r="AA31" s="21" t="str">
        <f t="shared" si="11"/>
        <v/>
      </c>
      <c r="AB31" s="21" t="str">
        <f t="shared" si="11"/>
        <v/>
      </c>
      <c r="AC31" s="21" t="str">
        <f t="shared" si="11"/>
        <v/>
      </c>
      <c r="AD31" s="21" t="str">
        <f t="shared" si="11"/>
        <v/>
      </c>
      <c r="AE31" s="21" t="str">
        <f t="shared" si="11"/>
        <v/>
      </c>
      <c r="AF31" s="21" t="str">
        <f t="shared" si="11"/>
        <v/>
      </c>
      <c r="AG31" s="21" t="str">
        <f t="shared" si="11"/>
        <v/>
      </c>
      <c r="AH31" s="21" t="str">
        <f t="shared" si="11"/>
        <v/>
      </c>
      <c r="AI31" s="21" t="str">
        <f t="shared" si="11"/>
        <v/>
      </c>
      <c r="AJ31" s="21" t="str">
        <f t="shared" si="12"/>
        <v/>
      </c>
      <c r="AK31" s="21">
        <f t="shared" si="12"/>
        <v>1</v>
      </c>
      <c r="AL31" s="21">
        <f t="shared" si="12"/>
        <v>1</v>
      </c>
      <c r="AM31" s="21" t="str">
        <f t="shared" si="12"/>
        <v/>
      </c>
      <c r="AN31" s="21" t="str">
        <f t="shared" si="12"/>
        <v/>
      </c>
      <c r="AO31" s="21" t="str">
        <f t="shared" si="12"/>
        <v/>
      </c>
      <c r="AP31" s="21" t="str">
        <f t="shared" si="12"/>
        <v/>
      </c>
      <c r="AQ31" s="21" t="str">
        <f t="shared" si="12"/>
        <v/>
      </c>
      <c r="AR31" s="21" t="str">
        <f t="shared" si="12"/>
        <v/>
      </c>
      <c r="AS31" s="21" t="str">
        <f t="shared" si="12"/>
        <v/>
      </c>
    </row>
    <row r="32" spans="1:45" ht="25" x14ac:dyDescent="0.35">
      <c r="A32" s="17">
        <v>28</v>
      </c>
      <c r="B32" s="5" t="s">
        <v>173</v>
      </c>
      <c r="C32" s="5" t="s">
        <v>174</v>
      </c>
      <c r="D32" s="5" t="s">
        <v>189</v>
      </c>
      <c r="E32" s="5" t="s">
        <v>190</v>
      </c>
      <c r="F32" s="1">
        <v>11</v>
      </c>
      <c r="G32" s="1"/>
      <c r="H32" s="1">
        <v>3</v>
      </c>
      <c r="I32" s="1"/>
      <c r="J32" s="2">
        <f t="shared" si="0"/>
        <v>46363</v>
      </c>
      <c r="K32" s="2">
        <f t="shared" si="1"/>
        <v>46365</v>
      </c>
      <c r="L32" s="12">
        <f>SUMIFS(ORCAMENTO!$G$5:$G$200,ORCAMENTO!$H$5:$H$200,A32)</f>
        <v>3792</v>
      </c>
      <c r="M32" s="4">
        <f t="shared" si="2"/>
        <v>8.6620351510291408E-3</v>
      </c>
      <c r="N32" s="1" t="s">
        <v>128</v>
      </c>
      <c r="O32" s="18"/>
      <c r="P32" s="13"/>
      <c r="Q32" s="13"/>
      <c r="R32" s="4">
        <f t="shared" ca="1" si="3"/>
        <v>0</v>
      </c>
      <c r="S32" s="19">
        <f t="shared" ca="1" si="4"/>
        <v>0</v>
      </c>
      <c r="T32" s="5" t="str">
        <f t="shared" ca="1" si="5"/>
        <v>No prazo</v>
      </c>
      <c r="U32" s="4">
        <f t="shared" ca="1" si="6"/>
        <v>0</v>
      </c>
      <c r="V32" s="20" t="str">
        <f>IF(N32="Concluído",COUNTIF($N$5:N32,"Concluído"),"")</f>
        <v/>
      </c>
      <c r="W32" s="20" t="str">
        <f>IF(N32="Em andamento",COUNTIF($N$5:N32,"Em andamento"),"")</f>
        <v/>
      </c>
      <c r="X32" s="20" t="str">
        <f ca="1">IF(AND(N32&lt;&gt;"Concluído",J32&lt;=RelSex+7,K32&gt;RelSex),COUNTIFS($N$5:N32,"&lt;&gt;Concluído",$J$5:J32,"&lt;="&amp;(RelSex+7),$K$5:K32,"&gt;"&amp;RelSex),"")</f>
        <v/>
      </c>
      <c r="Z32" s="21" t="str">
        <f t="shared" si="11"/>
        <v/>
      </c>
      <c r="AA32" s="21" t="str">
        <f t="shared" si="11"/>
        <v/>
      </c>
      <c r="AB32" s="21" t="str">
        <f t="shared" si="11"/>
        <v/>
      </c>
      <c r="AC32" s="21" t="str">
        <f t="shared" si="11"/>
        <v/>
      </c>
      <c r="AD32" s="21" t="str">
        <f t="shared" si="11"/>
        <v/>
      </c>
      <c r="AE32" s="21" t="str">
        <f t="shared" si="11"/>
        <v/>
      </c>
      <c r="AF32" s="21">
        <f t="shared" si="11"/>
        <v>1</v>
      </c>
      <c r="AG32" s="21" t="str">
        <f t="shared" si="11"/>
        <v/>
      </c>
      <c r="AH32" s="21" t="str">
        <f t="shared" si="11"/>
        <v/>
      </c>
      <c r="AI32" s="21" t="str">
        <f t="shared" si="11"/>
        <v/>
      </c>
      <c r="AJ32" s="21" t="str">
        <f t="shared" si="12"/>
        <v/>
      </c>
      <c r="AK32" s="21" t="str">
        <f t="shared" si="12"/>
        <v/>
      </c>
      <c r="AL32" s="21" t="str">
        <f t="shared" si="12"/>
        <v/>
      </c>
      <c r="AM32" s="21" t="str">
        <f t="shared" si="12"/>
        <v/>
      </c>
      <c r="AN32" s="21" t="str">
        <f t="shared" si="12"/>
        <v/>
      </c>
      <c r="AO32" s="21" t="str">
        <f t="shared" si="12"/>
        <v/>
      </c>
      <c r="AP32" s="21" t="str">
        <f t="shared" si="12"/>
        <v/>
      </c>
      <c r="AQ32" s="21" t="str">
        <f t="shared" si="12"/>
        <v/>
      </c>
      <c r="AR32" s="21" t="str">
        <f t="shared" si="12"/>
        <v/>
      </c>
      <c r="AS32" s="21" t="str">
        <f t="shared" si="12"/>
        <v/>
      </c>
    </row>
    <row r="34" spans="4:13" x14ac:dyDescent="0.35">
      <c r="D34" s="10" t="s">
        <v>191</v>
      </c>
      <c r="L34" s="22">
        <f>SUM(L5:L32)</f>
        <v>437772.40958777117</v>
      </c>
      <c r="M34" s="23">
        <f>SUM(M5:M32)</f>
        <v>1</v>
      </c>
    </row>
    <row r="35" spans="4:13" ht="26" x14ac:dyDescent="0.35">
      <c r="D35" s="24" t="s">
        <v>192</v>
      </c>
      <c r="L35" s="25">
        <f>SUMIFS(ORCAMENTO!$G$5:$G$200,ORCAMENTO!$H$5:$H$200,0)</f>
        <v>68568</v>
      </c>
    </row>
  </sheetData>
  <autoFilter ref="A4:U32" xr:uid="{00000000-0009-0000-0000-000002000000}"/>
  <conditionalFormatting sqref="A10:E10">
    <cfRule type="expression" dxfId="14" priority="9">
      <formula>$N$10&lt;&gt;"Concluído"</formula>
    </cfRule>
  </conditionalFormatting>
  <conditionalFormatting sqref="T5:T32">
    <cfRule type="cellIs" dxfId="13" priority="2" operator="equal">
      <formula>"ATRASADA"</formula>
    </cfRule>
    <cfRule type="cellIs" dxfId="12" priority="3" operator="equal">
      <formula>"INÍCIO ATRASADO"</formula>
    </cfRule>
    <cfRule type="cellIs" dxfId="11" priority="4" operator="equal">
      <formula>"BLOQUEADA"</formula>
    </cfRule>
    <cfRule type="cellIs" dxfId="10" priority="5" operator="equal">
      <formula>"Concluída"</formula>
    </cfRule>
  </conditionalFormatting>
  <conditionalFormatting sqref="Z5:AS32">
    <cfRule type="expression" dxfId="9" priority="6">
      <formula>AND(Z5=1,$N5="Concluído")</formula>
    </cfRule>
    <cfRule type="expression" dxfId="8" priority="7">
      <formula>AND(Z5=1,$T5="ATRASADA")</formula>
    </cfRule>
    <cfRule type="expression" dxfId="7" priority="8">
      <formula>Z5=1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LISTAS!$A$5:$A$8</xm:f>
          </x14:formula1>
          <x14:formula2>
            <xm:f>0</xm:f>
          </x14:formula2>
          <xm:sqref>N5:N32</xm:sqref>
        </x14:dataValidation>
        <x14:dataValidation type="list" allowBlank="1" xr:uid="{00000000-0002-0000-0200-000001000000}">
          <x14:formula1>
            <xm:f>LISTAS!$J$5:$J$13</xm:f>
          </x14:formula1>
          <x14:formula2>
            <xm:f>0</xm:f>
          </x14:formula2>
          <xm:sqref>I5:I32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ColWidth="8.6328125" defaultRowHeight="14.5" outlineLevelRow="1" x14ac:dyDescent="0.35"/>
  <cols>
    <col min="1" max="1" width="6" customWidth="1"/>
    <col min="2" max="2" width="34" customWidth="1"/>
    <col min="3" max="22" width="8" customWidth="1"/>
  </cols>
  <sheetData>
    <row r="1" spans="1:22" ht="18" x14ac:dyDescent="0.4">
      <c r="A1" s="6" t="s">
        <v>193</v>
      </c>
    </row>
    <row r="2" spans="1:22" x14ac:dyDescent="0.35">
      <c r="A2" s="7" t="s">
        <v>194</v>
      </c>
    </row>
    <row r="3" spans="1:22" x14ac:dyDescent="0.35">
      <c r="B3" s="26" t="s">
        <v>37</v>
      </c>
      <c r="C3" s="27">
        <f>DataBase+MOD(5-WEEKDAY(DataBase,2),7)+0</f>
        <v>46325</v>
      </c>
      <c r="D3" s="27">
        <f>DataBase+MOD(5-WEEKDAY(DataBase,2),7)+7</f>
        <v>46332</v>
      </c>
      <c r="E3" s="27">
        <f>DataBase+MOD(5-WEEKDAY(DataBase,2),7)+14</f>
        <v>46339</v>
      </c>
      <c r="F3" s="27">
        <f>DataBase+MOD(5-WEEKDAY(DataBase,2),7)+21</f>
        <v>46346</v>
      </c>
      <c r="G3" s="27">
        <f>DataBase+MOD(5-WEEKDAY(DataBase,2),7)+28</f>
        <v>46353</v>
      </c>
      <c r="H3" s="27">
        <f>DataBase+MOD(5-WEEKDAY(DataBase,2),7)+35</f>
        <v>46360</v>
      </c>
      <c r="I3" s="27">
        <f>DataBase+MOD(5-WEEKDAY(DataBase,2),7)+42</f>
        <v>46367</v>
      </c>
      <c r="J3" s="27">
        <f>DataBase+MOD(5-WEEKDAY(DataBase,2),7)+49</f>
        <v>46374</v>
      </c>
      <c r="K3" s="27">
        <f>DataBase+MOD(5-WEEKDAY(DataBase,2),7)+56</f>
        <v>46381</v>
      </c>
      <c r="L3" s="27">
        <f>DataBase+MOD(5-WEEKDAY(DataBase,2),7)+63</f>
        <v>46388</v>
      </c>
      <c r="M3" s="27">
        <f>DataBase+MOD(5-WEEKDAY(DataBase,2),7)+70</f>
        <v>46395</v>
      </c>
      <c r="N3" s="27">
        <f>DataBase+MOD(5-WEEKDAY(DataBase,2),7)+77</f>
        <v>46402</v>
      </c>
      <c r="O3" s="27">
        <f>DataBase+MOD(5-WEEKDAY(DataBase,2),7)+84</f>
        <v>46409</v>
      </c>
      <c r="P3" s="27">
        <f>DataBase+MOD(5-WEEKDAY(DataBase,2),7)+91</f>
        <v>46416</v>
      </c>
      <c r="Q3" s="27">
        <f>DataBase+MOD(5-WEEKDAY(DataBase,2),7)+98</f>
        <v>46423</v>
      </c>
      <c r="R3" s="27">
        <f>DataBase+MOD(5-WEEKDAY(DataBase,2),7)+105</f>
        <v>46430</v>
      </c>
      <c r="S3" s="27">
        <f>DataBase+MOD(5-WEEKDAY(DataBase,2),7)+112</f>
        <v>46437</v>
      </c>
      <c r="T3" s="27">
        <f>DataBase+MOD(5-WEEKDAY(DataBase,2),7)+119</f>
        <v>46444</v>
      </c>
      <c r="U3" s="27">
        <f>DataBase+MOD(5-WEEKDAY(DataBase,2),7)+126</f>
        <v>46451</v>
      </c>
      <c r="V3" s="27">
        <f>DataBase+MOD(5-WEEKDAY(DataBase,2),7)+133</f>
        <v>46458</v>
      </c>
    </row>
    <row r="5" spans="1:22" ht="24" outlineLevel="1" x14ac:dyDescent="0.35">
      <c r="A5" s="20">
        <f>CRONOGRAMA!A5</f>
        <v>1</v>
      </c>
      <c r="B5" s="20" t="str">
        <f>CRONOGRAMA!D5</f>
        <v>Reunião de partida no local: identificar P1–P4, treliça e faixa de piso afetada</v>
      </c>
      <c r="C5" s="28">
        <f>CRONOGRAMA!$M5*IF(C$3&lt;CRONOGRAMA!$J5,0,IF(C$3&gt;=CRONOGRAMA!$K5,1,NETWORKDAYS(CRONOGRAMA!$J5,C$3,Feriados)/MAX(CRONOGRAMA!$H5,1)))</f>
        <v>1.5190541601883909E-2</v>
      </c>
      <c r="D5" s="28">
        <f>CRONOGRAMA!$M5*IF(D$3&lt;CRONOGRAMA!$J5,0,IF(D$3&gt;=CRONOGRAMA!$K5,1,NETWORKDAYS(CRONOGRAMA!$J5,D$3,Feriados)/MAX(CRONOGRAMA!$H5,1)))</f>
        <v>1.5190541601883909E-2</v>
      </c>
      <c r="E5" s="28">
        <f>CRONOGRAMA!$M5*IF(E$3&lt;CRONOGRAMA!$J5,0,IF(E$3&gt;=CRONOGRAMA!$K5,1,NETWORKDAYS(CRONOGRAMA!$J5,E$3,Feriados)/MAX(CRONOGRAMA!$H5,1)))</f>
        <v>1.5190541601883909E-2</v>
      </c>
      <c r="F5" s="28">
        <f>CRONOGRAMA!$M5*IF(F$3&lt;CRONOGRAMA!$J5,0,IF(F$3&gt;=CRONOGRAMA!$K5,1,NETWORKDAYS(CRONOGRAMA!$J5,F$3,Feriados)/MAX(CRONOGRAMA!$H5,1)))</f>
        <v>1.5190541601883909E-2</v>
      </c>
      <c r="G5" s="28">
        <f>CRONOGRAMA!$M5*IF(G$3&lt;CRONOGRAMA!$J5,0,IF(G$3&gt;=CRONOGRAMA!$K5,1,NETWORKDAYS(CRONOGRAMA!$J5,G$3,Feriados)/MAX(CRONOGRAMA!$H5,1)))</f>
        <v>1.5190541601883909E-2</v>
      </c>
      <c r="H5" s="28">
        <f>CRONOGRAMA!$M5*IF(H$3&lt;CRONOGRAMA!$J5,0,IF(H$3&gt;=CRONOGRAMA!$K5,1,NETWORKDAYS(CRONOGRAMA!$J5,H$3,Feriados)/MAX(CRONOGRAMA!$H5,1)))</f>
        <v>1.5190541601883909E-2</v>
      </c>
      <c r="I5" s="28">
        <f>CRONOGRAMA!$M5*IF(I$3&lt;CRONOGRAMA!$J5,0,IF(I$3&gt;=CRONOGRAMA!$K5,1,NETWORKDAYS(CRONOGRAMA!$J5,I$3,Feriados)/MAX(CRONOGRAMA!$H5,1)))</f>
        <v>1.5190541601883909E-2</v>
      </c>
      <c r="J5" s="28">
        <f>CRONOGRAMA!$M5*IF(J$3&lt;CRONOGRAMA!$J5,0,IF(J$3&gt;=CRONOGRAMA!$K5,1,NETWORKDAYS(CRONOGRAMA!$J5,J$3,Feriados)/MAX(CRONOGRAMA!$H5,1)))</f>
        <v>1.5190541601883909E-2</v>
      </c>
      <c r="K5" s="28">
        <f>CRONOGRAMA!$M5*IF(K$3&lt;CRONOGRAMA!$J5,0,IF(K$3&gt;=CRONOGRAMA!$K5,1,NETWORKDAYS(CRONOGRAMA!$J5,K$3,Feriados)/MAX(CRONOGRAMA!$H5,1)))</f>
        <v>1.5190541601883909E-2</v>
      </c>
      <c r="L5" s="28">
        <f>CRONOGRAMA!$M5*IF(L$3&lt;CRONOGRAMA!$J5,0,IF(L$3&gt;=CRONOGRAMA!$K5,1,NETWORKDAYS(CRONOGRAMA!$J5,L$3,Feriados)/MAX(CRONOGRAMA!$H5,1)))</f>
        <v>1.5190541601883909E-2</v>
      </c>
      <c r="M5" s="28">
        <f>CRONOGRAMA!$M5*IF(M$3&lt;CRONOGRAMA!$J5,0,IF(M$3&gt;=CRONOGRAMA!$K5,1,NETWORKDAYS(CRONOGRAMA!$J5,M$3,Feriados)/MAX(CRONOGRAMA!$H5,1)))</f>
        <v>1.5190541601883909E-2</v>
      </c>
      <c r="N5" s="28">
        <f>CRONOGRAMA!$M5*IF(N$3&lt;CRONOGRAMA!$J5,0,IF(N$3&gt;=CRONOGRAMA!$K5,1,NETWORKDAYS(CRONOGRAMA!$J5,N$3,Feriados)/MAX(CRONOGRAMA!$H5,1)))</f>
        <v>1.5190541601883909E-2</v>
      </c>
      <c r="O5" s="28">
        <f>CRONOGRAMA!$M5*IF(O$3&lt;CRONOGRAMA!$J5,0,IF(O$3&gt;=CRONOGRAMA!$K5,1,NETWORKDAYS(CRONOGRAMA!$J5,O$3,Feriados)/MAX(CRONOGRAMA!$H5,1)))</f>
        <v>1.5190541601883909E-2</v>
      </c>
      <c r="P5" s="28">
        <f>CRONOGRAMA!$M5*IF(P$3&lt;CRONOGRAMA!$J5,0,IF(P$3&gt;=CRONOGRAMA!$K5,1,NETWORKDAYS(CRONOGRAMA!$J5,P$3,Feriados)/MAX(CRONOGRAMA!$H5,1)))</f>
        <v>1.5190541601883909E-2</v>
      </c>
      <c r="Q5" s="28">
        <f>CRONOGRAMA!$M5*IF(Q$3&lt;CRONOGRAMA!$J5,0,IF(Q$3&gt;=CRONOGRAMA!$K5,1,NETWORKDAYS(CRONOGRAMA!$J5,Q$3,Feriados)/MAX(CRONOGRAMA!$H5,1)))</f>
        <v>1.5190541601883909E-2</v>
      </c>
      <c r="R5" s="28">
        <f>CRONOGRAMA!$M5*IF(R$3&lt;CRONOGRAMA!$J5,0,IF(R$3&gt;=CRONOGRAMA!$K5,1,NETWORKDAYS(CRONOGRAMA!$J5,R$3,Feriados)/MAX(CRONOGRAMA!$H5,1)))</f>
        <v>1.5190541601883909E-2</v>
      </c>
      <c r="S5" s="28">
        <f>CRONOGRAMA!$M5*IF(S$3&lt;CRONOGRAMA!$J5,0,IF(S$3&gt;=CRONOGRAMA!$K5,1,NETWORKDAYS(CRONOGRAMA!$J5,S$3,Feriados)/MAX(CRONOGRAMA!$H5,1)))</f>
        <v>1.5190541601883909E-2</v>
      </c>
      <c r="T5" s="28">
        <f>CRONOGRAMA!$M5*IF(T$3&lt;CRONOGRAMA!$J5,0,IF(T$3&gt;=CRONOGRAMA!$K5,1,NETWORKDAYS(CRONOGRAMA!$J5,T$3,Feriados)/MAX(CRONOGRAMA!$H5,1)))</f>
        <v>1.5190541601883909E-2</v>
      </c>
      <c r="U5" s="28">
        <f>CRONOGRAMA!$M5*IF(U$3&lt;CRONOGRAMA!$J5,0,IF(U$3&gt;=CRONOGRAMA!$K5,1,NETWORKDAYS(CRONOGRAMA!$J5,U$3,Feriados)/MAX(CRONOGRAMA!$H5,1)))</f>
        <v>1.5190541601883909E-2</v>
      </c>
      <c r="V5" s="28">
        <f>CRONOGRAMA!$M5*IF(V$3&lt;CRONOGRAMA!$J5,0,IF(V$3&gt;=CRONOGRAMA!$K5,1,NETWORKDAYS(CRONOGRAMA!$J5,V$3,Feriados)/MAX(CRONOGRAMA!$H5,1)))</f>
        <v>1.5190541601883909E-2</v>
      </c>
    </row>
    <row r="6" spans="1:22" ht="24" outlineLevel="1" x14ac:dyDescent="0.35">
      <c r="A6" s="20">
        <f>CRONOGRAMA!A6</f>
        <v>2</v>
      </c>
      <c r="B6" s="20" t="str">
        <f>CRONOGRAMA!D6</f>
        <v>Pontos de acompanhamento fotográfico, relatório "antes da obra" e marcos de nível</v>
      </c>
      <c r="C6" s="28">
        <f>CRONOGRAMA!$M6*IF(C$3&lt;CRONOGRAMA!$J6,0,IF(C$3&gt;=CRONOGRAMA!$K6,1,NETWORKDAYS(CRONOGRAMA!$J6,C$3,Feriados)/MAX(CRONOGRAMA!$H6,1)))</f>
        <v>1.0279313865936479E-2</v>
      </c>
      <c r="D6" s="28">
        <f>CRONOGRAMA!$M6*IF(D$3&lt;CRONOGRAMA!$J6,0,IF(D$3&gt;=CRONOGRAMA!$K6,1,NETWORKDAYS(CRONOGRAMA!$J6,D$3,Feriados)/MAX(CRONOGRAMA!$H6,1)))</f>
        <v>1.0279313865936479E-2</v>
      </c>
      <c r="E6" s="28">
        <f>CRONOGRAMA!$M6*IF(E$3&lt;CRONOGRAMA!$J6,0,IF(E$3&gt;=CRONOGRAMA!$K6,1,NETWORKDAYS(CRONOGRAMA!$J6,E$3,Feriados)/MAX(CRONOGRAMA!$H6,1)))</f>
        <v>1.0279313865936479E-2</v>
      </c>
      <c r="F6" s="28">
        <f>CRONOGRAMA!$M6*IF(F$3&lt;CRONOGRAMA!$J6,0,IF(F$3&gt;=CRONOGRAMA!$K6,1,NETWORKDAYS(CRONOGRAMA!$J6,F$3,Feriados)/MAX(CRONOGRAMA!$H6,1)))</f>
        <v>1.0279313865936479E-2</v>
      </c>
      <c r="G6" s="28">
        <f>CRONOGRAMA!$M6*IF(G$3&lt;CRONOGRAMA!$J6,0,IF(G$3&gt;=CRONOGRAMA!$K6,1,NETWORKDAYS(CRONOGRAMA!$J6,G$3,Feriados)/MAX(CRONOGRAMA!$H6,1)))</f>
        <v>1.0279313865936479E-2</v>
      </c>
      <c r="H6" s="28">
        <f>CRONOGRAMA!$M6*IF(H$3&lt;CRONOGRAMA!$J6,0,IF(H$3&gt;=CRONOGRAMA!$K6,1,NETWORKDAYS(CRONOGRAMA!$J6,H$3,Feriados)/MAX(CRONOGRAMA!$H6,1)))</f>
        <v>1.0279313865936479E-2</v>
      </c>
      <c r="I6" s="28">
        <f>CRONOGRAMA!$M6*IF(I$3&lt;CRONOGRAMA!$J6,0,IF(I$3&gt;=CRONOGRAMA!$K6,1,NETWORKDAYS(CRONOGRAMA!$J6,I$3,Feriados)/MAX(CRONOGRAMA!$H6,1)))</f>
        <v>1.0279313865936479E-2</v>
      </c>
      <c r="J6" s="28">
        <f>CRONOGRAMA!$M6*IF(J$3&lt;CRONOGRAMA!$J6,0,IF(J$3&gt;=CRONOGRAMA!$K6,1,NETWORKDAYS(CRONOGRAMA!$J6,J$3,Feriados)/MAX(CRONOGRAMA!$H6,1)))</f>
        <v>1.0279313865936479E-2</v>
      </c>
      <c r="K6" s="28">
        <f>CRONOGRAMA!$M6*IF(K$3&lt;CRONOGRAMA!$J6,0,IF(K$3&gt;=CRONOGRAMA!$K6,1,NETWORKDAYS(CRONOGRAMA!$J6,K$3,Feriados)/MAX(CRONOGRAMA!$H6,1)))</f>
        <v>1.0279313865936479E-2</v>
      </c>
      <c r="L6" s="28">
        <f>CRONOGRAMA!$M6*IF(L$3&lt;CRONOGRAMA!$J6,0,IF(L$3&gt;=CRONOGRAMA!$K6,1,NETWORKDAYS(CRONOGRAMA!$J6,L$3,Feriados)/MAX(CRONOGRAMA!$H6,1)))</f>
        <v>1.0279313865936479E-2</v>
      </c>
      <c r="M6" s="28">
        <f>CRONOGRAMA!$M6*IF(M$3&lt;CRONOGRAMA!$J6,0,IF(M$3&gt;=CRONOGRAMA!$K6,1,NETWORKDAYS(CRONOGRAMA!$J6,M$3,Feriados)/MAX(CRONOGRAMA!$H6,1)))</f>
        <v>1.0279313865936479E-2</v>
      </c>
      <c r="N6" s="28">
        <f>CRONOGRAMA!$M6*IF(N$3&lt;CRONOGRAMA!$J6,0,IF(N$3&gt;=CRONOGRAMA!$K6,1,NETWORKDAYS(CRONOGRAMA!$J6,N$3,Feriados)/MAX(CRONOGRAMA!$H6,1)))</f>
        <v>1.0279313865936479E-2</v>
      </c>
      <c r="O6" s="28">
        <f>CRONOGRAMA!$M6*IF(O$3&lt;CRONOGRAMA!$J6,0,IF(O$3&gt;=CRONOGRAMA!$K6,1,NETWORKDAYS(CRONOGRAMA!$J6,O$3,Feriados)/MAX(CRONOGRAMA!$H6,1)))</f>
        <v>1.0279313865936479E-2</v>
      </c>
      <c r="P6" s="28">
        <f>CRONOGRAMA!$M6*IF(P$3&lt;CRONOGRAMA!$J6,0,IF(P$3&gt;=CRONOGRAMA!$K6,1,NETWORKDAYS(CRONOGRAMA!$J6,P$3,Feriados)/MAX(CRONOGRAMA!$H6,1)))</f>
        <v>1.0279313865936479E-2</v>
      </c>
      <c r="Q6" s="28">
        <f>CRONOGRAMA!$M6*IF(Q$3&lt;CRONOGRAMA!$J6,0,IF(Q$3&gt;=CRONOGRAMA!$K6,1,NETWORKDAYS(CRONOGRAMA!$J6,Q$3,Feriados)/MAX(CRONOGRAMA!$H6,1)))</f>
        <v>1.0279313865936479E-2</v>
      </c>
      <c r="R6" s="28">
        <f>CRONOGRAMA!$M6*IF(R$3&lt;CRONOGRAMA!$J6,0,IF(R$3&gt;=CRONOGRAMA!$K6,1,NETWORKDAYS(CRONOGRAMA!$J6,R$3,Feriados)/MAX(CRONOGRAMA!$H6,1)))</f>
        <v>1.0279313865936479E-2</v>
      </c>
      <c r="S6" s="28">
        <f>CRONOGRAMA!$M6*IF(S$3&lt;CRONOGRAMA!$J6,0,IF(S$3&gt;=CRONOGRAMA!$K6,1,NETWORKDAYS(CRONOGRAMA!$J6,S$3,Feriados)/MAX(CRONOGRAMA!$H6,1)))</f>
        <v>1.0279313865936479E-2</v>
      </c>
      <c r="T6" s="28">
        <f>CRONOGRAMA!$M6*IF(T$3&lt;CRONOGRAMA!$J6,0,IF(T$3&gt;=CRONOGRAMA!$K6,1,NETWORKDAYS(CRONOGRAMA!$J6,T$3,Feriados)/MAX(CRONOGRAMA!$H6,1)))</f>
        <v>1.0279313865936479E-2</v>
      </c>
      <c r="U6" s="28">
        <f>CRONOGRAMA!$M6*IF(U$3&lt;CRONOGRAMA!$J6,0,IF(U$3&gt;=CRONOGRAMA!$K6,1,NETWORKDAYS(CRONOGRAMA!$J6,U$3,Feriados)/MAX(CRONOGRAMA!$H6,1)))</f>
        <v>1.0279313865936479E-2</v>
      </c>
      <c r="V6" s="28">
        <f>CRONOGRAMA!$M6*IF(V$3&lt;CRONOGRAMA!$J6,0,IF(V$3&gt;=CRONOGRAMA!$K6,1,NETWORKDAYS(CRONOGRAMA!$J6,V$3,Feriados)/MAX(CRONOGRAMA!$H6,1)))</f>
        <v>1.0279313865936479E-2</v>
      </c>
    </row>
    <row r="7" spans="1:22" outlineLevel="1" x14ac:dyDescent="0.35">
      <c r="A7" s="20">
        <f>CRONOGRAMA!A7</f>
        <v>3</v>
      </c>
      <c r="B7" s="20" t="str">
        <f>CRONOGRAMA!D7</f>
        <v>Instalar divisória de fechamento da área</v>
      </c>
      <c r="C7" s="28">
        <f>CRONOGRAMA!$M7*IF(C$3&lt;CRONOGRAMA!$J7,0,IF(C$3&gt;=CRONOGRAMA!$K7,1,NETWORKDAYS(CRONOGRAMA!$J7,C$3,Feriados)/MAX(CRONOGRAMA!$H7,1)))</f>
        <v>4.0818470074042698E-2</v>
      </c>
      <c r="D7" s="28">
        <f>CRONOGRAMA!$M7*IF(D$3&lt;CRONOGRAMA!$J7,0,IF(D$3&gt;=CRONOGRAMA!$K7,1,NETWORKDAYS(CRONOGRAMA!$J7,D$3,Feriados)/MAX(CRONOGRAMA!$H7,1)))</f>
        <v>4.0818470074042698E-2</v>
      </c>
      <c r="E7" s="28">
        <f>CRONOGRAMA!$M7*IF(E$3&lt;CRONOGRAMA!$J7,0,IF(E$3&gt;=CRONOGRAMA!$K7,1,NETWORKDAYS(CRONOGRAMA!$J7,E$3,Feriados)/MAX(CRONOGRAMA!$H7,1)))</f>
        <v>4.0818470074042698E-2</v>
      </c>
      <c r="F7" s="28">
        <f>CRONOGRAMA!$M7*IF(F$3&lt;CRONOGRAMA!$J7,0,IF(F$3&gt;=CRONOGRAMA!$K7,1,NETWORKDAYS(CRONOGRAMA!$J7,F$3,Feriados)/MAX(CRONOGRAMA!$H7,1)))</f>
        <v>4.0818470074042698E-2</v>
      </c>
      <c r="G7" s="28">
        <f>CRONOGRAMA!$M7*IF(G$3&lt;CRONOGRAMA!$J7,0,IF(G$3&gt;=CRONOGRAMA!$K7,1,NETWORKDAYS(CRONOGRAMA!$J7,G$3,Feriados)/MAX(CRONOGRAMA!$H7,1)))</f>
        <v>4.0818470074042698E-2</v>
      </c>
      <c r="H7" s="28">
        <f>CRONOGRAMA!$M7*IF(H$3&lt;CRONOGRAMA!$J7,0,IF(H$3&gt;=CRONOGRAMA!$K7,1,NETWORKDAYS(CRONOGRAMA!$J7,H$3,Feriados)/MAX(CRONOGRAMA!$H7,1)))</f>
        <v>4.0818470074042698E-2</v>
      </c>
      <c r="I7" s="28">
        <f>CRONOGRAMA!$M7*IF(I$3&lt;CRONOGRAMA!$J7,0,IF(I$3&gt;=CRONOGRAMA!$K7,1,NETWORKDAYS(CRONOGRAMA!$J7,I$3,Feriados)/MAX(CRONOGRAMA!$H7,1)))</f>
        <v>4.0818470074042698E-2</v>
      </c>
      <c r="J7" s="28">
        <f>CRONOGRAMA!$M7*IF(J$3&lt;CRONOGRAMA!$J7,0,IF(J$3&gt;=CRONOGRAMA!$K7,1,NETWORKDAYS(CRONOGRAMA!$J7,J$3,Feriados)/MAX(CRONOGRAMA!$H7,1)))</f>
        <v>4.0818470074042698E-2</v>
      </c>
      <c r="K7" s="28">
        <f>CRONOGRAMA!$M7*IF(K$3&lt;CRONOGRAMA!$J7,0,IF(K$3&gt;=CRONOGRAMA!$K7,1,NETWORKDAYS(CRONOGRAMA!$J7,K$3,Feriados)/MAX(CRONOGRAMA!$H7,1)))</f>
        <v>4.0818470074042698E-2</v>
      </c>
      <c r="L7" s="28">
        <f>CRONOGRAMA!$M7*IF(L$3&lt;CRONOGRAMA!$J7,0,IF(L$3&gt;=CRONOGRAMA!$K7,1,NETWORKDAYS(CRONOGRAMA!$J7,L$3,Feriados)/MAX(CRONOGRAMA!$H7,1)))</f>
        <v>4.0818470074042698E-2</v>
      </c>
      <c r="M7" s="28">
        <f>CRONOGRAMA!$M7*IF(M$3&lt;CRONOGRAMA!$J7,0,IF(M$3&gt;=CRONOGRAMA!$K7,1,NETWORKDAYS(CRONOGRAMA!$J7,M$3,Feriados)/MAX(CRONOGRAMA!$H7,1)))</f>
        <v>4.0818470074042698E-2</v>
      </c>
      <c r="N7" s="28">
        <f>CRONOGRAMA!$M7*IF(N$3&lt;CRONOGRAMA!$J7,0,IF(N$3&gt;=CRONOGRAMA!$K7,1,NETWORKDAYS(CRONOGRAMA!$J7,N$3,Feriados)/MAX(CRONOGRAMA!$H7,1)))</f>
        <v>4.0818470074042698E-2</v>
      </c>
      <c r="O7" s="28">
        <f>CRONOGRAMA!$M7*IF(O$3&lt;CRONOGRAMA!$J7,0,IF(O$3&gt;=CRONOGRAMA!$K7,1,NETWORKDAYS(CRONOGRAMA!$J7,O$3,Feriados)/MAX(CRONOGRAMA!$H7,1)))</f>
        <v>4.0818470074042698E-2</v>
      </c>
      <c r="P7" s="28">
        <f>CRONOGRAMA!$M7*IF(P$3&lt;CRONOGRAMA!$J7,0,IF(P$3&gt;=CRONOGRAMA!$K7,1,NETWORKDAYS(CRONOGRAMA!$J7,P$3,Feriados)/MAX(CRONOGRAMA!$H7,1)))</f>
        <v>4.0818470074042698E-2</v>
      </c>
      <c r="Q7" s="28">
        <f>CRONOGRAMA!$M7*IF(Q$3&lt;CRONOGRAMA!$J7,0,IF(Q$3&gt;=CRONOGRAMA!$K7,1,NETWORKDAYS(CRONOGRAMA!$J7,Q$3,Feriados)/MAX(CRONOGRAMA!$H7,1)))</f>
        <v>4.0818470074042698E-2</v>
      </c>
      <c r="R7" s="28">
        <f>CRONOGRAMA!$M7*IF(R$3&lt;CRONOGRAMA!$J7,0,IF(R$3&gt;=CRONOGRAMA!$K7,1,NETWORKDAYS(CRONOGRAMA!$J7,R$3,Feriados)/MAX(CRONOGRAMA!$H7,1)))</f>
        <v>4.0818470074042698E-2</v>
      </c>
      <c r="S7" s="28">
        <f>CRONOGRAMA!$M7*IF(S$3&lt;CRONOGRAMA!$J7,0,IF(S$3&gt;=CRONOGRAMA!$K7,1,NETWORKDAYS(CRONOGRAMA!$J7,S$3,Feriados)/MAX(CRONOGRAMA!$H7,1)))</f>
        <v>4.0818470074042698E-2</v>
      </c>
      <c r="T7" s="28">
        <f>CRONOGRAMA!$M7*IF(T$3&lt;CRONOGRAMA!$J7,0,IF(T$3&gt;=CRONOGRAMA!$K7,1,NETWORKDAYS(CRONOGRAMA!$J7,T$3,Feriados)/MAX(CRONOGRAMA!$H7,1)))</f>
        <v>4.0818470074042698E-2</v>
      </c>
      <c r="U7" s="28">
        <f>CRONOGRAMA!$M7*IF(U$3&lt;CRONOGRAMA!$J7,0,IF(U$3&gt;=CRONOGRAMA!$K7,1,NETWORKDAYS(CRONOGRAMA!$J7,U$3,Feriados)/MAX(CRONOGRAMA!$H7,1)))</f>
        <v>4.0818470074042698E-2</v>
      </c>
      <c r="V7" s="28">
        <f>CRONOGRAMA!$M7*IF(V$3&lt;CRONOGRAMA!$J7,0,IF(V$3&gt;=CRONOGRAMA!$K7,1,NETWORKDAYS(CRONOGRAMA!$J7,V$3,Feriados)/MAX(CRONOGRAMA!$H7,1)))</f>
        <v>4.0818470074042698E-2</v>
      </c>
    </row>
    <row r="8" spans="1:22" ht="24" outlineLevel="1" x14ac:dyDescent="0.35">
      <c r="A8" s="20">
        <f>CRONOGRAMA!A8</f>
        <v>4</v>
      </c>
      <c r="B8" s="20" t="str">
        <f>CRONOGRAMA!D8</f>
        <v>Remover produtos, virar o balcão e mudar o mobiliário da área afetada</v>
      </c>
      <c r="C8" s="28">
        <f>CRONOGRAMA!$M8*IF(C$3&lt;CRONOGRAMA!$J8,0,IF(C$3&gt;=CRONOGRAMA!$K8,1,NETWORKDAYS(CRONOGRAMA!$J8,C$3,Feriados)/MAX(CRONOGRAMA!$H8,1)))</f>
        <v>8.9102615451250866E-3</v>
      </c>
      <c r="D8" s="28">
        <f>CRONOGRAMA!$M8*IF(D$3&lt;CRONOGRAMA!$J8,0,IF(D$3&gt;=CRONOGRAMA!$K8,1,NETWORKDAYS(CRONOGRAMA!$J8,D$3,Feriados)/MAX(CRONOGRAMA!$H8,1)))</f>
        <v>1.3365392317687632E-2</v>
      </c>
      <c r="E8" s="28">
        <f>CRONOGRAMA!$M8*IF(E$3&lt;CRONOGRAMA!$J8,0,IF(E$3&gt;=CRONOGRAMA!$K8,1,NETWORKDAYS(CRONOGRAMA!$J8,E$3,Feriados)/MAX(CRONOGRAMA!$H8,1)))</f>
        <v>1.3365392317687632E-2</v>
      </c>
      <c r="F8" s="28">
        <f>CRONOGRAMA!$M8*IF(F$3&lt;CRONOGRAMA!$J8,0,IF(F$3&gt;=CRONOGRAMA!$K8,1,NETWORKDAYS(CRONOGRAMA!$J8,F$3,Feriados)/MAX(CRONOGRAMA!$H8,1)))</f>
        <v>1.3365392317687632E-2</v>
      </c>
      <c r="G8" s="28">
        <f>CRONOGRAMA!$M8*IF(G$3&lt;CRONOGRAMA!$J8,0,IF(G$3&gt;=CRONOGRAMA!$K8,1,NETWORKDAYS(CRONOGRAMA!$J8,G$3,Feriados)/MAX(CRONOGRAMA!$H8,1)))</f>
        <v>1.3365392317687632E-2</v>
      </c>
      <c r="H8" s="28">
        <f>CRONOGRAMA!$M8*IF(H$3&lt;CRONOGRAMA!$J8,0,IF(H$3&gt;=CRONOGRAMA!$K8,1,NETWORKDAYS(CRONOGRAMA!$J8,H$3,Feriados)/MAX(CRONOGRAMA!$H8,1)))</f>
        <v>1.3365392317687632E-2</v>
      </c>
      <c r="I8" s="28">
        <f>CRONOGRAMA!$M8*IF(I$3&lt;CRONOGRAMA!$J8,0,IF(I$3&gt;=CRONOGRAMA!$K8,1,NETWORKDAYS(CRONOGRAMA!$J8,I$3,Feriados)/MAX(CRONOGRAMA!$H8,1)))</f>
        <v>1.3365392317687632E-2</v>
      </c>
      <c r="J8" s="28">
        <f>CRONOGRAMA!$M8*IF(J$3&lt;CRONOGRAMA!$J8,0,IF(J$3&gt;=CRONOGRAMA!$K8,1,NETWORKDAYS(CRONOGRAMA!$J8,J$3,Feriados)/MAX(CRONOGRAMA!$H8,1)))</f>
        <v>1.3365392317687632E-2</v>
      </c>
      <c r="K8" s="28">
        <f>CRONOGRAMA!$M8*IF(K$3&lt;CRONOGRAMA!$J8,0,IF(K$3&gt;=CRONOGRAMA!$K8,1,NETWORKDAYS(CRONOGRAMA!$J8,K$3,Feriados)/MAX(CRONOGRAMA!$H8,1)))</f>
        <v>1.3365392317687632E-2</v>
      </c>
      <c r="L8" s="28">
        <f>CRONOGRAMA!$M8*IF(L$3&lt;CRONOGRAMA!$J8,0,IF(L$3&gt;=CRONOGRAMA!$K8,1,NETWORKDAYS(CRONOGRAMA!$J8,L$3,Feriados)/MAX(CRONOGRAMA!$H8,1)))</f>
        <v>1.3365392317687632E-2</v>
      </c>
      <c r="M8" s="28">
        <f>CRONOGRAMA!$M8*IF(M$3&lt;CRONOGRAMA!$J8,0,IF(M$3&gt;=CRONOGRAMA!$K8,1,NETWORKDAYS(CRONOGRAMA!$J8,M$3,Feriados)/MAX(CRONOGRAMA!$H8,1)))</f>
        <v>1.3365392317687632E-2</v>
      </c>
      <c r="N8" s="28">
        <f>CRONOGRAMA!$M8*IF(N$3&lt;CRONOGRAMA!$J8,0,IF(N$3&gt;=CRONOGRAMA!$K8,1,NETWORKDAYS(CRONOGRAMA!$J8,N$3,Feriados)/MAX(CRONOGRAMA!$H8,1)))</f>
        <v>1.3365392317687632E-2</v>
      </c>
      <c r="O8" s="28">
        <f>CRONOGRAMA!$M8*IF(O$3&lt;CRONOGRAMA!$J8,0,IF(O$3&gt;=CRONOGRAMA!$K8,1,NETWORKDAYS(CRONOGRAMA!$J8,O$3,Feriados)/MAX(CRONOGRAMA!$H8,1)))</f>
        <v>1.3365392317687632E-2</v>
      </c>
      <c r="P8" s="28">
        <f>CRONOGRAMA!$M8*IF(P$3&lt;CRONOGRAMA!$J8,0,IF(P$3&gt;=CRONOGRAMA!$K8,1,NETWORKDAYS(CRONOGRAMA!$J8,P$3,Feriados)/MAX(CRONOGRAMA!$H8,1)))</f>
        <v>1.3365392317687632E-2</v>
      </c>
      <c r="Q8" s="28">
        <f>CRONOGRAMA!$M8*IF(Q$3&lt;CRONOGRAMA!$J8,0,IF(Q$3&gt;=CRONOGRAMA!$K8,1,NETWORKDAYS(CRONOGRAMA!$J8,Q$3,Feriados)/MAX(CRONOGRAMA!$H8,1)))</f>
        <v>1.3365392317687632E-2</v>
      </c>
      <c r="R8" s="28">
        <f>CRONOGRAMA!$M8*IF(R$3&lt;CRONOGRAMA!$J8,0,IF(R$3&gt;=CRONOGRAMA!$K8,1,NETWORKDAYS(CRONOGRAMA!$J8,R$3,Feriados)/MAX(CRONOGRAMA!$H8,1)))</f>
        <v>1.3365392317687632E-2</v>
      </c>
      <c r="S8" s="28">
        <f>CRONOGRAMA!$M8*IF(S$3&lt;CRONOGRAMA!$J8,0,IF(S$3&gt;=CRONOGRAMA!$K8,1,NETWORKDAYS(CRONOGRAMA!$J8,S$3,Feriados)/MAX(CRONOGRAMA!$H8,1)))</f>
        <v>1.3365392317687632E-2</v>
      </c>
      <c r="T8" s="28">
        <f>CRONOGRAMA!$M8*IF(T$3&lt;CRONOGRAMA!$J8,0,IF(T$3&gt;=CRONOGRAMA!$K8,1,NETWORKDAYS(CRONOGRAMA!$J8,T$3,Feriados)/MAX(CRONOGRAMA!$H8,1)))</f>
        <v>1.3365392317687632E-2</v>
      </c>
      <c r="U8" s="28">
        <f>CRONOGRAMA!$M8*IF(U$3&lt;CRONOGRAMA!$J8,0,IF(U$3&gt;=CRONOGRAMA!$K8,1,NETWORKDAYS(CRONOGRAMA!$J8,U$3,Feriados)/MAX(CRONOGRAMA!$H8,1)))</f>
        <v>1.3365392317687632E-2</v>
      </c>
      <c r="V8" s="28">
        <f>CRONOGRAMA!$M8*IF(V$3&lt;CRONOGRAMA!$J8,0,IF(V$3&gt;=CRONOGRAMA!$K8,1,NETWORKDAYS(CRONOGRAMA!$J8,V$3,Feriados)/MAX(CRONOGRAMA!$H8,1)))</f>
        <v>1.3365392317687632E-2</v>
      </c>
    </row>
    <row r="9" spans="1:22" ht="24" outlineLevel="1" x14ac:dyDescent="0.35">
      <c r="A9" s="20">
        <f>CRONOGRAMA!A9</f>
        <v>5</v>
      </c>
      <c r="B9" s="20" t="str">
        <f>CRONOGRAMA!D9</f>
        <v>Aliviar a carga do mezanino (retirar estoque do depósito)</v>
      </c>
      <c r="C9" s="28">
        <f>CRONOGRAMA!$M9*IF(C$3&lt;CRONOGRAMA!$J9,0,IF(C$3&gt;=CRONOGRAMA!$K9,1,NETWORKDAYS(CRONOGRAMA!$J9,C$3,Feriados)/MAX(CRONOGRAMA!$H9,1)))</f>
        <v>0</v>
      </c>
      <c r="D9" s="28">
        <f>CRONOGRAMA!$M9*IF(D$3&lt;CRONOGRAMA!$J9,0,IF(D$3&gt;=CRONOGRAMA!$K9,1,NETWORKDAYS(CRONOGRAMA!$J9,D$3,Feriados)/MAX(CRONOGRAMA!$H9,1)))</f>
        <v>0</v>
      </c>
      <c r="E9" s="28">
        <f>CRONOGRAMA!$M9*IF(E$3&lt;CRONOGRAMA!$J9,0,IF(E$3&gt;=CRONOGRAMA!$K9,1,NETWORKDAYS(CRONOGRAMA!$J9,E$3,Feriados)/MAX(CRONOGRAMA!$H9,1)))</f>
        <v>0</v>
      </c>
      <c r="F9" s="28">
        <f>CRONOGRAMA!$M9*IF(F$3&lt;CRONOGRAMA!$J9,0,IF(F$3&gt;=CRONOGRAMA!$K9,1,NETWORKDAYS(CRONOGRAMA!$J9,F$3,Feriados)/MAX(CRONOGRAMA!$H9,1)))</f>
        <v>0</v>
      </c>
      <c r="G9" s="28">
        <f>CRONOGRAMA!$M9*IF(G$3&lt;CRONOGRAMA!$J9,0,IF(G$3&gt;=CRONOGRAMA!$K9,1,NETWORKDAYS(CRONOGRAMA!$J9,G$3,Feriados)/MAX(CRONOGRAMA!$H9,1)))</f>
        <v>0</v>
      </c>
      <c r="H9" s="28">
        <f>CRONOGRAMA!$M9*IF(H$3&lt;CRONOGRAMA!$J9,0,IF(H$3&gt;=CRONOGRAMA!$K9,1,NETWORKDAYS(CRONOGRAMA!$J9,H$3,Feriados)/MAX(CRONOGRAMA!$H9,1)))</f>
        <v>0</v>
      </c>
      <c r="I9" s="28">
        <f>CRONOGRAMA!$M9*IF(I$3&lt;CRONOGRAMA!$J9,0,IF(I$3&gt;=CRONOGRAMA!$K9,1,NETWORKDAYS(CRONOGRAMA!$J9,I$3,Feriados)/MAX(CRONOGRAMA!$H9,1)))</f>
        <v>0</v>
      </c>
      <c r="J9" s="28">
        <f>CRONOGRAMA!$M9*IF(J$3&lt;CRONOGRAMA!$J9,0,IF(J$3&gt;=CRONOGRAMA!$K9,1,NETWORKDAYS(CRONOGRAMA!$J9,J$3,Feriados)/MAX(CRONOGRAMA!$H9,1)))</f>
        <v>0</v>
      </c>
      <c r="K9" s="28">
        <f>CRONOGRAMA!$M9*IF(K$3&lt;CRONOGRAMA!$J9,0,IF(K$3&gt;=CRONOGRAMA!$K9,1,NETWORKDAYS(CRONOGRAMA!$J9,K$3,Feriados)/MAX(CRONOGRAMA!$H9,1)))</f>
        <v>0</v>
      </c>
      <c r="L9" s="28">
        <f>CRONOGRAMA!$M9*IF(L$3&lt;CRONOGRAMA!$J9,0,IF(L$3&gt;=CRONOGRAMA!$K9,1,NETWORKDAYS(CRONOGRAMA!$J9,L$3,Feriados)/MAX(CRONOGRAMA!$H9,1)))</f>
        <v>0</v>
      </c>
      <c r="M9" s="28">
        <f>CRONOGRAMA!$M9*IF(M$3&lt;CRONOGRAMA!$J9,0,IF(M$3&gt;=CRONOGRAMA!$K9,1,NETWORKDAYS(CRONOGRAMA!$J9,M$3,Feriados)/MAX(CRONOGRAMA!$H9,1)))</f>
        <v>0</v>
      </c>
      <c r="N9" s="28">
        <f>CRONOGRAMA!$M9*IF(N$3&lt;CRONOGRAMA!$J9,0,IF(N$3&gt;=CRONOGRAMA!$K9,1,NETWORKDAYS(CRONOGRAMA!$J9,N$3,Feriados)/MAX(CRONOGRAMA!$H9,1)))</f>
        <v>0</v>
      </c>
      <c r="O9" s="28">
        <f>CRONOGRAMA!$M9*IF(O$3&lt;CRONOGRAMA!$J9,0,IF(O$3&gt;=CRONOGRAMA!$K9,1,NETWORKDAYS(CRONOGRAMA!$J9,O$3,Feriados)/MAX(CRONOGRAMA!$H9,1)))</f>
        <v>0</v>
      </c>
      <c r="P9" s="28">
        <f>CRONOGRAMA!$M9*IF(P$3&lt;CRONOGRAMA!$J9,0,IF(P$3&gt;=CRONOGRAMA!$K9,1,NETWORKDAYS(CRONOGRAMA!$J9,P$3,Feriados)/MAX(CRONOGRAMA!$H9,1)))</f>
        <v>0</v>
      </c>
      <c r="Q9" s="28">
        <f>CRONOGRAMA!$M9*IF(Q$3&lt;CRONOGRAMA!$J9,0,IF(Q$3&gt;=CRONOGRAMA!$K9,1,NETWORKDAYS(CRONOGRAMA!$J9,Q$3,Feriados)/MAX(CRONOGRAMA!$H9,1)))</f>
        <v>0</v>
      </c>
      <c r="R9" s="28">
        <f>CRONOGRAMA!$M9*IF(R$3&lt;CRONOGRAMA!$J9,0,IF(R$3&gt;=CRONOGRAMA!$K9,1,NETWORKDAYS(CRONOGRAMA!$J9,R$3,Feriados)/MAX(CRONOGRAMA!$H9,1)))</f>
        <v>0</v>
      </c>
      <c r="S9" s="28">
        <f>CRONOGRAMA!$M9*IF(S$3&lt;CRONOGRAMA!$J9,0,IF(S$3&gt;=CRONOGRAMA!$K9,1,NETWORKDAYS(CRONOGRAMA!$J9,S$3,Feriados)/MAX(CRONOGRAMA!$H9,1)))</f>
        <v>0</v>
      </c>
      <c r="T9" s="28">
        <f>CRONOGRAMA!$M9*IF(T$3&lt;CRONOGRAMA!$J9,0,IF(T$3&gt;=CRONOGRAMA!$K9,1,NETWORKDAYS(CRONOGRAMA!$J9,T$3,Feriados)/MAX(CRONOGRAMA!$H9,1)))</f>
        <v>0</v>
      </c>
      <c r="U9" s="28">
        <f>CRONOGRAMA!$M9*IF(U$3&lt;CRONOGRAMA!$J9,0,IF(U$3&gt;=CRONOGRAMA!$K9,1,NETWORKDAYS(CRONOGRAMA!$J9,U$3,Feriados)/MAX(CRONOGRAMA!$H9,1)))</f>
        <v>0</v>
      </c>
      <c r="V9" s="28">
        <f>CRONOGRAMA!$M9*IF(V$3&lt;CRONOGRAMA!$J9,0,IF(V$3&gt;=CRONOGRAMA!$K9,1,NETWORKDAYS(CRONOGRAMA!$J9,V$3,Feriados)/MAX(CRONOGRAMA!$H9,1)))</f>
        <v>0</v>
      </c>
    </row>
    <row r="10" spans="1:22" ht="24" outlineLevel="1" x14ac:dyDescent="0.35">
      <c r="A10" s="20">
        <f>CRONOGRAMA!A10</f>
        <v>6</v>
      </c>
      <c r="B10" s="20" t="str">
        <f>CRONOGRAMA!D10</f>
        <v>Escoramento provisório sob a treliça (P2/P3 e vão P3–P4); macaco só para encunhar</v>
      </c>
      <c r="C10" s="28">
        <f>CRONOGRAMA!$M10*IF(C$3&lt;CRONOGRAMA!$J10,0,IF(C$3&gt;=CRONOGRAMA!$K10,1,NETWORKDAYS(CRONOGRAMA!$J10,C$3,Feriados)/MAX(CRONOGRAMA!$H10,1)))</f>
        <v>1.1573745982387739E-2</v>
      </c>
      <c r="D10" s="28">
        <f>CRONOGRAMA!$M10*IF(D$3&lt;CRONOGRAMA!$J10,0,IF(D$3&gt;=CRONOGRAMA!$K10,1,NETWORKDAYS(CRONOGRAMA!$J10,D$3,Feriados)/MAX(CRONOGRAMA!$H10,1)))</f>
        <v>3.4721237947163218E-2</v>
      </c>
      <c r="E10" s="28">
        <f>CRONOGRAMA!$M10*IF(E$3&lt;CRONOGRAMA!$J10,0,IF(E$3&gt;=CRONOGRAMA!$K10,1,NETWORKDAYS(CRONOGRAMA!$J10,E$3,Feriados)/MAX(CRONOGRAMA!$H10,1)))</f>
        <v>3.4721237947163218E-2</v>
      </c>
      <c r="F10" s="28">
        <f>CRONOGRAMA!$M10*IF(F$3&lt;CRONOGRAMA!$J10,0,IF(F$3&gt;=CRONOGRAMA!$K10,1,NETWORKDAYS(CRONOGRAMA!$J10,F$3,Feriados)/MAX(CRONOGRAMA!$H10,1)))</f>
        <v>3.4721237947163218E-2</v>
      </c>
      <c r="G10" s="28">
        <f>CRONOGRAMA!$M10*IF(G$3&lt;CRONOGRAMA!$J10,0,IF(G$3&gt;=CRONOGRAMA!$K10,1,NETWORKDAYS(CRONOGRAMA!$J10,G$3,Feriados)/MAX(CRONOGRAMA!$H10,1)))</f>
        <v>3.4721237947163218E-2</v>
      </c>
      <c r="H10" s="28">
        <f>CRONOGRAMA!$M10*IF(H$3&lt;CRONOGRAMA!$J10,0,IF(H$3&gt;=CRONOGRAMA!$K10,1,NETWORKDAYS(CRONOGRAMA!$J10,H$3,Feriados)/MAX(CRONOGRAMA!$H10,1)))</f>
        <v>3.4721237947163218E-2</v>
      </c>
      <c r="I10" s="28">
        <f>CRONOGRAMA!$M10*IF(I$3&lt;CRONOGRAMA!$J10,0,IF(I$3&gt;=CRONOGRAMA!$K10,1,NETWORKDAYS(CRONOGRAMA!$J10,I$3,Feriados)/MAX(CRONOGRAMA!$H10,1)))</f>
        <v>3.4721237947163218E-2</v>
      </c>
      <c r="J10" s="28">
        <f>CRONOGRAMA!$M10*IF(J$3&lt;CRONOGRAMA!$J10,0,IF(J$3&gt;=CRONOGRAMA!$K10,1,NETWORKDAYS(CRONOGRAMA!$J10,J$3,Feriados)/MAX(CRONOGRAMA!$H10,1)))</f>
        <v>3.4721237947163218E-2</v>
      </c>
      <c r="K10" s="28">
        <f>CRONOGRAMA!$M10*IF(K$3&lt;CRONOGRAMA!$J10,0,IF(K$3&gt;=CRONOGRAMA!$K10,1,NETWORKDAYS(CRONOGRAMA!$J10,K$3,Feriados)/MAX(CRONOGRAMA!$H10,1)))</f>
        <v>3.4721237947163218E-2</v>
      </c>
      <c r="L10" s="28">
        <f>CRONOGRAMA!$M10*IF(L$3&lt;CRONOGRAMA!$J10,0,IF(L$3&gt;=CRONOGRAMA!$K10,1,NETWORKDAYS(CRONOGRAMA!$J10,L$3,Feriados)/MAX(CRONOGRAMA!$H10,1)))</f>
        <v>3.4721237947163218E-2</v>
      </c>
      <c r="M10" s="28">
        <f>CRONOGRAMA!$M10*IF(M$3&lt;CRONOGRAMA!$J10,0,IF(M$3&gt;=CRONOGRAMA!$K10,1,NETWORKDAYS(CRONOGRAMA!$J10,M$3,Feriados)/MAX(CRONOGRAMA!$H10,1)))</f>
        <v>3.4721237947163218E-2</v>
      </c>
      <c r="N10" s="28">
        <f>CRONOGRAMA!$M10*IF(N$3&lt;CRONOGRAMA!$J10,0,IF(N$3&gt;=CRONOGRAMA!$K10,1,NETWORKDAYS(CRONOGRAMA!$J10,N$3,Feriados)/MAX(CRONOGRAMA!$H10,1)))</f>
        <v>3.4721237947163218E-2</v>
      </c>
      <c r="O10" s="28">
        <f>CRONOGRAMA!$M10*IF(O$3&lt;CRONOGRAMA!$J10,0,IF(O$3&gt;=CRONOGRAMA!$K10,1,NETWORKDAYS(CRONOGRAMA!$J10,O$3,Feriados)/MAX(CRONOGRAMA!$H10,1)))</f>
        <v>3.4721237947163218E-2</v>
      </c>
      <c r="P10" s="28">
        <f>CRONOGRAMA!$M10*IF(P$3&lt;CRONOGRAMA!$J10,0,IF(P$3&gt;=CRONOGRAMA!$K10,1,NETWORKDAYS(CRONOGRAMA!$J10,P$3,Feriados)/MAX(CRONOGRAMA!$H10,1)))</f>
        <v>3.4721237947163218E-2</v>
      </c>
      <c r="Q10" s="28">
        <f>CRONOGRAMA!$M10*IF(Q$3&lt;CRONOGRAMA!$J10,0,IF(Q$3&gt;=CRONOGRAMA!$K10,1,NETWORKDAYS(CRONOGRAMA!$J10,Q$3,Feriados)/MAX(CRONOGRAMA!$H10,1)))</f>
        <v>3.4721237947163218E-2</v>
      </c>
      <c r="R10" s="28">
        <f>CRONOGRAMA!$M10*IF(R$3&lt;CRONOGRAMA!$J10,0,IF(R$3&gt;=CRONOGRAMA!$K10,1,NETWORKDAYS(CRONOGRAMA!$J10,R$3,Feriados)/MAX(CRONOGRAMA!$H10,1)))</f>
        <v>3.4721237947163218E-2</v>
      </c>
      <c r="S10" s="28">
        <f>CRONOGRAMA!$M10*IF(S$3&lt;CRONOGRAMA!$J10,0,IF(S$3&gt;=CRONOGRAMA!$K10,1,NETWORKDAYS(CRONOGRAMA!$J10,S$3,Feriados)/MAX(CRONOGRAMA!$H10,1)))</f>
        <v>3.4721237947163218E-2</v>
      </c>
      <c r="T10" s="28">
        <f>CRONOGRAMA!$M10*IF(T$3&lt;CRONOGRAMA!$J10,0,IF(T$3&gt;=CRONOGRAMA!$K10,1,NETWORKDAYS(CRONOGRAMA!$J10,T$3,Feriados)/MAX(CRONOGRAMA!$H10,1)))</f>
        <v>3.4721237947163218E-2</v>
      </c>
      <c r="U10" s="28">
        <f>CRONOGRAMA!$M10*IF(U$3&lt;CRONOGRAMA!$J10,0,IF(U$3&gt;=CRONOGRAMA!$K10,1,NETWORKDAYS(CRONOGRAMA!$J10,U$3,Feriados)/MAX(CRONOGRAMA!$H10,1)))</f>
        <v>3.4721237947163218E-2</v>
      </c>
      <c r="V10" s="28">
        <f>CRONOGRAMA!$M10*IF(V$3&lt;CRONOGRAMA!$J10,0,IF(V$3&gt;=CRONOGRAMA!$K10,1,NETWORKDAYS(CRONOGRAMA!$J10,V$3,Feriados)/MAX(CRONOGRAMA!$H10,1)))</f>
        <v>3.4721237947163218E-2</v>
      </c>
    </row>
    <row r="11" spans="1:22" ht="24" outlineLevel="1" x14ac:dyDescent="0.35">
      <c r="A11" s="20">
        <f>CRONOGRAMA!A11</f>
        <v>7</v>
      </c>
      <c r="B11" s="20" t="str">
        <f>CRONOGRAMA!D11</f>
        <v>Levantamento topográfico de níveis e medição dos m² da faixa afetada</v>
      </c>
      <c r="C11" s="28">
        <f>CRONOGRAMA!$M11*IF(C$3&lt;CRONOGRAMA!$J11,0,IF(C$3&gt;=CRONOGRAMA!$K11,1,NETWORKDAYS(CRONOGRAMA!$J11,C$3,Feriados)/MAX(CRONOGRAMA!$H11,1)))</f>
        <v>0</v>
      </c>
      <c r="D11" s="28">
        <f>CRONOGRAMA!$M11*IF(D$3&lt;CRONOGRAMA!$J11,0,IF(D$3&gt;=CRONOGRAMA!$K11,1,NETWORKDAYS(CRONOGRAMA!$J11,D$3,Feriados)/MAX(CRONOGRAMA!$H11,1)))</f>
        <v>2.6269357657393227E-2</v>
      </c>
      <c r="E11" s="28">
        <f>CRONOGRAMA!$M11*IF(E$3&lt;CRONOGRAMA!$J11,0,IF(E$3&gt;=CRONOGRAMA!$K11,1,NETWORKDAYS(CRONOGRAMA!$J11,E$3,Feriados)/MAX(CRONOGRAMA!$H11,1)))</f>
        <v>2.6269357657393227E-2</v>
      </c>
      <c r="F11" s="28">
        <f>CRONOGRAMA!$M11*IF(F$3&lt;CRONOGRAMA!$J11,0,IF(F$3&gt;=CRONOGRAMA!$K11,1,NETWORKDAYS(CRONOGRAMA!$J11,F$3,Feriados)/MAX(CRONOGRAMA!$H11,1)))</f>
        <v>2.6269357657393227E-2</v>
      </c>
      <c r="G11" s="28">
        <f>CRONOGRAMA!$M11*IF(G$3&lt;CRONOGRAMA!$J11,0,IF(G$3&gt;=CRONOGRAMA!$K11,1,NETWORKDAYS(CRONOGRAMA!$J11,G$3,Feriados)/MAX(CRONOGRAMA!$H11,1)))</f>
        <v>2.6269357657393227E-2</v>
      </c>
      <c r="H11" s="28">
        <f>CRONOGRAMA!$M11*IF(H$3&lt;CRONOGRAMA!$J11,0,IF(H$3&gt;=CRONOGRAMA!$K11,1,NETWORKDAYS(CRONOGRAMA!$J11,H$3,Feriados)/MAX(CRONOGRAMA!$H11,1)))</f>
        <v>2.6269357657393227E-2</v>
      </c>
      <c r="I11" s="28">
        <f>CRONOGRAMA!$M11*IF(I$3&lt;CRONOGRAMA!$J11,0,IF(I$3&gt;=CRONOGRAMA!$K11,1,NETWORKDAYS(CRONOGRAMA!$J11,I$3,Feriados)/MAX(CRONOGRAMA!$H11,1)))</f>
        <v>2.6269357657393227E-2</v>
      </c>
      <c r="J11" s="28">
        <f>CRONOGRAMA!$M11*IF(J$3&lt;CRONOGRAMA!$J11,0,IF(J$3&gt;=CRONOGRAMA!$K11,1,NETWORKDAYS(CRONOGRAMA!$J11,J$3,Feriados)/MAX(CRONOGRAMA!$H11,1)))</f>
        <v>2.6269357657393227E-2</v>
      </c>
      <c r="K11" s="28">
        <f>CRONOGRAMA!$M11*IF(K$3&lt;CRONOGRAMA!$J11,0,IF(K$3&gt;=CRONOGRAMA!$K11,1,NETWORKDAYS(CRONOGRAMA!$J11,K$3,Feriados)/MAX(CRONOGRAMA!$H11,1)))</f>
        <v>2.6269357657393227E-2</v>
      </c>
      <c r="L11" s="28">
        <f>CRONOGRAMA!$M11*IF(L$3&lt;CRONOGRAMA!$J11,0,IF(L$3&gt;=CRONOGRAMA!$K11,1,NETWORKDAYS(CRONOGRAMA!$J11,L$3,Feriados)/MAX(CRONOGRAMA!$H11,1)))</f>
        <v>2.6269357657393227E-2</v>
      </c>
      <c r="M11" s="28">
        <f>CRONOGRAMA!$M11*IF(M$3&lt;CRONOGRAMA!$J11,0,IF(M$3&gt;=CRONOGRAMA!$K11,1,NETWORKDAYS(CRONOGRAMA!$J11,M$3,Feriados)/MAX(CRONOGRAMA!$H11,1)))</f>
        <v>2.6269357657393227E-2</v>
      </c>
      <c r="N11" s="28">
        <f>CRONOGRAMA!$M11*IF(N$3&lt;CRONOGRAMA!$J11,0,IF(N$3&gt;=CRONOGRAMA!$K11,1,NETWORKDAYS(CRONOGRAMA!$J11,N$3,Feriados)/MAX(CRONOGRAMA!$H11,1)))</f>
        <v>2.6269357657393227E-2</v>
      </c>
      <c r="O11" s="28">
        <f>CRONOGRAMA!$M11*IF(O$3&lt;CRONOGRAMA!$J11,0,IF(O$3&gt;=CRONOGRAMA!$K11,1,NETWORKDAYS(CRONOGRAMA!$J11,O$3,Feriados)/MAX(CRONOGRAMA!$H11,1)))</f>
        <v>2.6269357657393227E-2</v>
      </c>
      <c r="P11" s="28">
        <f>CRONOGRAMA!$M11*IF(P$3&lt;CRONOGRAMA!$J11,0,IF(P$3&gt;=CRONOGRAMA!$K11,1,NETWORKDAYS(CRONOGRAMA!$J11,P$3,Feriados)/MAX(CRONOGRAMA!$H11,1)))</f>
        <v>2.6269357657393227E-2</v>
      </c>
      <c r="Q11" s="28">
        <f>CRONOGRAMA!$M11*IF(Q$3&lt;CRONOGRAMA!$J11,0,IF(Q$3&gt;=CRONOGRAMA!$K11,1,NETWORKDAYS(CRONOGRAMA!$J11,Q$3,Feriados)/MAX(CRONOGRAMA!$H11,1)))</f>
        <v>2.6269357657393227E-2</v>
      </c>
      <c r="R11" s="28">
        <f>CRONOGRAMA!$M11*IF(R$3&lt;CRONOGRAMA!$J11,0,IF(R$3&gt;=CRONOGRAMA!$K11,1,NETWORKDAYS(CRONOGRAMA!$J11,R$3,Feriados)/MAX(CRONOGRAMA!$H11,1)))</f>
        <v>2.6269357657393227E-2</v>
      </c>
      <c r="S11" s="28">
        <f>CRONOGRAMA!$M11*IF(S$3&lt;CRONOGRAMA!$J11,0,IF(S$3&gt;=CRONOGRAMA!$K11,1,NETWORKDAYS(CRONOGRAMA!$J11,S$3,Feriados)/MAX(CRONOGRAMA!$H11,1)))</f>
        <v>2.6269357657393227E-2</v>
      </c>
      <c r="T11" s="28">
        <f>CRONOGRAMA!$M11*IF(T$3&lt;CRONOGRAMA!$J11,0,IF(T$3&gt;=CRONOGRAMA!$K11,1,NETWORKDAYS(CRONOGRAMA!$J11,T$3,Feriados)/MAX(CRONOGRAMA!$H11,1)))</f>
        <v>2.6269357657393227E-2</v>
      </c>
      <c r="U11" s="28">
        <f>CRONOGRAMA!$M11*IF(U$3&lt;CRONOGRAMA!$J11,0,IF(U$3&gt;=CRONOGRAMA!$K11,1,NETWORKDAYS(CRONOGRAMA!$J11,U$3,Feriados)/MAX(CRONOGRAMA!$H11,1)))</f>
        <v>2.6269357657393227E-2</v>
      </c>
      <c r="V11" s="28">
        <f>CRONOGRAMA!$M11*IF(V$3&lt;CRONOGRAMA!$J11,0,IF(V$3&gt;=CRONOGRAMA!$K11,1,NETWORKDAYS(CRONOGRAMA!$J11,V$3,Feriados)/MAX(CRONOGRAMA!$H11,1)))</f>
        <v>2.6269357657393227E-2</v>
      </c>
    </row>
    <row r="12" spans="1:22" ht="24" outlineLevel="1" x14ac:dyDescent="0.35">
      <c r="A12" s="20">
        <f>CRONOGRAMA!A12</f>
        <v>8</v>
      </c>
      <c r="B12" s="20" t="str">
        <f>CRONOGRAMA!D12</f>
        <v>Estudo de solo: SPT e poço de inspeção com abertura localizada do piso</v>
      </c>
      <c r="C12" s="28">
        <f>CRONOGRAMA!$M12*IF(C$3&lt;CRONOGRAMA!$J12,0,IF(C$3&gt;=CRONOGRAMA!$K12,1,NETWORKDAYS(CRONOGRAMA!$J12,C$3,Feriados)/MAX(CRONOGRAMA!$H12,1)))</f>
        <v>0</v>
      </c>
      <c r="D12" s="28">
        <f>CRONOGRAMA!$M12*IF(D$3&lt;CRONOGRAMA!$J12,0,IF(D$3&gt;=CRONOGRAMA!$K12,1,NETWORKDAYS(CRONOGRAMA!$J12,D$3,Feriados)/MAX(CRONOGRAMA!$H12,1)))</f>
        <v>3.4721237947163218E-2</v>
      </c>
      <c r="E12" s="28">
        <f>CRONOGRAMA!$M12*IF(E$3&lt;CRONOGRAMA!$J12,0,IF(E$3&gt;=CRONOGRAMA!$K12,1,NETWORKDAYS(CRONOGRAMA!$J12,E$3,Feriados)/MAX(CRONOGRAMA!$H12,1)))</f>
        <v>8.6803094867908048E-2</v>
      </c>
      <c r="F12" s="28">
        <f>CRONOGRAMA!$M12*IF(F$3&lt;CRONOGRAMA!$J12,0,IF(F$3&gt;=CRONOGRAMA!$K12,1,NETWORKDAYS(CRONOGRAMA!$J12,F$3,Feriados)/MAX(CRONOGRAMA!$H12,1)))</f>
        <v>8.6803094867908048E-2</v>
      </c>
      <c r="G12" s="28">
        <f>CRONOGRAMA!$M12*IF(G$3&lt;CRONOGRAMA!$J12,0,IF(G$3&gt;=CRONOGRAMA!$K12,1,NETWORKDAYS(CRONOGRAMA!$J12,G$3,Feriados)/MAX(CRONOGRAMA!$H12,1)))</f>
        <v>8.6803094867908048E-2</v>
      </c>
      <c r="H12" s="28">
        <f>CRONOGRAMA!$M12*IF(H$3&lt;CRONOGRAMA!$J12,0,IF(H$3&gt;=CRONOGRAMA!$K12,1,NETWORKDAYS(CRONOGRAMA!$J12,H$3,Feriados)/MAX(CRONOGRAMA!$H12,1)))</f>
        <v>8.6803094867908048E-2</v>
      </c>
      <c r="I12" s="28">
        <f>CRONOGRAMA!$M12*IF(I$3&lt;CRONOGRAMA!$J12,0,IF(I$3&gt;=CRONOGRAMA!$K12,1,NETWORKDAYS(CRONOGRAMA!$J12,I$3,Feriados)/MAX(CRONOGRAMA!$H12,1)))</f>
        <v>8.6803094867908048E-2</v>
      </c>
      <c r="J12" s="28">
        <f>CRONOGRAMA!$M12*IF(J$3&lt;CRONOGRAMA!$J12,0,IF(J$3&gt;=CRONOGRAMA!$K12,1,NETWORKDAYS(CRONOGRAMA!$J12,J$3,Feriados)/MAX(CRONOGRAMA!$H12,1)))</f>
        <v>8.6803094867908048E-2</v>
      </c>
      <c r="K12" s="28">
        <f>CRONOGRAMA!$M12*IF(K$3&lt;CRONOGRAMA!$J12,0,IF(K$3&gt;=CRONOGRAMA!$K12,1,NETWORKDAYS(CRONOGRAMA!$J12,K$3,Feriados)/MAX(CRONOGRAMA!$H12,1)))</f>
        <v>8.6803094867908048E-2</v>
      </c>
      <c r="L12" s="28">
        <f>CRONOGRAMA!$M12*IF(L$3&lt;CRONOGRAMA!$J12,0,IF(L$3&gt;=CRONOGRAMA!$K12,1,NETWORKDAYS(CRONOGRAMA!$J12,L$3,Feriados)/MAX(CRONOGRAMA!$H12,1)))</f>
        <v>8.6803094867908048E-2</v>
      </c>
      <c r="M12" s="28">
        <f>CRONOGRAMA!$M12*IF(M$3&lt;CRONOGRAMA!$J12,0,IF(M$3&gt;=CRONOGRAMA!$K12,1,NETWORKDAYS(CRONOGRAMA!$J12,M$3,Feriados)/MAX(CRONOGRAMA!$H12,1)))</f>
        <v>8.6803094867908048E-2</v>
      </c>
      <c r="N12" s="28">
        <f>CRONOGRAMA!$M12*IF(N$3&lt;CRONOGRAMA!$J12,0,IF(N$3&gt;=CRONOGRAMA!$K12,1,NETWORKDAYS(CRONOGRAMA!$J12,N$3,Feriados)/MAX(CRONOGRAMA!$H12,1)))</f>
        <v>8.6803094867908048E-2</v>
      </c>
      <c r="O12" s="28">
        <f>CRONOGRAMA!$M12*IF(O$3&lt;CRONOGRAMA!$J12,0,IF(O$3&gt;=CRONOGRAMA!$K12,1,NETWORKDAYS(CRONOGRAMA!$J12,O$3,Feriados)/MAX(CRONOGRAMA!$H12,1)))</f>
        <v>8.6803094867908048E-2</v>
      </c>
      <c r="P12" s="28">
        <f>CRONOGRAMA!$M12*IF(P$3&lt;CRONOGRAMA!$J12,0,IF(P$3&gt;=CRONOGRAMA!$K12,1,NETWORKDAYS(CRONOGRAMA!$J12,P$3,Feriados)/MAX(CRONOGRAMA!$H12,1)))</f>
        <v>8.6803094867908048E-2</v>
      </c>
      <c r="Q12" s="28">
        <f>CRONOGRAMA!$M12*IF(Q$3&lt;CRONOGRAMA!$J12,0,IF(Q$3&gt;=CRONOGRAMA!$K12,1,NETWORKDAYS(CRONOGRAMA!$J12,Q$3,Feriados)/MAX(CRONOGRAMA!$H12,1)))</f>
        <v>8.6803094867908048E-2</v>
      </c>
      <c r="R12" s="28">
        <f>CRONOGRAMA!$M12*IF(R$3&lt;CRONOGRAMA!$J12,0,IF(R$3&gt;=CRONOGRAMA!$K12,1,NETWORKDAYS(CRONOGRAMA!$J12,R$3,Feriados)/MAX(CRONOGRAMA!$H12,1)))</f>
        <v>8.6803094867908048E-2</v>
      </c>
      <c r="S12" s="28">
        <f>CRONOGRAMA!$M12*IF(S$3&lt;CRONOGRAMA!$J12,0,IF(S$3&gt;=CRONOGRAMA!$K12,1,NETWORKDAYS(CRONOGRAMA!$J12,S$3,Feriados)/MAX(CRONOGRAMA!$H12,1)))</f>
        <v>8.6803094867908048E-2</v>
      </c>
      <c r="T12" s="28">
        <f>CRONOGRAMA!$M12*IF(T$3&lt;CRONOGRAMA!$J12,0,IF(T$3&gt;=CRONOGRAMA!$K12,1,NETWORKDAYS(CRONOGRAMA!$J12,T$3,Feriados)/MAX(CRONOGRAMA!$H12,1)))</f>
        <v>8.6803094867908048E-2</v>
      </c>
      <c r="U12" s="28">
        <f>CRONOGRAMA!$M12*IF(U$3&lt;CRONOGRAMA!$J12,0,IF(U$3&gt;=CRONOGRAMA!$K12,1,NETWORKDAYS(CRONOGRAMA!$J12,U$3,Feriados)/MAX(CRONOGRAMA!$H12,1)))</f>
        <v>8.6803094867908048E-2</v>
      </c>
      <c r="V12" s="28">
        <f>CRONOGRAMA!$M12*IF(V$3&lt;CRONOGRAMA!$J12,0,IF(V$3&gt;=CRONOGRAMA!$K12,1,NETWORKDAYS(CRONOGRAMA!$J12,V$3,Feriados)/MAX(CRONOGRAMA!$H12,1)))</f>
        <v>8.6803094867908048E-2</v>
      </c>
    </row>
    <row r="13" spans="1:22" ht="24" outlineLevel="1" x14ac:dyDescent="0.35">
      <c r="A13" s="20">
        <f>CRONOGRAMA!A13</f>
        <v>9</v>
      </c>
      <c r="B13" s="20" t="str">
        <f>CRONOGRAMA!D13</f>
        <v>Projeto estrutural de reforço (treliça, apoios e fundações) + ART</v>
      </c>
      <c r="C13" s="28">
        <f>CRONOGRAMA!$M13*IF(C$3&lt;CRONOGRAMA!$J13,0,IF(C$3&gt;=CRONOGRAMA!$K13,1,NETWORKDAYS(CRONOGRAMA!$J13,C$3,Feriados)/MAX(CRONOGRAMA!$H13,1)))</f>
        <v>0</v>
      </c>
      <c r="D13" s="28">
        <f>CRONOGRAMA!$M13*IF(D$3&lt;CRONOGRAMA!$J13,0,IF(D$3&gt;=CRONOGRAMA!$K13,1,NETWORKDAYS(CRONOGRAMA!$J13,D$3,Feriados)/MAX(CRONOGRAMA!$H13,1)))</f>
        <v>0</v>
      </c>
      <c r="E13" s="28">
        <f>CRONOGRAMA!$M13*IF(E$3&lt;CRONOGRAMA!$J13,0,IF(E$3&gt;=CRONOGRAMA!$K13,1,NETWORKDAYS(CRONOGRAMA!$J13,E$3,Feriados)/MAX(CRONOGRAMA!$H13,1)))</f>
        <v>7.4437948318135149E-3</v>
      </c>
      <c r="F13" s="28">
        <f>CRONOGRAMA!$M13*IF(F$3&lt;CRONOGRAMA!$J13,0,IF(F$3&gt;=CRONOGRAMA!$K13,1,NETWORKDAYS(CRONOGRAMA!$J13,F$3,Feriados)/MAX(CRONOGRAMA!$H13,1)))</f>
        <v>2.2331384495440542E-2</v>
      </c>
      <c r="G13" s="28">
        <f>CRONOGRAMA!$M13*IF(G$3&lt;CRONOGRAMA!$J13,0,IF(G$3&gt;=CRONOGRAMA!$K13,1,NETWORKDAYS(CRONOGRAMA!$J13,G$3,Feriados)/MAX(CRONOGRAMA!$H13,1)))</f>
        <v>3.7218974159067574E-2</v>
      </c>
      <c r="H13" s="28">
        <f>CRONOGRAMA!$M13*IF(H$3&lt;CRONOGRAMA!$J13,0,IF(H$3&gt;=CRONOGRAMA!$K13,1,NETWORKDAYS(CRONOGRAMA!$J13,H$3,Feriados)/MAX(CRONOGRAMA!$H13,1)))</f>
        <v>3.7218974159067574E-2</v>
      </c>
      <c r="I13" s="28">
        <f>CRONOGRAMA!$M13*IF(I$3&lt;CRONOGRAMA!$J13,0,IF(I$3&gt;=CRONOGRAMA!$K13,1,NETWORKDAYS(CRONOGRAMA!$J13,I$3,Feriados)/MAX(CRONOGRAMA!$H13,1)))</f>
        <v>3.7218974159067574E-2</v>
      </c>
      <c r="J13" s="28">
        <f>CRONOGRAMA!$M13*IF(J$3&lt;CRONOGRAMA!$J13,0,IF(J$3&gt;=CRONOGRAMA!$K13,1,NETWORKDAYS(CRONOGRAMA!$J13,J$3,Feriados)/MAX(CRONOGRAMA!$H13,1)))</f>
        <v>3.7218974159067574E-2</v>
      </c>
      <c r="K13" s="28">
        <f>CRONOGRAMA!$M13*IF(K$3&lt;CRONOGRAMA!$J13,0,IF(K$3&gt;=CRONOGRAMA!$K13,1,NETWORKDAYS(CRONOGRAMA!$J13,K$3,Feriados)/MAX(CRONOGRAMA!$H13,1)))</f>
        <v>3.7218974159067574E-2</v>
      </c>
      <c r="L13" s="28">
        <f>CRONOGRAMA!$M13*IF(L$3&lt;CRONOGRAMA!$J13,0,IF(L$3&gt;=CRONOGRAMA!$K13,1,NETWORKDAYS(CRONOGRAMA!$J13,L$3,Feriados)/MAX(CRONOGRAMA!$H13,1)))</f>
        <v>3.7218974159067574E-2</v>
      </c>
      <c r="M13" s="28">
        <f>CRONOGRAMA!$M13*IF(M$3&lt;CRONOGRAMA!$J13,0,IF(M$3&gt;=CRONOGRAMA!$K13,1,NETWORKDAYS(CRONOGRAMA!$J13,M$3,Feriados)/MAX(CRONOGRAMA!$H13,1)))</f>
        <v>3.7218974159067574E-2</v>
      </c>
      <c r="N13" s="28">
        <f>CRONOGRAMA!$M13*IF(N$3&lt;CRONOGRAMA!$J13,0,IF(N$3&gt;=CRONOGRAMA!$K13,1,NETWORKDAYS(CRONOGRAMA!$J13,N$3,Feriados)/MAX(CRONOGRAMA!$H13,1)))</f>
        <v>3.7218974159067574E-2</v>
      </c>
      <c r="O13" s="28">
        <f>CRONOGRAMA!$M13*IF(O$3&lt;CRONOGRAMA!$J13,0,IF(O$3&gt;=CRONOGRAMA!$K13,1,NETWORKDAYS(CRONOGRAMA!$J13,O$3,Feriados)/MAX(CRONOGRAMA!$H13,1)))</f>
        <v>3.7218974159067574E-2</v>
      </c>
      <c r="P13" s="28">
        <f>CRONOGRAMA!$M13*IF(P$3&lt;CRONOGRAMA!$J13,0,IF(P$3&gt;=CRONOGRAMA!$K13,1,NETWORKDAYS(CRONOGRAMA!$J13,P$3,Feriados)/MAX(CRONOGRAMA!$H13,1)))</f>
        <v>3.7218974159067574E-2</v>
      </c>
      <c r="Q13" s="28">
        <f>CRONOGRAMA!$M13*IF(Q$3&lt;CRONOGRAMA!$J13,0,IF(Q$3&gt;=CRONOGRAMA!$K13,1,NETWORKDAYS(CRONOGRAMA!$J13,Q$3,Feriados)/MAX(CRONOGRAMA!$H13,1)))</f>
        <v>3.7218974159067574E-2</v>
      </c>
      <c r="R13" s="28">
        <f>CRONOGRAMA!$M13*IF(R$3&lt;CRONOGRAMA!$J13,0,IF(R$3&gt;=CRONOGRAMA!$K13,1,NETWORKDAYS(CRONOGRAMA!$J13,R$3,Feriados)/MAX(CRONOGRAMA!$H13,1)))</f>
        <v>3.7218974159067574E-2</v>
      </c>
      <c r="S13" s="28">
        <f>CRONOGRAMA!$M13*IF(S$3&lt;CRONOGRAMA!$J13,0,IF(S$3&gt;=CRONOGRAMA!$K13,1,NETWORKDAYS(CRONOGRAMA!$J13,S$3,Feriados)/MAX(CRONOGRAMA!$H13,1)))</f>
        <v>3.7218974159067574E-2</v>
      </c>
      <c r="T13" s="28">
        <f>CRONOGRAMA!$M13*IF(T$3&lt;CRONOGRAMA!$J13,0,IF(T$3&gt;=CRONOGRAMA!$K13,1,NETWORKDAYS(CRONOGRAMA!$J13,T$3,Feriados)/MAX(CRONOGRAMA!$H13,1)))</f>
        <v>3.7218974159067574E-2</v>
      </c>
      <c r="U13" s="28">
        <f>CRONOGRAMA!$M13*IF(U$3&lt;CRONOGRAMA!$J13,0,IF(U$3&gt;=CRONOGRAMA!$K13,1,NETWORKDAYS(CRONOGRAMA!$J13,U$3,Feriados)/MAX(CRONOGRAMA!$H13,1)))</f>
        <v>3.7218974159067574E-2</v>
      </c>
      <c r="V13" s="28">
        <f>CRONOGRAMA!$M13*IF(V$3&lt;CRONOGRAMA!$J13,0,IF(V$3&gt;=CRONOGRAMA!$K13,1,NETWORKDAYS(CRONOGRAMA!$J13,V$3,Feriados)/MAX(CRONOGRAMA!$H13,1)))</f>
        <v>3.7218974159067574E-2</v>
      </c>
    </row>
    <row r="14" spans="1:22" ht="24" outlineLevel="1" x14ac:dyDescent="0.35">
      <c r="A14" s="20">
        <f>CRONOGRAMA!A14</f>
        <v>10</v>
      </c>
      <c r="B14" s="20" t="str">
        <f>CRONOGRAMA!D14</f>
        <v>Fechar quantitativos e revisar o orçamento da Fase 2</v>
      </c>
      <c r="C14" s="28">
        <f>CRONOGRAMA!$M14*IF(C$3&lt;CRONOGRAMA!$J14,0,IF(C$3&gt;=CRONOGRAMA!$K14,1,NETWORKDAYS(CRONOGRAMA!$J14,C$3,Feriados)/MAX(CRONOGRAMA!$H14,1)))</f>
        <v>0</v>
      </c>
      <c r="D14" s="28">
        <f>CRONOGRAMA!$M14*IF(D$3&lt;CRONOGRAMA!$J14,0,IF(D$3&gt;=CRONOGRAMA!$K14,1,NETWORKDAYS(CRONOGRAMA!$J14,D$3,Feriados)/MAX(CRONOGRAMA!$H14,1)))</f>
        <v>0</v>
      </c>
      <c r="E14" s="28">
        <f>CRONOGRAMA!$M14*IF(E$3&lt;CRONOGRAMA!$J14,0,IF(E$3&gt;=CRONOGRAMA!$K14,1,NETWORKDAYS(CRONOGRAMA!$J14,E$3,Feriados)/MAX(CRONOGRAMA!$H14,1)))</f>
        <v>0</v>
      </c>
      <c r="F14" s="28">
        <f>CRONOGRAMA!$M14*IF(F$3&lt;CRONOGRAMA!$J14,0,IF(F$3&gt;=CRONOGRAMA!$K14,1,NETWORKDAYS(CRONOGRAMA!$J14,F$3,Feriados)/MAX(CRONOGRAMA!$H14,1)))</f>
        <v>0</v>
      </c>
      <c r="G14" s="28">
        <f>CRONOGRAMA!$M14*IF(G$3&lt;CRONOGRAMA!$J14,0,IF(G$3&gt;=CRONOGRAMA!$K14,1,NETWORKDAYS(CRONOGRAMA!$J14,G$3,Feriados)/MAX(CRONOGRAMA!$H14,1)))</f>
        <v>0</v>
      </c>
      <c r="H14" s="28">
        <f>CRONOGRAMA!$M14*IF(H$3&lt;CRONOGRAMA!$J14,0,IF(H$3&gt;=CRONOGRAMA!$K14,1,NETWORKDAYS(CRONOGRAMA!$J14,H$3,Feriados)/MAX(CRONOGRAMA!$H14,1)))</f>
        <v>0</v>
      </c>
      <c r="I14" s="28">
        <f>CRONOGRAMA!$M14*IF(I$3&lt;CRONOGRAMA!$J14,0,IF(I$3&gt;=CRONOGRAMA!$K14,1,NETWORKDAYS(CRONOGRAMA!$J14,I$3,Feriados)/MAX(CRONOGRAMA!$H14,1)))</f>
        <v>0</v>
      </c>
      <c r="J14" s="28">
        <f>CRONOGRAMA!$M14*IF(J$3&lt;CRONOGRAMA!$J14,0,IF(J$3&gt;=CRONOGRAMA!$K14,1,NETWORKDAYS(CRONOGRAMA!$J14,J$3,Feriados)/MAX(CRONOGRAMA!$H14,1)))</f>
        <v>0</v>
      </c>
      <c r="K14" s="28">
        <f>CRONOGRAMA!$M14*IF(K$3&lt;CRONOGRAMA!$J14,0,IF(K$3&gt;=CRONOGRAMA!$K14,1,NETWORKDAYS(CRONOGRAMA!$J14,K$3,Feriados)/MAX(CRONOGRAMA!$H14,1)))</f>
        <v>0</v>
      </c>
      <c r="L14" s="28">
        <f>CRONOGRAMA!$M14*IF(L$3&lt;CRONOGRAMA!$J14,0,IF(L$3&gt;=CRONOGRAMA!$K14,1,NETWORKDAYS(CRONOGRAMA!$J14,L$3,Feriados)/MAX(CRONOGRAMA!$H14,1)))</f>
        <v>0</v>
      </c>
      <c r="M14" s="28">
        <f>CRONOGRAMA!$M14*IF(M$3&lt;CRONOGRAMA!$J14,0,IF(M$3&gt;=CRONOGRAMA!$K14,1,NETWORKDAYS(CRONOGRAMA!$J14,M$3,Feriados)/MAX(CRONOGRAMA!$H14,1)))</f>
        <v>0</v>
      </c>
      <c r="N14" s="28">
        <f>CRONOGRAMA!$M14*IF(N$3&lt;CRONOGRAMA!$J14,0,IF(N$3&gt;=CRONOGRAMA!$K14,1,NETWORKDAYS(CRONOGRAMA!$J14,N$3,Feriados)/MAX(CRONOGRAMA!$H14,1)))</f>
        <v>0</v>
      </c>
      <c r="O14" s="28">
        <f>CRONOGRAMA!$M14*IF(O$3&lt;CRONOGRAMA!$J14,0,IF(O$3&gt;=CRONOGRAMA!$K14,1,NETWORKDAYS(CRONOGRAMA!$J14,O$3,Feriados)/MAX(CRONOGRAMA!$H14,1)))</f>
        <v>0</v>
      </c>
      <c r="P14" s="28">
        <f>CRONOGRAMA!$M14*IF(P$3&lt;CRONOGRAMA!$J14,0,IF(P$3&gt;=CRONOGRAMA!$K14,1,NETWORKDAYS(CRONOGRAMA!$J14,P$3,Feriados)/MAX(CRONOGRAMA!$H14,1)))</f>
        <v>0</v>
      </c>
      <c r="Q14" s="28">
        <f>CRONOGRAMA!$M14*IF(Q$3&lt;CRONOGRAMA!$J14,0,IF(Q$3&gt;=CRONOGRAMA!$K14,1,NETWORKDAYS(CRONOGRAMA!$J14,Q$3,Feriados)/MAX(CRONOGRAMA!$H14,1)))</f>
        <v>0</v>
      </c>
      <c r="R14" s="28">
        <f>CRONOGRAMA!$M14*IF(R$3&lt;CRONOGRAMA!$J14,0,IF(R$3&gt;=CRONOGRAMA!$K14,1,NETWORKDAYS(CRONOGRAMA!$J14,R$3,Feriados)/MAX(CRONOGRAMA!$H14,1)))</f>
        <v>0</v>
      </c>
      <c r="S14" s="28">
        <f>CRONOGRAMA!$M14*IF(S$3&lt;CRONOGRAMA!$J14,0,IF(S$3&gt;=CRONOGRAMA!$K14,1,NETWORKDAYS(CRONOGRAMA!$J14,S$3,Feriados)/MAX(CRONOGRAMA!$H14,1)))</f>
        <v>0</v>
      </c>
      <c r="T14" s="28">
        <f>CRONOGRAMA!$M14*IF(T$3&lt;CRONOGRAMA!$J14,0,IF(T$3&gt;=CRONOGRAMA!$K14,1,NETWORKDAYS(CRONOGRAMA!$J14,T$3,Feriados)/MAX(CRONOGRAMA!$H14,1)))</f>
        <v>0</v>
      </c>
      <c r="U14" s="28">
        <f>CRONOGRAMA!$M14*IF(U$3&lt;CRONOGRAMA!$J14,0,IF(U$3&gt;=CRONOGRAMA!$K14,1,NETWORKDAYS(CRONOGRAMA!$J14,U$3,Feriados)/MAX(CRONOGRAMA!$H14,1)))</f>
        <v>0</v>
      </c>
      <c r="V14" s="28">
        <f>CRONOGRAMA!$M14*IF(V$3&lt;CRONOGRAMA!$J14,0,IF(V$3&gt;=CRONOGRAMA!$K14,1,NETWORKDAYS(CRONOGRAMA!$J14,V$3,Feriados)/MAX(CRONOGRAMA!$H14,1)))</f>
        <v>0</v>
      </c>
    </row>
    <row r="15" spans="1:22" ht="24" outlineLevel="1" x14ac:dyDescent="0.35">
      <c r="A15" s="20">
        <f>CRONOGRAMA!A15</f>
        <v>11</v>
      </c>
      <c r="B15" s="20" t="str">
        <f>CRONOGRAMA!D15</f>
        <v>Abertura de porta com retirada de vidro (logística de entulho e materiais)</v>
      </c>
      <c r="C15" s="28">
        <f>CRONOGRAMA!$M15*IF(C$3&lt;CRONOGRAMA!$J15,0,IF(C$3&gt;=CRONOGRAMA!$K15,1,NETWORKDAYS(CRONOGRAMA!$J15,C$3,Feriados)/MAX(CRONOGRAMA!$H15,1)))</f>
        <v>0</v>
      </c>
      <c r="D15" s="28">
        <f>CRONOGRAMA!$M15*IF(D$3&lt;CRONOGRAMA!$J15,0,IF(D$3&gt;=CRONOGRAMA!$K15,1,NETWORKDAYS(CRONOGRAMA!$J15,D$3,Feriados)/MAX(CRONOGRAMA!$H15,1)))</f>
        <v>0</v>
      </c>
      <c r="E15" s="28">
        <f>CRONOGRAMA!$M15*IF(E$3&lt;CRONOGRAMA!$J15,0,IF(E$3&gt;=CRONOGRAMA!$K15,1,NETWORKDAYS(CRONOGRAMA!$J15,E$3,Feriados)/MAX(CRONOGRAMA!$H15,1)))</f>
        <v>0</v>
      </c>
      <c r="F15" s="28">
        <f>CRONOGRAMA!$M15*IF(F$3&lt;CRONOGRAMA!$J15,0,IF(F$3&gt;=CRONOGRAMA!$K15,1,NETWORKDAYS(CRONOGRAMA!$J15,F$3,Feriados)/MAX(CRONOGRAMA!$H15,1)))</f>
        <v>0</v>
      </c>
      <c r="G15" s="28">
        <f>CRONOGRAMA!$M15*IF(G$3&lt;CRONOGRAMA!$J15,0,IF(G$3&gt;=CRONOGRAMA!$K15,1,NETWORKDAYS(CRONOGRAMA!$J15,G$3,Feriados)/MAX(CRONOGRAMA!$H15,1)))</f>
        <v>0</v>
      </c>
      <c r="H15" s="28">
        <f>CRONOGRAMA!$M15*IF(H$3&lt;CRONOGRAMA!$J15,0,IF(H$3&gt;=CRONOGRAMA!$K15,1,NETWORKDAYS(CRONOGRAMA!$J15,H$3,Feriados)/MAX(CRONOGRAMA!$H15,1)))</f>
        <v>4.7970131374370237E-3</v>
      </c>
      <c r="I15" s="28">
        <f>CRONOGRAMA!$M15*IF(I$3&lt;CRONOGRAMA!$J15,0,IF(I$3&gt;=CRONOGRAMA!$K15,1,NETWORKDAYS(CRONOGRAMA!$J15,I$3,Feriados)/MAX(CRONOGRAMA!$H15,1)))</f>
        <v>4.7970131374370237E-3</v>
      </c>
      <c r="J15" s="28">
        <f>CRONOGRAMA!$M15*IF(J$3&lt;CRONOGRAMA!$J15,0,IF(J$3&gt;=CRONOGRAMA!$K15,1,NETWORKDAYS(CRONOGRAMA!$J15,J$3,Feriados)/MAX(CRONOGRAMA!$H15,1)))</f>
        <v>4.7970131374370237E-3</v>
      </c>
      <c r="K15" s="28">
        <f>CRONOGRAMA!$M15*IF(K$3&lt;CRONOGRAMA!$J15,0,IF(K$3&gt;=CRONOGRAMA!$K15,1,NETWORKDAYS(CRONOGRAMA!$J15,K$3,Feriados)/MAX(CRONOGRAMA!$H15,1)))</f>
        <v>4.7970131374370237E-3</v>
      </c>
      <c r="L15" s="28">
        <f>CRONOGRAMA!$M15*IF(L$3&lt;CRONOGRAMA!$J15,0,IF(L$3&gt;=CRONOGRAMA!$K15,1,NETWORKDAYS(CRONOGRAMA!$J15,L$3,Feriados)/MAX(CRONOGRAMA!$H15,1)))</f>
        <v>4.7970131374370237E-3</v>
      </c>
      <c r="M15" s="28">
        <f>CRONOGRAMA!$M15*IF(M$3&lt;CRONOGRAMA!$J15,0,IF(M$3&gt;=CRONOGRAMA!$K15,1,NETWORKDAYS(CRONOGRAMA!$J15,M$3,Feriados)/MAX(CRONOGRAMA!$H15,1)))</f>
        <v>4.7970131374370237E-3</v>
      </c>
      <c r="N15" s="28">
        <f>CRONOGRAMA!$M15*IF(N$3&lt;CRONOGRAMA!$J15,0,IF(N$3&gt;=CRONOGRAMA!$K15,1,NETWORKDAYS(CRONOGRAMA!$J15,N$3,Feriados)/MAX(CRONOGRAMA!$H15,1)))</f>
        <v>4.7970131374370237E-3</v>
      </c>
      <c r="O15" s="28">
        <f>CRONOGRAMA!$M15*IF(O$3&lt;CRONOGRAMA!$J15,0,IF(O$3&gt;=CRONOGRAMA!$K15,1,NETWORKDAYS(CRONOGRAMA!$J15,O$3,Feriados)/MAX(CRONOGRAMA!$H15,1)))</f>
        <v>4.7970131374370237E-3</v>
      </c>
      <c r="P15" s="28">
        <f>CRONOGRAMA!$M15*IF(P$3&lt;CRONOGRAMA!$J15,0,IF(P$3&gt;=CRONOGRAMA!$K15,1,NETWORKDAYS(CRONOGRAMA!$J15,P$3,Feriados)/MAX(CRONOGRAMA!$H15,1)))</f>
        <v>4.7970131374370237E-3</v>
      </c>
      <c r="Q15" s="28">
        <f>CRONOGRAMA!$M15*IF(Q$3&lt;CRONOGRAMA!$J15,0,IF(Q$3&gt;=CRONOGRAMA!$K15,1,NETWORKDAYS(CRONOGRAMA!$J15,Q$3,Feriados)/MAX(CRONOGRAMA!$H15,1)))</f>
        <v>4.7970131374370237E-3</v>
      </c>
      <c r="R15" s="28">
        <f>CRONOGRAMA!$M15*IF(R$3&lt;CRONOGRAMA!$J15,0,IF(R$3&gt;=CRONOGRAMA!$K15,1,NETWORKDAYS(CRONOGRAMA!$J15,R$3,Feriados)/MAX(CRONOGRAMA!$H15,1)))</f>
        <v>4.7970131374370237E-3</v>
      </c>
      <c r="S15" s="28">
        <f>CRONOGRAMA!$M15*IF(S$3&lt;CRONOGRAMA!$J15,0,IF(S$3&gt;=CRONOGRAMA!$K15,1,NETWORKDAYS(CRONOGRAMA!$J15,S$3,Feriados)/MAX(CRONOGRAMA!$H15,1)))</f>
        <v>4.7970131374370237E-3</v>
      </c>
      <c r="T15" s="28">
        <f>CRONOGRAMA!$M15*IF(T$3&lt;CRONOGRAMA!$J15,0,IF(T$3&gt;=CRONOGRAMA!$K15,1,NETWORKDAYS(CRONOGRAMA!$J15,T$3,Feriados)/MAX(CRONOGRAMA!$H15,1)))</f>
        <v>4.7970131374370237E-3</v>
      </c>
      <c r="U15" s="28">
        <f>CRONOGRAMA!$M15*IF(U$3&lt;CRONOGRAMA!$J15,0,IF(U$3&gt;=CRONOGRAMA!$K15,1,NETWORKDAYS(CRONOGRAMA!$J15,U$3,Feriados)/MAX(CRONOGRAMA!$H15,1)))</f>
        <v>4.7970131374370237E-3</v>
      </c>
      <c r="V15" s="28">
        <f>CRONOGRAMA!$M15*IF(V$3&lt;CRONOGRAMA!$J15,0,IF(V$3&gt;=CRONOGRAMA!$K15,1,NETWORKDAYS(CRONOGRAMA!$J15,V$3,Feriados)/MAX(CRONOGRAMA!$H15,1)))</f>
        <v>4.7970131374370237E-3</v>
      </c>
    </row>
    <row r="16" spans="1:22" outlineLevel="1" x14ac:dyDescent="0.35">
      <c r="A16" s="20">
        <f>CRONOGRAMA!A16</f>
        <v>12</v>
      </c>
      <c r="B16" s="20" t="str">
        <f>CRONOGRAMA!D16</f>
        <v>Descarte de gôndolas e geladeira</v>
      </c>
      <c r="C16" s="28">
        <f>CRONOGRAMA!$M16*IF(C$3&lt;CRONOGRAMA!$J16,0,IF(C$3&gt;=CRONOGRAMA!$K16,1,NETWORKDAYS(CRONOGRAMA!$J16,C$3,Feriados)/MAX(CRONOGRAMA!$H16,1)))</f>
        <v>0</v>
      </c>
      <c r="D16" s="28">
        <f>CRONOGRAMA!$M16*IF(D$3&lt;CRONOGRAMA!$J16,0,IF(D$3&gt;=CRONOGRAMA!$K16,1,NETWORKDAYS(CRONOGRAMA!$J16,D$3,Feriados)/MAX(CRONOGRAMA!$H16,1)))</f>
        <v>0</v>
      </c>
      <c r="E16" s="28">
        <f>CRONOGRAMA!$M16*IF(E$3&lt;CRONOGRAMA!$J16,0,IF(E$3&gt;=CRONOGRAMA!$K16,1,NETWORKDAYS(CRONOGRAMA!$J16,E$3,Feriados)/MAX(CRONOGRAMA!$H16,1)))</f>
        <v>0</v>
      </c>
      <c r="F16" s="28">
        <f>CRONOGRAMA!$M16*IF(F$3&lt;CRONOGRAMA!$J16,0,IF(F$3&gt;=CRONOGRAMA!$K16,1,NETWORKDAYS(CRONOGRAMA!$J16,F$3,Feriados)/MAX(CRONOGRAMA!$H16,1)))</f>
        <v>0</v>
      </c>
      <c r="G16" s="28">
        <f>CRONOGRAMA!$M16*IF(G$3&lt;CRONOGRAMA!$J16,0,IF(G$3&gt;=CRONOGRAMA!$K16,1,NETWORKDAYS(CRONOGRAMA!$J16,G$3,Feriados)/MAX(CRONOGRAMA!$H16,1)))</f>
        <v>0</v>
      </c>
      <c r="H16" s="28">
        <f>CRONOGRAMA!$M16*IF(H$3&lt;CRONOGRAMA!$J16,0,IF(H$3&gt;=CRONOGRAMA!$K16,1,NETWORKDAYS(CRONOGRAMA!$J16,H$3,Feriados)/MAX(CRONOGRAMA!$H16,1)))</f>
        <v>1.9747704082449082E-3</v>
      </c>
      <c r="I16" s="28">
        <f>CRONOGRAMA!$M16*IF(I$3&lt;CRONOGRAMA!$J16,0,IF(I$3&gt;=CRONOGRAMA!$K16,1,NETWORKDAYS(CRONOGRAMA!$J16,I$3,Feriados)/MAX(CRONOGRAMA!$H16,1)))</f>
        <v>3.9495408164898164E-3</v>
      </c>
      <c r="J16" s="28">
        <f>CRONOGRAMA!$M16*IF(J$3&lt;CRONOGRAMA!$J16,0,IF(J$3&gt;=CRONOGRAMA!$K16,1,NETWORKDAYS(CRONOGRAMA!$J16,J$3,Feriados)/MAX(CRONOGRAMA!$H16,1)))</f>
        <v>3.9495408164898164E-3</v>
      </c>
      <c r="K16" s="28">
        <f>CRONOGRAMA!$M16*IF(K$3&lt;CRONOGRAMA!$J16,0,IF(K$3&gt;=CRONOGRAMA!$K16,1,NETWORKDAYS(CRONOGRAMA!$J16,K$3,Feriados)/MAX(CRONOGRAMA!$H16,1)))</f>
        <v>3.9495408164898164E-3</v>
      </c>
      <c r="L16" s="28">
        <f>CRONOGRAMA!$M16*IF(L$3&lt;CRONOGRAMA!$J16,0,IF(L$3&gt;=CRONOGRAMA!$K16,1,NETWORKDAYS(CRONOGRAMA!$J16,L$3,Feriados)/MAX(CRONOGRAMA!$H16,1)))</f>
        <v>3.9495408164898164E-3</v>
      </c>
      <c r="M16" s="28">
        <f>CRONOGRAMA!$M16*IF(M$3&lt;CRONOGRAMA!$J16,0,IF(M$3&gt;=CRONOGRAMA!$K16,1,NETWORKDAYS(CRONOGRAMA!$J16,M$3,Feriados)/MAX(CRONOGRAMA!$H16,1)))</f>
        <v>3.9495408164898164E-3</v>
      </c>
      <c r="N16" s="28">
        <f>CRONOGRAMA!$M16*IF(N$3&lt;CRONOGRAMA!$J16,0,IF(N$3&gt;=CRONOGRAMA!$K16,1,NETWORKDAYS(CRONOGRAMA!$J16,N$3,Feriados)/MAX(CRONOGRAMA!$H16,1)))</f>
        <v>3.9495408164898164E-3</v>
      </c>
      <c r="O16" s="28">
        <f>CRONOGRAMA!$M16*IF(O$3&lt;CRONOGRAMA!$J16,0,IF(O$3&gt;=CRONOGRAMA!$K16,1,NETWORKDAYS(CRONOGRAMA!$J16,O$3,Feriados)/MAX(CRONOGRAMA!$H16,1)))</f>
        <v>3.9495408164898164E-3</v>
      </c>
      <c r="P16" s="28">
        <f>CRONOGRAMA!$M16*IF(P$3&lt;CRONOGRAMA!$J16,0,IF(P$3&gt;=CRONOGRAMA!$K16,1,NETWORKDAYS(CRONOGRAMA!$J16,P$3,Feriados)/MAX(CRONOGRAMA!$H16,1)))</f>
        <v>3.9495408164898164E-3</v>
      </c>
      <c r="Q16" s="28">
        <f>CRONOGRAMA!$M16*IF(Q$3&lt;CRONOGRAMA!$J16,0,IF(Q$3&gt;=CRONOGRAMA!$K16,1,NETWORKDAYS(CRONOGRAMA!$J16,Q$3,Feriados)/MAX(CRONOGRAMA!$H16,1)))</f>
        <v>3.9495408164898164E-3</v>
      </c>
      <c r="R16" s="28">
        <f>CRONOGRAMA!$M16*IF(R$3&lt;CRONOGRAMA!$J16,0,IF(R$3&gt;=CRONOGRAMA!$K16,1,NETWORKDAYS(CRONOGRAMA!$J16,R$3,Feriados)/MAX(CRONOGRAMA!$H16,1)))</f>
        <v>3.9495408164898164E-3</v>
      </c>
      <c r="S16" s="28">
        <f>CRONOGRAMA!$M16*IF(S$3&lt;CRONOGRAMA!$J16,0,IF(S$3&gt;=CRONOGRAMA!$K16,1,NETWORKDAYS(CRONOGRAMA!$J16,S$3,Feriados)/MAX(CRONOGRAMA!$H16,1)))</f>
        <v>3.9495408164898164E-3</v>
      </c>
      <c r="T16" s="28">
        <f>CRONOGRAMA!$M16*IF(T$3&lt;CRONOGRAMA!$J16,0,IF(T$3&gt;=CRONOGRAMA!$K16,1,NETWORKDAYS(CRONOGRAMA!$J16,T$3,Feriados)/MAX(CRONOGRAMA!$H16,1)))</f>
        <v>3.9495408164898164E-3</v>
      </c>
      <c r="U16" s="28">
        <f>CRONOGRAMA!$M16*IF(U$3&lt;CRONOGRAMA!$J16,0,IF(U$3&gt;=CRONOGRAMA!$K16,1,NETWORKDAYS(CRONOGRAMA!$J16,U$3,Feriados)/MAX(CRONOGRAMA!$H16,1)))</f>
        <v>3.9495408164898164E-3</v>
      </c>
      <c r="V16" s="28">
        <f>CRONOGRAMA!$M16*IF(V$3&lt;CRONOGRAMA!$J16,0,IF(V$3&gt;=CRONOGRAMA!$K16,1,NETWORKDAYS(CRONOGRAMA!$J16,V$3,Feriados)/MAX(CRONOGRAMA!$H16,1)))</f>
        <v>3.9495408164898164E-3</v>
      </c>
    </row>
    <row r="17" spans="1:22" outlineLevel="1" x14ac:dyDescent="0.35">
      <c r="A17" s="20">
        <f>CRONOGRAMA!A17</f>
        <v>13</v>
      </c>
      <c r="B17" s="20" t="str">
        <f>CRONOGRAMA!D17</f>
        <v>Desmobilização do banheiro</v>
      </c>
      <c r="C17" s="28">
        <f>CRONOGRAMA!$M17*IF(C$3&lt;CRONOGRAMA!$J17,0,IF(C$3&gt;=CRONOGRAMA!$K17,1,NETWORKDAYS(CRONOGRAMA!$J17,C$3,Feriados)/MAX(CRONOGRAMA!$H17,1)))</f>
        <v>0</v>
      </c>
      <c r="D17" s="28">
        <f>CRONOGRAMA!$M17*IF(D$3&lt;CRONOGRAMA!$J17,0,IF(D$3&gt;=CRONOGRAMA!$K17,1,NETWORKDAYS(CRONOGRAMA!$J17,D$3,Feriados)/MAX(CRONOGRAMA!$H17,1)))</f>
        <v>0</v>
      </c>
      <c r="E17" s="28">
        <f>CRONOGRAMA!$M17*IF(E$3&lt;CRONOGRAMA!$J17,0,IF(E$3&gt;=CRONOGRAMA!$K17,1,NETWORKDAYS(CRONOGRAMA!$J17,E$3,Feriados)/MAX(CRONOGRAMA!$H17,1)))</f>
        <v>0</v>
      </c>
      <c r="F17" s="28">
        <f>CRONOGRAMA!$M17*IF(F$3&lt;CRONOGRAMA!$J17,0,IF(F$3&gt;=CRONOGRAMA!$K17,1,NETWORKDAYS(CRONOGRAMA!$J17,F$3,Feriados)/MAX(CRONOGRAMA!$H17,1)))</f>
        <v>0</v>
      </c>
      <c r="G17" s="28">
        <f>CRONOGRAMA!$M17*IF(G$3&lt;CRONOGRAMA!$J17,0,IF(G$3&gt;=CRONOGRAMA!$K17,1,NETWORKDAYS(CRONOGRAMA!$J17,G$3,Feriados)/MAX(CRONOGRAMA!$H17,1)))</f>
        <v>0</v>
      </c>
      <c r="H17" s="28">
        <f>CRONOGRAMA!$M17*IF(H$3&lt;CRONOGRAMA!$J17,0,IF(H$3&gt;=CRONOGRAMA!$K17,1,NETWORKDAYS(CRONOGRAMA!$J17,H$3,Feriados)/MAX(CRONOGRAMA!$H17,1)))</f>
        <v>5.0103660074544607E-4</v>
      </c>
      <c r="I17" s="28">
        <f>CRONOGRAMA!$M17*IF(I$3&lt;CRONOGRAMA!$J17,0,IF(I$3&gt;=CRONOGRAMA!$K17,1,NETWORKDAYS(CRONOGRAMA!$J17,I$3,Feriados)/MAX(CRONOGRAMA!$H17,1)))</f>
        <v>1.0020732014908921E-3</v>
      </c>
      <c r="J17" s="28">
        <f>CRONOGRAMA!$M17*IF(J$3&lt;CRONOGRAMA!$J17,0,IF(J$3&gt;=CRONOGRAMA!$K17,1,NETWORKDAYS(CRONOGRAMA!$J17,J$3,Feriados)/MAX(CRONOGRAMA!$H17,1)))</f>
        <v>1.0020732014908921E-3</v>
      </c>
      <c r="K17" s="28">
        <f>CRONOGRAMA!$M17*IF(K$3&lt;CRONOGRAMA!$J17,0,IF(K$3&gt;=CRONOGRAMA!$K17,1,NETWORKDAYS(CRONOGRAMA!$J17,K$3,Feriados)/MAX(CRONOGRAMA!$H17,1)))</f>
        <v>1.0020732014908921E-3</v>
      </c>
      <c r="L17" s="28">
        <f>CRONOGRAMA!$M17*IF(L$3&lt;CRONOGRAMA!$J17,0,IF(L$3&gt;=CRONOGRAMA!$K17,1,NETWORKDAYS(CRONOGRAMA!$J17,L$3,Feriados)/MAX(CRONOGRAMA!$H17,1)))</f>
        <v>1.0020732014908921E-3</v>
      </c>
      <c r="M17" s="28">
        <f>CRONOGRAMA!$M17*IF(M$3&lt;CRONOGRAMA!$J17,0,IF(M$3&gt;=CRONOGRAMA!$K17,1,NETWORKDAYS(CRONOGRAMA!$J17,M$3,Feriados)/MAX(CRONOGRAMA!$H17,1)))</f>
        <v>1.0020732014908921E-3</v>
      </c>
      <c r="N17" s="28">
        <f>CRONOGRAMA!$M17*IF(N$3&lt;CRONOGRAMA!$J17,0,IF(N$3&gt;=CRONOGRAMA!$K17,1,NETWORKDAYS(CRONOGRAMA!$J17,N$3,Feriados)/MAX(CRONOGRAMA!$H17,1)))</f>
        <v>1.0020732014908921E-3</v>
      </c>
      <c r="O17" s="28">
        <f>CRONOGRAMA!$M17*IF(O$3&lt;CRONOGRAMA!$J17,0,IF(O$3&gt;=CRONOGRAMA!$K17,1,NETWORKDAYS(CRONOGRAMA!$J17,O$3,Feriados)/MAX(CRONOGRAMA!$H17,1)))</f>
        <v>1.0020732014908921E-3</v>
      </c>
      <c r="P17" s="28">
        <f>CRONOGRAMA!$M17*IF(P$3&lt;CRONOGRAMA!$J17,0,IF(P$3&gt;=CRONOGRAMA!$K17,1,NETWORKDAYS(CRONOGRAMA!$J17,P$3,Feriados)/MAX(CRONOGRAMA!$H17,1)))</f>
        <v>1.0020732014908921E-3</v>
      </c>
      <c r="Q17" s="28">
        <f>CRONOGRAMA!$M17*IF(Q$3&lt;CRONOGRAMA!$J17,0,IF(Q$3&gt;=CRONOGRAMA!$K17,1,NETWORKDAYS(CRONOGRAMA!$J17,Q$3,Feriados)/MAX(CRONOGRAMA!$H17,1)))</f>
        <v>1.0020732014908921E-3</v>
      </c>
      <c r="R17" s="28">
        <f>CRONOGRAMA!$M17*IF(R$3&lt;CRONOGRAMA!$J17,0,IF(R$3&gt;=CRONOGRAMA!$K17,1,NETWORKDAYS(CRONOGRAMA!$J17,R$3,Feriados)/MAX(CRONOGRAMA!$H17,1)))</f>
        <v>1.0020732014908921E-3</v>
      </c>
      <c r="S17" s="28">
        <f>CRONOGRAMA!$M17*IF(S$3&lt;CRONOGRAMA!$J17,0,IF(S$3&gt;=CRONOGRAMA!$K17,1,NETWORKDAYS(CRONOGRAMA!$J17,S$3,Feriados)/MAX(CRONOGRAMA!$H17,1)))</f>
        <v>1.0020732014908921E-3</v>
      </c>
      <c r="T17" s="28">
        <f>CRONOGRAMA!$M17*IF(T$3&lt;CRONOGRAMA!$J17,0,IF(T$3&gt;=CRONOGRAMA!$K17,1,NETWORKDAYS(CRONOGRAMA!$J17,T$3,Feriados)/MAX(CRONOGRAMA!$H17,1)))</f>
        <v>1.0020732014908921E-3</v>
      </c>
      <c r="U17" s="28">
        <f>CRONOGRAMA!$M17*IF(U$3&lt;CRONOGRAMA!$J17,0,IF(U$3&gt;=CRONOGRAMA!$K17,1,NETWORKDAYS(CRONOGRAMA!$J17,U$3,Feriados)/MAX(CRONOGRAMA!$H17,1)))</f>
        <v>1.0020732014908921E-3</v>
      </c>
      <c r="V17" s="28">
        <f>CRONOGRAMA!$M17*IF(V$3&lt;CRONOGRAMA!$J17,0,IF(V$3&gt;=CRONOGRAMA!$K17,1,NETWORKDAYS(CRONOGRAMA!$J17,V$3,Feriados)/MAX(CRONOGRAMA!$H17,1)))</f>
        <v>1.0020732014908921E-3</v>
      </c>
    </row>
    <row r="18" spans="1:22" ht="24" outlineLevel="1" x14ac:dyDescent="0.35">
      <c r="A18" s="20">
        <f>CRONOGRAMA!A18</f>
        <v>14</v>
      </c>
      <c r="B18" s="20" t="str">
        <f>CRONOGRAMA!D18</f>
        <v>Demolição do piso (revestimento, contrapiso e laje) + descarte com CTR</v>
      </c>
      <c r="C18" s="28">
        <f>CRONOGRAMA!$M18*IF(C$3&lt;CRONOGRAMA!$J18,0,IF(C$3&gt;=CRONOGRAMA!$K18,1,NETWORKDAYS(CRONOGRAMA!$J18,C$3,Feriados)/MAX(CRONOGRAMA!$H18,1)))</f>
        <v>0</v>
      </c>
      <c r="D18" s="28">
        <f>CRONOGRAMA!$M18*IF(D$3&lt;CRONOGRAMA!$J18,0,IF(D$3&gt;=CRONOGRAMA!$K18,1,NETWORKDAYS(CRONOGRAMA!$J18,D$3,Feriados)/MAX(CRONOGRAMA!$H18,1)))</f>
        <v>0</v>
      </c>
      <c r="E18" s="28">
        <f>CRONOGRAMA!$M18*IF(E$3&lt;CRONOGRAMA!$J18,0,IF(E$3&gt;=CRONOGRAMA!$K18,1,NETWORKDAYS(CRONOGRAMA!$J18,E$3,Feriados)/MAX(CRONOGRAMA!$H18,1)))</f>
        <v>0</v>
      </c>
      <c r="F18" s="28">
        <f>CRONOGRAMA!$M18*IF(F$3&lt;CRONOGRAMA!$J18,0,IF(F$3&gt;=CRONOGRAMA!$K18,1,NETWORKDAYS(CRONOGRAMA!$J18,F$3,Feriados)/MAX(CRONOGRAMA!$H18,1)))</f>
        <v>0</v>
      </c>
      <c r="G18" s="28">
        <f>CRONOGRAMA!$M18*IF(G$3&lt;CRONOGRAMA!$J18,0,IF(G$3&gt;=CRONOGRAMA!$K18,1,NETWORKDAYS(CRONOGRAMA!$J18,G$3,Feriados)/MAX(CRONOGRAMA!$H18,1)))</f>
        <v>0</v>
      </c>
      <c r="H18" s="28">
        <f>CRONOGRAMA!$M18*IF(H$3&lt;CRONOGRAMA!$J18,0,IF(H$3&gt;=CRONOGRAMA!$K18,1,NETWORKDAYS(CRONOGRAMA!$J18,H$3,Feriados)/MAX(CRONOGRAMA!$H18,1)))</f>
        <v>0</v>
      </c>
      <c r="I18" s="28">
        <f>CRONOGRAMA!$M18*IF(I$3&lt;CRONOGRAMA!$J18,0,IF(I$3&gt;=CRONOGRAMA!$K18,1,NETWORKDAYS(CRONOGRAMA!$J18,I$3,Feriados)/MAX(CRONOGRAMA!$H18,1)))</f>
        <v>4.2790928778813762E-2</v>
      </c>
      <c r="J18" s="28">
        <f>CRONOGRAMA!$M18*IF(J$3&lt;CRONOGRAMA!$J18,0,IF(J$3&gt;=CRONOGRAMA!$K18,1,NETWORKDAYS(CRONOGRAMA!$J18,J$3,Feriados)/MAX(CRONOGRAMA!$H18,1)))</f>
        <v>5.3488660973517198E-2</v>
      </c>
      <c r="K18" s="28">
        <f>CRONOGRAMA!$M18*IF(K$3&lt;CRONOGRAMA!$J18,0,IF(K$3&gt;=CRONOGRAMA!$K18,1,NETWORKDAYS(CRONOGRAMA!$J18,K$3,Feriados)/MAX(CRONOGRAMA!$H18,1)))</f>
        <v>5.3488660973517198E-2</v>
      </c>
      <c r="L18" s="28">
        <f>CRONOGRAMA!$M18*IF(L$3&lt;CRONOGRAMA!$J18,0,IF(L$3&gt;=CRONOGRAMA!$K18,1,NETWORKDAYS(CRONOGRAMA!$J18,L$3,Feriados)/MAX(CRONOGRAMA!$H18,1)))</f>
        <v>5.3488660973517198E-2</v>
      </c>
      <c r="M18" s="28">
        <f>CRONOGRAMA!$M18*IF(M$3&lt;CRONOGRAMA!$J18,0,IF(M$3&gt;=CRONOGRAMA!$K18,1,NETWORKDAYS(CRONOGRAMA!$J18,M$3,Feriados)/MAX(CRONOGRAMA!$H18,1)))</f>
        <v>5.3488660973517198E-2</v>
      </c>
      <c r="N18" s="28">
        <f>CRONOGRAMA!$M18*IF(N$3&lt;CRONOGRAMA!$J18,0,IF(N$3&gt;=CRONOGRAMA!$K18,1,NETWORKDAYS(CRONOGRAMA!$J18,N$3,Feriados)/MAX(CRONOGRAMA!$H18,1)))</f>
        <v>5.3488660973517198E-2</v>
      </c>
      <c r="O18" s="28">
        <f>CRONOGRAMA!$M18*IF(O$3&lt;CRONOGRAMA!$J18,0,IF(O$3&gt;=CRONOGRAMA!$K18,1,NETWORKDAYS(CRONOGRAMA!$J18,O$3,Feriados)/MAX(CRONOGRAMA!$H18,1)))</f>
        <v>5.3488660973517198E-2</v>
      </c>
      <c r="P18" s="28">
        <f>CRONOGRAMA!$M18*IF(P$3&lt;CRONOGRAMA!$J18,0,IF(P$3&gt;=CRONOGRAMA!$K18,1,NETWORKDAYS(CRONOGRAMA!$J18,P$3,Feriados)/MAX(CRONOGRAMA!$H18,1)))</f>
        <v>5.3488660973517198E-2</v>
      </c>
      <c r="Q18" s="28">
        <f>CRONOGRAMA!$M18*IF(Q$3&lt;CRONOGRAMA!$J18,0,IF(Q$3&gt;=CRONOGRAMA!$K18,1,NETWORKDAYS(CRONOGRAMA!$J18,Q$3,Feriados)/MAX(CRONOGRAMA!$H18,1)))</f>
        <v>5.3488660973517198E-2</v>
      </c>
      <c r="R18" s="28">
        <f>CRONOGRAMA!$M18*IF(R$3&lt;CRONOGRAMA!$J18,0,IF(R$3&gt;=CRONOGRAMA!$K18,1,NETWORKDAYS(CRONOGRAMA!$J18,R$3,Feriados)/MAX(CRONOGRAMA!$H18,1)))</f>
        <v>5.3488660973517198E-2</v>
      </c>
      <c r="S18" s="28">
        <f>CRONOGRAMA!$M18*IF(S$3&lt;CRONOGRAMA!$J18,0,IF(S$3&gt;=CRONOGRAMA!$K18,1,NETWORKDAYS(CRONOGRAMA!$J18,S$3,Feriados)/MAX(CRONOGRAMA!$H18,1)))</f>
        <v>5.3488660973517198E-2</v>
      </c>
      <c r="T18" s="28">
        <f>CRONOGRAMA!$M18*IF(T$3&lt;CRONOGRAMA!$J18,0,IF(T$3&gt;=CRONOGRAMA!$K18,1,NETWORKDAYS(CRONOGRAMA!$J18,T$3,Feriados)/MAX(CRONOGRAMA!$H18,1)))</f>
        <v>5.3488660973517198E-2</v>
      </c>
      <c r="U18" s="28">
        <f>CRONOGRAMA!$M18*IF(U$3&lt;CRONOGRAMA!$J18,0,IF(U$3&gt;=CRONOGRAMA!$K18,1,NETWORKDAYS(CRONOGRAMA!$J18,U$3,Feriados)/MAX(CRONOGRAMA!$H18,1)))</f>
        <v>5.3488660973517198E-2</v>
      </c>
      <c r="V18" s="28">
        <f>CRONOGRAMA!$M18*IF(V$3&lt;CRONOGRAMA!$J18,0,IF(V$3&gt;=CRONOGRAMA!$K18,1,NETWORKDAYS(CRONOGRAMA!$J18,V$3,Feriados)/MAX(CRONOGRAMA!$H18,1)))</f>
        <v>5.3488660973517198E-2</v>
      </c>
    </row>
    <row r="19" spans="1:22" ht="24" outlineLevel="1" x14ac:dyDescent="0.35">
      <c r="A19" s="20">
        <f>CRONOGRAMA!A19</f>
        <v>15</v>
      </c>
      <c r="B19" s="20" t="str">
        <f>CRONOGRAMA!D19</f>
        <v>Reforço das fundações de P2/P3 e da treliça, conforme projeto</v>
      </c>
      <c r="C19" s="28">
        <f>CRONOGRAMA!$M19*IF(C$3&lt;CRONOGRAMA!$J19,0,IF(C$3&gt;=CRONOGRAMA!$K19,1,NETWORKDAYS(CRONOGRAMA!$J19,C$3,Feriados)/MAX(CRONOGRAMA!$H19,1)))</f>
        <v>0</v>
      </c>
      <c r="D19" s="28">
        <f>CRONOGRAMA!$M19*IF(D$3&lt;CRONOGRAMA!$J19,0,IF(D$3&gt;=CRONOGRAMA!$K19,1,NETWORKDAYS(CRONOGRAMA!$J19,D$3,Feriados)/MAX(CRONOGRAMA!$H19,1)))</f>
        <v>0</v>
      </c>
      <c r="E19" s="28">
        <f>CRONOGRAMA!$M19*IF(E$3&lt;CRONOGRAMA!$J19,0,IF(E$3&gt;=CRONOGRAMA!$K19,1,NETWORKDAYS(CRONOGRAMA!$J19,E$3,Feriados)/MAX(CRONOGRAMA!$H19,1)))</f>
        <v>0</v>
      </c>
      <c r="F19" s="28">
        <f>CRONOGRAMA!$M19*IF(F$3&lt;CRONOGRAMA!$J19,0,IF(F$3&gt;=CRONOGRAMA!$K19,1,NETWORKDAYS(CRONOGRAMA!$J19,F$3,Feriados)/MAX(CRONOGRAMA!$H19,1)))</f>
        <v>0</v>
      </c>
      <c r="G19" s="28">
        <f>CRONOGRAMA!$M19*IF(G$3&lt;CRONOGRAMA!$J19,0,IF(G$3&gt;=CRONOGRAMA!$K19,1,NETWORKDAYS(CRONOGRAMA!$J19,G$3,Feriados)/MAX(CRONOGRAMA!$H19,1)))</f>
        <v>0</v>
      </c>
      <c r="H19" s="28">
        <f>CRONOGRAMA!$M19*IF(H$3&lt;CRONOGRAMA!$J19,0,IF(H$3&gt;=CRONOGRAMA!$K19,1,NETWORKDAYS(CRONOGRAMA!$J19,H$3,Feriados)/MAX(CRONOGRAMA!$H19,1)))</f>
        <v>0</v>
      </c>
      <c r="I19" s="28">
        <f>CRONOGRAMA!$M19*IF(I$3&lt;CRONOGRAMA!$J19,0,IF(I$3&gt;=CRONOGRAMA!$K19,1,NETWORKDAYS(CRONOGRAMA!$J19,I$3,Feriados)/MAX(CRONOGRAMA!$H19,1)))</f>
        <v>0</v>
      </c>
      <c r="J19" s="28">
        <f>CRONOGRAMA!$M19*IF(J$3&lt;CRONOGRAMA!$J19,0,IF(J$3&gt;=CRONOGRAMA!$K19,1,NETWORKDAYS(CRONOGRAMA!$J19,J$3,Feriados)/MAX(CRONOGRAMA!$H19,1)))</f>
        <v>4.4772122616078894E-2</v>
      </c>
      <c r="K19" s="28">
        <f>CRONOGRAMA!$M19*IF(K$3&lt;CRONOGRAMA!$J19,0,IF(K$3&gt;=CRONOGRAMA!$K19,1,NETWORKDAYS(CRONOGRAMA!$J19,K$3,Feriados)/MAX(CRONOGRAMA!$H19,1)))</f>
        <v>8.9544245232157788E-2</v>
      </c>
      <c r="L19" s="28">
        <f>CRONOGRAMA!$M19*IF(L$3&lt;CRONOGRAMA!$J19,0,IF(L$3&gt;=CRONOGRAMA!$K19,1,NETWORKDAYS(CRONOGRAMA!$J19,L$3,Feriados)/MAX(CRONOGRAMA!$H19,1)))</f>
        <v>0.11193030654019723</v>
      </c>
      <c r="M19" s="28">
        <f>CRONOGRAMA!$M19*IF(M$3&lt;CRONOGRAMA!$J19,0,IF(M$3&gt;=CRONOGRAMA!$K19,1,NETWORKDAYS(CRONOGRAMA!$J19,M$3,Feriados)/MAX(CRONOGRAMA!$H19,1)))</f>
        <v>0.11193030654019723</v>
      </c>
      <c r="N19" s="28">
        <f>CRONOGRAMA!$M19*IF(N$3&lt;CRONOGRAMA!$J19,0,IF(N$3&gt;=CRONOGRAMA!$K19,1,NETWORKDAYS(CRONOGRAMA!$J19,N$3,Feriados)/MAX(CRONOGRAMA!$H19,1)))</f>
        <v>0.11193030654019723</v>
      </c>
      <c r="O19" s="28">
        <f>CRONOGRAMA!$M19*IF(O$3&lt;CRONOGRAMA!$J19,0,IF(O$3&gt;=CRONOGRAMA!$K19,1,NETWORKDAYS(CRONOGRAMA!$J19,O$3,Feriados)/MAX(CRONOGRAMA!$H19,1)))</f>
        <v>0.11193030654019723</v>
      </c>
      <c r="P19" s="28">
        <f>CRONOGRAMA!$M19*IF(P$3&lt;CRONOGRAMA!$J19,0,IF(P$3&gt;=CRONOGRAMA!$K19,1,NETWORKDAYS(CRONOGRAMA!$J19,P$3,Feriados)/MAX(CRONOGRAMA!$H19,1)))</f>
        <v>0.11193030654019723</v>
      </c>
      <c r="Q19" s="28">
        <f>CRONOGRAMA!$M19*IF(Q$3&lt;CRONOGRAMA!$J19,0,IF(Q$3&gt;=CRONOGRAMA!$K19,1,NETWORKDAYS(CRONOGRAMA!$J19,Q$3,Feriados)/MAX(CRONOGRAMA!$H19,1)))</f>
        <v>0.11193030654019723</v>
      </c>
      <c r="R19" s="28">
        <f>CRONOGRAMA!$M19*IF(R$3&lt;CRONOGRAMA!$J19,0,IF(R$3&gt;=CRONOGRAMA!$K19,1,NETWORKDAYS(CRONOGRAMA!$J19,R$3,Feriados)/MAX(CRONOGRAMA!$H19,1)))</f>
        <v>0.11193030654019723</v>
      </c>
      <c r="S19" s="28">
        <f>CRONOGRAMA!$M19*IF(S$3&lt;CRONOGRAMA!$J19,0,IF(S$3&gt;=CRONOGRAMA!$K19,1,NETWORKDAYS(CRONOGRAMA!$J19,S$3,Feriados)/MAX(CRONOGRAMA!$H19,1)))</f>
        <v>0.11193030654019723</v>
      </c>
      <c r="T19" s="28">
        <f>CRONOGRAMA!$M19*IF(T$3&lt;CRONOGRAMA!$J19,0,IF(T$3&gt;=CRONOGRAMA!$K19,1,NETWORKDAYS(CRONOGRAMA!$J19,T$3,Feriados)/MAX(CRONOGRAMA!$H19,1)))</f>
        <v>0.11193030654019723</v>
      </c>
      <c r="U19" s="28">
        <f>CRONOGRAMA!$M19*IF(U$3&lt;CRONOGRAMA!$J19,0,IF(U$3&gt;=CRONOGRAMA!$K19,1,NETWORKDAYS(CRONOGRAMA!$J19,U$3,Feriados)/MAX(CRONOGRAMA!$H19,1)))</f>
        <v>0.11193030654019723</v>
      </c>
      <c r="V19" s="28">
        <f>CRONOGRAMA!$M19*IF(V$3&lt;CRONOGRAMA!$J19,0,IF(V$3&gt;=CRONOGRAMA!$K19,1,NETWORKDAYS(CRONOGRAMA!$J19,V$3,Feriados)/MAX(CRONOGRAMA!$H19,1)))</f>
        <v>0.11193030654019723</v>
      </c>
    </row>
    <row r="20" spans="1:22" ht="24" outlineLevel="1" x14ac:dyDescent="0.35">
      <c r="A20" s="20">
        <f>CRONOGRAMA!A20</f>
        <v>16</v>
      </c>
      <c r="B20" s="20" t="str">
        <f>CRONOGRAMA!D20</f>
        <v>Remoção do solo inadequado, base de brita e compactação em camadas (máx. 20 cm)</v>
      </c>
      <c r="C20" s="28">
        <f>CRONOGRAMA!$M20*IF(C$3&lt;CRONOGRAMA!$J20,0,IF(C$3&gt;=CRONOGRAMA!$K20,1,NETWORKDAYS(CRONOGRAMA!$J20,C$3,Feriados)/MAX(CRONOGRAMA!$H20,1)))</f>
        <v>0</v>
      </c>
      <c r="D20" s="28">
        <f>CRONOGRAMA!$M20*IF(D$3&lt;CRONOGRAMA!$J20,0,IF(D$3&gt;=CRONOGRAMA!$K20,1,NETWORKDAYS(CRONOGRAMA!$J20,D$3,Feriados)/MAX(CRONOGRAMA!$H20,1)))</f>
        <v>0</v>
      </c>
      <c r="E20" s="28">
        <f>CRONOGRAMA!$M20*IF(E$3&lt;CRONOGRAMA!$J20,0,IF(E$3&gt;=CRONOGRAMA!$K20,1,NETWORKDAYS(CRONOGRAMA!$J20,E$3,Feriados)/MAX(CRONOGRAMA!$H20,1)))</f>
        <v>0</v>
      </c>
      <c r="F20" s="28">
        <f>CRONOGRAMA!$M20*IF(F$3&lt;CRONOGRAMA!$J20,0,IF(F$3&gt;=CRONOGRAMA!$K20,1,NETWORKDAYS(CRONOGRAMA!$J20,F$3,Feriados)/MAX(CRONOGRAMA!$H20,1)))</f>
        <v>0</v>
      </c>
      <c r="G20" s="28">
        <f>CRONOGRAMA!$M20*IF(G$3&lt;CRONOGRAMA!$J20,0,IF(G$3&gt;=CRONOGRAMA!$K20,1,NETWORKDAYS(CRONOGRAMA!$J20,G$3,Feriados)/MAX(CRONOGRAMA!$H20,1)))</f>
        <v>0</v>
      </c>
      <c r="H20" s="28">
        <f>CRONOGRAMA!$M20*IF(H$3&lt;CRONOGRAMA!$J20,0,IF(H$3&gt;=CRONOGRAMA!$K20,1,NETWORKDAYS(CRONOGRAMA!$J20,H$3,Feriados)/MAX(CRONOGRAMA!$H20,1)))</f>
        <v>0</v>
      </c>
      <c r="I20" s="28">
        <f>CRONOGRAMA!$M20*IF(I$3&lt;CRONOGRAMA!$J20,0,IF(I$3&gt;=CRONOGRAMA!$K20,1,NETWORKDAYS(CRONOGRAMA!$J20,I$3,Feriados)/MAX(CRONOGRAMA!$H20,1)))</f>
        <v>0</v>
      </c>
      <c r="J20" s="28">
        <f>CRONOGRAMA!$M20*IF(J$3&lt;CRONOGRAMA!$J20,0,IF(J$3&gt;=CRONOGRAMA!$K20,1,NETWORKDAYS(CRONOGRAMA!$J20,J$3,Feriados)/MAX(CRONOGRAMA!$H20,1)))</f>
        <v>3.5634954735246464E-2</v>
      </c>
      <c r="K20" s="28">
        <f>CRONOGRAMA!$M20*IF(K$3&lt;CRONOGRAMA!$J20,0,IF(K$3&gt;=CRONOGRAMA!$K20,1,NETWORKDAYS(CRONOGRAMA!$J20,K$3,Feriados)/MAX(CRONOGRAMA!$H20,1)))</f>
        <v>4.4543693419058075E-2</v>
      </c>
      <c r="L20" s="28">
        <f>CRONOGRAMA!$M20*IF(L$3&lt;CRONOGRAMA!$J20,0,IF(L$3&gt;=CRONOGRAMA!$K20,1,NETWORKDAYS(CRONOGRAMA!$J20,L$3,Feriados)/MAX(CRONOGRAMA!$H20,1)))</f>
        <v>4.4543693419058075E-2</v>
      </c>
      <c r="M20" s="28">
        <f>CRONOGRAMA!$M20*IF(M$3&lt;CRONOGRAMA!$J20,0,IF(M$3&gt;=CRONOGRAMA!$K20,1,NETWORKDAYS(CRONOGRAMA!$J20,M$3,Feriados)/MAX(CRONOGRAMA!$H20,1)))</f>
        <v>4.4543693419058075E-2</v>
      </c>
      <c r="N20" s="28">
        <f>CRONOGRAMA!$M20*IF(N$3&lt;CRONOGRAMA!$J20,0,IF(N$3&gt;=CRONOGRAMA!$K20,1,NETWORKDAYS(CRONOGRAMA!$J20,N$3,Feriados)/MAX(CRONOGRAMA!$H20,1)))</f>
        <v>4.4543693419058075E-2</v>
      </c>
      <c r="O20" s="28">
        <f>CRONOGRAMA!$M20*IF(O$3&lt;CRONOGRAMA!$J20,0,IF(O$3&gt;=CRONOGRAMA!$K20,1,NETWORKDAYS(CRONOGRAMA!$J20,O$3,Feriados)/MAX(CRONOGRAMA!$H20,1)))</f>
        <v>4.4543693419058075E-2</v>
      </c>
      <c r="P20" s="28">
        <f>CRONOGRAMA!$M20*IF(P$3&lt;CRONOGRAMA!$J20,0,IF(P$3&gt;=CRONOGRAMA!$K20,1,NETWORKDAYS(CRONOGRAMA!$J20,P$3,Feriados)/MAX(CRONOGRAMA!$H20,1)))</f>
        <v>4.4543693419058075E-2</v>
      </c>
      <c r="Q20" s="28">
        <f>CRONOGRAMA!$M20*IF(Q$3&lt;CRONOGRAMA!$J20,0,IF(Q$3&gt;=CRONOGRAMA!$K20,1,NETWORKDAYS(CRONOGRAMA!$J20,Q$3,Feriados)/MAX(CRONOGRAMA!$H20,1)))</f>
        <v>4.4543693419058075E-2</v>
      </c>
      <c r="R20" s="28">
        <f>CRONOGRAMA!$M20*IF(R$3&lt;CRONOGRAMA!$J20,0,IF(R$3&gt;=CRONOGRAMA!$K20,1,NETWORKDAYS(CRONOGRAMA!$J20,R$3,Feriados)/MAX(CRONOGRAMA!$H20,1)))</f>
        <v>4.4543693419058075E-2</v>
      </c>
      <c r="S20" s="28">
        <f>CRONOGRAMA!$M20*IF(S$3&lt;CRONOGRAMA!$J20,0,IF(S$3&gt;=CRONOGRAMA!$K20,1,NETWORKDAYS(CRONOGRAMA!$J20,S$3,Feriados)/MAX(CRONOGRAMA!$H20,1)))</f>
        <v>4.4543693419058075E-2</v>
      </c>
      <c r="T20" s="28">
        <f>CRONOGRAMA!$M20*IF(T$3&lt;CRONOGRAMA!$J20,0,IF(T$3&gt;=CRONOGRAMA!$K20,1,NETWORKDAYS(CRONOGRAMA!$J20,T$3,Feriados)/MAX(CRONOGRAMA!$H20,1)))</f>
        <v>4.4543693419058075E-2</v>
      </c>
      <c r="U20" s="28">
        <f>CRONOGRAMA!$M20*IF(U$3&lt;CRONOGRAMA!$J20,0,IF(U$3&gt;=CRONOGRAMA!$K20,1,NETWORKDAYS(CRONOGRAMA!$J20,U$3,Feriados)/MAX(CRONOGRAMA!$H20,1)))</f>
        <v>4.4543693419058075E-2</v>
      </c>
      <c r="V20" s="28">
        <f>CRONOGRAMA!$M20*IF(V$3&lt;CRONOGRAMA!$J20,0,IF(V$3&gt;=CRONOGRAMA!$K20,1,NETWORKDAYS(CRONOGRAMA!$J20,V$3,Feriados)/MAX(CRONOGRAMA!$H20,1)))</f>
        <v>4.4543693419058075E-2</v>
      </c>
    </row>
    <row r="21" spans="1:22" ht="24" outlineLevel="1" x14ac:dyDescent="0.35">
      <c r="A21" s="20">
        <f>CRONOGRAMA!A21</f>
        <v>17</v>
      </c>
      <c r="B21" s="20" t="str">
        <f>CRONOGRAMA!D21</f>
        <v>Nova laje de piso armada com nível final (inclui cura)</v>
      </c>
      <c r="C21" s="28">
        <f>CRONOGRAMA!$M21*IF(C$3&lt;CRONOGRAMA!$J21,0,IF(C$3&gt;=CRONOGRAMA!$K21,1,NETWORKDAYS(CRONOGRAMA!$J21,C$3,Feriados)/MAX(CRONOGRAMA!$H21,1)))</f>
        <v>0</v>
      </c>
      <c r="D21" s="28">
        <f>CRONOGRAMA!$M21*IF(D$3&lt;CRONOGRAMA!$J21,0,IF(D$3&gt;=CRONOGRAMA!$K21,1,NETWORKDAYS(CRONOGRAMA!$J21,D$3,Feriados)/MAX(CRONOGRAMA!$H21,1)))</f>
        <v>0</v>
      </c>
      <c r="E21" s="28">
        <f>CRONOGRAMA!$M21*IF(E$3&lt;CRONOGRAMA!$J21,0,IF(E$3&gt;=CRONOGRAMA!$K21,1,NETWORKDAYS(CRONOGRAMA!$J21,E$3,Feriados)/MAX(CRONOGRAMA!$H21,1)))</f>
        <v>0</v>
      </c>
      <c r="F21" s="28">
        <f>CRONOGRAMA!$M21*IF(F$3&lt;CRONOGRAMA!$J21,0,IF(F$3&gt;=CRONOGRAMA!$K21,1,NETWORKDAYS(CRONOGRAMA!$J21,F$3,Feriados)/MAX(CRONOGRAMA!$H21,1)))</f>
        <v>0</v>
      </c>
      <c r="G21" s="28">
        <f>CRONOGRAMA!$M21*IF(G$3&lt;CRONOGRAMA!$J21,0,IF(G$3&gt;=CRONOGRAMA!$K21,1,NETWORKDAYS(CRONOGRAMA!$J21,G$3,Feriados)/MAX(CRONOGRAMA!$H21,1)))</f>
        <v>0</v>
      </c>
      <c r="H21" s="28">
        <f>CRONOGRAMA!$M21*IF(H$3&lt;CRONOGRAMA!$J21,0,IF(H$3&gt;=CRONOGRAMA!$K21,1,NETWORKDAYS(CRONOGRAMA!$J21,H$3,Feriados)/MAX(CRONOGRAMA!$H21,1)))</f>
        <v>0</v>
      </c>
      <c r="I21" s="28">
        <f>CRONOGRAMA!$M21*IF(I$3&lt;CRONOGRAMA!$J21,0,IF(I$3&gt;=CRONOGRAMA!$K21,1,NETWORKDAYS(CRONOGRAMA!$J21,I$3,Feriados)/MAX(CRONOGRAMA!$H21,1)))</f>
        <v>0</v>
      </c>
      <c r="J21" s="28">
        <f>CRONOGRAMA!$M21*IF(J$3&lt;CRONOGRAMA!$J21,0,IF(J$3&gt;=CRONOGRAMA!$K21,1,NETWORKDAYS(CRONOGRAMA!$J21,J$3,Feriados)/MAX(CRONOGRAMA!$H21,1)))</f>
        <v>0</v>
      </c>
      <c r="K21" s="28">
        <f>CRONOGRAMA!$M21*IF(K$3&lt;CRONOGRAMA!$J21,0,IF(K$3&gt;=CRONOGRAMA!$K21,1,NETWORKDAYS(CRONOGRAMA!$J21,K$3,Feriados)/MAX(CRONOGRAMA!$H21,1)))</f>
        <v>0</v>
      </c>
      <c r="L21" s="28">
        <f>CRONOGRAMA!$M21*IF(L$3&lt;CRONOGRAMA!$J21,0,IF(L$3&gt;=CRONOGRAMA!$K21,1,NETWORKDAYS(CRONOGRAMA!$J21,L$3,Feriados)/MAX(CRONOGRAMA!$H21,1)))</f>
        <v>4.3063472222363225E-3</v>
      </c>
      <c r="M21" s="28">
        <f>CRONOGRAMA!$M21*IF(M$3&lt;CRONOGRAMA!$J21,0,IF(M$3&gt;=CRONOGRAMA!$K21,1,NETWORKDAYS(CRONOGRAMA!$J21,M$3,Feriados)/MAX(CRONOGRAMA!$H21,1)))</f>
        <v>1.5072215277827128E-2</v>
      </c>
      <c r="N21" s="28">
        <f>CRONOGRAMA!$M21*IF(N$3&lt;CRONOGRAMA!$J21,0,IF(N$3&gt;=CRONOGRAMA!$K21,1,NETWORKDAYS(CRONOGRAMA!$J21,N$3,Feriados)/MAX(CRONOGRAMA!$H21,1)))</f>
        <v>2.1531736111181612E-2</v>
      </c>
      <c r="O21" s="28">
        <f>CRONOGRAMA!$M21*IF(O$3&lt;CRONOGRAMA!$J21,0,IF(O$3&gt;=CRONOGRAMA!$K21,1,NETWORKDAYS(CRONOGRAMA!$J21,O$3,Feriados)/MAX(CRONOGRAMA!$H21,1)))</f>
        <v>2.1531736111181612E-2</v>
      </c>
      <c r="P21" s="28">
        <f>CRONOGRAMA!$M21*IF(P$3&lt;CRONOGRAMA!$J21,0,IF(P$3&gt;=CRONOGRAMA!$K21,1,NETWORKDAYS(CRONOGRAMA!$J21,P$3,Feriados)/MAX(CRONOGRAMA!$H21,1)))</f>
        <v>2.1531736111181612E-2</v>
      </c>
      <c r="Q21" s="28">
        <f>CRONOGRAMA!$M21*IF(Q$3&lt;CRONOGRAMA!$J21,0,IF(Q$3&gt;=CRONOGRAMA!$K21,1,NETWORKDAYS(CRONOGRAMA!$J21,Q$3,Feriados)/MAX(CRONOGRAMA!$H21,1)))</f>
        <v>2.1531736111181612E-2</v>
      </c>
      <c r="R21" s="28">
        <f>CRONOGRAMA!$M21*IF(R$3&lt;CRONOGRAMA!$J21,0,IF(R$3&gt;=CRONOGRAMA!$K21,1,NETWORKDAYS(CRONOGRAMA!$J21,R$3,Feriados)/MAX(CRONOGRAMA!$H21,1)))</f>
        <v>2.1531736111181612E-2</v>
      </c>
      <c r="S21" s="28">
        <f>CRONOGRAMA!$M21*IF(S$3&lt;CRONOGRAMA!$J21,0,IF(S$3&gt;=CRONOGRAMA!$K21,1,NETWORKDAYS(CRONOGRAMA!$J21,S$3,Feriados)/MAX(CRONOGRAMA!$H21,1)))</f>
        <v>2.1531736111181612E-2</v>
      </c>
      <c r="T21" s="28">
        <f>CRONOGRAMA!$M21*IF(T$3&lt;CRONOGRAMA!$J21,0,IF(T$3&gt;=CRONOGRAMA!$K21,1,NETWORKDAYS(CRONOGRAMA!$J21,T$3,Feriados)/MAX(CRONOGRAMA!$H21,1)))</f>
        <v>2.1531736111181612E-2</v>
      </c>
      <c r="U21" s="28">
        <f>CRONOGRAMA!$M21*IF(U$3&lt;CRONOGRAMA!$J21,0,IF(U$3&gt;=CRONOGRAMA!$K21,1,NETWORKDAYS(CRONOGRAMA!$J21,U$3,Feriados)/MAX(CRONOGRAMA!$H21,1)))</f>
        <v>2.1531736111181612E-2</v>
      </c>
      <c r="V21" s="28">
        <f>CRONOGRAMA!$M21*IF(V$3&lt;CRONOGRAMA!$J21,0,IF(V$3&gt;=CRONOGRAMA!$K21,1,NETWORKDAYS(CRONOGRAMA!$J21,V$3,Feriados)/MAX(CRONOGRAMA!$H21,1)))</f>
        <v>2.1531736111181612E-2</v>
      </c>
    </row>
    <row r="22" spans="1:22" outlineLevel="1" x14ac:dyDescent="0.35">
      <c r="A22" s="20">
        <f>CRONOGRAMA!A22</f>
        <v>18</v>
      </c>
      <c r="B22" s="20" t="str">
        <f>CRONOGRAMA!D22</f>
        <v>Piso do banheiro e revestimento do salão</v>
      </c>
      <c r="C22" s="28">
        <f>CRONOGRAMA!$M22*IF(C$3&lt;CRONOGRAMA!$J22,0,IF(C$3&gt;=CRONOGRAMA!$K22,1,NETWORKDAYS(CRONOGRAMA!$J22,C$3,Feriados)/MAX(CRONOGRAMA!$H22,1)))</f>
        <v>0</v>
      </c>
      <c r="D22" s="28">
        <f>CRONOGRAMA!$M22*IF(D$3&lt;CRONOGRAMA!$J22,0,IF(D$3&gt;=CRONOGRAMA!$K22,1,NETWORKDAYS(CRONOGRAMA!$J22,D$3,Feriados)/MAX(CRONOGRAMA!$H22,1)))</f>
        <v>0</v>
      </c>
      <c r="E22" s="28">
        <f>CRONOGRAMA!$M22*IF(E$3&lt;CRONOGRAMA!$J22,0,IF(E$3&gt;=CRONOGRAMA!$K22,1,NETWORKDAYS(CRONOGRAMA!$J22,E$3,Feriados)/MAX(CRONOGRAMA!$H22,1)))</f>
        <v>0</v>
      </c>
      <c r="F22" s="28">
        <f>CRONOGRAMA!$M22*IF(F$3&lt;CRONOGRAMA!$J22,0,IF(F$3&gt;=CRONOGRAMA!$K22,1,NETWORKDAYS(CRONOGRAMA!$J22,F$3,Feriados)/MAX(CRONOGRAMA!$H22,1)))</f>
        <v>0</v>
      </c>
      <c r="G22" s="28">
        <f>CRONOGRAMA!$M22*IF(G$3&lt;CRONOGRAMA!$J22,0,IF(G$3&gt;=CRONOGRAMA!$K22,1,NETWORKDAYS(CRONOGRAMA!$J22,G$3,Feriados)/MAX(CRONOGRAMA!$H22,1)))</f>
        <v>0</v>
      </c>
      <c r="H22" s="28">
        <f>CRONOGRAMA!$M22*IF(H$3&lt;CRONOGRAMA!$J22,0,IF(H$3&gt;=CRONOGRAMA!$K22,1,NETWORKDAYS(CRONOGRAMA!$J22,H$3,Feriados)/MAX(CRONOGRAMA!$H22,1)))</f>
        <v>0</v>
      </c>
      <c r="I22" s="28">
        <f>CRONOGRAMA!$M22*IF(I$3&lt;CRONOGRAMA!$J22,0,IF(I$3&gt;=CRONOGRAMA!$K22,1,NETWORKDAYS(CRONOGRAMA!$J22,I$3,Feriados)/MAX(CRONOGRAMA!$H22,1)))</f>
        <v>0</v>
      </c>
      <c r="J22" s="28">
        <f>CRONOGRAMA!$M22*IF(J$3&lt;CRONOGRAMA!$J22,0,IF(J$3&gt;=CRONOGRAMA!$K22,1,NETWORKDAYS(CRONOGRAMA!$J22,J$3,Feriados)/MAX(CRONOGRAMA!$H22,1)))</f>
        <v>0</v>
      </c>
      <c r="K22" s="28">
        <f>CRONOGRAMA!$M22*IF(K$3&lt;CRONOGRAMA!$J22,0,IF(K$3&gt;=CRONOGRAMA!$K22,1,NETWORKDAYS(CRONOGRAMA!$J22,K$3,Feriados)/MAX(CRONOGRAMA!$H22,1)))</f>
        <v>0</v>
      </c>
      <c r="L22" s="28">
        <f>CRONOGRAMA!$M22*IF(L$3&lt;CRONOGRAMA!$J22,0,IF(L$3&gt;=CRONOGRAMA!$K22,1,NETWORKDAYS(CRONOGRAMA!$J22,L$3,Feriados)/MAX(CRONOGRAMA!$H22,1)))</f>
        <v>0</v>
      </c>
      <c r="M22" s="28">
        <f>CRONOGRAMA!$M22*IF(M$3&lt;CRONOGRAMA!$J22,0,IF(M$3&gt;=CRONOGRAMA!$K22,1,NETWORKDAYS(CRONOGRAMA!$J22,M$3,Feriados)/MAX(CRONOGRAMA!$H22,1)))</f>
        <v>0</v>
      </c>
      <c r="N22" s="28">
        <f>CRONOGRAMA!$M22*IF(N$3&lt;CRONOGRAMA!$J22,0,IF(N$3&gt;=CRONOGRAMA!$K22,1,NETWORKDAYS(CRONOGRAMA!$J22,N$3,Feriados)/MAX(CRONOGRAMA!$H22,1)))</f>
        <v>1.5990043791456746E-2</v>
      </c>
      <c r="O22" s="28">
        <f>CRONOGRAMA!$M22*IF(O$3&lt;CRONOGRAMA!$J22,0,IF(O$3&gt;=CRONOGRAMA!$K22,1,NETWORKDAYS(CRONOGRAMA!$J22,O$3,Feriados)/MAX(CRONOGRAMA!$H22,1)))</f>
        <v>5.5965153270098614E-2</v>
      </c>
      <c r="P22" s="28">
        <f>CRONOGRAMA!$M22*IF(P$3&lt;CRONOGRAMA!$J22,0,IF(P$3&gt;=CRONOGRAMA!$K22,1,NETWORKDAYS(CRONOGRAMA!$J22,P$3,Feriados)/MAX(CRONOGRAMA!$H22,1)))</f>
        <v>6.3960175165826985E-2</v>
      </c>
      <c r="Q22" s="28">
        <f>CRONOGRAMA!$M22*IF(Q$3&lt;CRONOGRAMA!$J22,0,IF(Q$3&gt;=CRONOGRAMA!$K22,1,NETWORKDAYS(CRONOGRAMA!$J22,Q$3,Feriados)/MAX(CRONOGRAMA!$H22,1)))</f>
        <v>6.3960175165826985E-2</v>
      </c>
      <c r="R22" s="28">
        <f>CRONOGRAMA!$M22*IF(R$3&lt;CRONOGRAMA!$J22,0,IF(R$3&gt;=CRONOGRAMA!$K22,1,NETWORKDAYS(CRONOGRAMA!$J22,R$3,Feriados)/MAX(CRONOGRAMA!$H22,1)))</f>
        <v>6.3960175165826985E-2</v>
      </c>
      <c r="S22" s="28">
        <f>CRONOGRAMA!$M22*IF(S$3&lt;CRONOGRAMA!$J22,0,IF(S$3&gt;=CRONOGRAMA!$K22,1,NETWORKDAYS(CRONOGRAMA!$J22,S$3,Feriados)/MAX(CRONOGRAMA!$H22,1)))</f>
        <v>6.3960175165826985E-2</v>
      </c>
      <c r="T22" s="28">
        <f>CRONOGRAMA!$M22*IF(T$3&lt;CRONOGRAMA!$J22,0,IF(T$3&gt;=CRONOGRAMA!$K22,1,NETWORKDAYS(CRONOGRAMA!$J22,T$3,Feriados)/MAX(CRONOGRAMA!$H22,1)))</f>
        <v>6.3960175165826985E-2</v>
      </c>
      <c r="U22" s="28">
        <f>CRONOGRAMA!$M22*IF(U$3&lt;CRONOGRAMA!$J22,0,IF(U$3&gt;=CRONOGRAMA!$K22,1,NETWORKDAYS(CRONOGRAMA!$J22,U$3,Feriados)/MAX(CRONOGRAMA!$H22,1)))</f>
        <v>6.3960175165826985E-2</v>
      </c>
      <c r="V22" s="28">
        <f>CRONOGRAMA!$M22*IF(V$3&lt;CRONOGRAMA!$J22,0,IF(V$3&gt;=CRONOGRAMA!$K22,1,NETWORKDAYS(CRONOGRAMA!$J22,V$3,Feriados)/MAX(CRONOGRAMA!$H22,1)))</f>
        <v>6.3960175165826985E-2</v>
      </c>
    </row>
    <row r="23" spans="1:22" ht="24" outlineLevel="1" x14ac:dyDescent="0.35">
      <c r="A23" s="20">
        <f>CRONOGRAMA!A23</f>
        <v>19</v>
      </c>
      <c r="B23" s="20" t="str">
        <f>CRONOGRAMA!D23</f>
        <v>Recuperação do mezanino: drywall, piso cerâmico, copa e WCs</v>
      </c>
      <c r="C23" s="28">
        <f>CRONOGRAMA!$M23*IF(C$3&lt;CRONOGRAMA!$J23,0,IF(C$3&gt;=CRONOGRAMA!$K23,1,NETWORKDAYS(CRONOGRAMA!$J23,C$3,Feriados)/MAX(CRONOGRAMA!$H23,1)))</f>
        <v>0</v>
      </c>
      <c r="D23" s="28">
        <f>CRONOGRAMA!$M23*IF(D$3&lt;CRONOGRAMA!$J23,0,IF(D$3&gt;=CRONOGRAMA!$K23,1,NETWORKDAYS(CRONOGRAMA!$J23,D$3,Feriados)/MAX(CRONOGRAMA!$H23,1)))</f>
        <v>0</v>
      </c>
      <c r="E23" s="28">
        <f>CRONOGRAMA!$M23*IF(E$3&lt;CRONOGRAMA!$J23,0,IF(E$3&gt;=CRONOGRAMA!$K23,1,NETWORKDAYS(CRONOGRAMA!$J23,E$3,Feriados)/MAX(CRONOGRAMA!$H23,1)))</f>
        <v>0</v>
      </c>
      <c r="F23" s="28">
        <f>CRONOGRAMA!$M23*IF(F$3&lt;CRONOGRAMA!$J23,0,IF(F$3&gt;=CRONOGRAMA!$K23,1,NETWORKDAYS(CRONOGRAMA!$J23,F$3,Feriados)/MAX(CRONOGRAMA!$H23,1)))</f>
        <v>0</v>
      </c>
      <c r="G23" s="28">
        <f>CRONOGRAMA!$M23*IF(G$3&lt;CRONOGRAMA!$J23,0,IF(G$3&gt;=CRONOGRAMA!$K23,1,NETWORKDAYS(CRONOGRAMA!$J23,G$3,Feriados)/MAX(CRONOGRAMA!$H23,1)))</f>
        <v>0</v>
      </c>
      <c r="H23" s="28">
        <f>CRONOGRAMA!$M23*IF(H$3&lt;CRONOGRAMA!$J23,0,IF(H$3&gt;=CRONOGRAMA!$K23,1,NETWORKDAYS(CRONOGRAMA!$J23,H$3,Feriados)/MAX(CRONOGRAMA!$H23,1)))</f>
        <v>0</v>
      </c>
      <c r="I23" s="28">
        <f>CRONOGRAMA!$M23*IF(I$3&lt;CRONOGRAMA!$J23,0,IF(I$3&gt;=CRONOGRAMA!$K23,1,NETWORKDAYS(CRONOGRAMA!$J23,I$3,Feriados)/MAX(CRONOGRAMA!$H23,1)))</f>
        <v>0</v>
      </c>
      <c r="J23" s="28">
        <f>CRONOGRAMA!$M23*IF(J$3&lt;CRONOGRAMA!$J23,0,IF(J$3&gt;=CRONOGRAMA!$K23,1,NETWORKDAYS(CRONOGRAMA!$J23,J$3,Feriados)/MAX(CRONOGRAMA!$H23,1)))</f>
        <v>0</v>
      </c>
      <c r="K23" s="28">
        <f>CRONOGRAMA!$M23*IF(K$3&lt;CRONOGRAMA!$J23,0,IF(K$3&gt;=CRONOGRAMA!$K23,1,NETWORKDAYS(CRONOGRAMA!$J23,K$3,Feriados)/MAX(CRONOGRAMA!$H23,1)))</f>
        <v>0</v>
      </c>
      <c r="L23" s="28">
        <f>CRONOGRAMA!$M23*IF(L$3&lt;CRONOGRAMA!$J23,0,IF(L$3&gt;=CRONOGRAMA!$K23,1,NETWORKDAYS(CRONOGRAMA!$J23,L$3,Feriados)/MAX(CRONOGRAMA!$H23,1)))</f>
        <v>1.1421459851040533E-2</v>
      </c>
      <c r="M23" s="28">
        <f>CRONOGRAMA!$M23*IF(M$3&lt;CRONOGRAMA!$J23,0,IF(M$3&gt;=CRONOGRAMA!$K23,1,NETWORKDAYS(CRONOGRAMA!$J23,M$3,Feriados)/MAX(CRONOGRAMA!$H23,1)))</f>
        <v>3.9975109478641864E-2</v>
      </c>
      <c r="N23" s="28">
        <f>CRONOGRAMA!$M23*IF(N$3&lt;CRONOGRAMA!$J23,0,IF(N$3&gt;=CRONOGRAMA!$K23,1,NETWORKDAYS(CRONOGRAMA!$J23,N$3,Feriados)/MAX(CRONOGRAMA!$H23,1)))</f>
        <v>4.5685839404162133E-2</v>
      </c>
      <c r="O23" s="28">
        <f>CRONOGRAMA!$M23*IF(O$3&lt;CRONOGRAMA!$J23,0,IF(O$3&gt;=CRONOGRAMA!$K23,1,NETWORKDAYS(CRONOGRAMA!$J23,O$3,Feriados)/MAX(CRONOGRAMA!$H23,1)))</f>
        <v>4.5685839404162133E-2</v>
      </c>
      <c r="P23" s="28">
        <f>CRONOGRAMA!$M23*IF(P$3&lt;CRONOGRAMA!$J23,0,IF(P$3&gt;=CRONOGRAMA!$K23,1,NETWORKDAYS(CRONOGRAMA!$J23,P$3,Feriados)/MAX(CRONOGRAMA!$H23,1)))</f>
        <v>4.5685839404162133E-2</v>
      </c>
      <c r="Q23" s="28">
        <f>CRONOGRAMA!$M23*IF(Q$3&lt;CRONOGRAMA!$J23,0,IF(Q$3&gt;=CRONOGRAMA!$K23,1,NETWORKDAYS(CRONOGRAMA!$J23,Q$3,Feriados)/MAX(CRONOGRAMA!$H23,1)))</f>
        <v>4.5685839404162133E-2</v>
      </c>
      <c r="R23" s="28">
        <f>CRONOGRAMA!$M23*IF(R$3&lt;CRONOGRAMA!$J23,0,IF(R$3&gt;=CRONOGRAMA!$K23,1,NETWORKDAYS(CRONOGRAMA!$J23,R$3,Feriados)/MAX(CRONOGRAMA!$H23,1)))</f>
        <v>4.5685839404162133E-2</v>
      </c>
      <c r="S23" s="28">
        <f>CRONOGRAMA!$M23*IF(S$3&lt;CRONOGRAMA!$J23,0,IF(S$3&gt;=CRONOGRAMA!$K23,1,NETWORKDAYS(CRONOGRAMA!$J23,S$3,Feriados)/MAX(CRONOGRAMA!$H23,1)))</f>
        <v>4.5685839404162133E-2</v>
      </c>
      <c r="T23" s="28">
        <f>CRONOGRAMA!$M23*IF(T$3&lt;CRONOGRAMA!$J23,0,IF(T$3&gt;=CRONOGRAMA!$K23,1,NETWORKDAYS(CRONOGRAMA!$J23,T$3,Feriados)/MAX(CRONOGRAMA!$H23,1)))</f>
        <v>4.5685839404162133E-2</v>
      </c>
      <c r="U23" s="28">
        <f>CRONOGRAMA!$M23*IF(U$3&lt;CRONOGRAMA!$J23,0,IF(U$3&gt;=CRONOGRAMA!$K23,1,NETWORKDAYS(CRONOGRAMA!$J23,U$3,Feriados)/MAX(CRONOGRAMA!$H23,1)))</f>
        <v>4.5685839404162133E-2</v>
      </c>
      <c r="V23" s="28">
        <f>CRONOGRAMA!$M23*IF(V$3&lt;CRONOGRAMA!$J23,0,IF(V$3&gt;=CRONOGRAMA!$K23,1,NETWORKDAYS(CRONOGRAMA!$J23,V$3,Feriados)/MAX(CRONOGRAMA!$H23,1)))</f>
        <v>4.5685839404162133E-2</v>
      </c>
    </row>
    <row r="24" spans="1:22" ht="24" outlineLevel="1" x14ac:dyDescent="0.35">
      <c r="A24" s="20">
        <f>CRONOGRAMA!A24</f>
        <v>20</v>
      </c>
      <c r="B24" s="20" t="str">
        <f>CRONOGRAMA!D24</f>
        <v>Retirada do escoramento, conferência final de níveis, limpeza e liberação</v>
      </c>
      <c r="C24" s="28">
        <f>CRONOGRAMA!$M24*IF(C$3&lt;CRONOGRAMA!$J24,0,IF(C$3&gt;=CRONOGRAMA!$K24,1,NETWORKDAYS(CRONOGRAMA!$J24,C$3,Feriados)/MAX(CRONOGRAMA!$H24,1)))</f>
        <v>0</v>
      </c>
      <c r="D24" s="28">
        <f>CRONOGRAMA!$M24*IF(D$3&lt;CRONOGRAMA!$J24,0,IF(D$3&gt;=CRONOGRAMA!$K24,1,NETWORKDAYS(CRONOGRAMA!$J24,D$3,Feriados)/MAX(CRONOGRAMA!$H24,1)))</f>
        <v>0</v>
      </c>
      <c r="E24" s="28">
        <f>CRONOGRAMA!$M24*IF(E$3&lt;CRONOGRAMA!$J24,0,IF(E$3&gt;=CRONOGRAMA!$K24,1,NETWORKDAYS(CRONOGRAMA!$J24,E$3,Feriados)/MAX(CRONOGRAMA!$H24,1)))</f>
        <v>0</v>
      </c>
      <c r="F24" s="28">
        <f>CRONOGRAMA!$M24*IF(F$3&lt;CRONOGRAMA!$J24,0,IF(F$3&gt;=CRONOGRAMA!$K24,1,NETWORKDAYS(CRONOGRAMA!$J24,F$3,Feriados)/MAX(CRONOGRAMA!$H24,1)))</f>
        <v>0</v>
      </c>
      <c r="G24" s="28">
        <f>CRONOGRAMA!$M24*IF(G$3&lt;CRONOGRAMA!$J24,0,IF(G$3&gt;=CRONOGRAMA!$K24,1,NETWORKDAYS(CRONOGRAMA!$J24,G$3,Feriados)/MAX(CRONOGRAMA!$H24,1)))</f>
        <v>0</v>
      </c>
      <c r="H24" s="28">
        <f>CRONOGRAMA!$M24*IF(H$3&lt;CRONOGRAMA!$J24,0,IF(H$3&gt;=CRONOGRAMA!$K24,1,NETWORKDAYS(CRONOGRAMA!$J24,H$3,Feriados)/MAX(CRONOGRAMA!$H24,1)))</f>
        <v>0</v>
      </c>
      <c r="I24" s="28">
        <f>CRONOGRAMA!$M24*IF(I$3&lt;CRONOGRAMA!$J24,0,IF(I$3&gt;=CRONOGRAMA!$K24,1,NETWORKDAYS(CRONOGRAMA!$J24,I$3,Feriados)/MAX(CRONOGRAMA!$H24,1)))</f>
        <v>0</v>
      </c>
      <c r="J24" s="28">
        <f>CRONOGRAMA!$M24*IF(J$3&lt;CRONOGRAMA!$J24,0,IF(J$3&gt;=CRONOGRAMA!$K24,1,NETWORKDAYS(CRONOGRAMA!$J24,J$3,Feriados)/MAX(CRONOGRAMA!$H24,1)))</f>
        <v>0</v>
      </c>
      <c r="K24" s="28">
        <f>CRONOGRAMA!$M24*IF(K$3&lt;CRONOGRAMA!$J24,0,IF(K$3&gt;=CRONOGRAMA!$K24,1,NETWORKDAYS(CRONOGRAMA!$J24,K$3,Feriados)/MAX(CRONOGRAMA!$H24,1)))</f>
        <v>0</v>
      </c>
      <c r="L24" s="28">
        <f>CRONOGRAMA!$M24*IF(L$3&lt;CRONOGRAMA!$J24,0,IF(L$3&gt;=CRONOGRAMA!$K24,1,NETWORKDAYS(CRONOGRAMA!$J24,L$3,Feriados)/MAX(CRONOGRAMA!$H24,1)))</f>
        <v>0</v>
      </c>
      <c r="M24" s="28">
        <f>CRONOGRAMA!$M24*IF(M$3&lt;CRONOGRAMA!$J24,0,IF(M$3&gt;=CRONOGRAMA!$K24,1,NETWORKDAYS(CRONOGRAMA!$J24,M$3,Feriados)/MAX(CRONOGRAMA!$H24,1)))</f>
        <v>0</v>
      </c>
      <c r="N24" s="28">
        <f>CRONOGRAMA!$M24*IF(N$3&lt;CRONOGRAMA!$J24,0,IF(N$3&gt;=CRONOGRAMA!$K24,1,NETWORKDAYS(CRONOGRAMA!$J24,N$3,Feriados)/MAX(CRONOGRAMA!$H24,1)))</f>
        <v>0</v>
      </c>
      <c r="O24" s="28">
        <f>CRONOGRAMA!$M24*IF(O$3&lt;CRONOGRAMA!$J24,0,IF(O$3&gt;=CRONOGRAMA!$K24,1,NETWORKDAYS(CRONOGRAMA!$J24,O$3,Feriados)/MAX(CRONOGRAMA!$H24,1)))</f>
        <v>0</v>
      </c>
      <c r="P24" s="28">
        <f>CRONOGRAMA!$M24*IF(P$3&lt;CRONOGRAMA!$J24,0,IF(P$3&gt;=CRONOGRAMA!$K24,1,NETWORKDAYS(CRONOGRAMA!$J24,P$3,Feriados)/MAX(CRONOGRAMA!$H24,1)))</f>
        <v>3.1194291145161902E-2</v>
      </c>
      <c r="Q24" s="28">
        <f>CRONOGRAMA!$M24*IF(Q$3&lt;CRONOGRAMA!$J24,0,IF(Q$3&gt;=CRONOGRAMA!$K24,1,NETWORKDAYS(CRONOGRAMA!$J24,Q$3,Feriados)/MAX(CRONOGRAMA!$H24,1)))</f>
        <v>3.1194291145161902E-2</v>
      </c>
      <c r="R24" s="28">
        <f>CRONOGRAMA!$M24*IF(R$3&lt;CRONOGRAMA!$J24,0,IF(R$3&gt;=CRONOGRAMA!$K24,1,NETWORKDAYS(CRONOGRAMA!$J24,R$3,Feriados)/MAX(CRONOGRAMA!$H24,1)))</f>
        <v>3.1194291145161902E-2</v>
      </c>
      <c r="S24" s="28">
        <f>CRONOGRAMA!$M24*IF(S$3&lt;CRONOGRAMA!$J24,0,IF(S$3&gt;=CRONOGRAMA!$K24,1,NETWORKDAYS(CRONOGRAMA!$J24,S$3,Feriados)/MAX(CRONOGRAMA!$H24,1)))</f>
        <v>3.1194291145161902E-2</v>
      </c>
      <c r="T24" s="28">
        <f>CRONOGRAMA!$M24*IF(T$3&lt;CRONOGRAMA!$J24,0,IF(T$3&gt;=CRONOGRAMA!$K24,1,NETWORKDAYS(CRONOGRAMA!$J24,T$3,Feriados)/MAX(CRONOGRAMA!$H24,1)))</f>
        <v>3.1194291145161902E-2</v>
      </c>
      <c r="U24" s="28">
        <f>CRONOGRAMA!$M24*IF(U$3&lt;CRONOGRAMA!$J24,0,IF(U$3&gt;=CRONOGRAMA!$K24,1,NETWORKDAYS(CRONOGRAMA!$J24,U$3,Feriados)/MAX(CRONOGRAMA!$H24,1)))</f>
        <v>3.1194291145161902E-2</v>
      </c>
      <c r="V24" s="28">
        <f>CRONOGRAMA!$M24*IF(V$3&lt;CRONOGRAMA!$J24,0,IF(V$3&gt;=CRONOGRAMA!$K24,1,NETWORKDAYS(CRONOGRAMA!$J24,V$3,Feriados)/MAX(CRONOGRAMA!$H24,1)))</f>
        <v>3.1194291145161902E-2</v>
      </c>
    </row>
    <row r="25" spans="1:22" ht="24" outlineLevel="1" x14ac:dyDescent="0.35">
      <c r="A25" s="20">
        <f>CRONOGRAMA!A25</f>
        <v>21</v>
      </c>
      <c r="B25" s="20" t="str">
        <f>CRONOGRAMA!D25</f>
        <v>Demolição de forro (250 m²) e drywall (100 m²)</v>
      </c>
      <c r="C25" s="28">
        <f>CRONOGRAMA!$M25*IF(C$3&lt;CRONOGRAMA!$J25,0,IF(C$3&gt;=CRONOGRAMA!$K25,1,NETWORKDAYS(CRONOGRAMA!$J25,C$3,Feriados)/MAX(CRONOGRAMA!$H25,1)))</f>
        <v>0</v>
      </c>
      <c r="D25" s="28">
        <f>CRONOGRAMA!$M25*IF(D$3&lt;CRONOGRAMA!$J25,0,IF(D$3&gt;=CRONOGRAMA!$K25,1,NETWORKDAYS(CRONOGRAMA!$J25,D$3,Feriados)/MAX(CRONOGRAMA!$H25,1)))</f>
        <v>2.4242048533833532E-3</v>
      </c>
      <c r="E25" s="28">
        <f>CRONOGRAMA!$M25*IF(E$3&lt;CRONOGRAMA!$J25,0,IF(E$3&gt;=CRONOGRAMA!$K25,1,NETWORKDAYS(CRONOGRAMA!$J25,E$3,Feriados)/MAX(CRONOGRAMA!$H25,1)))</f>
        <v>4.8484097067667065E-3</v>
      </c>
      <c r="F25" s="28">
        <f>CRONOGRAMA!$M25*IF(F$3&lt;CRONOGRAMA!$J25,0,IF(F$3&gt;=CRONOGRAMA!$K25,1,NETWORKDAYS(CRONOGRAMA!$J25,F$3,Feriados)/MAX(CRONOGRAMA!$H25,1)))</f>
        <v>4.8484097067667065E-3</v>
      </c>
      <c r="G25" s="28">
        <f>CRONOGRAMA!$M25*IF(G$3&lt;CRONOGRAMA!$J25,0,IF(G$3&gt;=CRONOGRAMA!$K25,1,NETWORKDAYS(CRONOGRAMA!$J25,G$3,Feriados)/MAX(CRONOGRAMA!$H25,1)))</f>
        <v>4.8484097067667065E-3</v>
      </c>
      <c r="H25" s="28">
        <f>CRONOGRAMA!$M25*IF(H$3&lt;CRONOGRAMA!$J25,0,IF(H$3&gt;=CRONOGRAMA!$K25,1,NETWORKDAYS(CRONOGRAMA!$J25,H$3,Feriados)/MAX(CRONOGRAMA!$H25,1)))</f>
        <v>4.8484097067667065E-3</v>
      </c>
      <c r="I25" s="28">
        <f>CRONOGRAMA!$M25*IF(I$3&lt;CRONOGRAMA!$J25,0,IF(I$3&gt;=CRONOGRAMA!$K25,1,NETWORKDAYS(CRONOGRAMA!$J25,I$3,Feriados)/MAX(CRONOGRAMA!$H25,1)))</f>
        <v>4.8484097067667065E-3</v>
      </c>
      <c r="J25" s="28">
        <f>CRONOGRAMA!$M25*IF(J$3&lt;CRONOGRAMA!$J25,0,IF(J$3&gt;=CRONOGRAMA!$K25,1,NETWORKDAYS(CRONOGRAMA!$J25,J$3,Feriados)/MAX(CRONOGRAMA!$H25,1)))</f>
        <v>4.8484097067667065E-3</v>
      </c>
      <c r="K25" s="28">
        <f>CRONOGRAMA!$M25*IF(K$3&lt;CRONOGRAMA!$J25,0,IF(K$3&gt;=CRONOGRAMA!$K25,1,NETWORKDAYS(CRONOGRAMA!$J25,K$3,Feriados)/MAX(CRONOGRAMA!$H25,1)))</f>
        <v>4.8484097067667065E-3</v>
      </c>
      <c r="L25" s="28">
        <f>CRONOGRAMA!$M25*IF(L$3&lt;CRONOGRAMA!$J25,0,IF(L$3&gt;=CRONOGRAMA!$K25,1,NETWORKDAYS(CRONOGRAMA!$J25,L$3,Feriados)/MAX(CRONOGRAMA!$H25,1)))</f>
        <v>4.8484097067667065E-3</v>
      </c>
      <c r="M25" s="28">
        <f>CRONOGRAMA!$M25*IF(M$3&lt;CRONOGRAMA!$J25,0,IF(M$3&gt;=CRONOGRAMA!$K25,1,NETWORKDAYS(CRONOGRAMA!$J25,M$3,Feriados)/MAX(CRONOGRAMA!$H25,1)))</f>
        <v>4.8484097067667065E-3</v>
      </c>
      <c r="N25" s="28">
        <f>CRONOGRAMA!$M25*IF(N$3&lt;CRONOGRAMA!$J25,0,IF(N$3&gt;=CRONOGRAMA!$K25,1,NETWORKDAYS(CRONOGRAMA!$J25,N$3,Feriados)/MAX(CRONOGRAMA!$H25,1)))</f>
        <v>4.8484097067667065E-3</v>
      </c>
      <c r="O25" s="28">
        <f>CRONOGRAMA!$M25*IF(O$3&lt;CRONOGRAMA!$J25,0,IF(O$3&gt;=CRONOGRAMA!$K25,1,NETWORKDAYS(CRONOGRAMA!$J25,O$3,Feriados)/MAX(CRONOGRAMA!$H25,1)))</f>
        <v>4.8484097067667065E-3</v>
      </c>
      <c r="P25" s="28">
        <f>CRONOGRAMA!$M25*IF(P$3&lt;CRONOGRAMA!$J25,0,IF(P$3&gt;=CRONOGRAMA!$K25,1,NETWORKDAYS(CRONOGRAMA!$J25,P$3,Feriados)/MAX(CRONOGRAMA!$H25,1)))</f>
        <v>4.8484097067667065E-3</v>
      </c>
      <c r="Q25" s="28">
        <f>CRONOGRAMA!$M25*IF(Q$3&lt;CRONOGRAMA!$J25,0,IF(Q$3&gt;=CRONOGRAMA!$K25,1,NETWORKDAYS(CRONOGRAMA!$J25,Q$3,Feriados)/MAX(CRONOGRAMA!$H25,1)))</f>
        <v>4.8484097067667065E-3</v>
      </c>
      <c r="R25" s="28">
        <f>CRONOGRAMA!$M25*IF(R$3&lt;CRONOGRAMA!$J25,0,IF(R$3&gt;=CRONOGRAMA!$K25,1,NETWORKDAYS(CRONOGRAMA!$J25,R$3,Feriados)/MAX(CRONOGRAMA!$H25,1)))</f>
        <v>4.8484097067667065E-3</v>
      </c>
      <c r="S25" s="28">
        <f>CRONOGRAMA!$M25*IF(S$3&lt;CRONOGRAMA!$J25,0,IF(S$3&gt;=CRONOGRAMA!$K25,1,NETWORKDAYS(CRONOGRAMA!$J25,S$3,Feriados)/MAX(CRONOGRAMA!$H25,1)))</f>
        <v>4.8484097067667065E-3</v>
      </c>
      <c r="T25" s="28">
        <f>CRONOGRAMA!$M25*IF(T$3&lt;CRONOGRAMA!$J25,0,IF(T$3&gt;=CRONOGRAMA!$K25,1,NETWORKDAYS(CRONOGRAMA!$J25,T$3,Feriados)/MAX(CRONOGRAMA!$H25,1)))</f>
        <v>4.8484097067667065E-3</v>
      </c>
      <c r="U25" s="28">
        <f>CRONOGRAMA!$M25*IF(U$3&lt;CRONOGRAMA!$J25,0,IF(U$3&gt;=CRONOGRAMA!$K25,1,NETWORKDAYS(CRONOGRAMA!$J25,U$3,Feriados)/MAX(CRONOGRAMA!$H25,1)))</f>
        <v>4.8484097067667065E-3</v>
      </c>
      <c r="V25" s="28">
        <f>CRONOGRAMA!$M25*IF(V$3&lt;CRONOGRAMA!$J25,0,IF(V$3&gt;=CRONOGRAMA!$K25,1,NETWORKDAYS(CRONOGRAMA!$J25,V$3,Feriados)/MAX(CRONOGRAMA!$H25,1)))</f>
        <v>4.8484097067667065E-3</v>
      </c>
    </row>
    <row r="26" spans="1:22" ht="24" outlineLevel="1" x14ac:dyDescent="0.35">
      <c r="A26" s="20">
        <f>CRONOGRAMA!A26</f>
        <v>22</v>
      </c>
      <c r="B26" s="20" t="str">
        <f>CRONOGRAMA!D26</f>
        <v>Infraestrutura elétrica, rede, iluminação e ativações</v>
      </c>
      <c r="C26" s="28">
        <f>CRONOGRAMA!$M26*IF(C$3&lt;CRONOGRAMA!$J26,0,IF(C$3&gt;=CRONOGRAMA!$K26,1,NETWORKDAYS(CRONOGRAMA!$J26,C$3,Feriados)/MAX(CRONOGRAMA!$H26,1)))</f>
        <v>0</v>
      </c>
      <c r="D26" s="28">
        <f>CRONOGRAMA!$M26*IF(D$3&lt;CRONOGRAMA!$J26,0,IF(D$3&gt;=CRONOGRAMA!$K26,1,NETWORKDAYS(CRONOGRAMA!$J26,D$3,Feriados)/MAX(CRONOGRAMA!$H26,1)))</f>
        <v>0</v>
      </c>
      <c r="E26" s="28">
        <f>CRONOGRAMA!$M26*IF(E$3&lt;CRONOGRAMA!$J26,0,IF(E$3&gt;=CRONOGRAMA!$K26,1,NETWORKDAYS(CRONOGRAMA!$J26,E$3,Feriados)/MAX(CRONOGRAMA!$H26,1)))</f>
        <v>2.6215162830400037E-2</v>
      </c>
      <c r="F26" s="28">
        <f>CRONOGRAMA!$M26*IF(F$3&lt;CRONOGRAMA!$J26,0,IF(F$3&gt;=CRONOGRAMA!$K26,1,NETWORKDAYS(CRONOGRAMA!$J26,F$3,Feriados)/MAX(CRONOGRAMA!$H26,1)))</f>
        <v>6.1168713270933414E-2</v>
      </c>
      <c r="G26" s="28">
        <f>CRONOGRAMA!$M26*IF(G$3&lt;CRONOGRAMA!$J26,0,IF(G$3&gt;=CRONOGRAMA!$K26,1,NETWORKDAYS(CRONOGRAMA!$J26,G$3,Feriados)/MAX(CRONOGRAMA!$H26,1)))</f>
        <v>8.7383876101333455E-2</v>
      </c>
      <c r="H26" s="28">
        <f>CRONOGRAMA!$M26*IF(H$3&lt;CRONOGRAMA!$J26,0,IF(H$3&gt;=CRONOGRAMA!$K26,1,NETWORKDAYS(CRONOGRAMA!$J26,H$3,Feriados)/MAX(CRONOGRAMA!$H26,1)))</f>
        <v>8.7383876101333455E-2</v>
      </c>
      <c r="I26" s="28">
        <f>CRONOGRAMA!$M26*IF(I$3&lt;CRONOGRAMA!$J26,0,IF(I$3&gt;=CRONOGRAMA!$K26,1,NETWORKDAYS(CRONOGRAMA!$J26,I$3,Feriados)/MAX(CRONOGRAMA!$H26,1)))</f>
        <v>8.7383876101333455E-2</v>
      </c>
      <c r="J26" s="28">
        <f>CRONOGRAMA!$M26*IF(J$3&lt;CRONOGRAMA!$J26,0,IF(J$3&gt;=CRONOGRAMA!$K26,1,NETWORKDAYS(CRONOGRAMA!$J26,J$3,Feriados)/MAX(CRONOGRAMA!$H26,1)))</f>
        <v>8.7383876101333455E-2</v>
      </c>
      <c r="K26" s="28">
        <f>CRONOGRAMA!$M26*IF(K$3&lt;CRONOGRAMA!$J26,0,IF(K$3&gt;=CRONOGRAMA!$K26,1,NETWORKDAYS(CRONOGRAMA!$J26,K$3,Feriados)/MAX(CRONOGRAMA!$H26,1)))</f>
        <v>8.7383876101333455E-2</v>
      </c>
      <c r="L26" s="28">
        <f>CRONOGRAMA!$M26*IF(L$3&lt;CRONOGRAMA!$J26,0,IF(L$3&gt;=CRONOGRAMA!$K26,1,NETWORKDAYS(CRONOGRAMA!$J26,L$3,Feriados)/MAX(CRONOGRAMA!$H26,1)))</f>
        <v>8.7383876101333455E-2</v>
      </c>
      <c r="M26" s="28">
        <f>CRONOGRAMA!$M26*IF(M$3&lt;CRONOGRAMA!$J26,0,IF(M$3&gt;=CRONOGRAMA!$K26,1,NETWORKDAYS(CRONOGRAMA!$J26,M$3,Feriados)/MAX(CRONOGRAMA!$H26,1)))</f>
        <v>8.7383876101333455E-2</v>
      </c>
      <c r="N26" s="28">
        <f>CRONOGRAMA!$M26*IF(N$3&lt;CRONOGRAMA!$J26,0,IF(N$3&gt;=CRONOGRAMA!$K26,1,NETWORKDAYS(CRONOGRAMA!$J26,N$3,Feriados)/MAX(CRONOGRAMA!$H26,1)))</f>
        <v>8.7383876101333455E-2</v>
      </c>
      <c r="O26" s="28">
        <f>CRONOGRAMA!$M26*IF(O$3&lt;CRONOGRAMA!$J26,0,IF(O$3&gt;=CRONOGRAMA!$K26,1,NETWORKDAYS(CRONOGRAMA!$J26,O$3,Feriados)/MAX(CRONOGRAMA!$H26,1)))</f>
        <v>8.7383876101333455E-2</v>
      </c>
      <c r="P26" s="28">
        <f>CRONOGRAMA!$M26*IF(P$3&lt;CRONOGRAMA!$J26,0,IF(P$3&gt;=CRONOGRAMA!$K26,1,NETWORKDAYS(CRONOGRAMA!$J26,P$3,Feriados)/MAX(CRONOGRAMA!$H26,1)))</f>
        <v>8.7383876101333455E-2</v>
      </c>
      <c r="Q26" s="28">
        <f>CRONOGRAMA!$M26*IF(Q$3&lt;CRONOGRAMA!$J26,0,IF(Q$3&gt;=CRONOGRAMA!$K26,1,NETWORKDAYS(CRONOGRAMA!$J26,Q$3,Feriados)/MAX(CRONOGRAMA!$H26,1)))</f>
        <v>8.7383876101333455E-2</v>
      </c>
      <c r="R26" s="28">
        <f>CRONOGRAMA!$M26*IF(R$3&lt;CRONOGRAMA!$J26,0,IF(R$3&gt;=CRONOGRAMA!$K26,1,NETWORKDAYS(CRONOGRAMA!$J26,R$3,Feriados)/MAX(CRONOGRAMA!$H26,1)))</f>
        <v>8.7383876101333455E-2</v>
      </c>
      <c r="S26" s="28">
        <f>CRONOGRAMA!$M26*IF(S$3&lt;CRONOGRAMA!$J26,0,IF(S$3&gt;=CRONOGRAMA!$K26,1,NETWORKDAYS(CRONOGRAMA!$J26,S$3,Feriados)/MAX(CRONOGRAMA!$H26,1)))</f>
        <v>8.7383876101333455E-2</v>
      </c>
      <c r="T26" s="28">
        <f>CRONOGRAMA!$M26*IF(T$3&lt;CRONOGRAMA!$J26,0,IF(T$3&gt;=CRONOGRAMA!$K26,1,NETWORKDAYS(CRONOGRAMA!$J26,T$3,Feriados)/MAX(CRONOGRAMA!$H26,1)))</f>
        <v>8.7383876101333455E-2</v>
      </c>
      <c r="U26" s="28">
        <f>CRONOGRAMA!$M26*IF(U$3&lt;CRONOGRAMA!$J26,0,IF(U$3&gt;=CRONOGRAMA!$K26,1,NETWORKDAYS(CRONOGRAMA!$J26,U$3,Feriados)/MAX(CRONOGRAMA!$H26,1)))</f>
        <v>8.7383876101333455E-2</v>
      </c>
      <c r="V26" s="28">
        <f>CRONOGRAMA!$M26*IF(V$3&lt;CRONOGRAMA!$J26,0,IF(V$3&gt;=CRONOGRAMA!$K26,1,NETWORKDAYS(CRONOGRAMA!$J26,V$3,Feriados)/MAX(CRONOGRAMA!$H26,1)))</f>
        <v>8.7383876101333455E-2</v>
      </c>
    </row>
    <row r="27" spans="1:22" ht="24" outlineLevel="1" x14ac:dyDescent="0.35">
      <c r="A27" s="20">
        <f>CRONOGRAMA!A27</f>
        <v>23</v>
      </c>
      <c r="B27" s="20" t="str">
        <f>CRONOGRAMA!D27</f>
        <v>Ar-condicionado: retirada, reinstalação de splits e drenos</v>
      </c>
      <c r="C27" s="28">
        <f>CRONOGRAMA!$M27*IF(C$3&lt;CRONOGRAMA!$J27,0,IF(C$3&gt;=CRONOGRAMA!$K27,1,NETWORKDAYS(CRONOGRAMA!$J27,C$3,Feriados)/MAX(CRONOGRAMA!$H27,1)))</f>
        <v>0</v>
      </c>
      <c r="D27" s="28">
        <f>CRONOGRAMA!$M27*IF(D$3&lt;CRONOGRAMA!$J27,0,IF(D$3&gt;=CRONOGRAMA!$K27,1,NETWORKDAYS(CRONOGRAMA!$J27,D$3,Feriados)/MAX(CRONOGRAMA!$H27,1)))</f>
        <v>0</v>
      </c>
      <c r="E27" s="28">
        <f>CRONOGRAMA!$M27*IF(E$3&lt;CRONOGRAMA!$J27,0,IF(E$3&gt;=CRONOGRAMA!$K27,1,NETWORKDAYS(CRONOGRAMA!$J27,E$3,Feriados)/MAX(CRONOGRAMA!$H27,1)))</f>
        <v>3.0211040509505523E-2</v>
      </c>
      <c r="F27" s="28">
        <f>CRONOGRAMA!$M27*IF(F$3&lt;CRONOGRAMA!$J27,0,IF(F$3&gt;=CRONOGRAMA!$K27,1,NETWORKDAYS(CRONOGRAMA!$J27,F$3,Feriados)/MAX(CRONOGRAMA!$H27,1)))</f>
        <v>5.0351734182509204E-2</v>
      </c>
      <c r="G27" s="28">
        <f>CRONOGRAMA!$M27*IF(G$3&lt;CRONOGRAMA!$J27,0,IF(G$3&gt;=CRONOGRAMA!$K27,1,NETWORKDAYS(CRONOGRAMA!$J27,G$3,Feriados)/MAX(CRONOGRAMA!$H27,1)))</f>
        <v>5.0351734182509204E-2</v>
      </c>
      <c r="H27" s="28">
        <f>CRONOGRAMA!$M27*IF(H$3&lt;CRONOGRAMA!$J27,0,IF(H$3&gt;=CRONOGRAMA!$K27,1,NETWORKDAYS(CRONOGRAMA!$J27,H$3,Feriados)/MAX(CRONOGRAMA!$H27,1)))</f>
        <v>5.0351734182509204E-2</v>
      </c>
      <c r="I27" s="28">
        <f>CRONOGRAMA!$M27*IF(I$3&lt;CRONOGRAMA!$J27,0,IF(I$3&gt;=CRONOGRAMA!$K27,1,NETWORKDAYS(CRONOGRAMA!$J27,I$3,Feriados)/MAX(CRONOGRAMA!$H27,1)))</f>
        <v>5.0351734182509204E-2</v>
      </c>
      <c r="J27" s="28">
        <f>CRONOGRAMA!$M27*IF(J$3&lt;CRONOGRAMA!$J27,0,IF(J$3&gt;=CRONOGRAMA!$K27,1,NETWORKDAYS(CRONOGRAMA!$J27,J$3,Feriados)/MAX(CRONOGRAMA!$H27,1)))</f>
        <v>5.0351734182509204E-2</v>
      </c>
      <c r="K27" s="28">
        <f>CRONOGRAMA!$M27*IF(K$3&lt;CRONOGRAMA!$J27,0,IF(K$3&gt;=CRONOGRAMA!$K27,1,NETWORKDAYS(CRONOGRAMA!$J27,K$3,Feriados)/MAX(CRONOGRAMA!$H27,1)))</f>
        <v>5.0351734182509204E-2</v>
      </c>
      <c r="L27" s="28">
        <f>CRONOGRAMA!$M27*IF(L$3&lt;CRONOGRAMA!$J27,0,IF(L$3&gt;=CRONOGRAMA!$K27,1,NETWORKDAYS(CRONOGRAMA!$J27,L$3,Feriados)/MAX(CRONOGRAMA!$H27,1)))</f>
        <v>5.0351734182509204E-2</v>
      </c>
      <c r="M27" s="28">
        <f>CRONOGRAMA!$M27*IF(M$3&lt;CRONOGRAMA!$J27,0,IF(M$3&gt;=CRONOGRAMA!$K27,1,NETWORKDAYS(CRONOGRAMA!$J27,M$3,Feriados)/MAX(CRONOGRAMA!$H27,1)))</f>
        <v>5.0351734182509204E-2</v>
      </c>
      <c r="N27" s="28">
        <f>CRONOGRAMA!$M27*IF(N$3&lt;CRONOGRAMA!$J27,0,IF(N$3&gt;=CRONOGRAMA!$K27,1,NETWORKDAYS(CRONOGRAMA!$J27,N$3,Feriados)/MAX(CRONOGRAMA!$H27,1)))</f>
        <v>5.0351734182509204E-2</v>
      </c>
      <c r="O27" s="28">
        <f>CRONOGRAMA!$M27*IF(O$3&lt;CRONOGRAMA!$J27,0,IF(O$3&gt;=CRONOGRAMA!$K27,1,NETWORKDAYS(CRONOGRAMA!$J27,O$3,Feriados)/MAX(CRONOGRAMA!$H27,1)))</f>
        <v>5.0351734182509204E-2</v>
      </c>
      <c r="P27" s="28">
        <f>CRONOGRAMA!$M27*IF(P$3&lt;CRONOGRAMA!$J27,0,IF(P$3&gt;=CRONOGRAMA!$K27,1,NETWORKDAYS(CRONOGRAMA!$J27,P$3,Feriados)/MAX(CRONOGRAMA!$H27,1)))</f>
        <v>5.0351734182509204E-2</v>
      </c>
      <c r="Q27" s="28">
        <f>CRONOGRAMA!$M27*IF(Q$3&lt;CRONOGRAMA!$J27,0,IF(Q$3&gt;=CRONOGRAMA!$K27,1,NETWORKDAYS(CRONOGRAMA!$J27,Q$3,Feriados)/MAX(CRONOGRAMA!$H27,1)))</f>
        <v>5.0351734182509204E-2</v>
      </c>
      <c r="R27" s="28">
        <f>CRONOGRAMA!$M27*IF(R$3&lt;CRONOGRAMA!$J27,0,IF(R$3&gt;=CRONOGRAMA!$K27,1,NETWORKDAYS(CRONOGRAMA!$J27,R$3,Feriados)/MAX(CRONOGRAMA!$H27,1)))</f>
        <v>5.0351734182509204E-2</v>
      </c>
      <c r="S27" s="28">
        <f>CRONOGRAMA!$M27*IF(S$3&lt;CRONOGRAMA!$J27,0,IF(S$3&gt;=CRONOGRAMA!$K27,1,NETWORKDAYS(CRONOGRAMA!$J27,S$3,Feriados)/MAX(CRONOGRAMA!$H27,1)))</f>
        <v>5.0351734182509204E-2</v>
      </c>
      <c r="T27" s="28">
        <f>CRONOGRAMA!$M27*IF(T$3&lt;CRONOGRAMA!$J27,0,IF(T$3&gt;=CRONOGRAMA!$K27,1,NETWORKDAYS(CRONOGRAMA!$J27,T$3,Feriados)/MAX(CRONOGRAMA!$H27,1)))</f>
        <v>5.0351734182509204E-2</v>
      </c>
      <c r="U27" s="28">
        <f>CRONOGRAMA!$M27*IF(U$3&lt;CRONOGRAMA!$J27,0,IF(U$3&gt;=CRONOGRAMA!$K27,1,NETWORKDAYS(CRONOGRAMA!$J27,U$3,Feriados)/MAX(CRONOGRAMA!$H27,1)))</f>
        <v>5.0351734182509204E-2</v>
      </c>
      <c r="V27" s="28">
        <f>CRONOGRAMA!$M27*IF(V$3&lt;CRONOGRAMA!$J27,0,IF(V$3&gt;=CRONOGRAMA!$K27,1,NETWORKDAYS(CRONOGRAMA!$J27,V$3,Feriados)/MAX(CRONOGRAMA!$H27,1)))</f>
        <v>5.0351734182509204E-2</v>
      </c>
    </row>
    <row r="28" spans="1:22" outlineLevel="1" x14ac:dyDescent="0.35">
      <c r="A28" s="20">
        <f>CRONOGRAMA!A28</f>
        <v>24</v>
      </c>
      <c r="B28" s="20" t="str">
        <f>CRONOGRAMA!D28</f>
        <v>Drywall novo (190 m²) com reforço em MDF</v>
      </c>
      <c r="C28" s="28">
        <f>CRONOGRAMA!$M28*IF(C$3&lt;CRONOGRAMA!$J28,0,IF(C$3&gt;=CRONOGRAMA!$K28,1,NETWORKDAYS(CRONOGRAMA!$J28,C$3,Feriados)/MAX(CRONOGRAMA!$H28,1)))</f>
        <v>0</v>
      </c>
      <c r="D28" s="28">
        <f>CRONOGRAMA!$M28*IF(D$3&lt;CRONOGRAMA!$J28,0,IF(D$3&gt;=CRONOGRAMA!$K28,1,NETWORKDAYS(CRONOGRAMA!$J28,D$3,Feriados)/MAX(CRONOGRAMA!$H28,1)))</f>
        <v>0</v>
      </c>
      <c r="E28" s="28">
        <f>CRONOGRAMA!$M28*IF(E$3&lt;CRONOGRAMA!$J28,0,IF(E$3&gt;=CRONOGRAMA!$K28,1,NETWORKDAYS(CRONOGRAMA!$J28,E$3,Feriados)/MAX(CRONOGRAMA!$H28,1)))</f>
        <v>0</v>
      </c>
      <c r="F28" s="28">
        <f>CRONOGRAMA!$M28*IF(F$3&lt;CRONOGRAMA!$J28,0,IF(F$3&gt;=CRONOGRAMA!$K28,1,NETWORKDAYS(CRONOGRAMA!$J28,F$3,Feriados)/MAX(CRONOGRAMA!$H28,1)))</f>
        <v>0</v>
      </c>
      <c r="G28" s="28">
        <f>CRONOGRAMA!$M28*IF(G$3&lt;CRONOGRAMA!$J28,0,IF(G$3&gt;=CRONOGRAMA!$K28,1,NETWORKDAYS(CRONOGRAMA!$J28,G$3,Feriados)/MAX(CRONOGRAMA!$H28,1)))</f>
        <v>1.8973024532285838E-2</v>
      </c>
      <c r="H28" s="28">
        <f>CRONOGRAMA!$M28*IF(H$3&lt;CRONOGRAMA!$J28,0,IF(H$3&gt;=CRONOGRAMA!$K28,1,NETWORKDAYS(CRONOGRAMA!$J28,H$3,Feriados)/MAX(CRONOGRAMA!$H28,1)))</f>
        <v>5.6919073596857515E-2</v>
      </c>
      <c r="I28" s="28">
        <f>CRONOGRAMA!$M28*IF(I$3&lt;CRONOGRAMA!$J28,0,IF(I$3&gt;=CRONOGRAMA!$K28,1,NETWORKDAYS(CRONOGRAMA!$J28,I$3,Feriados)/MAX(CRONOGRAMA!$H28,1)))</f>
        <v>5.6919073596857515E-2</v>
      </c>
      <c r="J28" s="28">
        <f>CRONOGRAMA!$M28*IF(J$3&lt;CRONOGRAMA!$J28,0,IF(J$3&gt;=CRONOGRAMA!$K28,1,NETWORKDAYS(CRONOGRAMA!$J28,J$3,Feriados)/MAX(CRONOGRAMA!$H28,1)))</f>
        <v>5.6919073596857515E-2</v>
      </c>
      <c r="K28" s="28">
        <f>CRONOGRAMA!$M28*IF(K$3&lt;CRONOGRAMA!$J28,0,IF(K$3&gt;=CRONOGRAMA!$K28,1,NETWORKDAYS(CRONOGRAMA!$J28,K$3,Feriados)/MAX(CRONOGRAMA!$H28,1)))</f>
        <v>5.6919073596857515E-2</v>
      </c>
      <c r="L28" s="28">
        <f>CRONOGRAMA!$M28*IF(L$3&lt;CRONOGRAMA!$J28,0,IF(L$3&gt;=CRONOGRAMA!$K28,1,NETWORKDAYS(CRONOGRAMA!$J28,L$3,Feriados)/MAX(CRONOGRAMA!$H28,1)))</f>
        <v>5.6919073596857515E-2</v>
      </c>
      <c r="M28" s="28">
        <f>CRONOGRAMA!$M28*IF(M$3&lt;CRONOGRAMA!$J28,0,IF(M$3&gt;=CRONOGRAMA!$K28,1,NETWORKDAYS(CRONOGRAMA!$J28,M$3,Feriados)/MAX(CRONOGRAMA!$H28,1)))</f>
        <v>5.6919073596857515E-2</v>
      </c>
      <c r="N28" s="28">
        <f>CRONOGRAMA!$M28*IF(N$3&lt;CRONOGRAMA!$J28,0,IF(N$3&gt;=CRONOGRAMA!$K28,1,NETWORKDAYS(CRONOGRAMA!$J28,N$3,Feriados)/MAX(CRONOGRAMA!$H28,1)))</f>
        <v>5.6919073596857515E-2</v>
      </c>
      <c r="O28" s="28">
        <f>CRONOGRAMA!$M28*IF(O$3&lt;CRONOGRAMA!$J28,0,IF(O$3&gt;=CRONOGRAMA!$K28,1,NETWORKDAYS(CRONOGRAMA!$J28,O$3,Feriados)/MAX(CRONOGRAMA!$H28,1)))</f>
        <v>5.6919073596857515E-2</v>
      </c>
      <c r="P28" s="28">
        <f>CRONOGRAMA!$M28*IF(P$3&lt;CRONOGRAMA!$J28,0,IF(P$3&gt;=CRONOGRAMA!$K28,1,NETWORKDAYS(CRONOGRAMA!$J28,P$3,Feriados)/MAX(CRONOGRAMA!$H28,1)))</f>
        <v>5.6919073596857515E-2</v>
      </c>
      <c r="Q28" s="28">
        <f>CRONOGRAMA!$M28*IF(Q$3&lt;CRONOGRAMA!$J28,0,IF(Q$3&gt;=CRONOGRAMA!$K28,1,NETWORKDAYS(CRONOGRAMA!$J28,Q$3,Feriados)/MAX(CRONOGRAMA!$H28,1)))</f>
        <v>5.6919073596857515E-2</v>
      </c>
      <c r="R28" s="28">
        <f>CRONOGRAMA!$M28*IF(R$3&lt;CRONOGRAMA!$J28,0,IF(R$3&gt;=CRONOGRAMA!$K28,1,NETWORKDAYS(CRONOGRAMA!$J28,R$3,Feriados)/MAX(CRONOGRAMA!$H28,1)))</f>
        <v>5.6919073596857515E-2</v>
      </c>
      <c r="S28" s="28">
        <f>CRONOGRAMA!$M28*IF(S$3&lt;CRONOGRAMA!$J28,0,IF(S$3&gt;=CRONOGRAMA!$K28,1,NETWORKDAYS(CRONOGRAMA!$J28,S$3,Feriados)/MAX(CRONOGRAMA!$H28,1)))</f>
        <v>5.6919073596857515E-2</v>
      </c>
      <c r="T28" s="28">
        <f>CRONOGRAMA!$M28*IF(T$3&lt;CRONOGRAMA!$J28,0,IF(T$3&gt;=CRONOGRAMA!$K28,1,NETWORKDAYS(CRONOGRAMA!$J28,T$3,Feriados)/MAX(CRONOGRAMA!$H28,1)))</f>
        <v>5.6919073596857515E-2</v>
      </c>
      <c r="U28" s="28">
        <f>CRONOGRAMA!$M28*IF(U$3&lt;CRONOGRAMA!$J28,0,IF(U$3&gt;=CRONOGRAMA!$K28,1,NETWORKDAYS(CRONOGRAMA!$J28,U$3,Feriados)/MAX(CRONOGRAMA!$H28,1)))</f>
        <v>5.6919073596857515E-2</v>
      </c>
      <c r="V28" s="28">
        <f>CRONOGRAMA!$M28*IF(V$3&lt;CRONOGRAMA!$J28,0,IF(V$3&gt;=CRONOGRAMA!$K28,1,NETWORKDAYS(CRONOGRAMA!$J28,V$3,Feriados)/MAX(CRONOGRAMA!$H28,1)))</f>
        <v>5.6919073596857515E-2</v>
      </c>
    </row>
    <row r="29" spans="1:22" ht="24" outlineLevel="1" x14ac:dyDescent="0.35">
      <c r="A29" s="20">
        <f>CRONOGRAMA!A29</f>
        <v>25</v>
      </c>
      <c r="B29" s="20" t="str">
        <f>CRONOGRAMA!D29</f>
        <v>Forro mineral (250 m²) e abertura de luminárias</v>
      </c>
      <c r="C29" s="28">
        <f>CRONOGRAMA!$M29*IF(C$3&lt;CRONOGRAMA!$J29,0,IF(C$3&gt;=CRONOGRAMA!$K29,1,NETWORKDAYS(CRONOGRAMA!$J29,C$3,Feriados)/MAX(CRONOGRAMA!$H29,1)))</f>
        <v>0</v>
      </c>
      <c r="D29" s="28">
        <f>CRONOGRAMA!$M29*IF(D$3&lt;CRONOGRAMA!$J29,0,IF(D$3&gt;=CRONOGRAMA!$K29,1,NETWORKDAYS(CRONOGRAMA!$J29,D$3,Feriados)/MAX(CRONOGRAMA!$H29,1)))</f>
        <v>0</v>
      </c>
      <c r="E29" s="28">
        <f>CRONOGRAMA!$M29*IF(E$3&lt;CRONOGRAMA!$J29,0,IF(E$3&gt;=CRONOGRAMA!$K29,1,NETWORKDAYS(CRONOGRAMA!$J29,E$3,Feriados)/MAX(CRONOGRAMA!$H29,1)))</f>
        <v>0</v>
      </c>
      <c r="F29" s="28">
        <f>CRONOGRAMA!$M29*IF(F$3&lt;CRONOGRAMA!$J29,0,IF(F$3&gt;=CRONOGRAMA!$K29,1,NETWORKDAYS(CRONOGRAMA!$J29,F$3,Feriados)/MAX(CRONOGRAMA!$H29,1)))</f>
        <v>0</v>
      </c>
      <c r="G29" s="28">
        <f>CRONOGRAMA!$M29*IF(G$3&lt;CRONOGRAMA!$J29,0,IF(G$3&gt;=CRONOGRAMA!$K29,1,NETWORKDAYS(CRONOGRAMA!$J29,G$3,Feriados)/MAX(CRONOGRAMA!$H29,1)))</f>
        <v>0</v>
      </c>
      <c r="H29" s="28">
        <f>CRONOGRAMA!$M29*IF(H$3&lt;CRONOGRAMA!$J29,0,IF(H$3&gt;=CRONOGRAMA!$K29,1,NETWORKDAYS(CRONOGRAMA!$J29,H$3,Feriados)/MAX(CRONOGRAMA!$H29,1)))</f>
        <v>1.3571770325947545E-2</v>
      </c>
      <c r="I29" s="28">
        <f>CRONOGRAMA!$M29*IF(I$3&lt;CRONOGRAMA!$J29,0,IF(I$3&gt;=CRONOGRAMA!$K29,1,NETWORKDAYS(CRONOGRAMA!$J29,I$3,Feriados)/MAX(CRONOGRAMA!$H29,1)))</f>
        <v>8.1430621955685276E-2</v>
      </c>
      <c r="J29" s="28">
        <f>CRONOGRAMA!$M29*IF(J$3&lt;CRONOGRAMA!$J29,0,IF(J$3&gt;=CRONOGRAMA!$K29,1,NETWORKDAYS(CRONOGRAMA!$J29,J$3,Feriados)/MAX(CRONOGRAMA!$H29,1)))</f>
        <v>8.1430621955685276E-2</v>
      </c>
      <c r="K29" s="28">
        <f>CRONOGRAMA!$M29*IF(K$3&lt;CRONOGRAMA!$J29,0,IF(K$3&gt;=CRONOGRAMA!$K29,1,NETWORKDAYS(CRONOGRAMA!$J29,K$3,Feriados)/MAX(CRONOGRAMA!$H29,1)))</f>
        <v>8.1430621955685276E-2</v>
      </c>
      <c r="L29" s="28">
        <f>CRONOGRAMA!$M29*IF(L$3&lt;CRONOGRAMA!$J29,0,IF(L$3&gt;=CRONOGRAMA!$K29,1,NETWORKDAYS(CRONOGRAMA!$J29,L$3,Feriados)/MAX(CRONOGRAMA!$H29,1)))</f>
        <v>8.1430621955685276E-2</v>
      </c>
      <c r="M29" s="28">
        <f>CRONOGRAMA!$M29*IF(M$3&lt;CRONOGRAMA!$J29,0,IF(M$3&gt;=CRONOGRAMA!$K29,1,NETWORKDAYS(CRONOGRAMA!$J29,M$3,Feriados)/MAX(CRONOGRAMA!$H29,1)))</f>
        <v>8.1430621955685276E-2</v>
      </c>
      <c r="N29" s="28">
        <f>CRONOGRAMA!$M29*IF(N$3&lt;CRONOGRAMA!$J29,0,IF(N$3&gt;=CRONOGRAMA!$K29,1,NETWORKDAYS(CRONOGRAMA!$J29,N$3,Feriados)/MAX(CRONOGRAMA!$H29,1)))</f>
        <v>8.1430621955685276E-2</v>
      </c>
      <c r="O29" s="28">
        <f>CRONOGRAMA!$M29*IF(O$3&lt;CRONOGRAMA!$J29,0,IF(O$3&gt;=CRONOGRAMA!$K29,1,NETWORKDAYS(CRONOGRAMA!$J29,O$3,Feriados)/MAX(CRONOGRAMA!$H29,1)))</f>
        <v>8.1430621955685276E-2</v>
      </c>
      <c r="P29" s="28">
        <f>CRONOGRAMA!$M29*IF(P$3&lt;CRONOGRAMA!$J29,0,IF(P$3&gt;=CRONOGRAMA!$K29,1,NETWORKDAYS(CRONOGRAMA!$J29,P$3,Feriados)/MAX(CRONOGRAMA!$H29,1)))</f>
        <v>8.1430621955685276E-2</v>
      </c>
      <c r="Q29" s="28">
        <f>CRONOGRAMA!$M29*IF(Q$3&lt;CRONOGRAMA!$J29,0,IF(Q$3&gt;=CRONOGRAMA!$K29,1,NETWORKDAYS(CRONOGRAMA!$J29,Q$3,Feriados)/MAX(CRONOGRAMA!$H29,1)))</f>
        <v>8.1430621955685276E-2</v>
      </c>
      <c r="R29" s="28">
        <f>CRONOGRAMA!$M29*IF(R$3&lt;CRONOGRAMA!$J29,0,IF(R$3&gt;=CRONOGRAMA!$K29,1,NETWORKDAYS(CRONOGRAMA!$J29,R$3,Feriados)/MAX(CRONOGRAMA!$H29,1)))</f>
        <v>8.1430621955685276E-2</v>
      </c>
      <c r="S29" s="28">
        <f>CRONOGRAMA!$M29*IF(S$3&lt;CRONOGRAMA!$J29,0,IF(S$3&gt;=CRONOGRAMA!$K29,1,NETWORKDAYS(CRONOGRAMA!$J29,S$3,Feriados)/MAX(CRONOGRAMA!$H29,1)))</f>
        <v>8.1430621955685276E-2</v>
      </c>
      <c r="T29" s="28">
        <f>CRONOGRAMA!$M29*IF(T$3&lt;CRONOGRAMA!$J29,0,IF(T$3&gt;=CRONOGRAMA!$K29,1,NETWORKDAYS(CRONOGRAMA!$J29,T$3,Feriados)/MAX(CRONOGRAMA!$H29,1)))</f>
        <v>8.1430621955685276E-2</v>
      </c>
      <c r="U29" s="28">
        <f>CRONOGRAMA!$M29*IF(U$3&lt;CRONOGRAMA!$J29,0,IF(U$3&gt;=CRONOGRAMA!$K29,1,NETWORKDAYS(CRONOGRAMA!$J29,U$3,Feriados)/MAX(CRONOGRAMA!$H29,1)))</f>
        <v>8.1430621955685276E-2</v>
      </c>
      <c r="V29" s="28">
        <f>CRONOGRAMA!$M29*IF(V$3&lt;CRONOGRAMA!$J29,0,IF(V$3&gt;=CRONOGRAMA!$K29,1,NETWORKDAYS(CRONOGRAMA!$J29,V$3,Feriados)/MAX(CRONOGRAMA!$H29,1)))</f>
        <v>8.1430621955685276E-2</v>
      </c>
    </row>
    <row r="30" spans="1:22" ht="24" outlineLevel="1" x14ac:dyDescent="0.35">
      <c r="A30" s="20">
        <f>CRONOGRAMA!A30</f>
        <v>26</v>
      </c>
      <c r="B30" s="20" t="str">
        <f>CRONOGRAMA!D30</f>
        <v>Portas, molas, grelhas, guia de porta de enrolar e fechadura</v>
      </c>
      <c r="C30" s="28">
        <f>CRONOGRAMA!$M30*IF(C$3&lt;CRONOGRAMA!$J30,0,IF(C$3&gt;=CRONOGRAMA!$K30,1,NETWORKDAYS(CRONOGRAMA!$J30,C$3,Feriados)/MAX(CRONOGRAMA!$H30,1)))</f>
        <v>0</v>
      </c>
      <c r="D30" s="28">
        <f>CRONOGRAMA!$M30*IF(D$3&lt;CRONOGRAMA!$J30,0,IF(D$3&gt;=CRONOGRAMA!$K30,1,NETWORKDAYS(CRONOGRAMA!$J30,D$3,Feriados)/MAX(CRONOGRAMA!$H30,1)))</f>
        <v>0</v>
      </c>
      <c r="E30" s="28">
        <f>CRONOGRAMA!$M30*IF(E$3&lt;CRONOGRAMA!$J30,0,IF(E$3&gt;=CRONOGRAMA!$K30,1,NETWORKDAYS(CRONOGRAMA!$J30,E$3,Feriados)/MAX(CRONOGRAMA!$H30,1)))</f>
        <v>0</v>
      </c>
      <c r="F30" s="28">
        <f>CRONOGRAMA!$M30*IF(F$3&lt;CRONOGRAMA!$J30,0,IF(F$3&gt;=CRONOGRAMA!$K30,1,NETWORKDAYS(CRONOGRAMA!$J30,F$3,Feriados)/MAX(CRONOGRAMA!$H30,1)))</f>
        <v>0</v>
      </c>
      <c r="G30" s="28">
        <f>CRONOGRAMA!$M30*IF(G$3&lt;CRONOGRAMA!$J30,0,IF(G$3&gt;=CRONOGRAMA!$K30,1,NETWORKDAYS(CRONOGRAMA!$J30,G$3,Feriados)/MAX(CRONOGRAMA!$H30,1)))</f>
        <v>0</v>
      </c>
      <c r="H30" s="28">
        <f>CRONOGRAMA!$M30*IF(H$3&lt;CRONOGRAMA!$J30,0,IF(H$3&gt;=CRONOGRAMA!$K30,1,NETWORKDAYS(CRONOGRAMA!$J30,H$3,Feriados)/MAX(CRONOGRAMA!$H30,1)))</f>
        <v>8.1356200664946827E-3</v>
      </c>
      <c r="I30" s="28">
        <f>CRONOGRAMA!$M30*IF(I$3&lt;CRONOGRAMA!$J30,0,IF(I$3&gt;=CRONOGRAMA!$K30,1,NETWORKDAYS(CRONOGRAMA!$J30,I$3,Feriados)/MAX(CRONOGRAMA!$H30,1)))</f>
        <v>3.2542480265978731E-2</v>
      </c>
      <c r="J30" s="28">
        <f>CRONOGRAMA!$M30*IF(J$3&lt;CRONOGRAMA!$J30,0,IF(J$3&gt;=CRONOGRAMA!$K30,1,NETWORKDAYS(CRONOGRAMA!$J30,J$3,Feriados)/MAX(CRONOGRAMA!$H30,1)))</f>
        <v>3.2542480265978731E-2</v>
      </c>
      <c r="K30" s="28">
        <f>CRONOGRAMA!$M30*IF(K$3&lt;CRONOGRAMA!$J30,0,IF(K$3&gt;=CRONOGRAMA!$K30,1,NETWORKDAYS(CRONOGRAMA!$J30,K$3,Feriados)/MAX(CRONOGRAMA!$H30,1)))</f>
        <v>3.2542480265978731E-2</v>
      </c>
      <c r="L30" s="28">
        <f>CRONOGRAMA!$M30*IF(L$3&lt;CRONOGRAMA!$J30,0,IF(L$3&gt;=CRONOGRAMA!$K30,1,NETWORKDAYS(CRONOGRAMA!$J30,L$3,Feriados)/MAX(CRONOGRAMA!$H30,1)))</f>
        <v>3.2542480265978731E-2</v>
      </c>
      <c r="M30" s="28">
        <f>CRONOGRAMA!$M30*IF(M$3&lt;CRONOGRAMA!$J30,0,IF(M$3&gt;=CRONOGRAMA!$K30,1,NETWORKDAYS(CRONOGRAMA!$J30,M$3,Feriados)/MAX(CRONOGRAMA!$H30,1)))</f>
        <v>3.2542480265978731E-2</v>
      </c>
      <c r="N30" s="28">
        <f>CRONOGRAMA!$M30*IF(N$3&lt;CRONOGRAMA!$J30,0,IF(N$3&gt;=CRONOGRAMA!$K30,1,NETWORKDAYS(CRONOGRAMA!$J30,N$3,Feriados)/MAX(CRONOGRAMA!$H30,1)))</f>
        <v>3.2542480265978731E-2</v>
      </c>
      <c r="O30" s="28">
        <f>CRONOGRAMA!$M30*IF(O$3&lt;CRONOGRAMA!$J30,0,IF(O$3&gt;=CRONOGRAMA!$K30,1,NETWORKDAYS(CRONOGRAMA!$J30,O$3,Feriados)/MAX(CRONOGRAMA!$H30,1)))</f>
        <v>3.2542480265978731E-2</v>
      </c>
      <c r="P30" s="28">
        <f>CRONOGRAMA!$M30*IF(P$3&lt;CRONOGRAMA!$J30,0,IF(P$3&gt;=CRONOGRAMA!$K30,1,NETWORKDAYS(CRONOGRAMA!$J30,P$3,Feriados)/MAX(CRONOGRAMA!$H30,1)))</f>
        <v>3.2542480265978731E-2</v>
      </c>
      <c r="Q30" s="28">
        <f>CRONOGRAMA!$M30*IF(Q$3&lt;CRONOGRAMA!$J30,0,IF(Q$3&gt;=CRONOGRAMA!$K30,1,NETWORKDAYS(CRONOGRAMA!$J30,Q$3,Feriados)/MAX(CRONOGRAMA!$H30,1)))</f>
        <v>3.2542480265978731E-2</v>
      </c>
      <c r="R30" s="28">
        <f>CRONOGRAMA!$M30*IF(R$3&lt;CRONOGRAMA!$J30,0,IF(R$3&gt;=CRONOGRAMA!$K30,1,NETWORKDAYS(CRONOGRAMA!$J30,R$3,Feriados)/MAX(CRONOGRAMA!$H30,1)))</f>
        <v>3.2542480265978731E-2</v>
      </c>
      <c r="S30" s="28">
        <f>CRONOGRAMA!$M30*IF(S$3&lt;CRONOGRAMA!$J30,0,IF(S$3&gt;=CRONOGRAMA!$K30,1,NETWORKDAYS(CRONOGRAMA!$J30,S$3,Feriados)/MAX(CRONOGRAMA!$H30,1)))</f>
        <v>3.2542480265978731E-2</v>
      </c>
      <c r="T30" s="28">
        <f>CRONOGRAMA!$M30*IF(T$3&lt;CRONOGRAMA!$J30,0,IF(T$3&gt;=CRONOGRAMA!$K30,1,NETWORKDAYS(CRONOGRAMA!$J30,T$3,Feriados)/MAX(CRONOGRAMA!$H30,1)))</f>
        <v>3.2542480265978731E-2</v>
      </c>
      <c r="U30" s="28">
        <f>CRONOGRAMA!$M30*IF(U$3&lt;CRONOGRAMA!$J30,0,IF(U$3&gt;=CRONOGRAMA!$K30,1,NETWORKDAYS(CRONOGRAMA!$J30,U$3,Feriados)/MAX(CRONOGRAMA!$H30,1)))</f>
        <v>3.2542480265978731E-2</v>
      </c>
      <c r="V30" s="28">
        <f>CRONOGRAMA!$M30*IF(V$3&lt;CRONOGRAMA!$J30,0,IF(V$3&gt;=CRONOGRAMA!$K30,1,NETWORKDAYS(CRONOGRAMA!$J30,V$3,Feriados)/MAX(CRONOGRAMA!$H30,1)))</f>
        <v>3.2542480265978731E-2</v>
      </c>
    </row>
    <row r="31" spans="1:22" outlineLevel="1" x14ac:dyDescent="0.35">
      <c r="A31" s="20">
        <f>CRONOGRAMA!A31</f>
        <v>27</v>
      </c>
      <c r="B31" s="20" t="str">
        <f>CRONOGRAMA!D31</f>
        <v>Pintura (fundo, massa e acabamento)</v>
      </c>
      <c r="C31" s="28">
        <f>CRONOGRAMA!$M31*IF(C$3&lt;CRONOGRAMA!$J31,0,IF(C$3&gt;=CRONOGRAMA!$K31,1,NETWORKDAYS(CRONOGRAMA!$J31,C$3,Feriados)/MAX(CRONOGRAMA!$H31,1)))</f>
        <v>0</v>
      </c>
      <c r="D31" s="28">
        <f>CRONOGRAMA!$M31*IF(D$3&lt;CRONOGRAMA!$J31,0,IF(D$3&gt;=CRONOGRAMA!$K31,1,NETWORKDAYS(CRONOGRAMA!$J31,D$3,Feriados)/MAX(CRONOGRAMA!$H31,1)))</f>
        <v>0</v>
      </c>
      <c r="E31" s="28">
        <f>CRONOGRAMA!$M31*IF(E$3&lt;CRONOGRAMA!$J31,0,IF(E$3&gt;=CRONOGRAMA!$K31,1,NETWORKDAYS(CRONOGRAMA!$J31,E$3,Feriados)/MAX(CRONOGRAMA!$H31,1)))</f>
        <v>0</v>
      </c>
      <c r="F31" s="28">
        <f>CRONOGRAMA!$M31*IF(F$3&lt;CRONOGRAMA!$J31,0,IF(F$3&gt;=CRONOGRAMA!$K31,1,NETWORKDAYS(CRONOGRAMA!$J31,F$3,Feriados)/MAX(CRONOGRAMA!$H31,1)))</f>
        <v>0</v>
      </c>
      <c r="G31" s="28">
        <f>CRONOGRAMA!$M31*IF(G$3&lt;CRONOGRAMA!$J31,0,IF(G$3&gt;=CRONOGRAMA!$K31,1,NETWORKDAYS(CRONOGRAMA!$J31,G$3,Feriados)/MAX(CRONOGRAMA!$H31,1)))</f>
        <v>0</v>
      </c>
      <c r="H31" s="28">
        <f>CRONOGRAMA!$M31*IF(H$3&lt;CRONOGRAMA!$J31,0,IF(H$3&gt;=CRONOGRAMA!$K31,1,NETWORKDAYS(CRONOGRAMA!$J31,H$3,Feriados)/MAX(CRONOGRAMA!$H31,1)))</f>
        <v>0</v>
      </c>
      <c r="I31" s="28">
        <f>CRONOGRAMA!$M31*IF(I$3&lt;CRONOGRAMA!$J31,0,IF(I$3&gt;=CRONOGRAMA!$K31,1,NETWORKDAYS(CRONOGRAMA!$J31,I$3,Feriados)/MAX(CRONOGRAMA!$H31,1)))</f>
        <v>0</v>
      </c>
      <c r="J31" s="28">
        <f>CRONOGRAMA!$M31*IF(J$3&lt;CRONOGRAMA!$J31,0,IF(J$3&gt;=CRONOGRAMA!$K31,1,NETWORKDAYS(CRONOGRAMA!$J31,J$3,Feriados)/MAX(CRONOGRAMA!$H31,1)))</f>
        <v>0</v>
      </c>
      <c r="K31" s="28">
        <f>CRONOGRAMA!$M31*IF(K$3&lt;CRONOGRAMA!$J31,0,IF(K$3&gt;=CRONOGRAMA!$K31,1,NETWORKDAYS(CRONOGRAMA!$J31,K$3,Feriados)/MAX(CRONOGRAMA!$H31,1)))</f>
        <v>0</v>
      </c>
      <c r="L31" s="28">
        <f>CRONOGRAMA!$M31*IF(L$3&lt;CRONOGRAMA!$J31,0,IF(L$3&gt;=CRONOGRAMA!$K31,1,NETWORKDAYS(CRONOGRAMA!$J31,L$3,Feriados)/MAX(CRONOGRAMA!$H31,1)))</f>
        <v>0</v>
      </c>
      <c r="M31" s="28">
        <f>CRONOGRAMA!$M31*IF(M$3&lt;CRONOGRAMA!$J31,0,IF(M$3&gt;=CRONOGRAMA!$K31,1,NETWORKDAYS(CRONOGRAMA!$J31,M$3,Feriados)/MAX(CRONOGRAMA!$H31,1)))</f>
        <v>0</v>
      </c>
      <c r="N31" s="28">
        <f>CRONOGRAMA!$M31*IF(N$3&lt;CRONOGRAMA!$J31,0,IF(N$3&gt;=CRONOGRAMA!$K31,1,NETWORKDAYS(CRONOGRAMA!$J31,N$3,Feriados)/MAX(CRONOGRAMA!$H31,1)))</f>
        <v>2.0741371089489605E-2</v>
      </c>
      <c r="O31" s="28">
        <f>CRONOGRAMA!$M31*IF(O$3&lt;CRONOGRAMA!$J31,0,IF(O$3&gt;=CRONOGRAMA!$K31,1,NETWORKDAYS(CRONOGRAMA!$J31,O$3,Feriados)/MAX(CRONOGRAMA!$H31,1)))</f>
        <v>3.1112056634234411E-2</v>
      </c>
      <c r="P31" s="28">
        <f>CRONOGRAMA!$M31*IF(P$3&lt;CRONOGRAMA!$J31,0,IF(P$3&gt;=CRONOGRAMA!$K31,1,NETWORKDAYS(CRONOGRAMA!$J31,P$3,Feriados)/MAX(CRONOGRAMA!$H31,1)))</f>
        <v>3.1112056634234411E-2</v>
      </c>
      <c r="Q31" s="28">
        <f>CRONOGRAMA!$M31*IF(Q$3&lt;CRONOGRAMA!$J31,0,IF(Q$3&gt;=CRONOGRAMA!$K31,1,NETWORKDAYS(CRONOGRAMA!$J31,Q$3,Feriados)/MAX(CRONOGRAMA!$H31,1)))</f>
        <v>3.1112056634234411E-2</v>
      </c>
      <c r="R31" s="28">
        <f>CRONOGRAMA!$M31*IF(R$3&lt;CRONOGRAMA!$J31,0,IF(R$3&gt;=CRONOGRAMA!$K31,1,NETWORKDAYS(CRONOGRAMA!$J31,R$3,Feriados)/MAX(CRONOGRAMA!$H31,1)))</f>
        <v>3.1112056634234411E-2</v>
      </c>
      <c r="S31" s="28">
        <f>CRONOGRAMA!$M31*IF(S$3&lt;CRONOGRAMA!$J31,0,IF(S$3&gt;=CRONOGRAMA!$K31,1,NETWORKDAYS(CRONOGRAMA!$J31,S$3,Feriados)/MAX(CRONOGRAMA!$H31,1)))</f>
        <v>3.1112056634234411E-2</v>
      </c>
      <c r="T31" s="28">
        <f>CRONOGRAMA!$M31*IF(T$3&lt;CRONOGRAMA!$J31,0,IF(T$3&gt;=CRONOGRAMA!$K31,1,NETWORKDAYS(CRONOGRAMA!$J31,T$3,Feriados)/MAX(CRONOGRAMA!$H31,1)))</f>
        <v>3.1112056634234411E-2</v>
      </c>
      <c r="U31" s="28">
        <f>CRONOGRAMA!$M31*IF(U$3&lt;CRONOGRAMA!$J31,0,IF(U$3&gt;=CRONOGRAMA!$K31,1,NETWORKDAYS(CRONOGRAMA!$J31,U$3,Feriados)/MAX(CRONOGRAMA!$H31,1)))</f>
        <v>3.1112056634234411E-2</v>
      </c>
      <c r="V31" s="28">
        <f>CRONOGRAMA!$M31*IF(V$3&lt;CRONOGRAMA!$J31,0,IF(V$3&gt;=CRONOGRAMA!$K31,1,NETWORKDAYS(CRONOGRAMA!$J31,V$3,Feriados)/MAX(CRONOGRAMA!$H31,1)))</f>
        <v>3.1112056634234411E-2</v>
      </c>
    </row>
    <row r="32" spans="1:22" outlineLevel="1" x14ac:dyDescent="0.35">
      <c r="A32" s="20">
        <f>CRONOGRAMA!A32</f>
        <v>28</v>
      </c>
      <c r="B32" s="20" t="str">
        <f>CRONOGRAMA!D32</f>
        <v>Fachada: fixação de vidros e pintura</v>
      </c>
      <c r="C32" s="28">
        <f>CRONOGRAMA!$M32*IF(C$3&lt;CRONOGRAMA!$J32,0,IF(C$3&gt;=CRONOGRAMA!$K32,1,NETWORKDAYS(CRONOGRAMA!$J32,C$3,Feriados)/MAX(CRONOGRAMA!$H32,1)))</f>
        <v>0</v>
      </c>
      <c r="D32" s="28">
        <f>CRONOGRAMA!$M32*IF(D$3&lt;CRONOGRAMA!$J32,0,IF(D$3&gt;=CRONOGRAMA!$K32,1,NETWORKDAYS(CRONOGRAMA!$J32,D$3,Feriados)/MAX(CRONOGRAMA!$H32,1)))</f>
        <v>0</v>
      </c>
      <c r="E32" s="28">
        <f>CRONOGRAMA!$M32*IF(E$3&lt;CRONOGRAMA!$J32,0,IF(E$3&gt;=CRONOGRAMA!$K32,1,NETWORKDAYS(CRONOGRAMA!$J32,E$3,Feriados)/MAX(CRONOGRAMA!$H32,1)))</f>
        <v>0</v>
      </c>
      <c r="F32" s="28">
        <f>CRONOGRAMA!$M32*IF(F$3&lt;CRONOGRAMA!$J32,0,IF(F$3&gt;=CRONOGRAMA!$K32,1,NETWORKDAYS(CRONOGRAMA!$J32,F$3,Feriados)/MAX(CRONOGRAMA!$H32,1)))</f>
        <v>0</v>
      </c>
      <c r="G32" s="28">
        <f>CRONOGRAMA!$M32*IF(G$3&lt;CRONOGRAMA!$J32,0,IF(G$3&gt;=CRONOGRAMA!$K32,1,NETWORKDAYS(CRONOGRAMA!$J32,G$3,Feriados)/MAX(CRONOGRAMA!$H32,1)))</f>
        <v>0</v>
      </c>
      <c r="H32" s="28">
        <f>CRONOGRAMA!$M32*IF(H$3&lt;CRONOGRAMA!$J32,0,IF(H$3&gt;=CRONOGRAMA!$K32,1,NETWORKDAYS(CRONOGRAMA!$J32,H$3,Feriados)/MAX(CRONOGRAMA!$H32,1)))</f>
        <v>0</v>
      </c>
      <c r="I32" s="28">
        <f>CRONOGRAMA!$M32*IF(I$3&lt;CRONOGRAMA!$J32,0,IF(I$3&gt;=CRONOGRAMA!$K32,1,NETWORKDAYS(CRONOGRAMA!$J32,I$3,Feriados)/MAX(CRONOGRAMA!$H32,1)))</f>
        <v>8.6620351510291408E-3</v>
      </c>
      <c r="J32" s="28">
        <f>CRONOGRAMA!$M32*IF(J$3&lt;CRONOGRAMA!$J32,0,IF(J$3&gt;=CRONOGRAMA!$K32,1,NETWORKDAYS(CRONOGRAMA!$J32,J$3,Feriados)/MAX(CRONOGRAMA!$H32,1)))</f>
        <v>8.6620351510291408E-3</v>
      </c>
      <c r="K32" s="28">
        <f>CRONOGRAMA!$M32*IF(K$3&lt;CRONOGRAMA!$J32,0,IF(K$3&gt;=CRONOGRAMA!$K32,1,NETWORKDAYS(CRONOGRAMA!$J32,K$3,Feriados)/MAX(CRONOGRAMA!$H32,1)))</f>
        <v>8.6620351510291408E-3</v>
      </c>
      <c r="L32" s="28">
        <f>CRONOGRAMA!$M32*IF(L$3&lt;CRONOGRAMA!$J32,0,IF(L$3&gt;=CRONOGRAMA!$K32,1,NETWORKDAYS(CRONOGRAMA!$J32,L$3,Feriados)/MAX(CRONOGRAMA!$H32,1)))</f>
        <v>8.6620351510291408E-3</v>
      </c>
      <c r="M32" s="28">
        <f>CRONOGRAMA!$M32*IF(M$3&lt;CRONOGRAMA!$J32,0,IF(M$3&gt;=CRONOGRAMA!$K32,1,NETWORKDAYS(CRONOGRAMA!$J32,M$3,Feriados)/MAX(CRONOGRAMA!$H32,1)))</f>
        <v>8.6620351510291408E-3</v>
      </c>
      <c r="N32" s="28">
        <f>CRONOGRAMA!$M32*IF(N$3&lt;CRONOGRAMA!$J32,0,IF(N$3&gt;=CRONOGRAMA!$K32,1,NETWORKDAYS(CRONOGRAMA!$J32,N$3,Feriados)/MAX(CRONOGRAMA!$H32,1)))</f>
        <v>8.6620351510291408E-3</v>
      </c>
      <c r="O32" s="28">
        <f>CRONOGRAMA!$M32*IF(O$3&lt;CRONOGRAMA!$J32,0,IF(O$3&gt;=CRONOGRAMA!$K32,1,NETWORKDAYS(CRONOGRAMA!$J32,O$3,Feriados)/MAX(CRONOGRAMA!$H32,1)))</f>
        <v>8.6620351510291408E-3</v>
      </c>
      <c r="P32" s="28">
        <f>CRONOGRAMA!$M32*IF(P$3&lt;CRONOGRAMA!$J32,0,IF(P$3&gt;=CRONOGRAMA!$K32,1,NETWORKDAYS(CRONOGRAMA!$J32,P$3,Feriados)/MAX(CRONOGRAMA!$H32,1)))</f>
        <v>8.6620351510291408E-3</v>
      </c>
      <c r="Q32" s="28">
        <f>CRONOGRAMA!$M32*IF(Q$3&lt;CRONOGRAMA!$J32,0,IF(Q$3&gt;=CRONOGRAMA!$K32,1,NETWORKDAYS(CRONOGRAMA!$J32,Q$3,Feriados)/MAX(CRONOGRAMA!$H32,1)))</f>
        <v>8.6620351510291408E-3</v>
      </c>
      <c r="R32" s="28">
        <f>CRONOGRAMA!$M32*IF(R$3&lt;CRONOGRAMA!$J32,0,IF(R$3&gt;=CRONOGRAMA!$K32,1,NETWORKDAYS(CRONOGRAMA!$J32,R$3,Feriados)/MAX(CRONOGRAMA!$H32,1)))</f>
        <v>8.6620351510291408E-3</v>
      </c>
      <c r="S32" s="28">
        <f>CRONOGRAMA!$M32*IF(S$3&lt;CRONOGRAMA!$J32,0,IF(S$3&gt;=CRONOGRAMA!$K32,1,NETWORKDAYS(CRONOGRAMA!$J32,S$3,Feriados)/MAX(CRONOGRAMA!$H32,1)))</f>
        <v>8.6620351510291408E-3</v>
      </c>
      <c r="T32" s="28">
        <f>CRONOGRAMA!$M32*IF(T$3&lt;CRONOGRAMA!$J32,0,IF(T$3&gt;=CRONOGRAMA!$K32,1,NETWORKDAYS(CRONOGRAMA!$J32,T$3,Feriados)/MAX(CRONOGRAMA!$H32,1)))</f>
        <v>8.6620351510291408E-3</v>
      </c>
      <c r="U32" s="28">
        <f>CRONOGRAMA!$M32*IF(U$3&lt;CRONOGRAMA!$J32,0,IF(U$3&gt;=CRONOGRAMA!$K32,1,NETWORKDAYS(CRONOGRAMA!$J32,U$3,Feriados)/MAX(CRONOGRAMA!$H32,1)))</f>
        <v>8.6620351510291408E-3</v>
      </c>
      <c r="V32" s="28">
        <f>CRONOGRAMA!$M32*IF(V$3&lt;CRONOGRAMA!$J32,0,IF(V$3&gt;=CRONOGRAMA!$K32,1,NETWORKDAYS(CRONOGRAMA!$J32,V$3,Feriados)/MAX(CRONOGRAMA!$H32,1)))</f>
        <v>8.6620351510291408E-3</v>
      </c>
    </row>
    <row r="34" spans="2:22" x14ac:dyDescent="0.35">
      <c r="B34" s="10" t="s">
        <v>195</v>
      </c>
      <c r="C34" s="29">
        <f t="shared" ref="C34:V34" si="0">SUM(C5:C32)</f>
        <v>8.6772333069375915E-2</v>
      </c>
      <c r="D34" s="29">
        <f t="shared" si="0"/>
        <v>0.17778975626465374</v>
      </c>
      <c r="E34" s="29">
        <f t="shared" si="0"/>
        <v>0.29616581621050098</v>
      </c>
      <c r="F34" s="29">
        <f t="shared" si="0"/>
        <v>0.36614764998766508</v>
      </c>
      <c r="G34" s="29">
        <f t="shared" si="0"/>
        <v>0.42622342701397797</v>
      </c>
      <c r="H34" s="29">
        <f t="shared" si="0"/>
        <v>0.49314968661741926</v>
      </c>
      <c r="I34" s="29">
        <f t="shared" si="0"/>
        <v>0.63934416938547423</v>
      </c>
      <c r="J34" s="29">
        <f t="shared" si="0"/>
        <v>0.73044897893150296</v>
      </c>
      <c r="K34" s="29">
        <f t="shared" si="0"/>
        <v>0.78412984023139354</v>
      </c>
      <c r="L34" s="29">
        <f t="shared" si="0"/>
        <v>0.82224370861270979</v>
      </c>
      <c r="M34" s="29">
        <f t="shared" si="0"/>
        <v>0.86156322629590198</v>
      </c>
      <c r="N34" s="29">
        <f t="shared" si="0"/>
        <v>0.91046489193572311</v>
      </c>
      <c r="O34" s="29">
        <f t="shared" si="0"/>
        <v>0.96081068695910987</v>
      </c>
      <c r="P34" s="29">
        <f t="shared" si="0"/>
        <v>1</v>
      </c>
      <c r="Q34" s="29">
        <f t="shared" si="0"/>
        <v>1</v>
      </c>
      <c r="R34" s="29">
        <f t="shared" si="0"/>
        <v>1</v>
      </c>
      <c r="S34" s="29">
        <f t="shared" si="0"/>
        <v>1</v>
      </c>
      <c r="T34" s="29">
        <f t="shared" si="0"/>
        <v>1</v>
      </c>
      <c r="U34" s="29">
        <f t="shared" si="0"/>
        <v>1</v>
      </c>
      <c r="V34" s="29">
        <f t="shared" si="0"/>
        <v>1</v>
      </c>
    </row>
    <row r="35" spans="2:22" x14ac:dyDescent="0.35">
      <c r="B35" s="10" t="s">
        <v>196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2"/>
  <sheetViews>
    <sheetView showGridLines="0" zoomScaleNormal="100" workbookViewId="0">
      <pane xSplit="3" ySplit="4" topLeftCell="D15" activePane="bottomRight" state="frozen"/>
      <selection pane="topRight" activeCell="D1" sqref="D1"/>
      <selection pane="bottomLeft" activeCell="A5" sqref="A5"/>
      <selection pane="bottomRight" activeCell="C17" sqref="C17:E17"/>
    </sheetView>
  </sheetViews>
  <sheetFormatPr defaultColWidth="8.6328125" defaultRowHeight="14.5" x14ac:dyDescent="0.35"/>
  <cols>
    <col min="1" max="1" width="18" customWidth="1"/>
    <col min="2" max="2" width="8" customWidth="1"/>
    <col min="3" max="3" width="52" customWidth="1"/>
    <col min="4" max="4" width="7" customWidth="1"/>
    <col min="5" max="5" width="9" customWidth="1"/>
    <col min="6" max="6" width="13" customWidth="1"/>
    <col min="7" max="7" width="14" customWidth="1"/>
    <col min="8" max="8" width="7" customWidth="1"/>
    <col min="9" max="9" width="34" customWidth="1"/>
    <col min="10" max="10" width="10" customWidth="1"/>
    <col min="11" max="15" width="14" customWidth="1"/>
    <col min="16" max="16" width="2" customWidth="1"/>
    <col min="17" max="17" width="14" customWidth="1"/>
  </cols>
  <sheetData>
    <row r="1" spans="1:17" ht="18" x14ac:dyDescent="0.4">
      <c r="A1" s="6" t="s">
        <v>197</v>
      </c>
    </row>
    <row r="2" spans="1:17" ht="25" x14ac:dyDescent="0.35">
      <c r="A2" s="7" t="s">
        <v>198</v>
      </c>
      <c r="C2" s="30" t="s">
        <v>199</v>
      </c>
      <c r="D2" s="31" t="s">
        <v>200</v>
      </c>
      <c r="E2" s="32">
        <v>292968</v>
      </c>
      <c r="G2" s="30" t="str">
        <f>IF(ABS(SUMIFS(G5:G200,A5:A200,"Estrutural REV_04")-E2)&lt;0.01,"OK","DIVERGENTE")</f>
        <v>OK</v>
      </c>
      <c r="H2" s="31" t="s">
        <v>201</v>
      </c>
      <c r="J2" s="32">
        <v>213372.41</v>
      </c>
      <c r="K2" s="30" t="str">
        <f>IF(ABS(SUMIFS(G5:G200,A5:A200,"Reforma light LPU")-J2)&lt;1,"OK","DIVERGENTE")</f>
        <v>OK</v>
      </c>
    </row>
    <row r="4" spans="1:17" ht="31.5" customHeight="1" x14ac:dyDescent="0.35">
      <c r="A4" s="15" t="s">
        <v>202</v>
      </c>
      <c r="B4" s="15" t="s">
        <v>203</v>
      </c>
      <c r="C4" s="15" t="s">
        <v>204</v>
      </c>
      <c r="D4" s="15" t="s">
        <v>205</v>
      </c>
      <c r="E4" s="15" t="s">
        <v>206</v>
      </c>
      <c r="F4" s="15" t="s">
        <v>207</v>
      </c>
      <c r="G4" s="15" t="s">
        <v>208</v>
      </c>
      <c r="H4" s="15" t="s">
        <v>209</v>
      </c>
      <c r="I4" s="15" t="s">
        <v>103</v>
      </c>
      <c r="J4" s="15" t="s">
        <v>210</v>
      </c>
      <c r="K4" s="15" t="s">
        <v>211</v>
      </c>
      <c r="L4" s="15" t="s">
        <v>75</v>
      </c>
      <c r="M4" s="15" t="s">
        <v>212</v>
      </c>
      <c r="N4" s="15" t="s">
        <v>213</v>
      </c>
      <c r="O4" s="15" t="s">
        <v>214</v>
      </c>
      <c r="P4" s="15"/>
      <c r="Q4" s="15" t="s">
        <v>215</v>
      </c>
    </row>
    <row r="5" spans="1:17" x14ac:dyDescent="0.35">
      <c r="A5" s="5" t="s">
        <v>216</v>
      </c>
      <c r="B5" s="17" t="s">
        <v>217</v>
      </c>
      <c r="C5" s="5" t="s">
        <v>218</v>
      </c>
      <c r="D5" s="17" t="s">
        <v>219</v>
      </c>
      <c r="E5" s="33">
        <v>1</v>
      </c>
      <c r="F5" s="34">
        <v>9500</v>
      </c>
      <c r="G5" s="12">
        <f t="shared" ref="G5:G36" si="0">E5*F5</f>
        <v>9500</v>
      </c>
      <c r="H5" s="1">
        <v>3</v>
      </c>
      <c r="I5" s="5" t="str">
        <f>IF(H5=0,"Indireto / imposto",IFERROR(INDEX(CRONOGRAMA!$D$5:$D$32,MATCH(H5,CRONOGRAMA!$A$5:$A$32,0)),"nº inexistente"))</f>
        <v>Instalar divisória de fechamento da área</v>
      </c>
      <c r="J5" s="18"/>
      <c r="K5" s="12">
        <f t="shared" ref="K5:K36" si="1">G5*N(J5)</f>
        <v>0</v>
      </c>
      <c r="L5" s="12">
        <f t="shared" ref="L5:L36" si="2">G5-K5</f>
        <v>9500</v>
      </c>
      <c r="M5" s="35"/>
      <c r="N5" s="12">
        <f>SUMIFS(COMPRAS!$G$6:$G$500,COMPRAS!$D$6:$D$500,Q5,COMPRAS!$J$6:$J$500,"&lt;&gt;Cancelado")+SUMIFS(LOCACOES!$I$6:$I$200,LOCACOES!$J$6:$J$200,Q5)</f>
        <v>0</v>
      </c>
      <c r="O5" s="12">
        <f t="shared" ref="O5:O36" si="3">K5-N5</f>
        <v>0</v>
      </c>
      <c r="Q5" s="20" t="str">
        <f t="shared" ref="Q5:Q36" si="4">IF(LEFT(A5,4)="Estr","REV","LPU")&amp;"|"&amp;B5</f>
        <v>REV|1.1</v>
      </c>
    </row>
    <row r="6" spans="1:17" ht="25" x14ac:dyDescent="0.35">
      <c r="A6" s="5" t="s">
        <v>216</v>
      </c>
      <c r="B6" s="17" t="s">
        <v>220</v>
      </c>
      <c r="C6" s="5" t="s">
        <v>221</v>
      </c>
      <c r="D6" s="17" t="s">
        <v>219</v>
      </c>
      <c r="E6" s="33">
        <v>1</v>
      </c>
      <c r="F6" s="34">
        <v>4500</v>
      </c>
      <c r="G6" s="12">
        <f t="shared" si="0"/>
        <v>4500</v>
      </c>
      <c r="H6" s="1">
        <v>1</v>
      </c>
      <c r="I6" s="5" t="str">
        <f>IF(H6=0,"Indireto / imposto",IFERROR(INDEX(CRONOGRAMA!$D$5:$D$32,MATCH(H6,CRONOGRAMA!$A$5:$A$32,0)),"nº inexistente"))</f>
        <v>Reunião de partida no local: identificar P1–P4, treliça e faixa de piso afetada</v>
      </c>
      <c r="J6" s="18"/>
      <c r="K6" s="12">
        <f t="shared" si="1"/>
        <v>0</v>
      </c>
      <c r="L6" s="12">
        <f t="shared" si="2"/>
        <v>4500</v>
      </c>
      <c r="M6" s="35"/>
      <c r="N6" s="12">
        <f>SUMIFS(COMPRAS!$G$6:$G$500,COMPRAS!$D$6:$D$500,Q6,COMPRAS!$J$6:$J$500,"&lt;&gt;Cancelado")+SUMIFS(LOCACOES!$I$6:$I$200,LOCACOES!$J$6:$J$200,Q6)</f>
        <v>0</v>
      </c>
      <c r="O6" s="12">
        <f t="shared" si="3"/>
        <v>0</v>
      </c>
      <c r="Q6" s="20" t="str">
        <f t="shared" si="4"/>
        <v>REV|1.2</v>
      </c>
    </row>
    <row r="7" spans="1:17" x14ac:dyDescent="0.35">
      <c r="A7" s="5" t="s">
        <v>216</v>
      </c>
      <c r="B7" s="17" t="s">
        <v>222</v>
      </c>
      <c r="C7" s="5" t="s">
        <v>223</v>
      </c>
      <c r="D7" s="17" t="s">
        <v>219</v>
      </c>
      <c r="E7" s="33">
        <v>1</v>
      </c>
      <c r="F7" s="34">
        <v>1000</v>
      </c>
      <c r="G7" s="12">
        <f t="shared" si="0"/>
        <v>1000</v>
      </c>
      <c r="H7" s="1">
        <v>3</v>
      </c>
      <c r="I7" s="5" t="str">
        <f>IF(H7=0,"Indireto / imposto",IFERROR(INDEX(CRONOGRAMA!$D$5:$D$32,MATCH(H7,CRONOGRAMA!$A$5:$A$32,0)),"nº inexistente"))</f>
        <v>Instalar divisória de fechamento da área</v>
      </c>
      <c r="J7" s="18"/>
      <c r="K7" s="12">
        <f t="shared" si="1"/>
        <v>0</v>
      </c>
      <c r="L7" s="12">
        <f t="shared" si="2"/>
        <v>1000</v>
      </c>
      <c r="M7" s="35"/>
      <c r="N7" s="12">
        <f>SUMIFS(COMPRAS!$G$6:$G$500,COMPRAS!$D$6:$D$500,Q7,COMPRAS!$J$6:$J$500,"&lt;&gt;Cancelado")+SUMIFS(LOCACOES!$I$6:$I$200,LOCACOES!$J$6:$J$200,Q7)</f>
        <v>0</v>
      </c>
      <c r="O7" s="12">
        <f t="shared" si="3"/>
        <v>0</v>
      </c>
      <c r="Q7" s="20" t="str">
        <f t="shared" si="4"/>
        <v>REV|1.3</v>
      </c>
    </row>
    <row r="8" spans="1:17" ht="25" x14ac:dyDescent="0.35">
      <c r="A8" s="5" t="s">
        <v>216</v>
      </c>
      <c r="B8" s="17" t="s">
        <v>224</v>
      </c>
      <c r="C8" s="5" t="s">
        <v>225</v>
      </c>
      <c r="D8" s="17" t="s">
        <v>219</v>
      </c>
      <c r="E8" s="33">
        <v>1</v>
      </c>
      <c r="F8" s="34">
        <v>2500</v>
      </c>
      <c r="G8" s="12">
        <f t="shared" si="0"/>
        <v>2500</v>
      </c>
      <c r="H8" s="1">
        <v>4</v>
      </c>
      <c r="I8" s="5" t="str">
        <f>IF(H8=0,"Indireto / imposto",IFERROR(INDEX(CRONOGRAMA!$D$5:$D$32,MATCH(H8,CRONOGRAMA!$A$5:$A$32,0)),"nº inexistente"))</f>
        <v>Remover produtos, virar o balcão e mudar o mobiliário da área afetada</v>
      </c>
      <c r="J8" s="18"/>
      <c r="K8" s="12">
        <f t="shared" si="1"/>
        <v>0</v>
      </c>
      <c r="L8" s="12">
        <f t="shared" si="2"/>
        <v>2500</v>
      </c>
      <c r="M8" s="35"/>
      <c r="N8" s="12">
        <f>SUMIFS(COMPRAS!$G$6:$G$500,COMPRAS!$D$6:$D$500,Q8,COMPRAS!$J$6:$J$500,"&lt;&gt;Cancelado")+SUMIFS(LOCACOES!$I$6:$I$200,LOCACOES!$J$6:$J$200,Q8)</f>
        <v>0</v>
      </c>
      <c r="O8" s="12">
        <f t="shared" si="3"/>
        <v>0</v>
      </c>
      <c r="Q8" s="20" t="str">
        <f t="shared" si="4"/>
        <v>REV|1.4</v>
      </c>
    </row>
    <row r="9" spans="1:17" ht="25" x14ac:dyDescent="0.35">
      <c r="A9" s="5" t="s">
        <v>216</v>
      </c>
      <c r="B9" s="17" t="s">
        <v>226</v>
      </c>
      <c r="C9" s="5" t="s">
        <v>227</v>
      </c>
      <c r="D9" s="17" t="s">
        <v>219</v>
      </c>
      <c r="E9" s="33">
        <v>1</v>
      </c>
      <c r="F9" s="34">
        <v>1200</v>
      </c>
      <c r="G9" s="12">
        <f t="shared" si="0"/>
        <v>1200</v>
      </c>
      <c r="H9" s="1">
        <v>14</v>
      </c>
      <c r="I9" s="5" t="str">
        <f>IF(H9=0,"Indireto / imposto",IFERROR(INDEX(CRONOGRAMA!$D$5:$D$32,MATCH(H9,CRONOGRAMA!$A$5:$A$32,0)),"nº inexistente"))</f>
        <v>Demolição do piso (revestimento, contrapiso e laje) + descarte com CTR</v>
      </c>
      <c r="J9" s="18"/>
      <c r="K9" s="12">
        <f t="shared" si="1"/>
        <v>0</v>
      </c>
      <c r="L9" s="12">
        <f t="shared" si="2"/>
        <v>1200</v>
      </c>
      <c r="M9" s="35"/>
      <c r="N9" s="12">
        <f>SUMIFS(COMPRAS!$G$6:$G$500,COMPRAS!$D$6:$D$500,Q9,COMPRAS!$J$6:$J$500,"&lt;&gt;Cancelado")+SUMIFS(LOCACOES!$I$6:$I$200,LOCACOES!$J$6:$J$200,Q9)</f>
        <v>0</v>
      </c>
      <c r="O9" s="12">
        <f t="shared" si="3"/>
        <v>0</v>
      </c>
      <c r="Q9" s="20" t="str">
        <f t="shared" si="4"/>
        <v>REV|1.5</v>
      </c>
    </row>
    <row r="10" spans="1:17" ht="37.5" x14ac:dyDescent="0.35">
      <c r="A10" s="5" t="s">
        <v>216</v>
      </c>
      <c r="B10" s="17" t="s">
        <v>228</v>
      </c>
      <c r="C10" s="5" t="s">
        <v>229</v>
      </c>
      <c r="D10" s="17" t="s">
        <v>219</v>
      </c>
      <c r="E10" s="33">
        <v>1</v>
      </c>
      <c r="F10" s="34">
        <v>5000</v>
      </c>
      <c r="G10" s="12">
        <f t="shared" si="0"/>
        <v>5000</v>
      </c>
      <c r="H10" s="1">
        <v>6</v>
      </c>
      <c r="I10" s="5" t="str">
        <f>IF(H10=0,"Indireto / imposto",IFERROR(INDEX(CRONOGRAMA!$D$5:$D$32,MATCH(H10,CRONOGRAMA!$A$5:$A$32,0)),"nº inexistente"))</f>
        <v>Escoramento provisório sob a treliça (P2/P3 e vão P3–P4); macaco só para encunhar</v>
      </c>
      <c r="J10" s="18"/>
      <c r="K10" s="12">
        <f t="shared" si="1"/>
        <v>0</v>
      </c>
      <c r="L10" s="12">
        <f t="shared" si="2"/>
        <v>5000</v>
      </c>
      <c r="M10" s="35"/>
      <c r="N10" s="12">
        <f>SUMIFS(COMPRAS!$G$6:$G$500,COMPRAS!$D$6:$D$500,Q10,COMPRAS!$J$6:$J$500,"&lt;&gt;Cancelado")+SUMIFS(LOCACOES!$I$6:$I$200,LOCACOES!$J$6:$J$200,Q10)</f>
        <v>0</v>
      </c>
      <c r="O10" s="12">
        <f t="shared" si="3"/>
        <v>0</v>
      </c>
      <c r="Q10" s="20" t="str">
        <f t="shared" si="4"/>
        <v>REV|2.1</v>
      </c>
    </row>
    <row r="11" spans="1:17" ht="37.5" x14ac:dyDescent="0.35">
      <c r="A11" s="5" t="s">
        <v>216</v>
      </c>
      <c r="B11" s="17" t="s">
        <v>230</v>
      </c>
      <c r="C11" s="5" t="s">
        <v>231</v>
      </c>
      <c r="D11" s="17" t="s">
        <v>219</v>
      </c>
      <c r="E11" s="33">
        <v>1</v>
      </c>
      <c r="F11" s="34">
        <v>7000</v>
      </c>
      <c r="G11" s="12">
        <f t="shared" si="0"/>
        <v>7000</v>
      </c>
      <c r="H11" s="1">
        <v>6</v>
      </c>
      <c r="I11" s="5" t="str">
        <f>IF(H11=0,"Indireto / imposto",IFERROR(INDEX(CRONOGRAMA!$D$5:$D$32,MATCH(H11,CRONOGRAMA!$A$5:$A$32,0)),"nº inexistente"))</f>
        <v>Escoramento provisório sob a treliça (P2/P3 e vão P3–P4); macaco só para encunhar</v>
      </c>
      <c r="J11" s="18"/>
      <c r="K11" s="12">
        <f t="shared" si="1"/>
        <v>0</v>
      </c>
      <c r="L11" s="12">
        <f t="shared" si="2"/>
        <v>7000</v>
      </c>
      <c r="M11" s="35"/>
      <c r="N11" s="12">
        <f>SUMIFS(COMPRAS!$G$6:$G$500,COMPRAS!$D$6:$D$500,Q11,COMPRAS!$J$6:$J$500,"&lt;&gt;Cancelado")+SUMIFS(LOCACOES!$I$6:$I$200,LOCACOES!$J$6:$J$200,Q11)</f>
        <v>0</v>
      </c>
      <c r="O11" s="12">
        <f t="shared" si="3"/>
        <v>0</v>
      </c>
      <c r="Q11" s="20" t="str">
        <f t="shared" si="4"/>
        <v>REV|2.2</v>
      </c>
    </row>
    <row r="12" spans="1:17" ht="37.5" x14ac:dyDescent="0.35">
      <c r="A12" s="5" t="s">
        <v>216</v>
      </c>
      <c r="B12" s="17" t="s">
        <v>232</v>
      </c>
      <c r="C12" s="5" t="s">
        <v>233</v>
      </c>
      <c r="D12" s="17" t="s">
        <v>219</v>
      </c>
      <c r="E12" s="33">
        <v>1</v>
      </c>
      <c r="F12" s="34">
        <v>3200</v>
      </c>
      <c r="G12" s="12">
        <f t="shared" si="0"/>
        <v>3200</v>
      </c>
      <c r="H12" s="1">
        <v>6</v>
      </c>
      <c r="I12" s="5" t="str">
        <f>IF(H12=0,"Indireto / imposto",IFERROR(INDEX(CRONOGRAMA!$D$5:$D$32,MATCH(H12,CRONOGRAMA!$A$5:$A$32,0)),"nº inexistente"))</f>
        <v>Escoramento provisório sob a treliça (P2/P3 e vão P3–P4); macaco só para encunhar</v>
      </c>
      <c r="J12" s="18"/>
      <c r="K12" s="12">
        <f t="shared" si="1"/>
        <v>0</v>
      </c>
      <c r="L12" s="12">
        <f t="shared" si="2"/>
        <v>3200</v>
      </c>
      <c r="M12" s="35"/>
      <c r="N12" s="12">
        <f>SUMIFS(COMPRAS!$G$6:$G$500,COMPRAS!$D$6:$D$500,Q12,COMPRAS!$J$6:$J$500,"&lt;&gt;Cancelado")+SUMIFS(LOCACOES!$I$6:$I$200,LOCACOES!$J$6:$J$200,Q12)</f>
        <v>0</v>
      </c>
      <c r="O12" s="12">
        <f t="shared" si="3"/>
        <v>0</v>
      </c>
      <c r="Q12" s="20" t="str">
        <f t="shared" si="4"/>
        <v>REV|2.3</v>
      </c>
    </row>
    <row r="13" spans="1:17" ht="37.5" x14ac:dyDescent="0.35">
      <c r="A13" s="5" t="s">
        <v>216</v>
      </c>
      <c r="B13" s="17" t="s">
        <v>234</v>
      </c>
      <c r="C13" s="5" t="s">
        <v>235</v>
      </c>
      <c r="D13" s="17" t="s">
        <v>219</v>
      </c>
      <c r="E13" s="33">
        <v>1</v>
      </c>
      <c r="F13" s="34">
        <v>4500</v>
      </c>
      <c r="G13" s="12">
        <f t="shared" si="0"/>
        <v>4500</v>
      </c>
      <c r="H13" s="1">
        <v>2</v>
      </c>
      <c r="I13" s="5" t="str">
        <f>IF(H13=0,"Indireto / imposto",IFERROR(INDEX(CRONOGRAMA!$D$5:$D$32,MATCH(H13,CRONOGRAMA!$A$5:$A$32,0)),"nº inexistente"))</f>
        <v>Pontos de acompanhamento fotográfico, relatório "antes da obra" e marcos de nível</v>
      </c>
      <c r="J13" s="18"/>
      <c r="K13" s="12">
        <f t="shared" si="1"/>
        <v>0</v>
      </c>
      <c r="L13" s="12">
        <f t="shared" si="2"/>
        <v>4500</v>
      </c>
      <c r="M13" s="35"/>
      <c r="N13" s="12">
        <f>SUMIFS(COMPRAS!$G$6:$G$500,COMPRAS!$D$6:$D$500,Q13,COMPRAS!$J$6:$J$500,"&lt;&gt;Cancelado")+SUMIFS(LOCACOES!$I$6:$I$200,LOCACOES!$J$6:$J$200,Q13)</f>
        <v>0</v>
      </c>
      <c r="O13" s="12">
        <f t="shared" si="3"/>
        <v>0</v>
      </c>
      <c r="Q13" s="20" t="str">
        <f t="shared" si="4"/>
        <v>REV|2.4</v>
      </c>
    </row>
    <row r="14" spans="1:17" ht="25" x14ac:dyDescent="0.35">
      <c r="A14" s="5" t="s">
        <v>216</v>
      </c>
      <c r="B14" s="17" t="s">
        <v>236</v>
      </c>
      <c r="C14" s="5" t="s">
        <v>237</v>
      </c>
      <c r="D14" s="17" t="s">
        <v>219</v>
      </c>
      <c r="E14" s="33">
        <v>1</v>
      </c>
      <c r="F14" s="34">
        <v>8000</v>
      </c>
      <c r="G14" s="12">
        <f t="shared" si="0"/>
        <v>8000</v>
      </c>
      <c r="H14" s="1">
        <v>8</v>
      </c>
      <c r="I14" s="5" t="str">
        <f>IF(H14=0,"Indireto / imposto",IFERROR(INDEX(CRONOGRAMA!$D$5:$D$32,MATCH(H14,CRONOGRAMA!$A$5:$A$32,0)),"nº inexistente"))</f>
        <v>Estudo de solo: SPT e poço de inspeção com abertura localizada do piso</v>
      </c>
      <c r="J14" s="18"/>
      <c r="K14" s="12">
        <f t="shared" si="1"/>
        <v>0</v>
      </c>
      <c r="L14" s="12">
        <f t="shared" si="2"/>
        <v>8000</v>
      </c>
      <c r="M14" s="35"/>
      <c r="N14" s="12">
        <f>SUMIFS(COMPRAS!$G$6:$G$500,COMPRAS!$D$6:$D$500,Q14,COMPRAS!$J$6:$J$500,"&lt;&gt;Cancelado")+SUMIFS(LOCACOES!$I$6:$I$200,LOCACOES!$J$6:$J$200,Q14)</f>
        <v>0</v>
      </c>
      <c r="O14" s="12">
        <f t="shared" si="3"/>
        <v>0</v>
      </c>
      <c r="Q14" s="20" t="str">
        <f t="shared" si="4"/>
        <v>REV|3.1</v>
      </c>
    </row>
    <row r="15" spans="1:17" ht="25" x14ac:dyDescent="0.35">
      <c r="A15" s="5" t="s">
        <v>216</v>
      </c>
      <c r="B15" s="17" t="s">
        <v>238</v>
      </c>
      <c r="C15" s="5" t="s">
        <v>239</v>
      </c>
      <c r="D15" s="17" t="s">
        <v>219</v>
      </c>
      <c r="E15" s="33">
        <v>1</v>
      </c>
      <c r="F15" s="34">
        <v>6500</v>
      </c>
      <c r="G15" s="12">
        <f t="shared" si="0"/>
        <v>6500</v>
      </c>
      <c r="H15" s="1">
        <v>14</v>
      </c>
      <c r="I15" s="5" t="str">
        <f>IF(H15=0,"Indireto / imposto",IFERROR(INDEX(CRONOGRAMA!$D$5:$D$32,MATCH(H15,CRONOGRAMA!$A$5:$A$32,0)),"nº inexistente"))</f>
        <v>Demolição do piso (revestimento, contrapiso e laje) + descarte com CTR</v>
      </c>
      <c r="J15" s="18"/>
      <c r="K15" s="12">
        <f t="shared" si="1"/>
        <v>0</v>
      </c>
      <c r="L15" s="12">
        <f t="shared" si="2"/>
        <v>6500</v>
      </c>
      <c r="M15" s="35"/>
      <c r="N15" s="12">
        <f>SUMIFS(COMPRAS!$G$6:$G$500,COMPRAS!$D$6:$D$500,Q15,COMPRAS!$J$6:$J$500,"&lt;&gt;Cancelado")+SUMIFS(LOCACOES!$I$6:$I$200,LOCACOES!$J$6:$J$200,Q15)</f>
        <v>0</v>
      </c>
      <c r="O15" s="12">
        <f t="shared" si="3"/>
        <v>0</v>
      </c>
      <c r="Q15" s="20" t="str">
        <f t="shared" si="4"/>
        <v>REV|3.2</v>
      </c>
    </row>
    <row r="16" spans="1:17" ht="25" x14ac:dyDescent="0.35">
      <c r="A16" s="5" t="s">
        <v>216</v>
      </c>
      <c r="B16" s="17" t="s">
        <v>240</v>
      </c>
      <c r="C16" s="5" t="s">
        <v>241</v>
      </c>
      <c r="D16" s="17" t="s">
        <v>219</v>
      </c>
      <c r="E16" s="33">
        <v>1</v>
      </c>
      <c r="F16" s="34">
        <v>4500</v>
      </c>
      <c r="G16" s="12">
        <f t="shared" si="0"/>
        <v>4500</v>
      </c>
      <c r="H16" s="1">
        <v>14</v>
      </c>
      <c r="I16" s="5" t="str">
        <f>IF(H16=0,"Indireto / imposto",IFERROR(INDEX(CRONOGRAMA!$D$5:$D$32,MATCH(H16,CRONOGRAMA!$A$5:$A$32,0)),"nº inexistente"))</f>
        <v>Demolição do piso (revestimento, contrapiso e laje) + descarte com CTR</v>
      </c>
      <c r="J16" s="18"/>
      <c r="K16" s="12">
        <f t="shared" si="1"/>
        <v>0</v>
      </c>
      <c r="L16" s="12">
        <f t="shared" si="2"/>
        <v>4500</v>
      </c>
      <c r="M16" s="35"/>
      <c r="N16" s="12">
        <f>SUMIFS(COMPRAS!$G$6:$G$500,COMPRAS!$D$6:$D$500,Q16,COMPRAS!$J$6:$J$500,"&lt;&gt;Cancelado")+SUMIFS(LOCACOES!$I$6:$I$200,LOCACOES!$J$6:$J$200,Q16)</f>
        <v>0</v>
      </c>
      <c r="O16" s="12">
        <f t="shared" si="3"/>
        <v>0</v>
      </c>
      <c r="Q16" s="20" t="str">
        <f t="shared" si="4"/>
        <v>REV|3.3</v>
      </c>
    </row>
    <row r="17" spans="1:17" ht="25" x14ac:dyDescent="0.35">
      <c r="A17" s="5" t="s">
        <v>216</v>
      </c>
      <c r="B17" s="17" t="s">
        <v>242</v>
      </c>
      <c r="C17" s="5" t="s">
        <v>243</v>
      </c>
      <c r="D17" s="17" t="s">
        <v>219</v>
      </c>
      <c r="E17" s="33">
        <v>1</v>
      </c>
      <c r="F17" s="34">
        <v>8000</v>
      </c>
      <c r="G17" s="12">
        <f t="shared" si="0"/>
        <v>8000</v>
      </c>
      <c r="H17" s="1">
        <v>7</v>
      </c>
      <c r="I17" s="5" t="str">
        <f>IF(H17=0,"Indireto / imposto",IFERROR(INDEX(CRONOGRAMA!$D$5:$D$32,MATCH(H17,CRONOGRAMA!$A$5:$A$32,0)),"nº inexistente"))</f>
        <v>Levantamento topográfico de níveis e medição dos m² da faixa afetada</v>
      </c>
      <c r="J17" s="18"/>
      <c r="K17" s="12">
        <f t="shared" si="1"/>
        <v>0</v>
      </c>
      <c r="L17" s="12">
        <f t="shared" si="2"/>
        <v>8000</v>
      </c>
      <c r="M17" s="35"/>
      <c r="N17" s="12">
        <f>SUMIFS(COMPRAS!$G$6:$G$500,COMPRAS!$D$6:$D$500,Q17,COMPRAS!$J$6:$J$500,"&lt;&gt;Cancelado")+SUMIFS(LOCACOES!$I$6:$I$200,LOCACOES!$J$6:$J$200,Q17)</f>
        <v>0</v>
      </c>
      <c r="O17" s="12">
        <f t="shared" si="3"/>
        <v>0</v>
      </c>
      <c r="Q17" s="20" t="str">
        <f t="shared" si="4"/>
        <v>REV|4.1</v>
      </c>
    </row>
    <row r="18" spans="1:17" ht="25" x14ac:dyDescent="0.35">
      <c r="A18" s="5" t="s">
        <v>216</v>
      </c>
      <c r="B18" s="17" t="s">
        <v>244</v>
      </c>
      <c r="C18" s="5" t="s">
        <v>245</v>
      </c>
      <c r="D18" s="17" t="s">
        <v>219</v>
      </c>
      <c r="E18" s="33">
        <v>1</v>
      </c>
      <c r="F18" s="34">
        <v>14000</v>
      </c>
      <c r="G18" s="12">
        <f t="shared" si="0"/>
        <v>14000</v>
      </c>
      <c r="H18" s="1">
        <v>8</v>
      </c>
      <c r="I18" s="5" t="str">
        <f>IF(H18=0,"Indireto / imposto",IFERROR(INDEX(CRONOGRAMA!$D$5:$D$32,MATCH(H18,CRONOGRAMA!$A$5:$A$32,0)),"nº inexistente"))</f>
        <v>Estudo de solo: SPT e poço de inspeção com abertura localizada do piso</v>
      </c>
      <c r="J18" s="18"/>
      <c r="K18" s="12">
        <f t="shared" si="1"/>
        <v>0</v>
      </c>
      <c r="L18" s="12">
        <f t="shared" si="2"/>
        <v>14000</v>
      </c>
      <c r="M18" s="35"/>
      <c r="N18" s="12">
        <f>SUMIFS(COMPRAS!$G$6:$G$500,COMPRAS!$D$6:$D$500,Q18,COMPRAS!$J$6:$J$500,"&lt;&gt;Cancelado")+SUMIFS(LOCACOES!$I$6:$I$200,LOCACOES!$J$6:$J$200,Q18)</f>
        <v>0</v>
      </c>
      <c r="O18" s="12">
        <f t="shared" si="3"/>
        <v>0</v>
      </c>
      <c r="Q18" s="20" t="str">
        <f t="shared" si="4"/>
        <v>REV|4.2</v>
      </c>
    </row>
    <row r="19" spans="1:17" ht="25" x14ac:dyDescent="0.35">
      <c r="A19" s="5" t="s">
        <v>216</v>
      </c>
      <c r="B19" s="17" t="s">
        <v>246</v>
      </c>
      <c r="C19" s="5" t="s">
        <v>247</v>
      </c>
      <c r="D19" s="17" t="s">
        <v>219</v>
      </c>
      <c r="E19" s="33">
        <v>1</v>
      </c>
      <c r="F19" s="34">
        <v>3500</v>
      </c>
      <c r="G19" s="12">
        <f t="shared" si="0"/>
        <v>3500</v>
      </c>
      <c r="H19" s="1">
        <v>7</v>
      </c>
      <c r="I19" s="5" t="str">
        <f>IF(H19=0,"Indireto / imposto",IFERROR(INDEX(CRONOGRAMA!$D$5:$D$32,MATCH(H19,CRONOGRAMA!$A$5:$A$32,0)),"nº inexistente"))</f>
        <v>Levantamento topográfico de níveis e medição dos m² da faixa afetada</v>
      </c>
      <c r="J19" s="18"/>
      <c r="K19" s="12">
        <f t="shared" si="1"/>
        <v>0</v>
      </c>
      <c r="L19" s="12">
        <f t="shared" si="2"/>
        <v>3500</v>
      </c>
      <c r="M19" s="35"/>
      <c r="N19" s="12">
        <f>SUMIFS(COMPRAS!$G$6:$G$500,COMPRAS!$D$6:$D$500,Q19,COMPRAS!$J$6:$J$500,"&lt;&gt;Cancelado")+SUMIFS(LOCACOES!$I$6:$I$200,LOCACOES!$J$6:$J$200,Q19)</f>
        <v>0</v>
      </c>
      <c r="O19" s="12">
        <f t="shared" si="3"/>
        <v>0</v>
      </c>
      <c r="Q19" s="20" t="str">
        <f t="shared" si="4"/>
        <v>REV|4.3</v>
      </c>
    </row>
    <row r="20" spans="1:17" ht="25" x14ac:dyDescent="0.35">
      <c r="A20" s="5" t="s">
        <v>216</v>
      </c>
      <c r="B20" s="17" t="s">
        <v>248</v>
      </c>
      <c r="C20" s="5" t="s">
        <v>249</v>
      </c>
      <c r="D20" s="17" t="s">
        <v>219</v>
      </c>
      <c r="E20" s="33">
        <v>1</v>
      </c>
      <c r="F20" s="34">
        <v>16000</v>
      </c>
      <c r="G20" s="12">
        <f t="shared" si="0"/>
        <v>16000</v>
      </c>
      <c r="H20" s="1">
        <v>8</v>
      </c>
      <c r="I20" s="5" t="str">
        <f>IF(H20=0,"Indireto / imposto",IFERROR(INDEX(CRONOGRAMA!$D$5:$D$32,MATCH(H20,CRONOGRAMA!$A$5:$A$32,0)),"nº inexistente"))</f>
        <v>Estudo de solo: SPT e poço de inspeção com abertura localizada do piso</v>
      </c>
      <c r="J20" s="18"/>
      <c r="K20" s="12">
        <f t="shared" si="1"/>
        <v>0</v>
      </c>
      <c r="L20" s="12">
        <f t="shared" si="2"/>
        <v>16000</v>
      </c>
      <c r="M20" s="35"/>
      <c r="N20" s="12">
        <f>SUMIFS(COMPRAS!$G$6:$G$500,COMPRAS!$D$6:$D$500,Q20,COMPRAS!$J$6:$J$500,"&lt;&gt;Cancelado")+SUMIFS(LOCACOES!$I$6:$I$200,LOCACOES!$J$6:$J$200,Q20)</f>
        <v>0</v>
      </c>
      <c r="O20" s="12">
        <f t="shared" si="3"/>
        <v>0</v>
      </c>
      <c r="Q20" s="20" t="str">
        <f t="shared" si="4"/>
        <v>REV|4.4</v>
      </c>
    </row>
    <row r="21" spans="1:17" ht="25" x14ac:dyDescent="0.35">
      <c r="A21" s="5" t="s">
        <v>216</v>
      </c>
      <c r="B21" s="17" t="s">
        <v>250</v>
      </c>
      <c r="C21" s="5" t="s">
        <v>251</v>
      </c>
      <c r="D21" s="17" t="s">
        <v>219</v>
      </c>
      <c r="E21" s="33">
        <v>1</v>
      </c>
      <c r="F21" s="34">
        <v>9500</v>
      </c>
      <c r="G21" s="12">
        <f t="shared" si="0"/>
        <v>9500</v>
      </c>
      <c r="H21" s="1">
        <v>9</v>
      </c>
      <c r="I21" s="5" t="str">
        <f>IF(H21=0,"Indireto / imposto",IFERROR(INDEX(CRONOGRAMA!$D$5:$D$32,MATCH(H21,CRONOGRAMA!$A$5:$A$32,0)),"nº inexistente"))</f>
        <v>Projeto estrutural de reforço (treliça, apoios e fundações) + ART</v>
      </c>
      <c r="J21" s="18"/>
      <c r="K21" s="12">
        <f t="shared" si="1"/>
        <v>0</v>
      </c>
      <c r="L21" s="12">
        <f t="shared" si="2"/>
        <v>9500</v>
      </c>
      <c r="M21" s="35"/>
      <c r="N21" s="12">
        <f>SUMIFS(COMPRAS!$G$6:$G$500,COMPRAS!$D$6:$D$500,Q21,COMPRAS!$J$6:$J$500,"&lt;&gt;Cancelado")+SUMIFS(LOCACOES!$I$6:$I$200,LOCACOES!$J$6:$J$200,Q21)</f>
        <v>0</v>
      </c>
      <c r="O21" s="12">
        <f t="shared" si="3"/>
        <v>0</v>
      </c>
      <c r="Q21" s="20" t="str">
        <f t="shared" si="4"/>
        <v>REV|4.5</v>
      </c>
    </row>
    <row r="22" spans="1:17" ht="25" x14ac:dyDescent="0.35">
      <c r="A22" s="5" t="s">
        <v>216</v>
      </c>
      <c r="B22" s="17" t="s">
        <v>252</v>
      </c>
      <c r="C22" s="5" t="s">
        <v>253</v>
      </c>
      <c r="D22" s="17" t="s">
        <v>219</v>
      </c>
      <c r="E22" s="33">
        <v>1</v>
      </c>
      <c r="F22" s="34">
        <v>1500</v>
      </c>
      <c r="G22" s="12">
        <f t="shared" si="0"/>
        <v>1500</v>
      </c>
      <c r="H22" s="1">
        <v>9</v>
      </c>
      <c r="I22" s="5" t="str">
        <f>IF(H22=0,"Indireto / imposto",IFERROR(INDEX(CRONOGRAMA!$D$5:$D$32,MATCH(H22,CRONOGRAMA!$A$5:$A$32,0)),"nº inexistente"))</f>
        <v>Projeto estrutural de reforço (treliça, apoios e fundações) + ART</v>
      </c>
      <c r="J22" s="18"/>
      <c r="K22" s="12">
        <f t="shared" si="1"/>
        <v>0</v>
      </c>
      <c r="L22" s="12">
        <f t="shared" si="2"/>
        <v>1500</v>
      </c>
      <c r="M22" s="35"/>
      <c r="N22" s="12">
        <f>SUMIFS(COMPRAS!$G$6:$G$500,COMPRAS!$D$6:$D$500,Q22,COMPRAS!$J$6:$J$500,"&lt;&gt;Cancelado")+SUMIFS(LOCACOES!$I$6:$I$200,LOCACOES!$J$6:$J$200,Q22)</f>
        <v>0</v>
      </c>
      <c r="O22" s="12">
        <f t="shared" si="3"/>
        <v>0</v>
      </c>
      <c r="Q22" s="20" t="str">
        <f t="shared" si="4"/>
        <v>REV|4.6</v>
      </c>
    </row>
    <row r="23" spans="1:17" ht="37.5" x14ac:dyDescent="0.35">
      <c r="A23" s="5" t="s">
        <v>216</v>
      </c>
      <c r="B23" s="17" t="s">
        <v>254</v>
      </c>
      <c r="C23" s="5" t="s">
        <v>255</v>
      </c>
      <c r="D23" s="17" t="s">
        <v>219</v>
      </c>
      <c r="E23" s="33">
        <v>1</v>
      </c>
      <c r="F23" s="34">
        <v>5000</v>
      </c>
      <c r="G23" s="12">
        <f t="shared" si="0"/>
        <v>5000</v>
      </c>
      <c r="H23" s="1">
        <v>16</v>
      </c>
      <c r="I23" s="5" t="str">
        <f>IF(H23=0,"Indireto / imposto",IFERROR(INDEX(CRONOGRAMA!$D$5:$D$32,MATCH(H23,CRONOGRAMA!$A$5:$A$32,0)),"nº inexistente"))</f>
        <v>Remoção do solo inadequado, base de brita e compactação em camadas (máx. 20 cm)</v>
      </c>
      <c r="J23" s="18"/>
      <c r="K23" s="12">
        <f t="shared" si="1"/>
        <v>0</v>
      </c>
      <c r="L23" s="12">
        <f t="shared" si="2"/>
        <v>5000</v>
      </c>
      <c r="M23" s="35"/>
      <c r="N23" s="12">
        <f>SUMIFS(COMPRAS!$G$6:$G$500,COMPRAS!$D$6:$D$500,Q23,COMPRAS!$J$6:$J$500,"&lt;&gt;Cancelado")+SUMIFS(LOCACOES!$I$6:$I$200,LOCACOES!$J$6:$J$200,Q23)</f>
        <v>0</v>
      </c>
      <c r="O23" s="12">
        <f t="shared" si="3"/>
        <v>0</v>
      </c>
      <c r="Q23" s="20" t="str">
        <f t="shared" si="4"/>
        <v>REV|5.1</v>
      </c>
    </row>
    <row r="24" spans="1:17" ht="37.5" x14ac:dyDescent="0.35">
      <c r="A24" s="5" t="s">
        <v>216</v>
      </c>
      <c r="B24" s="17" t="s">
        <v>256</v>
      </c>
      <c r="C24" s="5" t="s">
        <v>257</v>
      </c>
      <c r="D24" s="17" t="s">
        <v>219</v>
      </c>
      <c r="E24" s="33">
        <v>1</v>
      </c>
      <c r="F24" s="34">
        <v>6000</v>
      </c>
      <c r="G24" s="12">
        <f t="shared" si="0"/>
        <v>6000</v>
      </c>
      <c r="H24" s="1">
        <v>16</v>
      </c>
      <c r="I24" s="5" t="str">
        <f>IF(H24=0,"Indireto / imposto",IFERROR(INDEX(CRONOGRAMA!$D$5:$D$32,MATCH(H24,CRONOGRAMA!$A$5:$A$32,0)),"nº inexistente"))</f>
        <v>Remoção do solo inadequado, base de brita e compactação em camadas (máx. 20 cm)</v>
      </c>
      <c r="J24" s="18"/>
      <c r="K24" s="12">
        <f t="shared" si="1"/>
        <v>0</v>
      </c>
      <c r="L24" s="12">
        <f t="shared" si="2"/>
        <v>6000</v>
      </c>
      <c r="M24" s="35"/>
      <c r="N24" s="12">
        <f>SUMIFS(COMPRAS!$G$6:$G$500,COMPRAS!$D$6:$D$500,Q24,COMPRAS!$J$6:$J$500,"&lt;&gt;Cancelado")+SUMIFS(LOCACOES!$I$6:$I$200,LOCACOES!$J$6:$J$200,Q24)</f>
        <v>0</v>
      </c>
      <c r="O24" s="12">
        <f t="shared" si="3"/>
        <v>0</v>
      </c>
      <c r="Q24" s="20" t="str">
        <f t="shared" si="4"/>
        <v>REV|5.2</v>
      </c>
    </row>
    <row r="25" spans="1:17" ht="37.5" x14ac:dyDescent="0.35">
      <c r="A25" s="5" t="s">
        <v>216</v>
      </c>
      <c r="B25" s="17" t="s">
        <v>258</v>
      </c>
      <c r="C25" s="5" t="s">
        <v>259</v>
      </c>
      <c r="D25" s="17" t="s">
        <v>219</v>
      </c>
      <c r="E25" s="33">
        <v>1</v>
      </c>
      <c r="F25" s="34">
        <v>4500</v>
      </c>
      <c r="G25" s="12">
        <f t="shared" si="0"/>
        <v>4500</v>
      </c>
      <c r="H25" s="1">
        <v>16</v>
      </c>
      <c r="I25" s="5" t="str">
        <f>IF(H25=0,"Indireto / imposto",IFERROR(INDEX(CRONOGRAMA!$D$5:$D$32,MATCH(H25,CRONOGRAMA!$A$5:$A$32,0)),"nº inexistente"))</f>
        <v>Remoção do solo inadequado, base de brita e compactação em camadas (máx. 20 cm)</v>
      </c>
      <c r="J25" s="18"/>
      <c r="K25" s="12">
        <f t="shared" si="1"/>
        <v>0</v>
      </c>
      <c r="L25" s="12">
        <f t="shared" si="2"/>
        <v>4500</v>
      </c>
      <c r="M25" s="35"/>
      <c r="N25" s="12">
        <f>SUMIFS(COMPRAS!$G$6:$G$500,COMPRAS!$D$6:$D$500,Q25,COMPRAS!$J$6:$J$500,"&lt;&gt;Cancelado")+SUMIFS(LOCACOES!$I$6:$I$200,LOCACOES!$J$6:$J$200,Q25)</f>
        <v>0</v>
      </c>
      <c r="O25" s="12">
        <f t="shared" si="3"/>
        <v>0</v>
      </c>
      <c r="Q25" s="20" t="str">
        <f t="shared" si="4"/>
        <v>REV|5.3</v>
      </c>
    </row>
    <row r="26" spans="1:17" ht="37.5" x14ac:dyDescent="0.35">
      <c r="A26" s="5" t="s">
        <v>216</v>
      </c>
      <c r="B26" s="17" t="s">
        <v>260</v>
      </c>
      <c r="C26" s="5" t="s">
        <v>261</v>
      </c>
      <c r="D26" s="17" t="s">
        <v>219</v>
      </c>
      <c r="E26" s="33">
        <v>1</v>
      </c>
      <c r="F26" s="34">
        <v>4000</v>
      </c>
      <c r="G26" s="12">
        <f t="shared" si="0"/>
        <v>4000</v>
      </c>
      <c r="H26" s="1">
        <v>16</v>
      </c>
      <c r="I26" s="5" t="str">
        <f>IF(H26=0,"Indireto / imposto",IFERROR(INDEX(CRONOGRAMA!$D$5:$D$32,MATCH(H26,CRONOGRAMA!$A$5:$A$32,0)),"nº inexistente"))</f>
        <v>Remoção do solo inadequado, base de brita e compactação em camadas (máx. 20 cm)</v>
      </c>
      <c r="J26" s="18"/>
      <c r="K26" s="12">
        <f t="shared" si="1"/>
        <v>0</v>
      </c>
      <c r="L26" s="12">
        <f t="shared" si="2"/>
        <v>4000</v>
      </c>
      <c r="M26" s="35"/>
      <c r="N26" s="12">
        <f>SUMIFS(COMPRAS!$G$6:$G$500,COMPRAS!$D$6:$D$500,Q26,COMPRAS!$J$6:$J$500,"&lt;&gt;Cancelado")+SUMIFS(LOCACOES!$I$6:$I$200,LOCACOES!$J$6:$J$200,Q26)</f>
        <v>0</v>
      </c>
      <c r="O26" s="12">
        <f t="shared" si="3"/>
        <v>0</v>
      </c>
      <c r="Q26" s="20" t="str">
        <f t="shared" si="4"/>
        <v>REV|5.4</v>
      </c>
    </row>
    <row r="27" spans="1:17" ht="25" x14ac:dyDescent="0.35">
      <c r="A27" s="5" t="s">
        <v>216</v>
      </c>
      <c r="B27" s="17" t="s">
        <v>262</v>
      </c>
      <c r="C27" s="5" t="s">
        <v>263</v>
      </c>
      <c r="D27" s="17" t="s">
        <v>219</v>
      </c>
      <c r="E27" s="33">
        <v>1</v>
      </c>
      <c r="F27" s="34">
        <v>9000</v>
      </c>
      <c r="G27" s="12">
        <f t="shared" si="0"/>
        <v>9000</v>
      </c>
      <c r="H27" s="1">
        <v>15</v>
      </c>
      <c r="I27" s="5" t="str">
        <f>IF(H27=0,"Indireto / imposto",IFERROR(INDEX(CRONOGRAMA!$D$5:$D$32,MATCH(H27,CRONOGRAMA!$A$5:$A$32,0)),"nº inexistente"))</f>
        <v>Reforço das fundações de P2/P3 e da treliça, conforme projeto</v>
      </c>
      <c r="J27" s="18"/>
      <c r="K27" s="12">
        <f t="shared" si="1"/>
        <v>0</v>
      </c>
      <c r="L27" s="12">
        <f t="shared" si="2"/>
        <v>9000</v>
      </c>
      <c r="M27" s="35"/>
      <c r="N27" s="12">
        <f>SUMIFS(COMPRAS!$G$6:$G$500,COMPRAS!$D$6:$D$500,Q27,COMPRAS!$J$6:$J$500,"&lt;&gt;Cancelado")+SUMIFS(LOCACOES!$I$6:$I$200,LOCACOES!$J$6:$J$200,Q27)</f>
        <v>0</v>
      </c>
      <c r="O27" s="12">
        <f t="shared" si="3"/>
        <v>0</v>
      </c>
      <c r="Q27" s="20" t="str">
        <f t="shared" si="4"/>
        <v>REV|6.1</v>
      </c>
    </row>
    <row r="28" spans="1:17" ht="25" x14ac:dyDescent="0.35">
      <c r="A28" s="5" t="s">
        <v>216</v>
      </c>
      <c r="B28" s="17" t="s">
        <v>264</v>
      </c>
      <c r="C28" s="5" t="s">
        <v>265</v>
      </c>
      <c r="D28" s="17" t="s">
        <v>219</v>
      </c>
      <c r="E28" s="33">
        <v>1</v>
      </c>
      <c r="F28" s="34">
        <v>8000</v>
      </c>
      <c r="G28" s="12">
        <f t="shared" si="0"/>
        <v>8000</v>
      </c>
      <c r="H28" s="1">
        <v>15</v>
      </c>
      <c r="I28" s="5" t="str">
        <f>IF(H28=0,"Indireto / imposto",IFERROR(INDEX(CRONOGRAMA!$D$5:$D$32,MATCH(H28,CRONOGRAMA!$A$5:$A$32,0)),"nº inexistente"))</f>
        <v>Reforço das fundações de P2/P3 e da treliça, conforme projeto</v>
      </c>
      <c r="J28" s="18"/>
      <c r="K28" s="12">
        <f t="shared" si="1"/>
        <v>0</v>
      </c>
      <c r="L28" s="12">
        <f t="shared" si="2"/>
        <v>8000</v>
      </c>
      <c r="M28" s="35"/>
      <c r="N28" s="12">
        <f>SUMIFS(COMPRAS!$G$6:$G$500,COMPRAS!$D$6:$D$500,Q28,COMPRAS!$J$6:$J$500,"&lt;&gt;Cancelado")+SUMIFS(LOCACOES!$I$6:$I$200,LOCACOES!$J$6:$J$200,Q28)</f>
        <v>0</v>
      </c>
      <c r="O28" s="12">
        <f t="shared" si="3"/>
        <v>0</v>
      </c>
      <c r="Q28" s="20" t="str">
        <f t="shared" si="4"/>
        <v>REV|6.2</v>
      </c>
    </row>
    <row r="29" spans="1:17" ht="25" x14ac:dyDescent="0.35">
      <c r="A29" s="5" t="s">
        <v>216</v>
      </c>
      <c r="B29" s="17" t="s">
        <v>266</v>
      </c>
      <c r="C29" s="5" t="s">
        <v>267</v>
      </c>
      <c r="D29" s="17" t="s">
        <v>219</v>
      </c>
      <c r="E29" s="33">
        <v>1</v>
      </c>
      <c r="F29" s="34">
        <v>5000</v>
      </c>
      <c r="G29" s="12">
        <f t="shared" si="0"/>
        <v>5000</v>
      </c>
      <c r="H29" s="1">
        <v>15</v>
      </c>
      <c r="I29" s="5" t="str">
        <f>IF(H29=0,"Indireto / imposto",IFERROR(INDEX(CRONOGRAMA!$D$5:$D$32,MATCH(H29,CRONOGRAMA!$A$5:$A$32,0)),"nº inexistente"))</f>
        <v>Reforço das fundações de P2/P3 e da treliça, conforme projeto</v>
      </c>
      <c r="J29" s="18"/>
      <c r="K29" s="12">
        <f t="shared" si="1"/>
        <v>0</v>
      </c>
      <c r="L29" s="12">
        <f t="shared" si="2"/>
        <v>5000</v>
      </c>
      <c r="M29" s="35"/>
      <c r="N29" s="12">
        <f>SUMIFS(COMPRAS!$G$6:$G$500,COMPRAS!$D$6:$D$500,Q29,COMPRAS!$J$6:$J$500,"&lt;&gt;Cancelado")+SUMIFS(LOCACOES!$I$6:$I$200,LOCACOES!$J$6:$J$200,Q29)</f>
        <v>0</v>
      </c>
      <c r="O29" s="12">
        <f t="shared" si="3"/>
        <v>0</v>
      </c>
      <c r="Q29" s="20" t="str">
        <f t="shared" si="4"/>
        <v>REV|6.3</v>
      </c>
    </row>
    <row r="30" spans="1:17" ht="25" x14ac:dyDescent="0.35">
      <c r="A30" s="5" t="s">
        <v>216</v>
      </c>
      <c r="B30" s="17" t="s">
        <v>268</v>
      </c>
      <c r="C30" s="5" t="s">
        <v>269</v>
      </c>
      <c r="D30" s="17" t="s">
        <v>219</v>
      </c>
      <c r="E30" s="33">
        <v>1</v>
      </c>
      <c r="F30" s="34">
        <v>3000</v>
      </c>
      <c r="G30" s="12">
        <f t="shared" si="0"/>
        <v>3000</v>
      </c>
      <c r="H30" s="1">
        <v>15</v>
      </c>
      <c r="I30" s="5" t="str">
        <f>IF(H30=0,"Indireto / imposto",IFERROR(INDEX(CRONOGRAMA!$D$5:$D$32,MATCH(H30,CRONOGRAMA!$A$5:$A$32,0)),"nº inexistente"))</f>
        <v>Reforço das fundações de P2/P3 e da treliça, conforme projeto</v>
      </c>
      <c r="J30" s="18"/>
      <c r="K30" s="12">
        <f t="shared" si="1"/>
        <v>0</v>
      </c>
      <c r="L30" s="12">
        <f t="shared" si="2"/>
        <v>3000</v>
      </c>
      <c r="M30" s="35"/>
      <c r="N30" s="12">
        <f>SUMIFS(COMPRAS!$G$6:$G$500,COMPRAS!$D$6:$D$500,Q30,COMPRAS!$J$6:$J$500,"&lt;&gt;Cancelado")+SUMIFS(LOCACOES!$I$6:$I$200,LOCACOES!$J$6:$J$200,Q30)</f>
        <v>0</v>
      </c>
      <c r="O30" s="12">
        <f t="shared" si="3"/>
        <v>0</v>
      </c>
      <c r="Q30" s="20" t="str">
        <f t="shared" si="4"/>
        <v>REV|6.4</v>
      </c>
    </row>
    <row r="31" spans="1:17" ht="25" x14ac:dyDescent="0.35">
      <c r="A31" s="5" t="s">
        <v>216</v>
      </c>
      <c r="B31" s="17" t="s">
        <v>270</v>
      </c>
      <c r="C31" s="5" t="s">
        <v>271</v>
      </c>
      <c r="D31" s="17" t="s">
        <v>219</v>
      </c>
      <c r="E31" s="33">
        <v>1</v>
      </c>
      <c r="F31" s="34">
        <v>10000</v>
      </c>
      <c r="G31" s="12">
        <f t="shared" si="0"/>
        <v>10000</v>
      </c>
      <c r="H31" s="1">
        <v>15</v>
      </c>
      <c r="I31" s="5" t="str">
        <f>IF(H31=0,"Indireto / imposto",IFERROR(INDEX(CRONOGRAMA!$D$5:$D$32,MATCH(H31,CRONOGRAMA!$A$5:$A$32,0)),"nº inexistente"))</f>
        <v>Reforço das fundações de P2/P3 e da treliça, conforme projeto</v>
      </c>
      <c r="J31" s="18"/>
      <c r="K31" s="12">
        <f t="shared" si="1"/>
        <v>0</v>
      </c>
      <c r="L31" s="12">
        <f t="shared" si="2"/>
        <v>10000</v>
      </c>
      <c r="M31" s="35"/>
      <c r="N31" s="12">
        <f>SUMIFS(COMPRAS!$G$6:$G$500,COMPRAS!$D$6:$D$500,Q31,COMPRAS!$J$6:$J$500,"&lt;&gt;Cancelado")+SUMIFS(LOCACOES!$I$6:$I$200,LOCACOES!$J$6:$J$200,Q31)</f>
        <v>0</v>
      </c>
      <c r="O31" s="12">
        <f t="shared" si="3"/>
        <v>0</v>
      </c>
      <c r="Q31" s="20" t="str">
        <f t="shared" si="4"/>
        <v>REV|6.5</v>
      </c>
    </row>
    <row r="32" spans="1:17" ht="25" x14ac:dyDescent="0.35">
      <c r="A32" s="5" t="s">
        <v>216</v>
      </c>
      <c r="B32" s="17" t="s">
        <v>272</v>
      </c>
      <c r="C32" s="5" t="s">
        <v>273</v>
      </c>
      <c r="D32" s="17" t="s">
        <v>219</v>
      </c>
      <c r="E32" s="33">
        <v>1</v>
      </c>
      <c r="F32" s="34">
        <v>10000</v>
      </c>
      <c r="G32" s="12">
        <f t="shared" si="0"/>
        <v>10000</v>
      </c>
      <c r="H32" s="1">
        <v>15</v>
      </c>
      <c r="I32" s="5" t="str">
        <f>IF(H32=0,"Indireto / imposto",IFERROR(INDEX(CRONOGRAMA!$D$5:$D$32,MATCH(H32,CRONOGRAMA!$A$5:$A$32,0)),"nº inexistente"))</f>
        <v>Reforço das fundações de P2/P3 e da treliça, conforme projeto</v>
      </c>
      <c r="J32" s="18"/>
      <c r="K32" s="12">
        <f t="shared" si="1"/>
        <v>0</v>
      </c>
      <c r="L32" s="12">
        <f t="shared" si="2"/>
        <v>10000</v>
      </c>
      <c r="M32" s="35"/>
      <c r="N32" s="12">
        <f>SUMIFS(COMPRAS!$G$6:$G$500,COMPRAS!$D$6:$D$500,Q32,COMPRAS!$J$6:$J$500,"&lt;&gt;Cancelado")+SUMIFS(LOCACOES!$I$6:$I$200,LOCACOES!$J$6:$J$200,Q32)</f>
        <v>0</v>
      </c>
      <c r="O32" s="12">
        <f t="shared" si="3"/>
        <v>0</v>
      </c>
      <c r="Q32" s="20" t="str">
        <f t="shared" si="4"/>
        <v>REV|6.6</v>
      </c>
    </row>
    <row r="33" spans="1:17" ht="25" x14ac:dyDescent="0.35">
      <c r="A33" s="5" t="s">
        <v>216</v>
      </c>
      <c r="B33" s="17" t="s">
        <v>274</v>
      </c>
      <c r="C33" s="5" t="s">
        <v>275</v>
      </c>
      <c r="D33" s="17" t="s">
        <v>219</v>
      </c>
      <c r="E33" s="33">
        <v>1</v>
      </c>
      <c r="F33" s="34">
        <v>4000</v>
      </c>
      <c r="G33" s="12">
        <f t="shared" si="0"/>
        <v>4000</v>
      </c>
      <c r="H33" s="1">
        <v>15</v>
      </c>
      <c r="I33" s="5" t="str">
        <f>IF(H33=0,"Indireto / imposto",IFERROR(INDEX(CRONOGRAMA!$D$5:$D$32,MATCH(H33,CRONOGRAMA!$A$5:$A$32,0)),"nº inexistente"))</f>
        <v>Reforço das fundações de P2/P3 e da treliça, conforme projeto</v>
      </c>
      <c r="J33" s="18"/>
      <c r="K33" s="12">
        <f t="shared" si="1"/>
        <v>0</v>
      </c>
      <c r="L33" s="12">
        <f t="shared" si="2"/>
        <v>4000</v>
      </c>
      <c r="M33" s="35"/>
      <c r="N33" s="12">
        <f>SUMIFS(COMPRAS!$G$6:$G$500,COMPRAS!$D$6:$D$500,Q33,COMPRAS!$J$6:$J$500,"&lt;&gt;Cancelado")+SUMIFS(LOCACOES!$I$6:$I$200,LOCACOES!$J$6:$J$200,Q33)</f>
        <v>0</v>
      </c>
      <c r="O33" s="12">
        <f t="shared" si="3"/>
        <v>0</v>
      </c>
      <c r="Q33" s="20" t="str">
        <f t="shared" si="4"/>
        <v>REV|6.7</v>
      </c>
    </row>
    <row r="34" spans="1:17" ht="25" x14ac:dyDescent="0.35">
      <c r="A34" s="5" t="s">
        <v>216</v>
      </c>
      <c r="B34" s="17" t="s">
        <v>276</v>
      </c>
      <c r="C34" s="5" t="s">
        <v>277</v>
      </c>
      <c r="D34" s="17" t="s">
        <v>219</v>
      </c>
      <c r="E34" s="33">
        <v>1</v>
      </c>
      <c r="F34" s="34">
        <v>8000</v>
      </c>
      <c r="G34" s="12">
        <f t="shared" si="0"/>
        <v>8000</v>
      </c>
      <c r="H34" s="1">
        <v>17</v>
      </c>
      <c r="I34" s="5" t="str">
        <f>IF(H34=0,"Indireto / imposto",IFERROR(INDEX(CRONOGRAMA!$D$5:$D$32,MATCH(H34,CRONOGRAMA!$A$5:$A$32,0)),"nº inexistente"))</f>
        <v>Nova laje de piso armada com nível final (inclui cura)</v>
      </c>
      <c r="J34" s="18"/>
      <c r="K34" s="12">
        <f t="shared" si="1"/>
        <v>0</v>
      </c>
      <c r="L34" s="12">
        <f t="shared" si="2"/>
        <v>8000</v>
      </c>
      <c r="M34" s="35"/>
      <c r="N34" s="12">
        <f>SUMIFS(COMPRAS!$G$6:$G$500,COMPRAS!$D$6:$D$500,Q34,COMPRAS!$J$6:$J$500,"&lt;&gt;Cancelado")+SUMIFS(LOCACOES!$I$6:$I$200,LOCACOES!$J$6:$J$200,Q34)</f>
        <v>0</v>
      </c>
      <c r="O34" s="12">
        <f t="shared" si="3"/>
        <v>0</v>
      </c>
      <c r="Q34" s="20" t="str">
        <f t="shared" si="4"/>
        <v>REV|7.1</v>
      </c>
    </row>
    <row r="35" spans="1:17" ht="25" x14ac:dyDescent="0.35">
      <c r="A35" s="5" t="s">
        <v>216</v>
      </c>
      <c r="B35" s="17" t="s">
        <v>278</v>
      </c>
      <c r="C35" s="5" t="s">
        <v>279</v>
      </c>
      <c r="D35" s="17" t="s">
        <v>219</v>
      </c>
      <c r="E35" s="33">
        <v>1</v>
      </c>
      <c r="F35" s="34">
        <v>5000</v>
      </c>
      <c r="G35" s="12">
        <f t="shared" si="0"/>
        <v>5000</v>
      </c>
      <c r="H35" s="1">
        <v>18</v>
      </c>
      <c r="I35" s="5" t="str">
        <f>IF(H35=0,"Indireto / imposto",IFERROR(INDEX(CRONOGRAMA!$D$5:$D$32,MATCH(H35,CRONOGRAMA!$A$5:$A$32,0)),"nº inexistente"))</f>
        <v>Piso do banheiro e revestimento do salão</v>
      </c>
      <c r="J35" s="18"/>
      <c r="K35" s="12">
        <f t="shared" si="1"/>
        <v>0</v>
      </c>
      <c r="L35" s="12">
        <f t="shared" si="2"/>
        <v>5000</v>
      </c>
      <c r="M35" s="35"/>
      <c r="N35" s="12">
        <f>SUMIFS(COMPRAS!$G$6:$G$500,COMPRAS!$D$6:$D$500,Q35,COMPRAS!$J$6:$J$500,"&lt;&gt;Cancelado")+SUMIFS(LOCACOES!$I$6:$I$200,LOCACOES!$J$6:$J$200,Q35)</f>
        <v>0</v>
      </c>
      <c r="O35" s="12">
        <f t="shared" si="3"/>
        <v>0</v>
      </c>
      <c r="Q35" s="20" t="str">
        <f t="shared" si="4"/>
        <v>REV|7.2</v>
      </c>
    </row>
    <row r="36" spans="1:17" ht="25" x14ac:dyDescent="0.35">
      <c r="A36" s="5" t="s">
        <v>216</v>
      </c>
      <c r="B36" s="17" t="s">
        <v>280</v>
      </c>
      <c r="C36" s="5" t="s">
        <v>281</v>
      </c>
      <c r="D36" s="17" t="s">
        <v>219</v>
      </c>
      <c r="E36" s="33">
        <v>1</v>
      </c>
      <c r="F36" s="34">
        <v>7000</v>
      </c>
      <c r="G36" s="12">
        <f t="shared" si="0"/>
        <v>7000</v>
      </c>
      <c r="H36" s="1">
        <v>18</v>
      </c>
      <c r="I36" s="5" t="str">
        <f>IF(H36=0,"Indireto / imposto",IFERROR(INDEX(CRONOGRAMA!$D$5:$D$32,MATCH(H36,CRONOGRAMA!$A$5:$A$32,0)),"nº inexistente"))</f>
        <v>Piso do banheiro e revestimento do salão</v>
      </c>
      <c r="J36" s="18"/>
      <c r="K36" s="12">
        <f t="shared" si="1"/>
        <v>0</v>
      </c>
      <c r="L36" s="12">
        <f t="shared" si="2"/>
        <v>7000</v>
      </c>
      <c r="M36" s="35"/>
      <c r="N36" s="12">
        <f>SUMIFS(COMPRAS!$G$6:$G$500,COMPRAS!$D$6:$D$500,Q36,COMPRAS!$J$6:$J$500,"&lt;&gt;Cancelado")+SUMIFS(LOCACOES!$I$6:$I$200,LOCACOES!$J$6:$J$200,Q36)</f>
        <v>0</v>
      </c>
      <c r="O36" s="12">
        <f t="shared" si="3"/>
        <v>0</v>
      </c>
      <c r="Q36" s="20" t="str">
        <f t="shared" si="4"/>
        <v>REV|7.3</v>
      </c>
    </row>
    <row r="37" spans="1:17" ht="25" x14ac:dyDescent="0.35">
      <c r="A37" s="5" t="s">
        <v>216</v>
      </c>
      <c r="B37" s="17" t="s">
        <v>282</v>
      </c>
      <c r="C37" s="5" t="s">
        <v>283</v>
      </c>
      <c r="D37" s="17" t="s">
        <v>219</v>
      </c>
      <c r="E37" s="33">
        <v>1</v>
      </c>
      <c r="F37" s="34">
        <v>6000</v>
      </c>
      <c r="G37" s="12">
        <f t="shared" ref="G37:G68" si="5">E37*F37</f>
        <v>6000</v>
      </c>
      <c r="H37" s="1">
        <v>20</v>
      </c>
      <c r="I37" s="5" t="str">
        <f>IF(H37=0,"Indireto / imposto",IFERROR(INDEX(CRONOGRAMA!$D$5:$D$32,MATCH(H37,CRONOGRAMA!$A$5:$A$32,0)),"nº inexistente"))</f>
        <v>Retirada do escoramento, conferência final de níveis, limpeza e liberação</v>
      </c>
      <c r="J37" s="18"/>
      <c r="K37" s="12">
        <f t="shared" ref="K37:K68" si="6">G37*N(J37)</f>
        <v>0</v>
      </c>
      <c r="L37" s="12">
        <f t="shared" ref="L37:L68" si="7">G37-K37</f>
        <v>6000</v>
      </c>
      <c r="M37" s="35"/>
      <c r="N37" s="12">
        <f>SUMIFS(COMPRAS!$G$6:$G$500,COMPRAS!$D$6:$D$500,Q37,COMPRAS!$J$6:$J$500,"&lt;&gt;Cancelado")+SUMIFS(LOCACOES!$I$6:$I$200,LOCACOES!$J$6:$J$200,Q37)</f>
        <v>0</v>
      </c>
      <c r="O37" s="12">
        <f t="shared" ref="O37:O68" si="8">K37-N37</f>
        <v>0</v>
      </c>
      <c r="Q37" s="20" t="str">
        <f t="shared" ref="Q37:Q68" si="9">IF(LEFT(A37,4)="Estr","REV","LPU")&amp;"|"&amp;B37</f>
        <v>REV|7.4</v>
      </c>
    </row>
    <row r="38" spans="1:17" ht="25" x14ac:dyDescent="0.35">
      <c r="A38" s="5" t="s">
        <v>216</v>
      </c>
      <c r="B38" s="17" t="s">
        <v>284</v>
      </c>
      <c r="C38" s="5" t="s">
        <v>285</v>
      </c>
      <c r="D38" s="17" t="s">
        <v>219</v>
      </c>
      <c r="E38" s="33">
        <v>1</v>
      </c>
      <c r="F38" s="34">
        <v>7000</v>
      </c>
      <c r="G38" s="12">
        <f t="shared" si="5"/>
        <v>7000</v>
      </c>
      <c r="H38" s="1">
        <v>19</v>
      </c>
      <c r="I38" s="5" t="str">
        <f>IF(H38=0,"Indireto / imposto",IFERROR(INDEX(CRONOGRAMA!$D$5:$D$32,MATCH(H38,CRONOGRAMA!$A$5:$A$32,0)),"nº inexistente"))</f>
        <v>Recuperação do mezanino: drywall, piso cerâmico, copa e WCs</v>
      </c>
      <c r="J38" s="18"/>
      <c r="K38" s="12">
        <f t="shared" si="6"/>
        <v>0</v>
      </c>
      <c r="L38" s="12">
        <f t="shared" si="7"/>
        <v>7000</v>
      </c>
      <c r="M38" s="35"/>
      <c r="N38" s="12">
        <f>SUMIFS(COMPRAS!$G$6:$G$500,COMPRAS!$D$6:$D$500,Q38,COMPRAS!$J$6:$J$500,"&lt;&gt;Cancelado")+SUMIFS(LOCACOES!$I$6:$I$200,LOCACOES!$J$6:$J$200,Q38)</f>
        <v>0</v>
      </c>
      <c r="O38" s="12">
        <f t="shared" si="8"/>
        <v>0</v>
      </c>
      <c r="Q38" s="20" t="str">
        <f t="shared" si="9"/>
        <v>REV|8.1</v>
      </c>
    </row>
    <row r="39" spans="1:17" ht="25" x14ac:dyDescent="0.35">
      <c r="A39" s="5" t="s">
        <v>216</v>
      </c>
      <c r="B39" s="17" t="s">
        <v>286</v>
      </c>
      <c r="C39" s="5" t="s">
        <v>287</v>
      </c>
      <c r="D39" s="17" t="s">
        <v>219</v>
      </c>
      <c r="E39" s="33">
        <v>1</v>
      </c>
      <c r="F39" s="34">
        <v>8000</v>
      </c>
      <c r="G39" s="12">
        <f t="shared" si="5"/>
        <v>8000</v>
      </c>
      <c r="H39" s="1">
        <v>19</v>
      </c>
      <c r="I39" s="5" t="str">
        <f>IF(H39=0,"Indireto / imposto",IFERROR(INDEX(CRONOGRAMA!$D$5:$D$32,MATCH(H39,CRONOGRAMA!$A$5:$A$32,0)),"nº inexistente"))</f>
        <v>Recuperação do mezanino: drywall, piso cerâmico, copa e WCs</v>
      </c>
      <c r="J39" s="18"/>
      <c r="K39" s="12">
        <f t="shared" si="6"/>
        <v>0</v>
      </c>
      <c r="L39" s="12">
        <f t="shared" si="7"/>
        <v>8000</v>
      </c>
      <c r="M39" s="35"/>
      <c r="N39" s="12">
        <f>SUMIFS(COMPRAS!$G$6:$G$500,COMPRAS!$D$6:$D$500,Q39,COMPRAS!$J$6:$J$500,"&lt;&gt;Cancelado")+SUMIFS(LOCACOES!$I$6:$I$200,LOCACOES!$J$6:$J$200,Q39)</f>
        <v>0</v>
      </c>
      <c r="O39" s="12">
        <f t="shared" si="8"/>
        <v>0</v>
      </c>
      <c r="Q39" s="20" t="str">
        <f t="shared" si="9"/>
        <v>REV|8.2</v>
      </c>
    </row>
    <row r="40" spans="1:17" ht="25" x14ac:dyDescent="0.35">
      <c r="A40" s="5" t="s">
        <v>216</v>
      </c>
      <c r="B40" s="17" t="s">
        <v>288</v>
      </c>
      <c r="C40" s="5" t="s">
        <v>289</v>
      </c>
      <c r="D40" s="17" t="s">
        <v>219</v>
      </c>
      <c r="E40" s="33">
        <v>1</v>
      </c>
      <c r="F40" s="34">
        <v>3000</v>
      </c>
      <c r="G40" s="12">
        <f t="shared" si="5"/>
        <v>3000</v>
      </c>
      <c r="H40" s="1">
        <v>19</v>
      </c>
      <c r="I40" s="5" t="str">
        <f>IF(H40=0,"Indireto / imposto",IFERROR(INDEX(CRONOGRAMA!$D$5:$D$32,MATCH(H40,CRONOGRAMA!$A$5:$A$32,0)),"nº inexistente"))</f>
        <v>Recuperação do mezanino: drywall, piso cerâmico, copa e WCs</v>
      </c>
      <c r="J40" s="18"/>
      <c r="K40" s="12">
        <f t="shared" si="6"/>
        <v>0</v>
      </c>
      <c r="L40" s="12">
        <f t="shared" si="7"/>
        <v>3000</v>
      </c>
      <c r="M40" s="35"/>
      <c r="N40" s="12">
        <f>SUMIFS(COMPRAS!$G$6:$G$500,COMPRAS!$D$6:$D$500,Q40,COMPRAS!$J$6:$J$500,"&lt;&gt;Cancelado")+SUMIFS(LOCACOES!$I$6:$I$200,LOCACOES!$J$6:$J$200,Q40)</f>
        <v>0</v>
      </c>
      <c r="O40" s="12">
        <f t="shared" si="8"/>
        <v>0</v>
      </c>
      <c r="Q40" s="20" t="str">
        <f t="shared" si="9"/>
        <v>REV|8.3</v>
      </c>
    </row>
    <row r="41" spans="1:17" ht="25" x14ac:dyDescent="0.35">
      <c r="A41" s="5" t="s">
        <v>216</v>
      </c>
      <c r="B41" s="17" t="s">
        <v>290</v>
      </c>
      <c r="C41" s="5" t="s">
        <v>291</v>
      </c>
      <c r="D41" s="17" t="s">
        <v>219</v>
      </c>
      <c r="E41" s="33">
        <v>1</v>
      </c>
      <c r="F41" s="34">
        <v>2000</v>
      </c>
      <c r="G41" s="12">
        <f t="shared" si="5"/>
        <v>2000</v>
      </c>
      <c r="H41" s="1">
        <v>19</v>
      </c>
      <c r="I41" s="5" t="str">
        <f>IF(H41=0,"Indireto / imposto",IFERROR(INDEX(CRONOGRAMA!$D$5:$D$32,MATCH(H41,CRONOGRAMA!$A$5:$A$32,0)),"nº inexistente"))</f>
        <v>Recuperação do mezanino: drywall, piso cerâmico, copa e WCs</v>
      </c>
      <c r="J41" s="18"/>
      <c r="K41" s="12">
        <f t="shared" si="6"/>
        <v>0</v>
      </c>
      <c r="L41" s="12">
        <f t="shared" si="7"/>
        <v>2000</v>
      </c>
      <c r="M41" s="35"/>
      <c r="N41" s="12">
        <f>SUMIFS(COMPRAS!$G$6:$G$500,COMPRAS!$D$6:$D$500,Q41,COMPRAS!$J$6:$J$500,"&lt;&gt;Cancelado")+SUMIFS(LOCACOES!$I$6:$I$200,LOCACOES!$J$6:$J$200,Q41)</f>
        <v>0</v>
      </c>
      <c r="O41" s="12">
        <f t="shared" si="8"/>
        <v>0</v>
      </c>
      <c r="Q41" s="20" t="str">
        <f t="shared" si="9"/>
        <v>REV|8.4</v>
      </c>
    </row>
    <row r="42" spans="1:17" x14ac:dyDescent="0.35">
      <c r="A42" s="5" t="s">
        <v>216</v>
      </c>
      <c r="B42" s="17" t="s">
        <v>292</v>
      </c>
      <c r="C42" s="5" t="s">
        <v>293</v>
      </c>
      <c r="D42" s="17" t="s">
        <v>219</v>
      </c>
      <c r="E42" s="33">
        <v>1</v>
      </c>
      <c r="F42" s="34">
        <v>9000</v>
      </c>
      <c r="G42" s="12">
        <f t="shared" si="5"/>
        <v>9000</v>
      </c>
      <c r="H42" s="1">
        <v>0</v>
      </c>
      <c r="I42" s="5" t="str">
        <f>IF(H42=0,"Indireto / imposto",IFERROR(INDEX(CRONOGRAMA!$D$5:$D$32,MATCH(H42,CRONOGRAMA!$A$5:$A$32,0)),"nº inexistente"))</f>
        <v>Indireto / imposto</v>
      </c>
      <c r="J42" s="18"/>
      <c r="K42" s="12">
        <f t="shared" si="6"/>
        <v>0</v>
      </c>
      <c r="L42" s="12">
        <f t="shared" si="7"/>
        <v>9000</v>
      </c>
      <c r="M42" s="35"/>
      <c r="N42" s="12">
        <f>SUMIFS(COMPRAS!$G$6:$G$500,COMPRAS!$D$6:$D$500,Q42,COMPRAS!$J$6:$J$500,"&lt;&gt;Cancelado")+SUMIFS(LOCACOES!$I$6:$I$200,LOCACOES!$J$6:$J$200,Q42)</f>
        <v>0</v>
      </c>
      <c r="O42" s="12">
        <f t="shared" si="8"/>
        <v>0</v>
      </c>
      <c r="Q42" s="20" t="str">
        <f t="shared" si="9"/>
        <v>REV|9.1</v>
      </c>
    </row>
    <row r="43" spans="1:17" x14ac:dyDescent="0.35">
      <c r="A43" s="5" t="s">
        <v>216</v>
      </c>
      <c r="B43" s="17" t="s">
        <v>294</v>
      </c>
      <c r="C43" s="5" t="s">
        <v>295</v>
      </c>
      <c r="D43" s="17" t="s">
        <v>219</v>
      </c>
      <c r="E43" s="33">
        <v>1</v>
      </c>
      <c r="F43" s="34">
        <v>8000</v>
      </c>
      <c r="G43" s="12">
        <f t="shared" si="5"/>
        <v>8000</v>
      </c>
      <c r="H43" s="1">
        <v>0</v>
      </c>
      <c r="I43" s="5" t="str">
        <f>IF(H43=0,"Indireto / imposto",IFERROR(INDEX(CRONOGRAMA!$D$5:$D$32,MATCH(H43,CRONOGRAMA!$A$5:$A$32,0)),"nº inexistente"))</f>
        <v>Indireto / imposto</v>
      </c>
      <c r="J43" s="18"/>
      <c r="K43" s="12">
        <f t="shared" si="6"/>
        <v>0</v>
      </c>
      <c r="L43" s="12">
        <f t="shared" si="7"/>
        <v>8000</v>
      </c>
      <c r="M43" s="35"/>
      <c r="N43" s="12">
        <f>SUMIFS(COMPRAS!$G$6:$G$500,COMPRAS!$D$6:$D$500,Q43,COMPRAS!$J$6:$J$500,"&lt;&gt;Cancelado")+SUMIFS(LOCACOES!$I$6:$I$200,LOCACOES!$J$6:$J$200,Q43)</f>
        <v>0</v>
      </c>
      <c r="O43" s="12">
        <f t="shared" si="8"/>
        <v>0</v>
      </c>
      <c r="Q43" s="20" t="str">
        <f t="shared" si="9"/>
        <v>REV|9.2</v>
      </c>
    </row>
    <row r="44" spans="1:17" ht="25" x14ac:dyDescent="0.35">
      <c r="A44" s="5" t="s">
        <v>216</v>
      </c>
      <c r="B44" s="17" t="s">
        <v>296</v>
      </c>
      <c r="C44" s="5" t="s">
        <v>297</v>
      </c>
      <c r="D44" s="17" t="s">
        <v>219</v>
      </c>
      <c r="E44" s="33">
        <v>1</v>
      </c>
      <c r="F44" s="34">
        <v>9000</v>
      </c>
      <c r="G44" s="12">
        <f t="shared" si="5"/>
        <v>9000</v>
      </c>
      <c r="H44" s="1">
        <v>0</v>
      </c>
      <c r="I44" s="5" t="str">
        <f>IF(H44=0,"Indireto / imposto",IFERROR(INDEX(CRONOGRAMA!$D$5:$D$32,MATCH(H44,CRONOGRAMA!$A$5:$A$32,0)),"nº inexistente"))</f>
        <v>Indireto / imposto</v>
      </c>
      <c r="J44" s="18"/>
      <c r="K44" s="12">
        <f t="shared" si="6"/>
        <v>0</v>
      </c>
      <c r="L44" s="12">
        <f t="shared" si="7"/>
        <v>9000</v>
      </c>
      <c r="M44" s="35"/>
      <c r="N44" s="12">
        <f>SUMIFS(COMPRAS!$G$6:$G$500,COMPRAS!$D$6:$D$500,Q44,COMPRAS!$J$6:$J$500,"&lt;&gt;Cancelado")+SUMIFS(LOCACOES!$I$6:$I$200,LOCACOES!$J$6:$J$200,Q44)</f>
        <v>0</v>
      </c>
      <c r="O44" s="12">
        <f t="shared" si="8"/>
        <v>0</v>
      </c>
      <c r="Q44" s="20" t="str">
        <f t="shared" si="9"/>
        <v>REV|9.3</v>
      </c>
    </row>
    <row r="45" spans="1:17" x14ac:dyDescent="0.35">
      <c r="A45" s="5" t="s">
        <v>216</v>
      </c>
      <c r="B45" s="17" t="s">
        <v>298</v>
      </c>
      <c r="C45" s="5" t="s">
        <v>299</v>
      </c>
      <c r="D45" s="17" t="s">
        <v>300</v>
      </c>
      <c r="E45" s="36">
        <v>0.17</v>
      </c>
      <c r="F45" s="12">
        <f>SUM(G5:G44)</f>
        <v>250400</v>
      </c>
      <c r="G45" s="12">
        <f t="shared" si="5"/>
        <v>42568</v>
      </c>
      <c r="H45" s="1">
        <v>0</v>
      </c>
      <c r="I45" s="5" t="str">
        <f>IF(H45=0,"Indireto / imposto",IFERROR(INDEX(CRONOGRAMA!$D$5:$D$32,MATCH(H45,CRONOGRAMA!$A$5:$A$32,0)),"nº inexistente"))</f>
        <v>Indireto / imposto</v>
      </c>
      <c r="J45" s="18"/>
      <c r="K45" s="12">
        <f t="shared" si="6"/>
        <v>0</v>
      </c>
      <c r="L45" s="12">
        <f t="shared" si="7"/>
        <v>42568</v>
      </c>
      <c r="M45" s="35"/>
      <c r="N45" s="12">
        <f>SUMIFS(COMPRAS!$G$6:$G$500,COMPRAS!$D$6:$D$500,Q45,COMPRAS!$J$6:$J$500,"&lt;&gt;Cancelado")+SUMIFS(LOCACOES!$I$6:$I$200,LOCACOES!$J$6:$J$200,Q45)</f>
        <v>0</v>
      </c>
      <c r="O45" s="12">
        <f t="shared" si="8"/>
        <v>0</v>
      </c>
      <c r="Q45" s="20" t="str">
        <f t="shared" si="9"/>
        <v>REV|9.4</v>
      </c>
    </row>
    <row r="46" spans="1:17" ht="25" x14ac:dyDescent="0.35">
      <c r="A46" s="5" t="s">
        <v>301</v>
      </c>
      <c r="B46" s="17" t="s">
        <v>224</v>
      </c>
      <c r="C46" s="5" t="s">
        <v>302</v>
      </c>
      <c r="D46" s="17" t="s">
        <v>303</v>
      </c>
      <c r="E46" s="33">
        <v>2</v>
      </c>
      <c r="F46" s="34">
        <v>2000</v>
      </c>
      <c r="G46" s="12">
        <f t="shared" si="5"/>
        <v>4000</v>
      </c>
      <c r="H46" s="1">
        <v>9</v>
      </c>
      <c r="I46" s="5" t="str">
        <f>IF(H46=0,"Indireto / imposto",IFERROR(INDEX(CRONOGRAMA!$D$5:$D$32,MATCH(H46,CRONOGRAMA!$A$5:$A$32,0)),"nº inexistente"))</f>
        <v>Projeto estrutural de reforço (treliça, apoios e fundações) + ART</v>
      </c>
      <c r="J46" s="18"/>
      <c r="K46" s="12">
        <f t="shared" si="6"/>
        <v>0</v>
      </c>
      <c r="L46" s="12">
        <f t="shared" si="7"/>
        <v>4000</v>
      </c>
      <c r="M46" s="35"/>
      <c r="N46" s="12">
        <f>SUMIFS(COMPRAS!$G$6:$G$500,COMPRAS!$D$6:$D$500,Q46,COMPRAS!$J$6:$J$500,"&lt;&gt;Cancelado")+SUMIFS(LOCACOES!$I$6:$I$200,LOCACOES!$J$6:$J$200,Q46)</f>
        <v>0</v>
      </c>
      <c r="O46" s="12">
        <f t="shared" si="8"/>
        <v>0</v>
      </c>
      <c r="Q46" s="20" t="str">
        <f t="shared" si="9"/>
        <v>LPU|1.4</v>
      </c>
    </row>
    <row r="47" spans="1:17" ht="25" x14ac:dyDescent="0.35">
      <c r="A47" s="5" t="s">
        <v>301</v>
      </c>
      <c r="B47" s="17" t="s">
        <v>228</v>
      </c>
      <c r="C47" s="5" t="s">
        <v>304</v>
      </c>
      <c r="D47" s="17" t="s">
        <v>303</v>
      </c>
      <c r="E47" s="33">
        <v>1</v>
      </c>
      <c r="F47" s="34">
        <v>500</v>
      </c>
      <c r="G47" s="12">
        <f t="shared" si="5"/>
        <v>500</v>
      </c>
      <c r="H47" s="1">
        <v>1</v>
      </c>
      <c r="I47" s="5" t="str">
        <f>IF(H47=0,"Indireto / imposto",IFERROR(INDEX(CRONOGRAMA!$D$5:$D$32,MATCH(H47,CRONOGRAMA!$A$5:$A$32,0)),"nº inexistente"))</f>
        <v>Reunião de partida no local: identificar P1–P4, treliça e faixa de piso afetada</v>
      </c>
      <c r="J47" s="18"/>
      <c r="K47" s="12">
        <f t="shared" si="6"/>
        <v>0</v>
      </c>
      <c r="L47" s="12">
        <f t="shared" si="7"/>
        <v>500</v>
      </c>
      <c r="M47" s="35"/>
      <c r="N47" s="12">
        <f>SUMIFS(COMPRAS!$G$6:$G$500,COMPRAS!$D$6:$D$500,Q47,COMPRAS!$J$6:$J$500,"&lt;&gt;Cancelado")+SUMIFS(LOCACOES!$I$6:$I$200,LOCACOES!$J$6:$J$200,Q47)</f>
        <v>0</v>
      </c>
      <c r="O47" s="12">
        <f t="shared" si="8"/>
        <v>0</v>
      </c>
      <c r="Q47" s="20" t="str">
        <f t="shared" si="9"/>
        <v>LPU|2.1</v>
      </c>
    </row>
    <row r="48" spans="1:17" ht="25" x14ac:dyDescent="0.35">
      <c r="A48" s="5" t="s">
        <v>301</v>
      </c>
      <c r="B48" s="17" t="s">
        <v>230</v>
      </c>
      <c r="C48" s="5" t="s">
        <v>305</v>
      </c>
      <c r="D48" s="17" t="s">
        <v>303</v>
      </c>
      <c r="E48" s="33">
        <v>1</v>
      </c>
      <c r="F48" s="34">
        <v>400</v>
      </c>
      <c r="G48" s="12">
        <f t="shared" si="5"/>
        <v>400</v>
      </c>
      <c r="H48" s="1">
        <v>1</v>
      </c>
      <c r="I48" s="5" t="str">
        <f>IF(H48=0,"Indireto / imposto",IFERROR(INDEX(CRONOGRAMA!$D$5:$D$32,MATCH(H48,CRONOGRAMA!$A$5:$A$32,0)),"nº inexistente"))</f>
        <v>Reunião de partida no local: identificar P1–P4, treliça e faixa de piso afetada</v>
      </c>
      <c r="J48" s="18"/>
      <c r="K48" s="12">
        <f t="shared" si="6"/>
        <v>0</v>
      </c>
      <c r="L48" s="12">
        <f t="shared" si="7"/>
        <v>400</v>
      </c>
      <c r="M48" s="35"/>
      <c r="N48" s="12">
        <f>SUMIFS(COMPRAS!$G$6:$G$500,COMPRAS!$D$6:$D$500,Q48,COMPRAS!$J$6:$J$500,"&lt;&gt;Cancelado")+SUMIFS(LOCACOES!$I$6:$I$200,LOCACOES!$J$6:$J$200,Q48)</f>
        <v>0</v>
      </c>
      <c r="O48" s="12">
        <f t="shared" si="8"/>
        <v>0</v>
      </c>
      <c r="Q48" s="20" t="str">
        <f t="shared" si="9"/>
        <v>LPU|2.2</v>
      </c>
    </row>
    <row r="49" spans="1:17" ht="25" x14ac:dyDescent="0.35">
      <c r="A49" s="5" t="s">
        <v>301</v>
      </c>
      <c r="B49" s="17" t="s">
        <v>232</v>
      </c>
      <c r="C49" s="5" t="s">
        <v>306</v>
      </c>
      <c r="D49" s="17" t="s">
        <v>307</v>
      </c>
      <c r="E49" s="33">
        <v>500</v>
      </c>
      <c r="F49" s="34">
        <v>2.5</v>
      </c>
      <c r="G49" s="12">
        <f t="shared" si="5"/>
        <v>1250</v>
      </c>
      <c r="H49" s="1">
        <v>1</v>
      </c>
      <c r="I49" s="5" t="str">
        <f>IF(H49=0,"Indireto / imposto",IFERROR(INDEX(CRONOGRAMA!$D$5:$D$32,MATCH(H49,CRONOGRAMA!$A$5:$A$32,0)),"nº inexistente"))</f>
        <v>Reunião de partida no local: identificar P1–P4, treliça e faixa de piso afetada</v>
      </c>
      <c r="J49" s="18"/>
      <c r="K49" s="12">
        <f t="shared" si="6"/>
        <v>0</v>
      </c>
      <c r="L49" s="12">
        <f t="shared" si="7"/>
        <v>1250</v>
      </c>
      <c r="M49" s="35"/>
      <c r="N49" s="12">
        <f>SUMIFS(COMPRAS!$G$6:$G$500,COMPRAS!$D$6:$D$500,Q49,COMPRAS!$J$6:$J$500,"&lt;&gt;Cancelado")+SUMIFS(LOCACOES!$I$6:$I$200,LOCACOES!$J$6:$J$200,Q49)</f>
        <v>0</v>
      </c>
      <c r="O49" s="12">
        <f t="shared" si="8"/>
        <v>0</v>
      </c>
      <c r="Q49" s="20" t="str">
        <f t="shared" si="9"/>
        <v>LPU|2.3</v>
      </c>
    </row>
    <row r="50" spans="1:17" ht="37.5" x14ac:dyDescent="0.35">
      <c r="A50" s="5" t="s">
        <v>301</v>
      </c>
      <c r="B50" s="17" t="s">
        <v>308</v>
      </c>
      <c r="C50" s="5" t="s">
        <v>309</v>
      </c>
      <c r="D50" s="17" t="s">
        <v>310</v>
      </c>
      <c r="E50" s="33">
        <v>25</v>
      </c>
      <c r="F50" s="34">
        <v>33.72</v>
      </c>
      <c r="G50" s="12">
        <f t="shared" si="5"/>
        <v>843</v>
      </c>
      <c r="H50" s="1">
        <v>25</v>
      </c>
      <c r="I50" s="5" t="str">
        <f>IF(H50=0,"Indireto / imposto",IFERROR(INDEX(CRONOGRAMA!$D$5:$D$32,MATCH(H50,CRONOGRAMA!$A$5:$A$32,0)),"nº inexistente"))</f>
        <v>Forro mineral (250 m²) e abertura de luminárias</v>
      </c>
      <c r="J50" s="18"/>
      <c r="K50" s="12">
        <f t="shared" si="6"/>
        <v>0</v>
      </c>
      <c r="L50" s="12">
        <f t="shared" si="7"/>
        <v>843</v>
      </c>
      <c r="M50" s="35"/>
      <c r="N50" s="12">
        <f>SUMIFS(COMPRAS!$G$6:$G$500,COMPRAS!$D$6:$D$500,Q50,COMPRAS!$J$6:$J$500,"&lt;&gt;Cancelado")+SUMIFS(LOCACOES!$I$6:$I$200,LOCACOES!$J$6:$J$200,Q50)</f>
        <v>0</v>
      </c>
      <c r="O50" s="12">
        <f t="shared" si="8"/>
        <v>0</v>
      </c>
      <c r="Q50" s="20" t="str">
        <f t="shared" si="9"/>
        <v>LPU|3.40</v>
      </c>
    </row>
    <row r="51" spans="1:17" x14ac:dyDescent="0.35">
      <c r="A51" s="5" t="s">
        <v>301</v>
      </c>
      <c r="B51" s="17" t="s">
        <v>252</v>
      </c>
      <c r="C51" s="5" t="s">
        <v>311</v>
      </c>
      <c r="D51" s="17" t="s">
        <v>312</v>
      </c>
      <c r="E51" s="33">
        <v>30</v>
      </c>
      <c r="F51" s="34">
        <v>26.4</v>
      </c>
      <c r="G51" s="12">
        <f t="shared" si="5"/>
        <v>792</v>
      </c>
      <c r="H51" s="1">
        <v>28</v>
      </c>
      <c r="I51" s="5" t="str">
        <f>IF(H51=0,"Indireto / imposto",IFERROR(INDEX(CRONOGRAMA!$D$5:$D$32,MATCH(H51,CRONOGRAMA!$A$5:$A$32,0)),"nº inexistente"))</f>
        <v>Fachada: fixação de vidros e pintura</v>
      </c>
      <c r="J51" s="18"/>
      <c r="K51" s="12">
        <f t="shared" si="6"/>
        <v>0</v>
      </c>
      <c r="L51" s="12">
        <f t="shared" si="7"/>
        <v>792</v>
      </c>
      <c r="M51" s="35"/>
      <c r="N51" s="12">
        <f>SUMIFS(COMPRAS!$G$6:$G$500,COMPRAS!$D$6:$D$500,Q51,COMPRAS!$J$6:$J$500,"&lt;&gt;Cancelado")+SUMIFS(LOCACOES!$I$6:$I$200,LOCACOES!$J$6:$J$200,Q51)</f>
        <v>0</v>
      </c>
      <c r="O51" s="12">
        <f t="shared" si="8"/>
        <v>0</v>
      </c>
      <c r="Q51" s="20" t="str">
        <f t="shared" si="9"/>
        <v>LPU|4.6</v>
      </c>
    </row>
    <row r="52" spans="1:17" ht="25" x14ac:dyDescent="0.35">
      <c r="A52" s="5" t="s">
        <v>301</v>
      </c>
      <c r="B52" s="17" t="s">
        <v>254</v>
      </c>
      <c r="C52" s="5" t="s">
        <v>313</v>
      </c>
      <c r="D52" s="17" t="s">
        <v>312</v>
      </c>
      <c r="E52" s="33">
        <v>250</v>
      </c>
      <c r="F52" s="34">
        <v>4.2300000000000004</v>
      </c>
      <c r="G52" s="12">
        <f t="shared" si="5"/>
        <v>1057.5</v>
      </c>
      <c r="H52" s="1">
        <v>21</v>
      </c>
      <c r="I52" s="5" t="str">
        <f>IF(H52=0,"Indireto / imposto",IFERROR(INDEX(CRONOGRAMA!$D$5:$D$32,MATCH(H52,CRONOGRAMA!$A$5:$A$32,0)),"nº inexistente"))</f>
        <v>Demolição de forro (250 m²) e drywall (100 m²)</v>
      </c>
      <c r="J52" s="18"/>
      <c r="K52" s="12">
        <f t="shared" si="6"/>
        <v>0</v>
      </c>
      <c r="L52" s="12">
        <f t="shared" si="7"/>
        <v>1057.5</v>
      </c>
      <c r="M52" s="35"/>
      <c r="N52" s="12">
        <f>SUMIFS(COMPRAS!$G$6:$G$500,COMPRAS!$D$6:$D$500,Q52,COMPRAS!$J$6:$J$500,"&lt;&gt;Cancelado")+SUMIFS(LOCACOES!$I$6:$I$200,LOCACOES!$J$6:$J$200,Q52)</f>
        <v>0</v>
      </c>
      <c r="O52" s="12">
        <f t="shared" si="8"/>
        <v>0</v>
      </c>
      <c r="Q52" s="20" t="str">
        <f t="shared" si="9"/>
        <v>LPU|5.1</v>
      </c>
    </row>
    <row r="53" spans="1:17" ht="25" x14ac:dyDescent="0.35">
      <c r="A53" s="5" t="s">
        <v>301</v>
      </c>
      <c r="B53" s="17" t="s">
        <v>314</v>
      </c>
      <c r="C53" s="5" t="s">
        <v>315</v>
      </c>
      <c r="D53" s="17" t="s">
        <v>312</v>
      </c>
      <c r="E53" s="33">
        <v>100</v>
      </c>
      <c r="F53" s="34">
        <v>10.65</v>
      </c>
      <c r="G53" s="12">
        <f t="shared" si="5"/>
        <v>1065</v>
      </c>
      <c r="H53" s="1">
        <v>21</v>
      </c>
      <c r="I53" s="5" t="str">
        <f>IF(H53=0,"Indireto / imposto",IFERROR(INDEX(CRONOGRAMA!$D$5:$D$32,MATCH(H53,CRONOGRAMA!$A$5:$A$32,0)),"nº inexistente"))</f>
        <v>Demolição de forro (250 m²) e drywall (100 m²)</v>
      </c>
      <c r="J53" s="18"/>
      <c r="K53" s="12">
        <f t="shared" si="6"/>
        <v>0</v>
      </c>
      <c r="L53" s="12">
        <f t="shared" si="7"/>
        <v>1065</v>
      </c>
      <c r="M53" s="35"/>
      <c r="N53" s="12">
        <f>SUMIFS(COMPRAS!$G$6:$G$500,COMPRAS!$D$6:$D$500,Q53,COMPRAS!$J$6:$J$500,"&lt;&gt;Cancelado")+SUMIFS(LOCACOES!$I$6:$I$200,LOCACOES!$J$6:$J$200,Q53)</f>
        <v>0</v>
      </c>
      <c r="O53" s="12">
        <f t="shared" si="8"/>
        <v>0</v>
      </c>
      <c r="Q53" s="20" t="str">
        <f t="shared" si="9"/>
        <v>LPU|5.22</v>
      </c>
    </row>
    <row r="54" spans="1:17" ht="25" x14ac:dyDescent="0.35">
      <c r="A54" s="5" t="s">
        <v>301</v>
      </c>
      <c r="B54" s="17" t="s">
        <v>316</v>
      </c>
      <c r="C54" s="5" t="s">
        <v>317</v>
      </c>
      <c r="D54" s="17" t="s">
        <v>312</v>
      </c>
      <c r="E54" s="33">
        <v>250</v>
      </c>
      <c r="F54" s="34">
        <v>10</v>
      </c>
      <c r="G54" s="12">
        <f t="shared" si="5"/>
        <v>2500</v>
      </c>
      <c r="H54" s="1">
        <v>4</v>
      </c>
      <c r="I54" s="5" t="str">
        <f>IF(H54=0,"Indireto / imposto",IFERROR(INDEX(CRONOGRAMA!$D$5:$D$32,MATCH(H54,CRONOGRAMA!$A$5:$A$32,0)),"nº inexistente"))</f>
        <v>Remover produtos, virar o balcão e mudar o mobiliário da área afetada</v>
      </c>
      <c r="J54" s="18"/>
      <c r="K54" s="12">
        <f t="shared" si="6"/>
        <v>0</v>
      </c>
      <c r="L54" s="12">
        <f t="shared" si="7"/>
        <v>2500</v>
      </c>
      <c r="M54" s="35"/>
      <c r="N54" s="12">
        <f>SUMIFS(COMPRAS!$G$6:$G$500,COMPRAS!$D$6:$D$500,Q54,COMPRAS!$J$6:$J$500,"&lt;&gt;Cancelado")+SUMIFS(LOCACOES!$I$6:$I$200,LOCACOES!$J$6:$J$200,Q54)</f>
        <v>0</v>
      </c>
      <c r="O54" s="12">
        <f t="shared" si="8"/>
        <v>0</v>
      </c>
      <c r="Q54" s="20" t="str">
        <f t="shared" si="9"/>
        <v>LPU|5.32</v>
      </c>
    </row>
    <row r="55" spans="1:17" ht="25" x14ac:dyDescent="0.35">
      <c r="A55" s="5" t="s">
        <v>301</v>
      </c>
      <c r="B55" s="17" t="s">
        <v>318</v>
      </c>
      <c r="C55" s="5" t="s">
        <v>319</v>
      </c>
      <c r="D55" s="17" t="s">
        <v>320</v>
      </c>
      <c r="E55" s="33">
        <v>1</v>
      </c>
      <c r="F55" s="34">
        <v>424.76</v>
      </c>
      <c r="G55" s="12">
        <f t="shared" si="5"/>
        <v>424.76</v>
      </c>
      <c r="H55" s="1">
        <v>13</v>
      </c>
      <c r="I55" s="5" t="str">
        <f>IF(H55=0,"Indireto / imposto",IFERROR(INDEX(CRONOGRAMA!$D$5:$D$32,MATCH(H55,CRONOGRAMA!$A$5:$A$32,0)),"nº inexistente"))</f>
        <v>Desmobilização do banheiro</v>
      </c>
      <c r="J55" s="18"/>
      <c r="K55" s="12">
        <f t="shared" si="6"/>
        <v>0</v>
      </c>
      <c r="L55" s="12">
        <f t="shared" si="7"/>
        <v>424.76</v>
      </c>
      <c r="M55" s="35"/>
      <c r="N55" s="12">
        <f>SUMIFS(COMPRAS!$G$6:$G$500,COMPRAS!$D$6:$D$500,Q55,COMPRAS!$J$6:$J$500,"&lt;&gt;Cancelado")+SUMIFS(LOCACOES!$I$6:$I$200,LOCACOES!$J$6:$J$200,Q55)</f>
        <v>0</v>
      </c>
      <c r="O55" s="12">
        <f t="shared" si="8"/>
        <v>0</v>
      </c>
      <c r="Q55" s="20" t="str">
        <f t="shared" si="9"/>
        <v>LPU|5.33</v>
      </c>
    </row>
    <row r="56" spans="1:17" x14ac:dyDescent="0.35">
      <c r="A56" s="5" t="s">
        <v>301</v>
      </c>
      <c r="B56" s="17" t="s">
        <v>321</v>
      </c>
      <c r="C56" s="5" t="s">
        <v>322</v>
      </c>
      <c r="D56" s="17" t="s">
        <v>303</v>
      </c>
      <c r="E56" s="33">
        <v>1</v>
      </c>
      <c r="F56" s="34">
        <v>13.92</v>
      </c>
      <c r="G56" s="12">
        <f t="shared" si="5"/>
        <v>13.92</v>
      </c>
      <c r="H56" s="1">
        <v>13</v>
      </c>
      <c r="I56" s="5" t="str">
        <f>IF(H56=0,"Indireto / imposto",IFERROR(INDEX(CRONOGRAMA!$D$5:$D$32,MATCH(H56,CRONOGRAMA!$A$5:$A$32,0)),"nº inexistente"))</f>
        <v>Desmobilização do banheiro</v>
      </c>
      <c r="J56" s="18"/>
      <c r="K56" s="12">
        <f t="shared" si="6"/>
        <v>0</v>
      </c>
      <c r="L56" s="12">
        <f t="shared" si="7"/>
        <v>13.92</v>
      </c>
      <c r="M56" s="35"/>
      <c r="N56" s="12">
        <f>SUMIFS(COMPRAS!$G$6:$G$500,COMPRAS!$D$6:$D$500,Q56,COMPRAS!$J$6:$J$500,"&lt;&gt;Cancelado")+SUMIFS(LOCACOES!$I$6:$I$200,LOCACOES!$J$6:$J$200,Q56)</f>
        <v>0</v>
      </c>
      <c r="O56" s="12">
        <f t="shared" si="8"/>
        <v>0</v>
      </c>
      <c r="Q56" s="20" t="str">
        <f t="shared" si="9"/>
        <v>LPU|5.34</v>
      </c>
    </row>
    <row r="57" spans="1:17" ht="25" x14ac:dyDescent="0.35">
      <c r="A57" s="5" t="s">
        <v>301</v>
      </c>
      <c r="B57" s="17" t="s">
        <v>323</v>
      </c>
      <c r="C57" s="5" t="s">
        <v>324</v>
      </c>
      <c r="D57" s="17" t="s">
        <v>312</v>
      </c>
      <c r="E57" s="33">
        <v>200</v>
      </c>
      <c r="F57" s="34">
        <v>13</v>
      </c>
      <c r="G57" s="12">
        <f t="shared" si="5"/>
        <v>2600</v>
      </c>
      <c r="H57" s="1">
        <v>14</v>
      </c>
      <c r="I57" s="5" t="str">
        <f>IF(H57=0,"Indireto / imposto",IFERROR(INDEX(CRONOGRAMA!$D$5:$D$32,MATCH(H57,CRONOGRAMA!$A$5:$A$32,0)),"nº inexistente"))</f>
        <v>Demolição do piso (revestimento, contrapiso e laje) + descarte com CTR</v>
      </c>
      <c r="J57" s="18"/>
      <c r="K57" s="12">
        <f t="shared" si="6"/>
        <v>0</v>
      </c>
      <c r="L57" s="12">
        <f t="shared" si="7"/>
        <v>2600</v>
      </c>
      <c r="M57" s="35"/>
      <c r="N57" s="12">
        <f>SUMIFS(COMPRAS!$G$6:$G$500,COMPRAS!$D$6:$D$500,Q57,COMPRAS!$J$6:$J$500,"&lt;&gt;Cancelado")+SUMIFS(LOCACOES!$I$6:$I$200,LOCACOES!$J$6:$J$200,Q57)</f>
        <v>0</v>
      </c>
      <c r="O57" s="12">
        <f t="shared" si="8"/>
        <v>0</v>
      </c>
      <c r="Q57" s="20" t="str">
        <f t="shared" si="9"/>
        <v>LPU|5.41</v>
      </c>
    </row>
    <row r="58" spans="1:17" ht="37.5" x14ac:dyDescent="0.35">
      <c r="A58" s="5" t="s">
        <v>301</v>
      </c>
      <c r="B58" s="17" t="s">
        <v>325</v>
      </c>
      <c r="C58" s="5" t="s">
        <v>326</v>
      </c>
      <c r="D58" s="17" t="s">
        <v>312</v>
      </c>
      <c r="E58" s="33">
        <v>20</v>
      </c>
      <c r="F58" s="34">
        <v>25</v>
      </c>
      <c r="G58" s="12">
        <f t="shared" si="5"/>
        <v>500</v>
      </c>
      <c r="H58" s="1">
        <v>11</v>
      </c>
      <c r="I58" s="5" t="str">
        <f>IF(H58=0,"Indireto / imposto",IFERROR(INDEX(CRONOGRAMA!$D$5:$D$32,MATCH(H58,CRONOGRAMA!$A$5:$A$32,0)),"nº inexistente"))</f>
        <v>Abertura de porta com retirada de vidro (logística de entulho e materiais)</v>
      </c>
      <c r="J58" s="18"/>
      <c r="K58" s="12">
        <f t="shared" si="6"/>
        <v>0</v>
      </c>
      <c r="L58" s="12">
        <f t="shared" si="7"/>
        <v>500</v>
      </c>
      <c r="M58" s="35"/>
      <c r="N58" s="12">
        <f>SUMIFS(COMPRAS!$G$6:$G$500,COMPRAS!$D$6:$D$500,Q58,COMPRAS!$J$6:$J$500,"&lt;&gt;Cancelado")+SUMIFS(LOCACOES!$I$6:$I$200,LOCACOES!$J$6:$J$200,Q58)</f>
        <v>0</v>
      </c>
      <c r="O58" s="12">
        <f t="shared" si="8"/>
        <v>0</v>
      </c>
      <c r="Q58" s="20" t="str">
        <f t="shared" si="9"/>
        <v>LPU|5.42</v>
      </c>
    </row>
    <row r="59" spans="1:17" ht="25" x14ac:dyDescent="0.35">
      <c r="A59" s="5" t="s">
        <v>301</v>
      </c>
      <c r="B59" s="17" t="s">
        <v>327</v>
      </c>
      <c r="C59" s="5" t="s">
        <v>328</v>
      </c>
      <c r="D59" s="17" t="s">
        <v>303</v>
      </c>
      <c r="E59" s="33">
        <v>12</v>
      </c>
      <c r="F59" s="34">
        <v>500</v>
      </c>
      <c r="G59" s="12">
        <f t="shared" si="5"/>
        <v>6000</v>
      </c>
      <c r="H59" s="1">
        <v>14</v>
      </c>
      <c r="I59" s="5" t="str">
        <f>IF(H59=0,"Indireto / imposto",IFERROR(INDEX(CRONOGRAMA!$D$5:$D$32,MATCH(H59,CRONOGRAMA!$A$5:$A$32,0)),"nº inexistente"))</f>
        <v>Demolição do piso (revestimento, contrapiso e laje) + descarte com CTR</v>
      </c>
      <c r="J59" s="18"/>
      <c r="K59" s="12">
        <f t="shared" si="6"/>
        <v>0</v>
      </c>
      <c r="L59" s="12">
        <f t="shared" si="7"/>
        <v>6000</v>
      </c>
      <c r="M59" s="35"/>
      <c r="N59" s="12">
        <f>SUMIFS(COMPRAS!$G$6:$G$500,COMPRAS!$D$6:$D$500,Q59,COMPRAS!$J$6:$J$500,"&lt;&gt;Cancelado")+SUMIFS(LOCACOES!$I$6:$I$200,LOCACOES!$J$6:$J$200,Q59)</f>
        <v>0</v>
      </c>
      <c r="O59" s="12">
        <f t="shared" si="8"/>
        <v>0</v>
      </c>
      <c r="Q59" s="20" t="str">
        <f t="shared" si="9"/>
        <v>LPU|5.47</v>
      </c>
    </row>
    <row r="60" spans="1:17" ht="25" x14ac:dyDescent="0.35">
      <c r="A60" s="5" t="s">
        <v>301</v>
      </c>
      <c r="B60" s="17" t="s">
        <v>329</v>
      </c>
      <c r="C60" s="5" t="s">
        <v>330</v>
      </c>
      <c r="D60" s="17" t="s">
        <v>331</v>
      </c>
      <c r="E60" s="33">
        <v>100</v>
      </c>
      <c r="F60" s="34">
        <v>8.51</v>
      </c>
      <c r="G60" s="12">
        <f t="shared" si="5"/>
        <v>851</v>
      </c>
      <c r="H60" s="1">
        <v>4</v>
      </c>
      <c r="I60" s="5" t="str">
        <f>IF(H60=0,"Indireto / imposto",IFERROR(INDEX(CRONOGRAMA!$D$5:$D$32,MATCH(H60,CRONOGRAMA!$A$5:$A$32,0)),"nº inexistente"))</f>
        <v>Remover produtos, virar o balcão e mudar o mobiliário da área afetada</v>
      </c>
      <c r="J60" s="18"/>
      <c r="K60" s="12">
        <f t="shared" si="6"/>
        <v>0</v>
      </c>
      <c r="L60" s="12">
        <f t="shared" si="7"/>
        <v>851</v>
      </c>
      <c r="M60" s="35"/>
      <c r="N60" s="12">
        <f>SUMIFS(COMPRAS!$G$6:$G$500,COMPRAS!$D$6:$D$500,Q60,COMPRAS!$J$6:$J$500,"&lt;&gt;Cancelado")+SUMIFS(LOCACOES!$I$6:$I$200,LOCACOES!$J$6:$J$200,Q60)</f>
        <v>0</v>
      </c>
      <c r="O60" s="12">
        <f t="shared" si="8"/>
        <v>0</v>
      </c>
      <c r="Q60" s="20" t="str">
        <f t="shared" si="9"/>
        <v>LPU|6.11</v>
      </c>
    </row>
    <row r="61" spans="1:17" ht="25" x14ac:dyDescent="0.35">
      <c r="A61" s="5" t="s">
        <v>301</v>
      </c>
      <c r="B61" s="17" t="s">
        <v>332</v>
      </c>
      <c r="C61" s="5" t="s">
        <v>333</v>
      </c>
      <c r="D61" s="17" t="s">
        <v>334</v>
      </c>
      <c r="E61" s="33">
        <v>26</v>
      </c>
      <c r="F61" s="34">
        <v>100.61</v>
      </c>
      <c r="G61" s="12">
        <f t="shared" si="5"/>
        <v>2615.86</v>
      </c>
      <c r="H61" s="1">
        <v>14</v>
      </c>
      <c r="I61" s="5" t="str">
        <f>IF(H61=0,"Indireto / imposto",IFERROR(INDEX(CRONOGRAMA!$D$5:$D$32,MATCH(H61,CRONOGRAMA!$A$5:$A$32,0)),"nº inexistente"))</f>
        <v>Demolição do piso (revestimento, contrapiso e laje) + descarte com CTR</v>
      </c>
      <c r="J61" s="18"/>
      <c r="K61" s="12">
        <f t="shared" si="6"/>
        <v>0</v>
      </c>
      <c r="L61" s="12">
        <f t="shared" si="7"/>
        <v>2615.86</v>
      </c>
      <c r="M61" s="35"/>
      <c r="N61" s="12">
        <f>SUMIFS(COMPRAS!$G$6:$G$500,COMPRAS!$D$6:$D$500,Q61,COMPRAS!$J$6:$J$500,"&lt;&gt;Cancelado")+SUMIFS(LOCACOES!$I$6:$I$200,LOCACOES!$J$6:$J$200,Q61)</f>
        <v>0</v>
      </c>
      <c r="O61" s="12">
        <f t="shared" si="8"/>
        <v>0</v>
      </c>
      <c r="Q61" s="20" t="str">
        <f t="shared" si="9"/>
        <v>LPU|6.16</v>
      </c>
    </row>
    <row r="62" spans="1:17" ht="37.5" x14ac:dyDescent="0.35">
      <c r="A62" s="5" t="s">
        <v>301</v>
      </c>
      <c r="B62" s="17" t="s">
        <v>335</v>
      </c>
      <c r="C62" s="5" t="s">
        <v>336</v>
      </c>
      <c r="D62" s="17" t="s">
        <v>320</v>
      </c>
      <c r="E62" s="33">
        <v>4</v>
      </c>
      <c r="F62" s="34">
        <v>880</v>
      </c>
      <c r="G62" s="12">
        <f t="shared" si="5"/>
        <v>3520</v>
      </c>
      <c r="H62" s="1">
        <v>23</v>
      </c>
      <c r="I62" s="5" t="str">
        <f>IF(H62=0,"Indireto / imposto",IFERROR(INDEX(CRONOGRAMA!$D$5:$D$32,MATCH(H62,CRONOGRAMA!$A$5:$A$32,0)),"nº inexistente"))</f>
        <v>Ar-condicionado: retirada, reinstalação de splits e drenos</v>
      </c>
      <c r="J62" s="18"/>
      <c r="K62" s="12">
        <f t="shared" si="6"/>
        <v>0</v>
      </c>
      <c r="L62" s="12">
        <f t="shared" si="7"/>
        <v>3520</v>
      </c>
      <c r="M62" s="35"/>
      <c r="N62" s="12">
        <f>SUMIFS(COMPRAS!$G$6:$G$500,COMPRAS!$D$6:$D$500,Q62,COMPRAS!$J$6:$J$500,"&lt;&gt;Cancelado")+SUMIFS(LOCACOES!$I$6:$I$200,LOCACOES!$J$6:$J$200,Q62)</f>
        <v>0</v>
      </c>
      <c r="O62" s="12">
        <f t="shared" si="8"/>
        <v>0</v>
      </c>
      <c r="Q62" s="20" t="str">
        <f t="shared" si="9"/>
        <v>LPU|6.18</v>
      </c>
    </row>
    <row r="63" spans="1:17" ht="37.5" x14ac:dyDescent="0.35">
      <c r="A63" s="5" t="s">
        <v>301</v>
      </c>
      <c r="B63" s="17" t="s">
        <v>337</v>
      </c>
      <c r="C63" s="5" t="s">
        <v>338</v>
      </c>
      <c r="D63" s="17" t="s">
        <v>219</v>
      </c>
      <c r="E63" s="33">
        <v>2</v>
      </c>
      <c r="F63" s="34">
        <v>864.5</v>
      </c>
      <c r="G63" s="12">
        <f t="shared" si="5"/>
        <v>1729</v>
      </c>
      <c r="H63" s="1">
        <v>12</v>
      </c>
      <c r="I63" s="5" t="str">
        <f>IF(H63=0,"Indireto / imposto",IFERROR(INDEX(CRONOGRAMA!$D$5:$D$32,MATCH(H63,CRONOGRAMA!$A$5:$A$32,0)),"nº inexistente"))</f>
        <v>Descarte de gôndolas e geladeira</v>
      </c>
      <c r="J63" s="18"/>
      <c r="K63" s="12">
        <f t="shared" si="6"/>
        <v>0</v>
      </c>
      <c r="L63" s="12">
        <f t="shared" si="7"/>
        <v>1729</v>
      </c>
      <c r="M63" s="35"/>
      <c r="N63" s="12">
        <f>SUMIFS(COMPRAS!$G$6:$G$500,COMPRAS!$D$6:$D$500,Q63,COMPRAS!$J$6:$J$500,"&lt;&gt;Cancelado")+SUMIFS(LOCACOES!$I$6:$I$200,LOCACOES!$J$6:$J$200,Q63)</f>
        <v>0</v>
      </c>
      <c r="O63" s="12">
        <f t="shared" si="8"/>
        <v>0</v>
      </c>
      <c r="Q63" s="20" t="str">
        <f t="shared" si="9"/>
        <v>LPU|6.19</v>
      </c>
    </row>
    <row r="64" spans="1:17" ht="25" x14ac:dyDescent="0.35">
      <c r="A64" s="5" t="s">
        <v>301</v>
      </c>
      <c r="B64" s="17" t="s">
        <v>339</v>
      </c>
      <c r="C64" s="5" t="s">
        <v>340</v>
      </c>
      <c r="D64" s="17" t="s">
        <v>312</v>
      </c>
      <c r="E64" s="33">
        <v>200</v>
      </c>
      <c r="F64" s="34">
        <v>7.13</v>
      </c>
      <c r="G64" s="12">
        <f t="shared" si="5"/>
        <v>1426</v>
      </c>
      <c r="H64" s="1">
        <v>17</v>
      </c>
      <c r="I64" s="5" t="str">
        <f>IF(H64=0,"Indireto / imposto",IFERROR(INDEX(CRONOGRAMA!$D$5:$D$32,MATCH(H64,CRONOGRAMA!$A$5:$A$32,0)),"nº inexistente"))</f>
        <v>Nova laje de piso armada com nível final (inclui cura)</v>
      </c>
      <c r="J64" s="18"/>
      <c r="K64" s="12">
        <f t="shared" si="6"/>
        <v>0</v>
      </c>
      <c r="L64" s="12">
        <f t="shared" si="7"/>
        <v>1426</v>
      </c>
      <c r="M64" s="35"/>
      <c r="N64" s="12">
        <f>SUMIFS(COMPRAS!$G$6:$G$500,COMPRAS!$D$6:$D$500,Q64,COMPRAS!$J$6:$J$500,"&lt;&gt;Cancelado")+SUMIFS(LOCACOES!$I$6:$I$200,LOCACOES!$J$6:$J$200,Q64)</f>
        <v>0</v>
      </c>
      <c r="O64" s="12">
        <f t="shared" si="8"/>
        <v>0</v>
      </c>
      <c r="Q64" s="20" t="str">
        <f t="shared" si="9"/>
        <v>LPU|7.5</v>
      </c>
    </row>
    <row r="65" spans="1:17" ht="75" x14ac:dyDescent="0.35">
      <c r="A65" s="5" t="s">
        <v>301</v>
      </c>
      <c r="B65" s="17" t="s">
        <v>341</v>
      </c>
      <c r="C65" s="5" t="s">
        <v>342</v>
      </c>
      <c r="D65" s="17" t="s">
        <v>312</v>
      </c>
      <c r="E65" s="33">
        <v>190</v>
      </c>
      <c r="F65" s="34">
        <v>125.41</v>
      </c>
      <c r="G65" s="12">
        <f t="shared" si="5"/>
        <v>23827.899999999998</v>
      </c>
      <c r="H65" s="1">
        <v>24</v>
      </c>
      <c r="I65" s="5" t="str">
        <f>IF(H65=0,"Indireto / imposto",IFERROR(INDEX(CRONOGRAMA!$D$5:$D$32,MATCH(H65,CRONOGRAMA!$A$5:$A$32,0)),"nº inexistente"))</f>
        <v>Drywall novo (190 m²) com reforço em MDF</v>
      </c>
      <c r="J65" s="18"/>
      <c r="K65" s="12">
        <f t="shared" si="6"/>
        <v>0</v>
      </c>
      <c r="L65" s="12">
        <f t="shared" si="7"/>
        <v>23827.899999999998</v>
      </c>
      <c r="M65" s="35"/>
      <c r="N65" s="12">
        <f>SUMIFS(COMPRAS!$G$6:$G$500,COMPRAS!$D$6:$D$500,Q65,COMPRAS!$J$6:$J$500,"&lt;&gt;Cancelado")+SUMIFS(LOCACOES!$I$6:$I$200,LOCACOES!$J$6:$J$200,Q65)</f>
        <v>0</v>
      </c>
      <c r="O65" s="12">
        <f t="shared" si="8"/>
        <v>0</v>
      </c>
      <c r="Q65" s="20" t="str">
        <f t="shared" si="9"/>
        <v>LPU|12.6</v>
      </c>
    </row>
    <row r="66" spans="1:17" ht="37.5" x14ac:dyDescent="0.35">
      <c r="A66" s="5" t="s">
        <v>301</v>
      </c>
      <c r="B66" s="17" t="s">
        <v>343</v>
      </c>
      <c r="C66" s="5" t="s">
        <v>344</v>
      </c>
      <c r="D66" s="17" t="s">
        <v>303</v>
      </c>
      <c r="E66" s="33">
        <v>16</v>
      </c>
      <c r="F66" s="34">
        <v>56.5</v>
      </c>
      <c r="G66" s="12">
        <f t="shared" si="5"/>
        <v>904</v>
      </c>
      <c r="H66" s="1">
        <v>24</v>
      </c>
      <c r="I66" s="5" t="str">
        <f>IF(H66=0,"Indireto / imposto",IFERROR(INDEX(CRONOGRAMA!$D$5:$D$32,MATCH(H66,CRONOGRAMA!$A$5:$A$32,0)),"nº inexistente"))</f>
        <v>Drywall novo (190 m²) com reforço em MDF</v>
      </c>
      <c r="J66" s="18"/>
      <c r="K66" s="12">
        <f t="shared" si="6"/>
        <v>0</v>
      </c>
      <c r="L66" s="12">
        <f t="shared" si="7"/>
        <v>904</v>
      </c>
      <c r="M66" s="35"/>
      <c r="N66" s="12">
        <f>SUMIFS(COMPRAS!$G$6:$G$500,COMPRAS!$D$6:$D$500,Q66,COMPRAS!$J$6:$J$500,"&lt;&gt;Cancelado")+SUMIFS(LOCACOES!$I$6:$I$200,LOCACOES!$J$6:$J$200,Q66)</f>
        <v>0</v>
      </c>
      <c r="O66" s="12">
        <f t="shared" si="8"/>
        <v>0</v>
      </c>
      <c r="Q66" s="20" t="str">
        <f t="shared" si="9"/>
        <v>LPU|12.13</v>
      </c>
    </row>
    <row r="67" spans="1:17" ht="25" x14ac:dyDescent="0.35">
      <c r="A67" s="5" t="s">
        <v>301</v>
      </c>
      <c r="B67" s="17" t="s">
        <v>345</v>
      </c>
      <c r="C67" s="5" t="s">
        <v>346</v>
      </c>
      <c r="D67" s="17" t="s">
        <v>312</v>
      </c>
      <c r="E67" s="33">
        <v>250</v>
      </c>
      <c r="F67" s="34">
        <v>124.18722</v>
      </c>
      <c r="G67" s="12">
        <f t="shared" si="5"/>
        <v>31046.805</v>
      </c>
      <c r="H67" s="1">
        <v>25</v>
      </c>
      <c r="I67" s="5" t="str">
        <f>IF(H67=0,"Indireto / imposto",IFERROR(INDEX(CRONOGRAMA!$D$5:$D$32,MATCH(H67,CRONOGRAMA!$A$5:$A$32,0)),"nº inexistente"))</f>
        <v>Forro mineral (250 m²) e abertura de luminárias</v>
      </c>
      <c r="J67" s="18"/>
      <c r="K67" s="12">
        <f t="shared" si="6"/>
        <v>0</v>
      </c>
      <c r="L67" s="12">
        <f t="shared" si="7"/>
        <v>31046.805</v>
      </c>
      <c r="M67" s="35"/>
      <c r="N67" s="12">
        <f>SUMIFS(COMPRAS!$G$6:$G$500,COMPRAS!$D$6:$D$500,Q67,COMPRAS!$J$6:$J$500,"&lt;&gt;Cancelado")+SUMIFS(LOCACOES!$I$6:$I$200,LOCACOES!$J$6:$J$200,Q67)</f>
        <v>0</v>
      </c>
      <c r="O67" s="12">
        <f t="shared" si="8"/>
        <v>0</v>
      </c>
      <c r="Q67" s="20" t="str">
        <f t="shared" si="9"/>
        <v>LPU|15.01</v>
      </c>
    </row>
    <row r="68" spans="1:17" ht="62.5" x14ac:dyDescent="0.35">
      <c r="A68" s="5" t="s">
        <v>301</v>
      </c>
      <c r="B68" s="17" t="s">
        <v>347</v>
      </c>
      <c r="C68" s="5" t="s">
        <v>348</v>
      </c>
      <c r="D68" s="17" t="s">
        <v>312</v>
      </c>
      <c r="E68" s="33">
        <v>220</v>
      </c>
      <c r="F68" s="34">
        <v>50</v>
      </c>
      <c r="G68" s="12">
        <f t="shared" si="5"/>
        <v>11000</v>
      </c>
      <c r="H68" s="1">
        <v>18</v>
      </c>
      <c r="I68" s="5" t="str">
        <f>IF(H68=0,"Indireto / imposto",IFERROR(INDEX(CRONOGRAMA!$D$5:$D$32,MATCH(H68,CRONOGRAMA!$A$5:$A$32,0)),"nº inexistente"))</f>
        <v>Piso do banheiro e revestimento do salão</v>
      </c>
      <c r="J68" s="18"/>
      <c r="K68" s="12">
        <f t="shared" si="6"/>
        <v>0</v>
      </c>
      <c r="L68" s="12">
        <f t="shared" si="7"/>
        <v>11000</v>
      </c>
      <c r="M68" s="35"/>
      <c r="N68" s="12">
        <f>SUMIFS(COMPRAS!$G$6:$G$500,COMPRAS!$D$6:$D$500,Q68,COMPRAS!$J$6:$J$500,"&lt;&gt;Cancelado")+SUMIFS(LOCACOES!$I$6:$I$200,LOCACOES!$J$6:$J$200,Q68)</f>
        <v>0</v>
      </c>
      <c r="O68" s="12">
        <f t="shared" si="8"/>
        <v>0</v>
      </c>
      <c r="Q68" s="20" t="str">
        <f t="shared" si="9"/>
        <v>LPU|18.4</v>
      </c>
    </row>
    <row r="69" spans="1:17" ht="75" x14ac:dyDescent="0.35">
      <c r="A69" s="5" t="s">
        <v>301</v>
      </c>
      <c r="B69" s="17" t="s">
        <v>349</v>
      </c>
      <c r="C69" s="5" t="s">
        <v>350</v>
      </c>
      <c r="D69" s="17" t="s">
        <v>312</v>
      </c>
      <c r="E69" s="33">
        <v>70</v>
      </c>
      <c r="F69" s="34">
        <v>50</v>
      </c>
      <c r="G69" s="12">
        <f t="shared" ref="G69:G100" si="10">E69*F69</f>
        <v>3500</v>
      </c>
      <c r="H69" s="1">
        <v>18</v>
      </c>
      <c r="I69" s="5" t="str">
        <f>IF(H69=0,"Indireto / imposto",IFERROR(INDEX(CRONOGRAMA!$D$5:$D$32,MATCH(H69,CRONOGRAMA!$A$5:$A$32,0)),"nº inexistente"))</f>
        <v>Piso do banheiro e revestimento do salão</v>
      </c>
      <c r="J69" s="18"/>
      <c r="K69" s="12">
        <f t="shared" ref="K69:K100" si="11">G69*N(J69)</f>
        <v>0</v>
      </c>
      <c r="L69" s="12">
        <f t="shared" ref="L69:L100" si="12">G69-K69</f>
        <v>3500</v>
      </c>
      <c r="M69" s="35"/>
      <c r="N69" s="12">
        <f>SUMIFS(COMPRAS!$G$6:$G$500,COMPRAS!$D$6:$D$500,Q69,COMPRAS!$J$6:$J$500,"&lt;&gt;Cancelado")+SUMIFS(LOCACOES!$I$6:$I$200,LOCACOES!$J$6:$J$200,Q69)</f>
        <v>0</v>
      </c>
      <c r="O69" s="12">
        <f t="shared" ref="O69:O100" si="13">K69-N69</f>
        <v>0</v>
      </c>
      <c r="Q69" s="20" t="str">
        <f t="shared" ref="Q69:Q100" si="14">IF(LEFT(A69,4)="Estr","REV","LPU")&amp;"|"&amp;B69</f>
        <v>LPU|18.5</v>
      </c>
    </row>
    <row r="70" spans="1:17" ht="50" x14ac:dyDescent="0.35">
      <c r="A70" s="5" t="s">
        <v>301</v>
      </c>
      <c r="B70" s="17" t="s">
        <v>351</v>
      </c>
      <c r="C70" s="5" t="s">
        <v>352</v>
      </c>
      <c r="D70" s="17" t="s">
        <v>312</v>
      </c>
      <c r="E70" s="33">
        <v>30</v>
      </c>
      <c r="F70" s="34">
        <v>50</v>
      </c>
      <c r="G70" s="12">
        <f t="shared" si="10"/>
        <v>1500</v>
      </c>
      <c r="H70" s="1">
        <v>18</v>
      </c>
      <c r="I70" s="5" t="str">
        <f>IF(H70=0,"Indireto / imposto",IFERROR(INDEX(CRONOGRAMA!$D$5:$D$32,MATCH(H70,CRONOGRAMA!$A$5:$A$32,0)),"nº inexistente"))</f>
        <v>Piso do banheiro e revestimento do salão</v>
      </c>
      <c r="J70" s="18"/>
      <c r="K70" s="12">
        <f t="shared" si="11"/>
        <v>0</v>
      </c>
      <c r="L70" s="12">
        <f t="shared" si="12"/>
        <v>1500</v>
      </c>
      <c r="M70" s="35"/>
      <c r="N70" s="12">
        <f>SUMIFS(COMPRAS!$G$6:$G$500,COMPRAS!$D$6:$D$500,Q70,COMPRAS!$J$6:$J$500,"&lt;&gt;Cancelado")+SUMIFS(LOCACOES!$I$6:$I$200,LOCACOES!$J$6:$J$200,Q70)</f>
        <v>0</v>
      </c>
      <c r="O70" s="12">
        <f t="shared" si="13"/>
        <v>0</v>
      </c>
      <c r="Q70" s="20" t="str">
        <f t="shared" si="14"/>
        <v>LPU|18.6</v>
      </c>
    </row>
    <row r="71" spans="1:17" ht="25" x14ac:dyDescent="0.35">
      <c r="A71" s="5" t="s">
        <v>301</v>
      </c>
      <c r="B71" s="17" t="s">
        <v>353</v>
      </c>
      <c r="C71" s="5" t="s">
        <v>354</v>
      </c>
      <c r="D71" s="17" t="s">
        <v>312</v>
      </c>
      <c r="E71" s="33">
        <v>120</v>
      </c>
      <c r="F71" s="34">
        <v>31.318954898093398</v>
      </c>
      <c r="G71" s="12">
        <f t="shared" si="10"/>
        <v>3758.2745877712077</v>
      </c>
      <c r="H71" s="1">
        <v>25</v>
      </c>
      <c r="I71" s="5" t="str">
        <f>IF(H71=0,"Indireto / imposto",IFERROR(INDEX(CRONOGRAMA!$D$5:$D$32,MATCH(H71,CRONOGRAMA!$A$5:$A$32,0)),"nº inexistente"))</f>
        <v>Forro mineral (250 m²) e abertura de luminárias</v>
      </c>
      <c r="J71" s="18"/>
      <c r="K71" s="12">
        <f t="shared" si="11"/>
        <v>0</v>
      </c>
      <c r="L71" s="12">
        <f t="shared" si="12"/>
        <v>3758.2745877712077</v>
      </c>
      <c r="M71" s="35"/>
      <c r="N71" s="12">
        <f>SUMIFS(COMPRAS!$G$6:$G$500,COMPRAS!$D$6:$D$500,Q71,COMPRAS!$J$6:$J$500,"&lt;&gt;Cancelado")+SUMIFS(LOCACOES!$I$6:$I$200,LOCACOES!$J$6:$J$200,Q71)</f>
        <v>0</v>
      </c>
      <c r="O71" s="12">
        <f t="shared" si="13"/>
        <v>0</v>
      </c>
      <c r="Q71" s="20" t="str">
        <f t="shared" si="14"/>
        <v>LPU|20.10</v>
      </c>
    </row>
    <row r="72" spans="1:17" ht="25" x14ac:dyDescent="0.35">
      <c r="A72" s="5" t="s">
        <v>301</v>
      </c>
      <c r="B72" s="17" t="s">
        <v>355</v>
      </c>
      <c r="C72" s="5" t="s">
        <v>356</v>
      </c>
      <c r="D72" s="17" t="s">
        <v>312</v>
      </c>
      <c r="E72" s="33">
        <v>400</v>
      </c>
      <c r="F72" s="34">
        <v>10</v>
      </c>
      <c r="G72" s="12">
        <f t="shared" si="10"/>
        <v>4000</v>
      </c>
      <c r="H72" s="1">
        <v>27</v>
      </c>
      <c r="I72" s="5" t="str">
        <f>IF(H72=0,"Indireto / imposto",IFERROR(INDEX(CRONOGRAMA!$D$5:$D$32,MATCH(H72,CRONOGRAMA!$A$5:$A$32,0)),"nº inexistente"))</f>
        <v>Pintura (fundo, massa e acabamento)</v>
      </c>
      <c r="J72" s="18"/>
      <c r="K72" s="12">
        <f t="shared" si="11"/>
        <v>0</v>
      </c>
      <c r="L72" s="12">
        <f t="shared" si="12"/>
        <v>4000</v>
      </c>
      <c r="M72" s="35"/>
      <c r="N72" s="12">
        <f>SUMIFS(COMPRAS!$G$6:$G$500,COMPRAS!$D$6:$D$500,Q72,COMPRAS!$J$6:$J$500,"&lt;&gt;Cancelado")+SUMIFS(LOCACOES!$I$6:$I$200,LOCACOES!$J$6:$J$200,Q72)</f>
        <v>0</v>
      </c>
      <c r="O72" s="12">
        <f t="shared" si="13"/>
        <v>0</v>
      </c>
      <c r="Q72" s="20" t="str">
        <f t="shared" si="14"/>
        <v>LPU|21.1</v>
      </c>
    </row>
    <row r="73" spans="1:17" ht="25" x14ac:dyDescent="0.35">
      <c r="A73" s="5" t="s">
        <v>301</v>
      </c>
      <c r="B73" s="17" t="s">
        <v>357</v>
      </c>
      <c r="C73" s="5" t="s">
        <v>358</v>
      </c>
      <c r="D73" s="17" t="s">
        <v>312</v>
      </c>
      <c r="E73" s="33">
        <v>260</v>
      </c>
      <c r="F73" s="34">
        <v>15</v>
      </c>
      <c r="G73" s="12">
        <f t="shared" si="10"/>
        <v>3900</v>
      </c>
      <c r="H73" s="1">
        <v>27</v>
      </c>
      <c r="I73" s="5" t="str">
        <f>IF(H73=0,"Indireto / imposto",IFERROR(INDEX(CRONOGRAMA!$D$5:$D$32,MATCH(H73,CRONOGRAMA!$A$5:$A$32,0)),"nº inexistente"))</f>
        <v>Pintura (fundo, massa e acabamento)</v>
      </c>
      <c r="J73" s="18"/>
      <c r="K73" s="12">
        <f t="shared" si="11"/>
        <v>0</v>
      </c>
      <c r="L73" s="12">
        <f t="shared" si="12"/>
        <v>3900</v>
      </c>
      <c r="M73" s="35"/>
      <c r="N73" s="12">
        <f>SUMIFS(COMPRAS!$G$6:$G$500,COMPRAS!$D$6:$D$500,Q73,COMPRAS!$J$6:$J$500,"&lt;&gt;Cancelado")+SUMIFS(LOCACOES!$I$6:$I$200,LOCACOES!$J$6:$J$200,Q73)</f>
        <v>0</v>
      </c>
      <c r="O73" s="12">
        <f t="shared" si="13"/>
        <v>0</v>
      </c>
      <c r="Q73" s="20" t="str">
        <f t="shared" si="14"/>
        <v>LPU|21.4</v>
      </c>
    </row>
    <row r="74" spans="1:17" ht="25" x14ac:dyDescent="0.35">
      <c r="A74" s="5" t="s">
        <v>301</v>
      </c>
      <c r="B74" s="17" t="s">
        <v>359</v>
      </c>
      <c r="C74" s="5" t="s">
        <v>360</v>
      </c>
      <c r="D74" s="17" t="s">
        <v>312</v>
      </c>
      <c r="E74" s="33">
        <v>260</v>
      </c>
      <c r="F74" s="34">
        <v>22</v>
      </c>
      <c r="G74" s="12">
        <f t="shared" si="10"/>
        <v>5720</v>
      </c>
      <c r="H74" s="1">
        <v>27</v>
      </c>
      <c r="I74" s="5" t="str">
        <f>IF(H74=0,"Indireto / imposto",IFERROR(INDEX(CRONOGRAMA!$D$5:$D$32,MATCH(H74,CRONOGRAMA!$A$5:$A$32,0)),"nº inexistente"))</f>
        <v>Pintura (fundo, massa e acabamento)</v>
      </c>
      <c r="J74" s="18"/>
      <c r="K74" s="12">
        <f t="shared" si="11"/>
        <v>0</v>
      </c>
      <c r="L74" s="12">
        <f t="shared" si="12"/>
        <v>5720</v>
      </c>
      <c r="M74" s="35"/>
      <c r="N74" s="12">
        <f>SUMIFS(COMPRAS!$G$6:$G$500,COMPRAS!$D$6:$D$500,Q74,COMPRAS!$J$6:$J$500,"&lt;&gt;Cancelado")+SUMIFS(LOCACOES!$I$6:$I$200,LOCACOES!$J$6:$J$200,Q74)</f>
        <v>0</v>
      </c>
      <c r="O74" s="12">
        <f t="shared" si="13"/>
        <v>0</v>
      </c>
      <c r="Q74" s="20" t="str">
        <f t="shared" si="14"/>
        <v>LPU|21.7</v>
      </c>
    </row>
    <row r="75" spans="1:17" ht="25" x14ac:dyDescent="0.35">
      <c r="A75" s="5" t="s">
        <v>301</v>
      </c>
      <c r="B75" s="17" t="s">
        <v>361</v>
      </c>
      <c r="C75" s="5" t="s">
        <v>362</v>
      </c>
      <c r="D75" s="17" t="s">
        <v>303</v>
      </c>
      <c r="E75" s="33">
        <v>6</v>
      </c>
      <c r="F75" s="34">
        <v>300</v>
      </c>
      <c r="G75" s="12">
        <f t="shared" si="10"/>
        <v>1800</v>
      </c>
      <c r="H75" s="1">
        <v>26</v>
      </c>
      <c r="I75" s="5" t="str">
        <f>IF(H75=0,"Indireto / imposto",IFERROR(INDEX(CRONOGRAMA!$D$5:$D$32,MATCH(H75,CRONOGRAMA!$A$5:$A$32,0)),"nº inexistente"))</f>
        <v>Portas, molas, grelhas, guia de porta de enrolar e fechadura</v>
      </c>
      <c r="J75" s="18"/>
      <c r="K75" s="12">
        <f t="shared" si="11"/>
        <v>0</v>
      </c>
      <c r="L75" s="12">
        <f t="shared" si="12"/>
        <v>1800</v>
      </c>
      <c r="M75" s="35"/>
      <c r="N75" s="12">
        <f>SUMIFS(COMPRAS!$G$6:$G$500,COMPRAS!$D$6:$D$500,Q75,COMPRAS!$J$6:$J$500,"&lt;&gt;Cancelado")+SUMIFS(LOCACOES!$I$6:$I$200,LOCACOES!$J$6:$J$200,Q75)</f>
        <v>0</v>
      </c>
      <c r="O75" s="12">
        <f t="shared" si="13"/>
        <v>0</v>
      </c>
      <c r="Q75" s="20" t="str">
        <f t="shared" si="14"/>
        <v>LPU|24.2</v>
      </c>
    </row>
    <row r="76" spans="1:17" ht="25" x14ac:dyDescent="0.35">
      <c r="A76" s="5" t="s">
        <v>301</v>
      </c>
      <c r="B76" s="17" t="s">
        <v>363</v>
      </c>
      <c r="C76" s="5" t="s">
        <v>364</v>
      </c>
      <c r="D76" s="17" t="s">
        <v>303</v>
      </c>
      <c r="E76" s="33">
        <v>6</v>
      </c>
      <c r="F76" s="34">
        <v>90</v>
      </c>
      <c r="G76" s="12">
        <f t="shared" si="10"/>
        <v>540</v>
      </c>
      <c r="H76" s="1">
        <v>26</v>
      </c>
      <c r="I76" s="5" t="str">
        <f>IF(H76=0,"Indireto / imposto",IFERROR(INDEX(CRONOGRAMA!$D$5:$D$32,MATCH(H76,CRONOGRAMA!$A$5:$A$32,0)),"nº inexistente"))</f>
        <v>Portas, molas, grelhas, guia de porta de enrolar e fechadura</v>
      </c>
      <c r="J76" s="18"/>
      <c r="K76" s="12">
        <f t="shared" si="11"/>
        <v>0</v>
      </c>
      <c r="L76" s="12">
        <f t="shared" si="12"/>
        <v>540</v>
      </c>
      <c r="M76" s="35"/>
      <c r="N76" s="12">
        <f>SUMIFS(COMPRAS!$G$6:$G$500,COMPRAS!$D$6:$D$500,Q76,COMPRAS!$J$6:$J$500,"&lt;&gt;Cancelado")+SUMIFS(LOCACOES!$I$6:$I$200,LOCACOES!$J$6:$J$200,Q76)</f>
        <v>0</v>
      </c>
      <c r="O76" s="12">
        <f t="shared" si="13"/>
        <v>0</v>
      </c>
      <c r="Q76" s="20" t="str">
        <f t="shared" si="14"/>
        <v>LPU|24.3</v>
      </c>
    </row>
    <row r="77" spans="1:17" ht="100" x14ac:dyDescent="0.35">
      <c r="A77" s="5" t="s">
        <v>301</v>
      </c>
      <c r="B77" s="17" t="s">
        <v>365</v>
      </c>
      <c r="C77" s="5" t="s">
        <v>366</v>
      </c>
      <c r="D77" s="17" t="s">
        <v>303</v>
      </c>
      <c r="E77" s="33">
        <v>6</v>
      </c>
      <c r="F77" s="34">
        <v>1308.2</v>
      </c>
      <c r="G77" s="12">
        <f t="shared" si="10"/>
        <v>7849.2000000000007</v>
      </c>
      <c r="H77" s="1">
        <v>26</v>
      </c>
      <c r="I77" s="5" t="str">
        <f>IF(H77=0,"Indireto / imposto",IFERROR(INDEX(CRONOGRAMA!$D$5:$D$32,MATCH(H77,CRONOGRAMA!$A$5:$A$32,0)),"nº inexistente"))</f>
        <v>Portas, molas, grelhas, guia de porta de enrolar e fechadura</v>
      </c>
      <c r="J77" s="18"/>
      <c r="K77" s="12">
        <f t="shared" si="11"/>
        <v>0</v>
      </c>
      <c r="L77" s="12">
        <f t="shared" si="12"/>
        <v>7849.2000000000007</v>
      </c>
      <c r="M77" s="35"/>
      <c r="N77" s="12">
        <f>SUMIFS(COMPRAS!$G$6:$G$500,COMPRAS!$D$6:$D$500,Q77,COMPRAS!$J$6:$J$500,"&lt;&gt;Cancelado")+SUMIFS(LOCACOES!$I$6:$I$200,LOCACOES!$J$6:$J$200,Q77)</f>
        <v>0</v>
      </c>
      <c r="O77" s="12">
        <f t="shared" si="13"/>
        <v>0</v>
      </c>
      <c r="Q77" s="20" t="str">
        <f t="shared" si="14"/>
        <v>LPU|25.3</v>
      </c>
    </row>
    <row r="78" spans="1:17" ht="37.5" x14ac:dyDescent="0.35">
      <c r="A78" s="5" t="s">
        <v>301</v>
      </c>
      <c r="B78" s="17" t="s">
        <v>367</v>
      </c>
      <c r="C78" s="5" t="s">
        <v>368</v>
      </c>
      <c r="D78" s="17" t="s">
        <v>369</v>
      </c>
      <c r="E78" s="33">
        <v>30</v>
      </c>
      <c r="F78" s="34">
        <v>106.9</v>
      </c>
      <c r="G78" s="12">
        <f t="shared" si="10"/>
        <v>3207</v>
      </c>
      <c r="H78" s="1">
        <v>26</v>
      </c>
      <c r="I78" s="5" t="str">
        <f>IF(H78=0,"Indireto / imposto",IFERROR(INDEX(CRONOGRAMA!$D$5:$D$32,MATCH(H78,CRONOGRAMA!$A$5:$A$32,0)),"nº inexistente"))</f>
        <v>Portas, molas, grelhas, guia de porta de enrolar e fechadura</v>
      </c>
      <c r="J78" s="18"/>
      <c r="K78" s="12">
        <f t="shared" si="11"/>
        <v>0</v>
      </c>
      <c r="L78" s="12">
        <f t="shared" si="12"/>
        <v>3207</v>
      </c>
      <c r="M78" s="35"/>
      <c r="N78" s="12">
        <f>SUMIFS(COMPRAS!$G$6:$G$500,COMPRAS!$D$6:$D$500,Q78,COMPRAS!$J$6:$J$500,"&lt;&gt;Cancelado")+SUMIFS(LOCACOES!$I$6:$I$200,LOCACOES!$J$6:$J$200,Q78)</f>
        <v>0</v>
      </c>
      <c r="O78" s="12">
        <f t="shared" si="13"/>
        <v>0</v>
      </c>
      <c r="Q78" s="20" t="str">
        <f t="shared" si="14"/>
        <v>LPU|25.96</v>
      </c>
    </row>
    <row r="79" spans="1:17" ht="25" x14ac:dyDescent="0.35">
      <c r="A79" s="5" t="s">
        <v>301</v>
      </c>
      <c r="B79" s="17" t="s">
        <v>370</v>
      </c>
      <c r="C79" s="5" t="s">
        <v>371</v>
      </c>
      <c r="D79" s="17" t="s">
        <v>372</v>
      </c>
      <c r="E79" s="33">
        <v>30</v>
      </c>
      <c r="F79" s="34">
        <v>33.44</v>
      </c>
      <c r="G79" s="12">
        <f t="shared" si="10"/>
        <v>1003.1999999999999</v>
      </c>
      <c r="H79" s="1">
        <v>22</v>
      </c>
      <c r="I79" s="5" t="str">
        <f>IF(H79=0,"Indireto / imposto",IFERROR(INDEX(CRONOGRAMA!$D$5:$D$32,MATCH(H79,CRONOGRAMA!$A$5:$A$32,0)),"nº inexistente"))</f>
        <v>Infraestrutura elétrica, rede, iluminação e ativações</v>
      </c>
      <c r="J79" s="18"/>
      <c r="K79" s="12">
        <f t="shared" si="11"/>
        <v>0</v>
      </c>
      <c r="L79" s="12">
        <f t="shared" si="12"/>
        <v>1003.1999999999999</v>
      </c>
      <c r="M79" s="35"/>
      <c r="N79" s="12">
        <f>SUMIFS(COMPRAS!$G$6:$G$500,COMPRAS!$D$6:$D$500,Q79,COMPRAS!$J$6:$J$500,"&lt;&gt;Cancelado")+SUMIFS(LOCACOES!$I$6:$I$200,LOCACOES!$J$6:$J$200,Q79)</f>
        <v>0</v>
      </c>
      <c r="O79" s="12">
        <f t="shared" si="13"/>
        <v>0</v>
      </c>
      <c r="Q79" s="20" t="str">
        <f t="shared" si="14"/>
        <v>LPU|27.168</v>
      </c>
    </row>
    <row r="80" spans="1:17" ht="37.5" x14ac:dyDescent="0.35">
      <c r="A80" s="5" t="s">
        <v>301</v>
      </c>
      <c r="B80" s="17" t="s">
        <v>373</v>
      </c>
      <c r="C80" s="5" t="s">
        <v>374</v>
      </c>
      <c r="D80" s="17" t="s">
        <v>375</v>
      </c>
      <c r="E80" s="33">
        <v>5</v>
      </c>
      <c r="F80" s="34">
        <v>350</v>
      </c>
      <c r="G80" s="12">
        <f t="shared" si="10"/>
        <v>1750</v>
      </c>
      <c r="H80" s="1">
        <v>23</v>
      </c>
      <c r="I80" s="5" t="str">
        <f>IF(H80=0,"Indireto / imposto",IFERROR(INDEX(CRONOGRAMA!$D$5:$D$32,MATCH(H80,CRONOGRAMA!$A$5:$A$32,0)),"nº inexistente"))</f>
        <v>Ar-condicionado: retirada, reinstalação de splits e drenos</v>
      </c>
      <c r="J80" s="18"/>
      <c r="K80" s="12">
        <f t="shared" si="11"/>
        <v>0</v>
      </c>
      <c r="L80" s="12">
        <f t="shared" si="12"/>
        <v>1750</v>
      </c>
      <c r="M80" s="35"/>
      <c r="N80" s="12">
        <f>SUMIFS(COMPRAS!$G$6:$G$500,COMPRAS!$D$6:$D$500,Q80,COMPRAS!$J$6:$J$500,"&lt;&gt;Cancelado")+SUMIFS(LOCACOES!$I$6:$I$200,LOCACOES!$J$6:$J$200,Q80)</f>
        <v>0</v>
      </c>
      <c r="O80" s="12">
        <f t="shared" si="13"/>
        <v>0</v>
      </c>
      <c r="Q80" s="20" t="str">
        <f t="shared" si="14"/>
        <v>LPU|27.207</v>
      </c>
    </row>
    <row r="81" spans="1:17" ht="62.5" x14ac:dyDescent="0.35">
      <c r="A81" s="5" t="s">
        <v>301</v>
      </c>
      <c r="B81" s="17" t="s">
        <v>376</v>
      </c>
      <c r="C81" s="5" t="s">
        <v>377</v>
      </c>
      <c r="D81" s="17" t="s">
        <v>303</v>
      </c>
      <c r="E81" s="33">
        <v>20</v>
      </c>
      <c r="F81" s="34">
        <v>47.71</v>
      </c>
      <c r="G81" s="12">
        <f t="shared" si="10"/>
        <v>954.2</v>
      </c>
      <c r="H81" s="1">
        <v>22</v>
      </c>
      <c r="I81" s="5" t="str">
        <f>IF(H81=0,"Indireto / imposto",IFERROR(INDEX(CRONOGRAMA!$D$5:$D$32,MATCH(H81,CRONOGRAMA!$A$5:$A$32,0)),"nº inexistente"))</f>
        <v>Infraestrutura elétrica, rede, iluminação e ativações</v>
      </c>
      <c r="J81" s="18"/>
      <c r="K81" s="12">
        <f t="shared" si="11"/>
        <v>0</v>
      </c>
      <c r="L81" s="12">
        <f t="shared" si="12"/>
        <v>954.2</v>
      </c>
      <c r="M81" s="35"/>
      <c r="N81" s="12">
        <f>SUMIFS(COMPRAS!$G$6:$G$500,COMPRAS!$D$6:$D$500,Q81,COMPRAS!$J$6:$J$500,"&lt;&gt;Cancelado")+SUMIFS(LOCACOES!$I$6:$I$200,LOCACOES!$J$6:$J$200,Q81)</f>
        <v>0</v>
      </c>
      <c r="O81" s="12">
        <f t="shared" si="13"/>
        <v>0</v>
      </c>
      <c r="Q81" s="20" t="str">
        <f t="shared" si="14"/>
        <v>LPU|28.75</v>
      </c>
    </row>
    <row r="82" spans="1:17" ht="25" x14ac:dyDescent="0.35">
      <c r="A82" s="5" t="s">
        <v>301</v>
      </c>
      <c r="B82" s="17" t="s">
        <v>378</v>
      </c>
      <c r="C82" s="5" t="s">
        <v>379</v>
      </c>
      <c r="D82" s="17" t="s">
        <v>372</v>
      </c>
      <c r="E82" s="33">
        <v>55</v>
      </c>
      <c r="F82" s="34">
        <v>20.91</v>
      </c>
      <c r="G82" s="12">
        <f t="shared" si="10"/>
        <v>1150.05</v>
      </c>
      <c r="H82" s="1">
        <v>22</v>
      </c>
      <c r="I82" s="5" t="str">
        <f>IF(H82=0,"Indireto / imposto",IFERROR(INDEX(CRONOGRAMA!$D$5:$D$32,MATCH(H82,CRONOGRAMA!$A$5:$A$32,0)),"nº inexistente"))</f>
        <v>Infraestrutura elétrica, rede, iluminação e ativações</v>
      </c>
      <c r="J82" s="18"/>
      <c r="K82" s="12">
        <f t="shared" si="11"/>
        <v>0</v>
      </c>
      <c r="L82" s="12">
        <f t="shared" si="12"/>
        <v>1150.05</v>
      </c>
      <c r="M82" s="35"/>
      <c r="N82" s="12">
        <f>SUMIFS(COMPRAS!$G$6:$G$500,COMPRAS!$D$6:$D$500,Q82,COMPRAS!$J$6:$J$500,"&lt;&gt;Cancelado")+SUMIFS(LOCACOES!$I$6:$I$200,LOCACOES!$J$6:$J$200,Q82)</f>
        <v>0</v>
      </c>
      <c r="O82" s="12">
        <f t="shared" si="13"/>
        <v>0</v>
      </c>
      <c r="Q82" s="20" t="str">
        <f t="shared" si="14"/>
        <v>LPU|28.84</v>
      </c>
    </row>
    <row r="83" spans="1:17" ht="25" x14ac:dyDescent="0.35">
      <c r="A83" s="5" t="s">
        <v>301</v>
      </c>
      <c r="B83" s="17" t="s">
        <v>380</v>
      </c>
      <c r="C83" s="5" t="s">
        <v>381</v>
      </c>
      <c r="D83" s="17" t="s">
        <v>303</v>
      </c>
      <c r="E83" s="33">
        <v>15</v>
      </c>
      <c r="F83" s="34">
        <v>25.57</v>
      </c>
      <c r="G83" s="12">
        <f t="shared" si="10"/>
        <v>383.55</v>
      </c>
      <c r="H83" s="1">
        <v>22</v>
      </c>
      <c r="I83" s="5" t="str">
        <f>IF(H83=0,"Indireto / imposto",IFERROR(INDEX(CRONOGRAMA!$D$5:$D$32,MATCH(H83,CRONOGRAMA!$A$5:$A$32,0)),"nº inexistente"))</f>
        <v>Infraestrutura elétrica, rede, iluminação e ativações</v>
      </c>
      <c r="J83" s="18"/>
      <c r="K83" s="12">
        <f t="shared" si="11"/>
        <v>0</v>
      </c>
      <c r="L83" s="12">
        <f t="shared" si="12"/>
        <v>383.55</v>
      </c>
      <c r="M83" s="35"/>
      <c r="N83" s="12">
        <f>SUMIFS(COMPRAS!$G$6:$G$500,COMPRAS!$D$6:$D$500,Q83,COMPRAS!$J$6:$J$500,"&lt;&gt;Cancelado")+SUMIFS(LOCACOES!$I$6:$I$200,LOCACOES!$J$6:$J$200,Q83)</f>
        <v>0</v>
      </c>
      <c r="O83" s="12">
        <f t="shared" si="13"/>
        <v>0</v>
      </c>
      <c r="Q83" s="20" t="str">
        <f t="shared" si="14"/>
        <v>LPU|28.94</v>
      </c>
    </row>
    <row r="84" spans="1:17" ht="25" x14ac:dyDescent="0.35">
      <c r="A84" s="5" t="s">
        <v>301</v>
      </c>
      <c r="B84" s="17" t="s">
        <v>382</v>
      </c>
      <c r="C84" s="5" t="s">
        <v>383</v>
      </c>
      <c r="D84" s="17" t="s">
        <v>303</v>
      </c>
      <c r="E84" s="33">
        <v>500</v>
      </c>
      <c r="F84" s="34">
        <v>2.56</v>
      </c>
      <c r="G84" s="12">
        <f t="shared" si="10"/>
        <v>1280</v>
      </c>
      <c r="H84" s="1">
        <v>22</v>
      </c>
      <c r="I84" s="5" t="str">
        <f>IF(H84=0,"Indireto / imposto",IFERROR(INDEX(CRONOGRAMA!$D$5:$D$32,MATCH(H84,CRONOGRAMA!$A$5:$A$32,0)),"nº inexistente"))</f>
        <v>Infraestrutura elétrica, rede, iluminação e ativações</v>
      </c>
      <c r="J84" s="18"/>
      <c r="K84" s="12">
        <f t="shared" si="11"/>
        <v>0</v>
      </c>
      <c r="L84" s="12">
        <f t="shared" si="12"/>
        <v>1280</v>
      </c>
      <c r="M84" s="35"/>
      <c r="N84" s="12">
        <f>SUMIFS(COMPRAS!$G$6:$G$500,COMPRAS!$D$6:$D$500,Q84,COMPRAS!$J$6:$J$500,"&lt;&gt;Cancelado")+SUMIFS(LOCACOES!$I$6:$I$200,LOCACOES!$J$6:$J$200,Q84)</f>
        <v>0</v>
      </c>
      <c r="O84" s="12">
        <f t="shared" si="13"/>
        <v>0</v>
      </c>
      <c r="Q84" s="20" t="str">
        <f t="shared" si="14"/>
        <v>LPU|28.309</v>
      </c>
    </row>
    <row r="85" spans="1:17" ht="50" x14ac:dyDescent="0.35">
      <c r="A85" s="5" t="s">
        <v>301</v>
      </c>
      <c r="B85" s="17" t="s">
        <v>384</v>
      </c>
      <c r="C85" s="5" t="s">
        <v>385</v>
      </c>
      <c r="D85" s="17" t="s">
        <v>375</v>
      </c>
      <c r="E85" s="33">
        <v>10</v>
      </c>
      <c r="F85" s="34">
        <v>117.45</v>
      </c>
      <c r="G85" s="12">
        <f t="shared" si="10"/>
        <v>1174.5</v>
      </c>
      <c r="H85" s="1">
        <v>22</v>
      </c>
      <c r="I85" s="5" t="str">
        <f>IF(H85=0,"Indireto / imposto",IFERROR(INDEX(CRONOGRAMA!$D$5:$D$32,MATCH(H85,CRONOGRAMA!$A$5:$A$32,0)),"nº inexistente"))</f>
        <v>Infraestrutura elétrica, rede, iluminação e ativações</v>
      </c>
      <c r="J85" s="18"/>
      <c r="K85" s="12">
        <f t="shared" si="11"/>
        <v>0</v>
      </c>
      <c r="L85" s="12">
        <f t="shared" si="12"/>
        <v>1174.5</v>
      </c>
      <c r="M85" s="35"/>
      <c r="N85" s="12">
        <f>SUMIFS(COMPRAS!$G$6:$G$500,COMPRAS!$D$6:$D$500,Q85,COMPRAS!$J$6:$J$500,"&lt;&gt;Cancelado")+SUMIFS(LOCACOES!$I$6:$I$200,LOCACOES!$J$6:$J$200,Q85)</f>
        <v>0</v>
      </c>
      <c r="O85" s="12">
        <f t="shared" si="13"/>
        <v>0</v>
      </c>
      <c r="Q85" s="20" t="str">
        <f t="shared" si="14"/>
        <v>LPU|28.339</v>
      </c>
    </row>
    <row r="86" spans="1:17" ht="50" x14ac:dyDescent="0.35">
      <c r="A86" s="5" t="s">
        <v>301</v>
      </c>
      <c r="B86" s="17" t="s">
        <v>386</v>
      </c>
      <c r="C86" s="5" t="s">
        <v>387</v>
      </c>
      <c r="D86" s="17" t="s">
        <v>375</v>
      </c>
      <c r="E86" s="33">
        <v>25</v>
      </c>
      <c r="F86" s="34">
        <v>313.35000000000002</v>
      </c>
      <c r="G86" s="12">
        <f t="shared" si="10"/>
        <v>7833.7500000000009</v>
      </c>
      <c r="H86" s="1">
        <v>22</v>
      </c>
      <c r="I86" s="5" t="str">
        <f>IF(H86=0,"Indireto / imposto",IFERROR(INDEX(CRONOGRAMA!$D$5:$D$32,MATCH(H86,CRONOGRAMA!$A$5:$A$32,0)),"nº inexistente"))</f>
        <v>Infraestrutura elétrica, rede, iluminação e ativações</v>
      </c>
      <c r="J86" s="18"/>
      <c r="K86" s="12">
        <f t="shared" si="11"/>
        <v>0</v>
      </c>
      <c r="L86" s="12">
        <f t="shared" si="12"/>
        <v>7833.7500000000009</v>
      </c>
      <c r="M86" s="35"/>
      <c r="N86" s="12">
        <f>SUMIFS(COMPRAS!$G$6:$G$500,COMPRAS!$D$6:$D$500,Q86,COMPRAS!$J$6:$J$500,"&lt;&gt;Cancelado")+SUMIFS(LOCACOES!$I$6:$I$200,LOCACOES!$J$6:$J$200,Q86)</f>
        <v>0</v>
      </c>
      <c r="O86" s="12">
        <f t="shared" si="13"/>
        <v>0</v>
      </c>
      <c r="Q86" s="20" t="str">
        <f t="shared" si="14"/>
        <v>LPU|28.340</v>
      </c>
    </row>
    <row r="87" spans="1:17" ht="25" x14ac:dyDescent="0.35">
      <c r="A87" s="5" t="s">
        <v>301</v>
      </c>
      <c r="B87" s="17" t="s">
        <v>388</v>
      </c>
      <c r="C87" s="5" t="s">
        <v>389</v>
      </c>
      <c r="D87" s="17" t="s">
        <v>372</v>
      </c>
      <c r="E87" s="33">
        <v>650</v>
      </c>
      <c r="F87" s="34">
        <v>4.5</v>
      </c>
      <c r="G87" s="12">
        <f t="shared" si="10"/>
        <v>2925</v>
      </c>
      <c r="H87" s="1">
        <v>22</v>
      </c>
      <c r="I87" s="5" t="str">
        <f>IF(H87=0,"Indireto / imposto",IFERROR(INDEX(CRONOGRAMA!$D$5:$D$32,MATCH(H87,CRONOGRAMA!$A$5:$A$32,0)),"nº inexistente"))</f>
        <v>Infraestrutura elétrica, rede, iluminação e ativações</v>
      </c>
      <c r="J87" s="18"/>
      <c r="K87" s="12">
        <f t="shared" si="11"/>
        <v>0</v>
      </c>
      <c r="L87" s="12">
        <f t="shared" si="12"/>
        <v>2925</v>
      </c>
      <c r="M87" s="35"/>
      <c r="N87" s="12">
        <f>SUMIFS(COMPRAS!$G$6:$G$500,COMPRAS!$D$6:$D$500,Q87,COMPRAS!$J$6:$J$500,"&lt;&gt;Cancelado")+SUMIFS(LOCACOES!$I$6:$I$200,LOCACOES!$J$6:$J$200,Q87)</f>
        <v>0</v>
      </c>
      <c r="O87" s="12">
        <f t="shared" si="13"/>
        <v>0</v>
      </c>
      <c r="Q87" s="20" t="str">
        <f t="shared" si="14"/>
        <v>LPU|29.19</v>
      </c>
    </row>
    <row r="88" spans="1:17" ht="25" x14ac:dyDescent="0.35">
      <c r="A88" s="5" t="s">
        <v>301</v>
      </c>
      <c r="B88" s="17" t="s">
        <v>390</v>
      </c>
      <c r="C88" s="5" t="s">
        <v>391</v>
      </c>
      <c r="D88" s="17" t="s">
        <v>303</v>
      </c>
      <c r="E88" s="33">
        <v>125</v>
      </c>
      <c r="F88" s="34">
        <v>10</v>
      </c>
      <c r="G88" s="12">
        <f t="shared" si="10"/>
        <v>1250</v>
      </c>
      <c r="H88" s="1">
        <v>22</v>
      </c>
      <c r="I88" s="5" t="str">
        <f>IF(H88=0,"Indireto / imposto",IFERROR(INDEX(CRONOGRAMA!$D$5:$D$32,MATCH(H88,CRONOGRAMA!$A$5:$A$32,0)),"nº inexistente"))</f>
        <v>Infraestrutura elétrica, rede, iluminação e ativações</v>
      </c>
      <c r="J88" s="18"/>
      <c r="K88" s="12">
        <f t="shared" si="11"/>
        <v>0</v>
      </c>
      <c r="L88" s="12">
        <f t="shared" si="12"/>
        <v>1250</v>
      </c>
      <c r="M88" s="35"/>
      <c r="N88" s="12">
        <f>SUMIFS(COMPRAS!$G$6:$G$500,COMPRAS!$D$6:$D$500,Q88,COMPRAS!$J$6:$J$500,"&lt;&gt;Cancelado")+SUMIFS(LOCACOES!$I$6:$I$200,LOCACOES!$J$6:$J$200,Q88)</f>
        <v>0</v>
      </c>
      <c r="O88" s="12">
        <f t="shared" si="13"/>
        <v>0</v>
      </c>
      <c r="Q88" s="20" t="str">
        <f t="shared" si="14"/>
        <v>LPU|29.41</v>
      </c>
    </row>
    <row r="89" spans="1:17" ht="25" x14ac:dyDescent="0.35">
      <c r="A89" s="5" t="s">
        <v>301</v>
      </c>
      <c r="B89" s="17" t="s">
        <v>392</v>
      </c>
      <c r="C89" s="5" t="s">
        <v>393</v>
      </c>
      <c r="D89" s="17" t="s">
        <v>303</v>
      </c>
      <c r="E89" s="33">
        <v>125</v>
      </c>
      <c r="F89" s="34">
        <v>10</v>
      </c>
      <c r="G89" s="12">
        <f t="shared" si="10"/>
        <v>1250</v>
      </c>
      <c r="H89" s="1">
        <v>22</v>
      </c>
      <c r="I89" s="5" t="str">
        <f>IF(H89=0,"Indireto / imposto",IFERROR(INDEX(CRONOGRAMA!$D$5:$D$32,MATCH(H89,CRONOGRAMA!$A$5:$A$32,0)),"nº inexistente"))</f>
        <v>Infraestrutura elétrica, rede, iluminação e ativações</v>
      </c>
      <c r="J89" s="18"/>
      <c r="K89" s="12">
        <f t="shared" si="11"/>
        <v>0</v>
      </c>
      <c r="L89" s="12">
        <f t="shared" si="12"/>
        <v>1250</v>
      </c>
      <c r="M89" s="35"/>
      <c r="N89" s="12">
        <f>SUMIFS(COMPRAS!$G$6:$G$500,COMPRAS!$D$6:$D$500,Q89,COMPRAS!$J$6:$J$500,"&lt;&gt;Cancelado")+SUMIFS(LOCACOES!$I$6:$I$200,LOCACOES!$J$6:$J$200,Q89)</f>
        <v>0</v>
      </c>
      <c r="O89" s="12">
        <f t="shared" si="13"/>
        <v>0</v>
      </c>
      <c r="Q89" s="20" t="str">
        <f t="shared" si="14"/>
        <v>LPU|29.42</v>
      </c>
    </row>
    <row r="90" spans="1:17" ht="37.5" x14ac:dyDescent="0.35">
      <c r="A90" s="5" t="s">
        <v>301</v>
      </c>
      <c r="B90" s="17" t="s">
        <v>394</v>
      </c>
      <c r="C90" s="5" t="s">
        <v>395</v>
      </c>
      <c r="D90" s="17" t="s">
        <v>303</v>
      </c>
      <c r="E90" s="33">
        <v>25</v>
      </c>
      <c r="F90" s="34">
        <v>55.72</v>
      </c>
      <c r="G90" s="12">
        <f t="shared" si="10"/>
        <v>1393</v>
      </c>
      <c r="H90" s="1">
        <v>22</v>
      </c>
      <c r="I90" s="5" t="str">
        <f>IF(H90=0,"Indireto / imposto",IFERROR(INDEX(CRONOGRAMA!$D$5:$D$32,MATCH(H90,CRONOGRAMA!$A$5:$A$32,0)),"nº inexistente"))</f>
        <v>Infraestrutura elétrica, rede, iluminação e ativações</v>
      </c>
      <c r="J90" s="18"/>
      <c r="K90" s="12">
        <f t="shared" si="11"/>
        <v>0</v>
      </c>
      <c r="L90" s="12">
        <f t="shared" si="12"/>
        <v>1393</v>
      </c>
      <c r="M90" s="35"/>
      <c r="N90" s="12">
        <f>SUMIFS(COMPRAS!$G$6:$G$500,COMPRAS!$D$6:$D$500,Q90,COMPRAS!$J$6:$J$500,"&lt;&gt;Cancelado")+SUMIFS(LOCACOES!$I$6:$I$200,LOCACOES!$J$6:$J$200,Q90)</f>
        <v>0</v>
      </c>
      <c r="O90" s="12">
        <f t="shared" si="13"/>
        <v>0</v>
      </c>
      <c r="Q90" s="20" t="str">
        <f t="shared" si="14"/>
        <v>LPU|29.47</v>
      </c>
    </row>
    <row r="91" spans="1:17" ht="25" x14ac:dyDescent="0.35">
      <c r="A91" s="5" t="s">
        <v>301</v>
      </c>
      <c r="B91" s="17" t="s">
        <v>396</v>
      </c>
      <c r="C91" s="5" t="s">
        <v>397</v>
      </c>
      <c r="D91" s="17" t="s">
        <v>303</v>
      </c>
      <c r="E91" s="33">
        <v>30</v>
      </c>
      <c r="F91" s="34">
        <v>7.4</v>
      </c>
      <c r="G91" s="12">
        <f t="shared" si="10"/>
        <v>222</v>
      </c>
      <c r="H91" s="1">
        <v>22</v>
      </c>
      <c r="I91" s="5" t="str">
        <f>IF(H91=0,"Indireto / imposto",IFERROR(INDEX(CRONOGRAMA!$D$5:$D$32,MATCH(H91,CRONOGRAMA!$A$5:$A$32,0)),"nº inexistente"))</f>
        <v>Infraestrutura elétrica, rede, iluminação e ativações</v>
      </c>
      <c r="J91" s="18"/>
      <c r="K91" s="12">
        <f t="shared" si="11"/>
        <v>0</v>
      </c>
      <c r="L91" s="12">
        <f t="shared" si="12"/>
        <v>222</v>
      </c>
      <c r="M91" s="35"/>
      <c r="N91" s="12">
        <f>SUMIFS(COMPRAS!$G$6:$G$500,COMPRAS!$D$6:$D$500,Q91,COMPRAS!$J$6:$J$500,"&lt;&gt;Cancelado")+SUMIFS(LOCACOES!$I$6:$I$200,LOCACOES!$J$6:$J$200,Q91)</f>
        <v>0</v>
      </c>
      <c r="O91" s="12">
        <f t="shared" si="13"/>
        <v>0</v>
      </c>
      <c r="Q91" s="20" t="str">
        <f t="shared" si="14"/>
        <v>LPU|29.69</v>
      </c>
    </row>
    <row r="92" spans="1:17" ht="25" x14ac:dyDescent="0.35">
      <c r="A92" s="5" t="s">
        <v>301</v>
      </c>
      <c r="B92" s="17" t="s">
        <v>398</v>
      </c>
      <c r="C92" s="5" t="s">
        <v>399</v>
      </c>
      <c r="D92" s="17" t="s">
        <v>372</v>
      </c>
      <c r="E92" s="33">
        <v>300</v>
      </c>
      <c r="F92" s="34">
        <v>6.2</v>
      </c>
      <c r="G92" s="12">
        <f t="shared" si="10"/>
        <v>1860</v>
      </c>
      <c r="H92" s="1">
        <v>22</v>
      </c>
      <c r="I92" s="5" t="str">
        <f>IF(H92=0,"Indireto / imposto",IFERROR(INDEX(CRONOGRAMA!$D$5:$D$32,MATCH(H92,CRONOGRAMA!$A$5:$A$32,0)),"nº inexistente"))</f>
        <v>Infraestrutura elétrica, rede, iluminação e ativações</v>
      </c>
      <c r="J92" s="18"/>
      <c r="K92" s="12">
        <f t="shared" si="11"/>
        <v>0</v>
      </c>
      <c r="L92" s="12">
        <f t="shared" si="12"/>
        <v>1860</v>
      </c>
      <c r="M92" s="35"/>
      <c r="N92" s="12">
        <f>SUMIFS(COMPRAS!$G$6:$G$500,COMPRAS!$D$6:$D$500,Q92,COMPRAS!$J$6:$J$500,"&lt;&gt;Cancelado")+SUMIFS(LOCACOES!$I$6:$I$200,LOCACOES!$J$6:$J$200,Q92)</f>
        <v>0</v>
      </c>
      <c r="O92" s="12">
        <f t="shared" si="13"/>
        <v>0</v>
      </c>
      <c r="Q92" s="20" t="str">
        <f t="shared" si="14"/>
        <v>LPU|29.122</v>
      </c>
    </row>
    <row r="93" spans="1:17" ht="50" x14ac:dyDescent="0.35">
      <c r="A93" s="5" t="s">
        <v>301</v>
      </c>
      <c r="B93" s="17" t="s">
        <v>400</v>
      </c>
      <c r="C93" s="5" t="s">
        <v>401</v>
      </c>
      <c r="D93" s="17" t="s">
        <v>303</v>
      </c>
      <c r="E93" s="33">
        <v>125</v>
      </c>
      <c r="F93" s="34">
        <v>35</v>
      </c>
      <c r="G93" s="12">
        <f t="shared" si="10"/>
        <v>4375</v>
      </c>
      <c r="H93" s="1">
        <v>22</v>
      </c>
      <c r="I93" s="5" t="str">
        <f>IF(H93=0,"Indireto / imposto",IFERROR(INDEX(CRONOGRAMA!$D$5:$D$32,MATCH(H93,CRONOGRAMA!$A$5:$A$32,0)),"nº inexistente"))</f>
        <v>Infraestrutura elétrica, rede, iluminação e ativações</v>
      </c>
      <c r="J93" s="18"/>
      <c r="K93" s="12">
        <f t="shared" si="11"/>
        <v>0</v>
      </c>
      <c r="L93" s="12">
        <f t="shared" si="12"/>
        <v>4375</v>
      </c>
      <c r="M93" s="35"/>
      <c r="N93" s="12">
        <f>SUMIFS(COMPRAS!$G$6:$G$500,COMPRAS!$D$6:$D$500,Q93,COMPRAS!$J$6:$J$500,"&lt;&gt;Cancelado")+SUMIFS(LOCACOES!$I$6:$I$200,LOCACOES!$J$6:$J$200,Q93)</f>
        <v>0</v>
      </c>
      <c r="O93" s="12">
        <f t="shared" si="13"/>
        <v>0</v>
      </c>
      <c r="Q93" s="20" t="str">
        <f t="shared" si="14"/>
        <v>LPU|29.140</v>
      </c>
    </row>
    <row r="94" spans="1:17" ht="25" x14ac:dyDescent="0.35">
      <c r="A94" s="5" t="s">
        <v>301</v>
      </c>
      <c r="B94" s="17" t="s">
        <v>402</v>
      </c>
      <c r="C94" s="5" t="s">
        <v>403</v>
      </c>
      <c r="D94" s="17" t="s">
        <v>303</v>
      </c>
      <c r="E94" s="33">
        <v>5</v>
      </c>
      <c r="F94" s="34">
        <v>80</v>
      </c>
      <c r="G94" s="12">
        <f t="shared" si="10"/>
        <v>400</v>
      </c>
      <c r="H94" s="1">
        <v>22</v>
      </c>
      <c r="I94" s="5" t="str">
        <f>IF(H94=0,"Indireto / imposto",IFERROR(INDEX(CRONOGRAMA!$D$5:$D$32,MATCH(H94,CRONOGRAMA!$A$5:$A$32,0)),"nº inexistente"))</f>
        <v>Infraestrutura elétrica, rede, iluminação e ativações</v>
      </c>
      <c r="J94" s="18"/>
      <c r="K94" s="12">
        <f t="shared" si="11"/>
        <v>0</v>
      </c>
      <c r="L94" s="12">
        <f t="shared" si="12"/>
        <v>400</v>
      </c>
      <c r="M94" s="35"/>
      <c r="N94" s="12">
        <f>SUMIFS(COMPRAS!$G$6:$G$500,COMPRAS!$D$6:$D$500,Q94,COMPRAS!$J$6:$J$500,"&lt;&gt;Cancelado")+SUMIFS(LOCACOES!$I$6:$I$200,LOCACOES!$J$6:$J$200,Q94)</f>
        <v>0</v>
      </c>
      <c r="O94" s="12">
        <f t="shared" si="13"/>
        <v>0</v>
      </c>
      <c r="Q94" s="20" t="str">
        <f t="shared" si="14"/>
        <v>LPU|29.158</v>
      </c>
    </row>
    <row r="95" spans="1:17" ht="25" x14ac:dyDescent="0.35">
      <c r="A95" s="5" t="s">
        <v>301</v>
      </c>
      <c r="B95" s="17" t="s">
        <v>404</v>
      </c>
      <c r="C95" s="5" t="s">
        <v>405</v>
      </c>
      <c r="D95" s="17" t="s">
        <v>312</v>
      </c>
      <c r="E95" s="33">
        <v>60</v>
      </c>
      <c r="F95" s="34">
        <v>30</v>
      </c>
      <c r="G95" s="12">
        <f t="shared" si="10"/>
        <v>1800</v>
      </c>
      <c r="H95" s="1">
        <v>22</v>
      </c>
      <c r="I95" s="5" t="str">
        <f>IF(H95=0,"Indireto / imposto",IFERROR(INDEX(CRONOGRAMA!$D$5:$D$32,MATCH(H95,CRONOGRAMA!$A$5:$A$32,0)),"nº inexistente"))</f>
        <v>Infraestrutura elétrica, rede, iluminação e ativações</v>
      </c>
      <c r="J95" s="18"/>
      <c r="K95" s="12">
        <f t="shared" si="11"/>
        <v>0</v>
      </c>
      <c r="L95" s="12">
        <f t="shared" si="12"/>
        <v>1800</v>
      </c>
      <c r="M95" s="35"/>
      <c r="N95" s="12">
        <f>SUMIFS(COMPRAS!$G$6:$G$500,COMPRAS!$D$6:$D$500,Q95,COMPRAS!$J$6:$J$500,"&lt;&gt;Cancelado")+SUMIFS(LOCACOES!$I$6:$I$200,LOCACOES!$J$6:$J$200,Q95)</f>
        <v>0</v>
      </c>
      <c r="O95" s="12">
        <f t="shared" si="13"/>
        <v>0</v>
      </c>
      <c r="Q95" s="20" t="str">
        <f t="shared" si="14"/>
        <v>LPU|29.160</v>
      </c>
    </row>
    <row r="96" spans="1:17" ht="37.5" x14ac:dyDescent="0.35">
      <c r="A96" s="5" t="s">
        <v>301</v>
      </c>
      <c r="B96" s="17" t="s">
        <v>406</v>
      </c>
      <c r="C96" s="5" t="s">
        <v>407</v>
      </c>
      <c r="D96" s="17" t="s">
        <v>303</v>
      </c>
      <c r="E96" s="33">
        <v>15</v>
      </c>
      <c r="F96" s="34">
        <v>600</v>
      </c>
      <c r="G96" s="12">
        <f t="shared" si="10"/>
        <v>9000</v>
      </c>
      <c r="H96" s="1">
        <v>22</v>
      </c>
      <c r="I96" s="5" t="str">
        <f>IF(H96=0,"Indireto / imposto",IFERROR(INDEX(CRONOGRAMA!$D$5:$D$32,MATCH(H96,CRONOGRAMA!$A$5:$A$32,0)),"nº inexistente"))</f>
        <v>Infraestrutura elétrica, rede, iluminação e ativações</v>
      </c>
      <c r="J96" s="18"/>
      <c r="K96" s="12">
        <f t="shared" si="11"/>
        <v>0</v>
      </c>
      <c r="L96" s="12">
        <f t="shared" si="12"/>
        <v>9000</v>
      </c>
      <c r="M96" s="35"/>
      <c r="N96" s="12">
        <f>SUMIFS(COMPRAS!$G$6:$G$500,COMPRAS!$D$6:$D$500,Q96,COMPRAS!$J$6:$J$500,"&lt;&gt;Cancelado")+SUMIFS(LOCACOES!$I$6:$I$200,LOCACOES!$J$6:$J$200,Q96)</f>
        <v>0</v>
      </c>
      <c r="O96" s="12">
        <f t="shared" si="13"/>
        <v>0</v>
      </c>
      <c r="Q96" s="20" t="str">
        <f t="shared" si="14"/>
        <v>LPU|35.30</v>
      </c>
    </row>
    <row r="97" spans="1:17" ht="25" x14ac:dyDescent="0.35">
      <c r="A97" s="5" t="s">
        <v>301</v>
      </c>
      <c r="B97" s="17" t="s">
        <v>408</v>
      </c>
      <c r="C97" s="5" t="s">
        <v>409</v>
      </c>
      <c r="D97" s="17" t="s">
        <v>303</v>
      </c>
      <c r="E97" s="33">
        <v>1</v>
      </c>
      <c r="F97" s="34">
        <v>1300</v>
      </c>
      <c r="G97" s="12">
        <f t="shared" si="10"/>
        <v>1300</v>
      </c>
      <c r="H97" s="1">
        <v>23</v>
      </c>
      <c r="I97" s="5" t="str">
        <f>IF(H97=0,"Indireto / imposto",IFERROR(INDEX(CRONOGRAMA!$D$5:$D$32,MATCH(H97,CRONOGRAMA!$A$5:$A$32,0)),"nº inexistente"))</f>
        <v>Ar-condicionado: retirada, reinstalação de splits e drenos</v>
      </c>
      <c r="J97" s="18"/>
      <c r="K97" s="12">
        <f t="shared" si="11"/>
        <v>0</v>
      </c>
      <c r="L97" s="12">
        <f t="shared" si="12"/>
        <v>1300</v>
      </c>
      <c r="M97" s="35"/>
      <c r="N97" s="12">
        <f>SUMIFS(COMPRAS!$G$6:$G$500,COMPRAS!$D$6:$D$500,Q97,COMPRAS!$J$6:$J$500,"&lt;&gt;Cancelado")+SUMIFS(LOCACOES!$I$6:$I$200,LOCACOES!$J$6:$J$200,Q97)</f>
        <v>0</v>
      </c>
      <c r="O97" s="12">
        <f t="shared" si="13"/>
        <v>0</v>
      </c>
      <c r="Q97" s="20" t="str">
        <f t="shared" si="14"/>
        <v>LPU|36.4</v>
      </c>
    </row>
    <row r="98" spans="1:17" ht="37.5" x14ac:dyDescent="0.35">
      <c r="A98" s="5" t="s">
        <v>301</v>
      </c>
      <c r="B98" s="17" t="s">
        <v>410</v>
      </c>
      <c r="C98" s="5" t="s">
        <v>411</v>
      </c>
      <c r="D98" s="17" t="s">
        <v>303</v>
      </c>
      <c r="E98" s="33">
        <v>4</v>
      </c>
      <c r="F98" s="34">
        <v>3000</v>
      </c>
      <c r="G98" s="12">
        <f t="shared" si="10"/>
        <v>12000</v>
      </c>
      <c r="H98" s="1">
        <v>23</v>
      </c>
      <c r="I98" s="5" t="str">
        <f>IF(H98=0,"Indireto / imposto",IFERROR(INDEX(CRONOGRAMA!$D$5:$D$32,MATCH(H98,CRONOGRAMA!$A$5:$A$32,0)),"nº inexistente"))</f>
        <v>Ar-condicionado: retirada, reinstalação de splits e drenos</v>
      </c>
      <c r="J98" s="18"/>
      <c r="K98" s="12">
        <f t="shared" si="11"/>
        <v>0</v>
      </c>
      <c r="L98" s="12">
        <f t="shared" si="12"/>
        <v>12000</v>
      </c>
      <c r="M98" s="35"/>
      <c r="N98" s="12">
        <f>SUMIFS(COMPRAS!$G$6:$G$500,COMPRAS!$D$6:$D$500,Q98,COMPRAS!$J$6:$J$500,"&lt;&gt;Cancelado")+SUMIFS(LOCACOES!$I$6:$I$200,LOCACOES!$J$6:$J$200,Q98)</f>
        <v>0</v>
      </c>
      <c r="O98" s="12">
        <f t="shared" si="13"/>
        <v>0</v>
      </c>
      <c r="Q98" s="20" t="str">
        <f t="shared" si="14"/>
        <v>LPU|36.7</v>
      </c>
    </row>
    <row r="99" spans="1:17" ht="25" x14ac:dyDescent="0.35">
      <c r="A99" s="5" t="s">
        <v>301</v>
      </c>
      <c r="B99" s="17" t="s">
        <v>412</v>
      </c>
      <c r="C99" s="5" t="s">
        <v>413</v>
      </c>
      <c r="D99" s="17" t="s">
        <v>303</v>
      </c>
      <c r="E99" s="33">
        <v>2</v>
      </c>
      <c r="F99" s="34">
        <v>900</v>
      </c>
      <c r="G99" s="12">
        <f t="shared" si="10"/>
        <v>1800</v>
      </c>
      <c r="H99" s="1">
        <v>23</v>
      </c>
      <c r="I99" s="5" t="str">
        <f>IF(H99=0,"Indireto / imposto",IFERROR(INDEX(CRONOGRAMA!$D$5:$D$32,MATCH(H99,CRONOGRAMA!$A$5:$A$32,0)),"nº inexistente"))</f>
        <v>Ar-condicionado: retirada, reinstalação de splits e drenos</v>
      </c>
      <c r="J99" s="18"/>
      <c r="K99" s="12">
        <f t="shared" si="11"/>
        <v>0</v>
      </c>
      <c r="L99" s="12">
        <f t="shared" si="12"/>
        <v>1800</v>
      </c>
      <c r="M99" s="35"/>
      <c r="N99" s="12">
        <f>SUMIFS(COMPRAS!$G$6:$G$500,COMPRAS!$D$6:$D$500,Q99,COMPRAS!$J$6:$J$500,"&lt;&gt;Cancelado")+SUMIFS(LOCACOES!$I$6:$I$200,LOCACOES!$J$6:$J$200,Q99)</f>
        <v>0</v>
      </c>
      <c r="O99" s="12">
        <f t="shared" si="13"/>
        <v>0</v>
      </c>
      <c r="Q99" s="20" t="str">
        <f t="shared" si="14"/>
        <v>LPU|36.9</v>
      </c>
    </row>
    <row r="100" spans="1:17" ht="25" x14ac:dyDescent="0.35">
      <c r="A100" s="5" t="s">
        <v>301</v>
      </c>
      <c r="B100" s="17" t="s">
        <v>414</v>
      </c>
      <c r="C100" s="5" t="s">
        <v>415</v>
      </c>
      <c r="D100" s="17" t="s">
        <v>303</v>
      </c>
      <c r="E100" s="33">
        <v>2</v>
      </c>
      <c r="F100" s="34">
        <v>90</v>
      </c>
      <c r="G100" s="12">
        <f t="shared" si="10"/>
        <v>180</v>
      </c>
      <c r="H100" s="1">
        <v>23</v>
      </c>
      <c r="I100" s="5" t="str">
        <f>IF(H100=0,"Indireto / imposto",IFERROR(INDEX(CRONOGRAMA!$D$5:$D$32,MATCH(H100,CRONOGRAMA!$A$5:$A$32,0)),"nº inexistente"))</f>
        <v>Ar-condicionado: retirada, reinstalação de splits e drenos</v>
      </c>
      <c r="J100" s="18"/>
      <c r="K100" s="12">
        <f t="shared" si="11"/>
        <v>0</v>
      </c>
      <c r="L100" s="12">
        <f t="shared" si="12"/>
        <v>180</v>
      </c>
      <c r="M100" s="35"/>
      <c r="N100" s="12">
        <f>SUMIFS(COMPRAS!$G$6:$G$500,COMPRAS!$D$6:$D$500,Q100,COMPRAS!$J$6:$J$500,"&lt;&gt;Cancelado")+SUMIFS(LOCACOES!$I$6:$I$200,LOCACOES!$J$6:$J$200,Q100)</f>
        <v>0</v>
      </c>
      <c r="O100" s="12">
        <f t="shared" si="13"/>
        <v>0</v>
      </c>
      <c r="Q100" s="20" t="str">
        <f t="shared" si="14"/>
        <v>LPU|36.12</v>
      </c>
    </row>
    <row r="101" spans="1:17" ht="25" x14ac:dyDescent="0.35">
      <c r="A101" s="5" t="s">
        <v>301</v>
      </c>
      <c r="B101" s="17" t="s">
        <v>416</v>
      </c>
      <c r="C101" s="5" t="s">
        <v>417</v>
      </c>
      <c r="D101" s="17" t="s">
        <v>303</v>
      </c>
      <c r="E101" s="33">
        <v>2</v>
      </c>
      <c r="F101" s="34">
        <v>90</v>
      </c>
      <c r="G101" s="12">
        <f t="shared" ref="G101:G110" si="15">E101*F101</f>
        <v>180</v>
      </c>
      <c r="H101" s="1">
        <v>23</v>
      </c>
      <c r="I101" s="5" t="str">
        <f>IF(H101=0,"Indireto / imposto",IFERROR(INDEX(CRONOGRAMA!$D$5:$D$32,MATCH(H101,CRONOGRAMA!$A$5:$A$32,0)),"nº inexistente"))</f>
        <v>Ar-condicionado: retirada, reinstalação de splits e drenos</v>
      </c>
      <c r="J101" s="18"/>
      <c r="K101" s="12">
        <f t="shared" ref="K101:K110" si="16">G101*N(J101)</f>
        <v>0</v>
      </c>
      <c r="L101" s="12">
        <f t="shared" ref="L101:L110" si="17">G101-K101</f>
        <v>180</v>
      </c>
      <c r="M101" s="35"/>
      <c r="N101" s="12">
        <f>SUMIFS(COMPRAS!$G$6:$G$500,COMPRAS!$D$6:$D$500,Q101,COMPRAS!$J$6:$J$500,"&lt;&gt;Cancelado")+SUMIFS(LOCACOES!$I$6:$I$200,LOCACOES!$J$6:$J$200,Q101)</f>
        <v>0</v>
      </c>
      <c r="O101" s="12">
        <f t="shared" ref="O101:O110" si="18">K101-N101</f>
        <v>0</v>
      </c>
      <c r="Q101" s="20" t="str">
        <f t="shared" ref="Q101:Q110" si="19">IF(LEFT(A101,4)="Estr","REV","LPU")&amp;"|"&amp;B101</f>
        <v>LPU|36.13</v>
      </c>
    </row>
    <row r="102" spans="1:17" ht="25" x14ac:dyDescent="0.35">
      <c r="A102" s="5" t="s">
        <v>301</v>
      </c>
      <c r="B102" s="17" t="s">
        <v>418</v>
      </c>
      <c r="C102" s="5" t="s">
        <v>419</v>
      </c>
      <c r="D102" s="17" t="s">
        <v>372</v>
      </c>
      <c r="E102" s="33">
        <v>100</v>
      </c>
      <c r="F102" s="34">
        <v>5.59</v>
      </c>
      <c r="G102" s="12">
        <f t="shared" si="15"/>
        <v>559</v>
      </c>
      <c r="H102" s="1">
        <v>23</v>
      </c>
      <c r="I102" s="5" t="str">
        <f>IF(H102=0,"Indireto / imposto",IFERROR(INDEX(CRONOGRAMA!$D$5:$D$32,MATCH(H102,CRONOGRAMA!$A$5:$A$32,0)),"nº inexistente"))</f>
        <v>Ar-condicionado: retirada, reinstalação de splits e drenos</v>
      </c>
      <c r="J102" s="18"/>
      <c r="K102" s="12">
        <f t="shared" si="16"/>
        <v>0</v>
      </c>
      <c r="L102" s="12">
        <f t="shared" si="17"/>
        <v>559</v>
      </c>
      <c r="M102" s="35"/>
      <c r="N102" s="12">
        <f>SUMIFS(COMPRAS!$G$6:$G$500,COMPRAS!$D$6:$D$500,Q102,COMPRAS!$J$6:$J$500,"&lt;&gt;Cancelado")+SUMIFS(LOCACOES!$I$6:$I$200,LOCACOES!$J$6:$J$200,Q102)</f>
        <v>0</v>
      </c>
      <c r="O102" s="12">
        <f t="shared" si="18"/>
        <v>0</v>
      </c>
      <c r="Q102" s="20" t="str">
        <f t="shared" si="19"/>
        <v>LPU|36.19</v>
      </c>
    </row>
    <row r="103" spans="1:17" ht="25" x14ac:dyDescent="0.35">
      <c r="A103" s="5" t="s">
        <v>301</v>
      </c>
      <c r="B103" s="17" t="s">
        <v>420</v>
      </c>
      <c r="C103" s="5" t="s">
        <v>421</v>
      </c>
      <c r="D103" s="17" t="s">
        <v>312</v>
      </c>
      <c r="E103" s="33">
        <v>1200</v>
      </c>
      <c r="F103" s="34">
        <v>6.38</v>
      </c>
      <c r="G103" s="12">
        <f t="shared" si="15"/>
        <v>7656</v>
      </c>
      <c r="H103" s="1">
        <v>20</v>
      </c>
      <c r="I103" s="5" t="str">
        <f>IF(H103=0,"Indireto / imposto",IFERROR(INDEX(CRONOGRAMA!$D$5:$D$32,MATCH(H103,CRONOGRAMA!$A$5:$A$32,0)),"nº inexistente"))</f>
        <v>Retirada do escoramento, conferência final de níveis, limpeza e liberação</v>
      </c>
      <c r="J103" s="18"/>
      <c r="K103" s="12">
        <f t="shared" si="16"/>
        <v>0</v>
      </c>
      <c r="L103" s="12">
        <f t="shared" si="17"/>
        <v>7656</v>
      </c>
      <c r="M103" s="35"/>
      <c r="N103" s="12">
        <f>SUMIFS(COMPRAS!$G$6:$G$500,COMPRAS!$D$6:$D$500,Q103,COMPRAS!$J$6:$J$500,"&lt;&gt;Cancelado")+SUMIFS(LOCACOES!$I$6:$I$200,LOCACOES!$J$6:$J$200,Q103)</f>
        <v>0</v>
      </c>
      <c r="O103" s="12">
        <f t="shared" si="18"/>
        <v>0</v>
      </c>
      <c r="Q103" s="20" t="str">
        <f t="shared" si="19"/>
        <v>LPU|38.1</v>
      </c>
    </row>
    <row r="104" spans="1:17" ht="112.5" x14ac:dyDescent="0.35">
      <c r="A104" s="5" t="s">
        <v>301</v>
      </c>
      <c r="B104" s="17" t="s">
        <v>422</v>
      </c>
      <c r="C104" s="5" t="s">
        <v>423</v>
      </c>
      <c r="D104" s="17" t="s">
        <v>219</v>
      </c>
      <c r="E104" s="33">
        <v>1</v>
      </c>
      <c r="F104" s="34">
        <v>1293.44</v>
      </c>
      <c r="G104" s="12">
        <f t="shared" si="15"/>
        <v>1293.44</v>
      </c>
      <c r="H104" s="1">
        <v>9</v>
      </c>
      <c r="I104" s="5" t="str">
        <f>IF(H104=0,"Indireto / imposto",IFERROR(INDEX(CRONOGRAMA!$D$5:$D$32,MATCH(H104,CRONOGRAMA!$A$5:$A$32,0)),"nº inexistente"))</f>
        <v>Projeto estrutural de reforço (treliça, apoios e fundações) + ART</v>
      </c>
      <c r="J104" s="18"/>
      <c r="K104" s="12">
        <f t="shared" si="16"/>
        <v>0</v>
      </c>
      <c r="L104" s="12">
        <f t="shared" si="17"/>
        <v>1293.44</v>
      </c>
      <c r="M104" s="35"/>
      <c r="N104" s="12">
        <f>SUMIFS(COMPRAS!$G$6:$G$500,COMPRAS!$D$6:$D$500,Q104,COMPRAS!$J$6:$J$500,"&lt;&gt;Cancelado")+SUMIFS(LOCACOES!$I$6:$I$200,LOCACOES!$J$6:$J$200,Q104)</f>
        <v>0</v>
      </c>
      <c r="O104" s="12">
        <f t="shared" si="18"/>
        <v>0</v>
      </c>
      <c r="Q104" s="20" t="str">
        <f t="shared" si="19"/>
        <v>LPU|41.4</v>
      </c>
    </row>
    <row r="105" spans="1:17" ht="25" x14ac:dyDescent="0.35">
      <c r="A105" s="5" t="s">
        <v>301</v>
      </c>
      <c r="B105" s="17" t="s">
        <v>424</v>
      </c>
      <c r="C105" s="5" t="s">
        <v>425</v>
      </c>
      <c r="D105" s="17" t="s">
        <v>426</v>
      </c>
      <c r="E105" s="33">
        <v>80</v>
      </c>
      <c r="F105" s="34">
        <v>9.42</v>
      </c>
      <c r="G105" s="12">
        <f t="shared" si="15"/>
        <v>753.6</v>
      </c>
      <c r="H105" s="1">
        <v>23</v>
      </c>
      <c r="I105" s="5" t="str">
        <f>IF(H105=0,"Indireto / imposto",IFERROR(INDEX(CRONOGRAMA!$D$5:$D$32,MATCH(H105,CRONOGRAMA!$A$5:$A$32,0)),"nº inexistente"))</f>
        <v>Ar-condicionado: retirada, reinstalação de splits e drenos</v>
      </c>
      <c r="J105" s="18"/>
      <c r="K105" s="12">
        <f t="shared" si="16"/>
        <v>0</v>
      </c>
      <c r="L105" s="12">
        <f t="shared" si="17"/>
        <v>753.6</v>
      </c>
      <c r="M105" s="35"/>
      <c r="N105" s="12">
        <f>SUMIFS(COMPRAS!$G$6:$G$500,COMPRAS!$D$6:$D$500,Q105,COMPRAS!$J$6:$J$500,"&lt;&gt;Cancelado")+SUMIFS(LOCACOES!$I$6:$I$200,LOCACOES!$J$6:$J$200,Q105)</f>
        <v>0</v>
      </c>
      <c r="O105" s="12">
        <f t="shared" si="18"/>
        <v>0</v>
      </c>
      <c r="Q105" s="20" t="str">
        <f t="shared" si="19"/>
        <v>LPU|46.57</v>
      </c>
    </row>
    <row r="106" spans="1:17" ht="25" x14ac:dyDescent="0.35">
      <c r="A106" s="5" t="s">
        <v>301</v>
      </c>
      <c r="B106" s="17" t="s">
        <v>427</v>
      </c>
      <c r="C106" s="5" t="s">
        <v>428</v>
      </c>
      <c r="D106" s="17" t="s">
        <v>312</v>
      </c>
      <c r="E106" s="33">
        <v>15</v>
      </c>
      <c r="F106" s="34">
        <v>12.38</v>
      </c>
      <c r="G106" s="12">
        <f t="shared" si="15"/>
        <v>185.70000000000002</v>
      </c>
      <c r="H106" s="1">
        <v>24</v>
      </c>
      <c r="I106" s="5" t="str">
        <f>IF(H106=0,"Indireto / imposto",IFERROR(INDEX(CRONOGRAMA!$D$5:$D$32,MATCH(H106,CRONOGRAMA!$A$5:$A$32,0)),"nº inexistente"))</f>
        <v>Drywall novo (190 m²) com reforço em MDF</v>
      </c>
      <c r="J106" s="18"/>
      <c r="K106" s="12">
        <f t="shared" si="16"/>
        <v>0</v>
      </c>
      <c r="L106" s="12">
        <f t="shared" si="17"/>
        <v>185.70000000000002</v>
      </c>
      <c r="M106" s="35"/>
      <c r="N106" s="12">
        <f>SUMIFS(COMPRAS!$G$6:$G$500,COMPRAS!$D$6:$D$500,Q106,COMPRAS!$J$6:$J$500,"&lt;&gt;Cancelado")+SUMIFS(LOCACOES!$I$6:$I$200,LOCACOES!$J$6:$J$200,Q106)</f>
        <v>0</v>
      </c>
      <c r="O106" s="12">
        <f t="shared" si="18"/>
        <v>0</v>
      </c>
      <c r="Q106" s="20" t="str">
        <f t="shared" si="19"/>
        <v>LPU|48.31</v>
      </c>
    </row>
    <row r="107" spans="1:17" ht="25" x14ac:dyDescent="0.35">
      <c r="A107" s="5" t="s">
        <v>301</v>
      </c>
      <c r="B107" s="17" t="s">
        <v>429</v>
      </c>
      <c r="C107" s="5" t="s">
        <v>430</v>
      </c>
      <c r="D107" s="17" t="s">
        <v>312</v>
      </c>
      <c r="E107" s="33">
        <v>20</v>
      </c>
      <c r="F107" s="34">
        <v>150</v>
      </c>
      <c r="G107" s="12">
        <f t="shared" si="15"/>
        <v>3000</v>
      </c>
      <c r="H107" s="1">
        <v>28</v>
      </c>
      <c r="I107" s="5" t="str">
        <f>IF(H107=0,"Indireto / imposto",IFERROR(INDEX(CRONOGRAMA!$D$5:$D$32,MATCH(H107,CRONOGRAMA!$A$5:$A$32,0)),"nº inexistente"))</f>
        <v>Fachada: fixação de vidros e pintura</v>
      </c>
      <c r="J107" s="18"/>
      <c r="K107" s="12">
        <f t="shared" si="16"/>
        <v>0</v>
      </c>
      <c r="L107" s="12">
        <f t="shared" si="17"/>
        <v>3000</v>
      </c>
      <c r="M107" s="35"/>
      <c r="N107" s="12">
        <f>SUMIFS(COMPRAS!$G$6:$G$500,COMPRAS!$D$6:$D$500,Q107,COMPRAS!$J$6:$J$500,"&lt;&gt;Cancelado")+SUMIFS(LOCACOES!$I$6:$I$200,LOCACOES!$J$6:$J$200,Q107)</f>
        <v>0</v>
      </c>
      <c r="O107" s="12">
        <f t="shared" si="18"/>
        <v>0</v>
      </c>
      <c r="Q107" s="20" t="str">
        <f t="shared" si="19"/>
        <v>LPU|48.67</v>
      </c>
    </row>
    <row r="108" spans="1:17" ht="25" x14ac:dyDescent="0.35">
      <c r="A108" s="5" t="s">
        <v>301</v>
      </c>
      <c r="B108" s="17" t="s">
        <v>431</v>
      </c>
      <c r="C108" s="5" t="s">
        <v>432</v>
      </c>
      <c r="D108" s="17" t="s">
        <v>312</v>
      </c>
      <c r="E108" s="33">
        <v>20</v>
      </c>
      <c r="F108" s="34">
        <v>80</v>
      </c>
      <c r="G108" s="12">
        <f t="shared" si="15"/>
        <v>1600</v>
      </c>
      <c r="H108" s="1">
        <v>11</v>
      </c>
      <c r="I108" s="5" t="str">
        <f>IF(H108=0,"Indireto / imposto",IFERROR(INDEX(CRONOGRAMA!$D$5:$D$32,MATCH(H108,CRONOGRAMA!$A$5:$A$32,0)),"nº inexistente"))</f>
        <v>Abertura de porta com retirada de vidro (logística de entulho e materiais)</v>
      </c>
      <c r="J108" s="18"/>
      <c r="K108" s="12">
        <f t="shared" si="16"/>
        <v>0</v>
      </c>
      <c r="L108" s="12">
        <f t="shared" si="17"/>
        <v>1600</v>
      </c>
      <c r="M108" s="35"/>
      <c r="N108" s="12">
        <f>SUMIFS(COMPRAS!$G$6:$G$500,COMPRAS!$D$6:$D$500,Q108,COMPRAS!$J$6:$J$500,"&lt;&gt;Cancelado")+SUMIFS(LOCACOES!$I$6:$I$200,LOCACOES!$J$6:$J$200,Q108)</f>
        <v>0</v>
      </c>
      <c r="O108" s="12">
        <f t="shared" si="18"/>
        <v>0</v>
      </c>
      <c r="Q108" s="20" t="str">
        <f t="shared" si="19"/>
        <v>LPU|48.68</v>
      </c>
    </row>
    <row r="109" spans="1:17" ht="25" x14ac:dyDescent="0.35">
      <c r="A109" s="5" t="s">
        <v>301</v>
      </c>
      <c r="B109" s="17" t="s">
        <v>433</v>
      </c>
      <c r="C109" s="5" t="s">
        <v>434</v>
      </c>
      <c r="D109" s="17" t="s">
        <v>312</v>
      </c>
      <c r="E109" s="33">
        <v>120</v>
      </c>
      <c r="F109" s="34">
        <v>61.41</v>
      </c>
      <c r="G109" s="12">
        <f t="shared" si="15"/>
        <v>7369.2</v>
      </c>
      <c r="H109" s="1">
        <v>3</v>
      </c>
      <c r="I109" s="5" t="str">
        <f>IF(H109=0,"Indireto / imposto",IFERROR(INDEX(CRONOGRAMA!$D$5:$D$32,MATCH(H109,CRONOGRAMA!$A$5:$A$32,0)),"nº inexistente"))</f>
        <v>Instalar divisória de fechamento da área</v>
      </c>
      <c r="J109" s="18"/>
      <c r="K109" s="12">
        <f t="shared" si="16"/>
        <v>0</v>
      </c>
      <c r="L109" s="12">
        <f t="shared" si="17"/>
        <v>7369.2</v>
      </c>
      <c r="M109" s="35"/>
      <c r="N109" s="12">
        <f>SUMIFS(COMPRAS!$G$6:$G$500,COMPRAS!$D$6:$D$500,Q109,COMPRAS!$J$6:$J$500,"&lt;&gt;Cancelado")+SUMIFS(LOCACOES!$I$6:$I$200,LOCACOES!$J$6:$J$200,Q109)</f>
        <v>0</v>
      </c>
      <c r="O109" s="12">
        <f t="shared" si="18"/>
        <v>0</v>
      </c>
      <c r="Q109" s="20" t="str">
        <f t="shared" si="19"/>
        <v>LPU|S/N-1</v>
      </c>
    </row>
    <row r="110" spans="1:17" ht="25" x14ac:dyDescent="0.35">
      <c r="A110" s="5" t="s">
        <v>301</v>
      </c>
      <c r="B110" s="17" t="s">
        <v>435</v>
      </c>
      <c r="C110" s="5" t="s">
        <v>436</v>
      </c>
      <c r="D110" s="17" t="s">
        <v>303</v>
      </c>
      <c r="E110" s="33">
        <v>1</v>
      </c>
      <c r="F110" s="34">
        <v>850</v>
      </c>
      <c r="G110" s="12">
        <f t="shared" si="15"/>
        <v>850</v>
      </c>
      <c r="H110" s="1">
        <v>26</v>
      </c>
      <c r="I110" s="5" t="str">
        <f>IF(H110=0,"Indireto / imposto",IFERROR(INDEX(CRONOGRAMA!$D$5:$D$32,MATCH(H110,CRONOGRAMA!$A$5:$A$32,0)),"nº inexistente"))</f>
        <v>Portas, molas, grelhas, guia de porta de enrolar e fechadura</v>
      </c>
      <c r="J110" s="18"/>
      <c r="K110" s="12">
        <f t="shared" si="16"/>
        <v>0</v>
      </c>
      <c r="L110" s="12">
        <f t="shared" si="17"/>
        <v>850</v>
      </c>
      <c r="M110" s="35"/>
      <c r="N110" s="12">
        <f>SUMIFS(COMPRAS!$G$6:$G$500,COMPRAS!$D$6:$D$500,Q110,COMPRAS!$J$6:$J$500,"&lt;&gt;Cancelado")+SUMIFS(LOCACOES!$I$6:$I$200,LOCACOES!$J$6:$J$200,Q110)</f>
        <v>0</v>
      </c>
      <c r="O110" s="12">
        <f t="shared" si="18"/>
        <v>0</v>
      </c>
      <c r="Q110" s="20" t="str">
        <f t="shared" si="19"/>
        <v>LPU|S/N-2</v>
      </c>
    </row>
    <row r="112" spans="1:17" x14ac:dyDescent="0.35">
      <c r="C112" s="10" t="s">
        <v>437</v>
      </c>
      <c r="G112" s="22">
        <f>SUM(G5:G110)</f>
        <v>506340.40958777122</v>
      </c>
      <c r="K112" s="22">
        <f>SUM(K5:K110)</f>
        <v>0</v>
      </c>
      <c r="L112" s="22">
        <f>SUM(L5:L110)</f>
        <v>506340.40958777122</v>
      </c>
      <c r="M112" s="22">
        <f>SUM(M5:M110)</f>
        <v>0</v>
      </c>
      <c r="N112" s="22">
        <f>SUM(N5:N110)</f>
        <v>0</v>
      </c>
      <c r="O112" s="22">
        <f>SUM(O5:O110)</f>
        <v>0</v>
      </c>
    </row>
  </sheetData>
  <autoFilter ref="A4:Q110" xr:uid="{00000000-0009-0000-0000-000004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J15"/>
  <sheetViews>
    <sheetView showGridLines="0" tabSelected="1"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G5" sqref="G5"/>
    </sheetView>
  </sheetViews>
  <sheetFormatPr defaultColWidth="8.6328125" defaultRowHeight="14.5" x14ac:dyDescent="0.35"/>
  <cols>
    <col min="1" max="2" width="22" customWidth="1"/>
    <col min="3" max="3" width="14" customWidth="1"/>
    <col min="4" max="4" width="28" customWidth="1"/>
    <col min="5" max="5" width="14" customWidth="1"/>
    <col min="6" max="7" width="40" customWidth="1"/>
    <col min="8" max="8" width="26" customWidth="1"/>
    <col min="9" max="10" width="14" customWidth="1"/>
  </cols>
  <sheetData>
    <row r="1" spans="1:10" ht="18" x14ac:dyDescent="0.4">
      <c r="A1" s="6" t="s">
        <v>438</v>
      </c>
    </row>
    <row r="2" spans="1:10" x14ac:dyDescent="0.35">
      <c r="A2" s="7" t="s">
        <v>439</v>
      </c>
    </row>
    <row r="4" spans="1:10" ht="31.5" customHeight="1" x14ac:dyDescent="0.35">
      <c r="A4" s="15" t="s">
        <v>440</v>
      </c>
      <c r="B4" s="15" t="s">
        <v>441</v>
      </c>
      <c r="C4" s="15" t="s">
        <v>442</v>
      </c>
      <c r="D4" s="15" t="s">
        <v>443</v>
      </c>
      <c r="E4" s="15" t="s">
        <v>444</v>
      </c>
      <c r="F4" s="15" t="s">
        <v>445</v>
      </c>
      <c r="G4" s="15" t="s">
        <v>446</v>
      </c>
      <c r="H4" s="15" t="s">
        <v>447</v>
      </c>
      <c r="I4" s="15" t="s">
        <v>113</v>
      </c>
      <c r="J4" s="15" t="s">
        <v>448</v>
      </c>
    </row>
    <row r="5" spans="1:10" ht="25" x14ac:dyDescent="0.35">
      <c r="A5" s="10" t="s">
        <v>449</v>
      </c>
      <c r="B5" s="5" t="s">
        <v>217</v>
      </c>
      <c r="C5" s="12">
        <f>SUMIFS(ORCAMENTO!$G$5:$G$200,ORCAMENTO!$Q$5:$Q$200,"REV|1.1")</f>
        <v>9500</v>
      </c>
      <c r="D5" s="5" t="s">
        <v>433</v>
      </c>
      <c r="E5" s="12">
        <f>SUMIFS(ORCAMENTO!$G$5:$G$200,ORCAMENTO!$Q$5:$Q$200,"LPU|S/N-1")</f>
        <v>7369.2</v>
      </c>
      <c r="F5" s="5" t="s">
        <v>450</v>
      </c>
      <c r="G5" s="5" t="s">
        <v>451</v>
      </c>
      <c r="H5" s="1"/>
      <c r="I5" s="1" t="s">
        <v>452</v>
      </c>
      <c r="J5" s="12">
        <f t="shared" ref="J5:J12" si="0">MIN(C5,E5)</f>
        <v>7369.2</v>
      </c>
    </row>
    <row r="6" spans="1:10" ht="25" x14ac:dyDescent="0.35">
      <c r="A6" s="10" t="s">
        <v>453</v>
      </c>
      <c r="B6" s="5" t="s">
        <v>220</v>
      </c>
      <c r="C6" s="12">
        <f>SUMIFS(ORCAMENTO!$G$5:$G$200,ORCAMENTO!$Q$5:$Q$200,"REV|1.2")</f>
        <v>4500</v>
      </c>
      <c r="D6" s="5" t="s">
        <v>454</v>
      </c>
      <c r="E6" s="12">
        <f>SUMIFS(ORCAMENTO!$G$5:$G$200,ORCAMENTO!$Q$5:$Q$200,"LPU|2.1")+SUMIFS(ORCAMENTO!$G$5:$G$200,ORCAMENTO!$Q$5:$Q$200,"LPU|2.2")+SUMIFS(ORCAMENTO!$G$5:$G$200,ORCAMENTO!$Q$5:$Q$200,"LPU|2.3")</f>
        <v>2150</v>
      </c>
      <c r="F6" s="5" t="s">
        <v>455</v>
      </c>
      <c r="G6" s="5" t="s">
        <v>456</v>
      </c>
      <c r="H6" s="1"/>
      <c r="I6" s="1" t="s">
        <v>452</v>
      </c>
      <c r="J6" s="12">
        <f t="shared" si="0"/>
        <v>2150</v>
      </c>
    </row>
    <row r="7" spans="1:10" ht="25" x14ac:dyDescent="0.35">
      <c r="A7" s="10" t="s">
        <v>457</v>
      </c>
      <c r="B7" s="5" t="s">
        <v>224</v>
      </c>
      <c r="C7" s="12">
        <f>SUMIFS(ORCAMENTO!$G$5:$G$200,ORCAMENTO!$Q$5:$Q$200,"REV|1.4")</f>
        <v>2500</v>
      </c>
      <c r="D7" s="5" t="s">
        <v>458</v>
      </c>
      <c r="E7" s="12">
        <f>SUMIFS(ORCAMENTO!$G$5:$G$200,ORCAMENTO!$Q$5:$Q$200,"LPU|5.32")+SUMIFS(ORCAMENTO!$G$5:$G$200,ORCAMENTO!$Q$5:$Q$200,"LPU|6.11")+SUMIFS(ORCAMENTO!$G$5:$G$200,ORCAMENTO!$Q$5:$Q$200,"LPU|6.19")</f>
        <v>5080</v>
      </c>
      <c r="F7" s="5" t="s">
        <v>459</v>
      </c>
      <c r="G7" s="5" t="s">
        <v>460</v>
      </c>
      <c r="H7" s="1"/>
      <c r="I7" s="1" t="s">
        <v>452</v>
      </c>
      <c r="J7" s="12">
        <f t="shared" si="0"/>
        <v>2500</v>
      </c>
    </row>
    <row r="8" spans="1:10" ht="25" x14ac:dyDescent="0.35">
      <c r="A8" s="10" t="s">
        <v>461</v>
      </c>
      <c r="B8" s="5" t="s">
        <v>238</v>
      </c>
      <c r="C8" s="12">
        <f>SUMIFS(ORCAMENTO!$G$5:$G$200,ORCAMENTO!$Q$5:$Q$200,"REV|3.2")</f>
        <v>6500</v>
      </c>
      <c r="D8" s="5" t="s">
        <v>323</v>
      </c>
      <c r="E8" s="12">
        <f>SUMIFS(ORCAMENTO!$G$5:$G$200,ORCAMENTO!$Q$5:$Q$200,"LPU|5.41")</f>
        <v>2600</v>
      </c>
      <c r="F8" s="5" t="s">
        <v>462</v>
      </c>
      <c r="G8" s="5" t="s">
        <v>463</v>
      </c>
      <c r="H8" s="1"/>
      <c r="I8" s="1" t="s">
        <v>452</v>
      </c>
      <c r="J8" s="12">
        <f t="shared" si="0"/>
        <v>2600</v>
      </c>
    </row>
    <row r="9" spans="1:10" ht="25" x14ac:dyDescent="0.35">
      <c r="A9" s="10" t="s">
        <v>464</v>
      </c>
      <c r="B9" s="5" t="s">
        <v>240</v>
      </c>
      <c r="C9" s="12">
        <f>SUMIFS(ORCAMENTO!$G$5:$G$200,ORCAMENTO!$Q$5:$Q$200,"REV|3.3")</f>
        <v>4500</v>
      </c>
      <c r="D9" s="5" t="s">
        <v>465</v>
      </c>
      <c r="E9" s="12">
        <f>SUMIFS(ORCAMENTO!$G$5:$G$200,ORCAMENTO!$Q$5:$Q$200,"LPU|5.47")+SUMIFS(ORCAMENTO!$G$5:$G$200,ORCAMENTO!$Q$5:$Q$200,"LPU|6.16")</f>
        <v>8615.86</v>
      </c>
      <c r="F9" s="5" t="s">
        <v>466</v>
      </c>
      <c r="G9" s="5" t="s">
        <v>467</v>
      </c>
      <c r="H9" s="1"/>
      <c r="I9" s="1" t="s">
        <v>452</v>
      </c>
      <c r="J9" s="12">
        <f t="shared" si="0"/>
        <v>4500</v>
      </c>
    </row>
    <row r="10" spans="1:10" ht="25" x14ac:dyDescent="0.35">
      <c r="A10" s="10" t="s">
        <v>468</v>
      </c>
      <c r="B10" s="5" t="s">
        <v>278</v>
      </c>
      <c r="C10" s="12">
        <f>SUMIFS(ORCAMENTO!$G$5:$G$200,ORCAMENTO!$Q$5:$Q$200,"REV|7.2")</f>
        <v>5000</v>
      </c>
      <c r="D10" s="5" t="s">
        <v>347</v>
      </c>
      <c r="E10" s="12">
        <f>SUMIFS(ORCAMENTO!$G$5:$G$200,ORCAMENTO!$Q$5:$Q$200,"LPU|18.4")</f>
        <v>11000</v>
      </c>
      <c r="F10" s="5" t="s">
        <v>469</v>
      </c>
      <c r="G10" s="5" t="s">
        <v>470</v>
      </c>
      <c r="H10" s="1"/>
      <c r="I10" s="1" t="s">
        <v>452</v>
      </c>
      <c r="J10" s="12">
        <f t="shared" si="0"/>
        <v>5000</v>
      </c>
    </row>
    <row r="11" spans="1:10" ht="25" x14ac:dyDescent="0.35">
      <c r="A11" s="10" t="s">
        <v>471</v>
      </c>
      <c r="B11" s="5" t="s">
        <v>472</v>
      </c>
      <c r="C11" s="12">
        <f>SUMIFS(ORCAMENTO!$G$5:$G$200,ORCAMENTO!$Q$5:$Q$200,"REV|4.5")+SUMIFS(ORCAMENTO!$G$5:$G$200,ORCAMENTO!$Q$5:$Q$200,"REV|4.6")</f>
        <v>11000</v>
      </c>
      <c r="D11" s="5" t="s">
        <v>473</v>
      </c>
      <c r="E11" s="12">
        <f>SUMIFS(ORCAMENTO!$G$5:$G$200,ORCAMENTO!$Q$5:$Q$200,"LPU|1.4")+SUMIFS(ORCAMENTO!$G$5:$G$200,ORCAMENTO!$Q$5:$Q$200,"LPU|41.4")</f>
        <v>5293.4400000000005</v>
      </c>
      <c r="F11" s="5" t="s">
        <v>474</v>
      </c>
      <c r="G11" s="5" t="s">
        <v>475</v>
      </c>
      <c r="H11" s="1"/>
      <c r="I11" s="1" t="s">
        <v>452</v>
      </c>
      <c r="J11" s="12">
        <f t="shared" si="0"/>
        <v>5293.4400000000005</v>
      </c>
    </row>
    <row r="12" spans="1:10" x14ac:dyDescent="0.35">
      <c r="A12" s="10" t="s">
        <v>476</v>
      </c>
      <c r="B12" s="5" t="s">
        <v>282</v>
      </c>
      <c r="C12" s="12">
        <f>SUMIFS(ORCAMENTO!$G$5:$G$200,ORCAMENTO!$Q$5:$Q$200,"REV|7.4")</f>
        <v>6000</v>
      </c>
      <c r="D12" s="5" t="s">
        <v>420</v>
      </c>
      <c r="E12" s="12">
        <f>SUMIFS(ORCAMENTO!$G$5:$G$200,ORCAMENTO!$Q$5:$Q$200,"LPU|38.1")</f>
        <v>7656</v>
      </c>
      <c r="F12" s="5" t="s">
        <v>477</v>
      </c>
      <c r="G12" s="5" t="s">
        <v>478</v>
      </c>
      <c r="H12" s="1"/>
      <c r="I12" s="1" t="s">
        <v>452</v>
      </c>
      <c r="J12" s="12">
        <f t="shared" si="0"/>
        <v>6000</v>
      </c>
    </row>
    <row r="13" spans="1:10" ht="26" x14ac:dyDescent="0.35">
      <c r="A13" s="10" t="s">
        <v>479</v>
      </c>
      <c r="B13" s="5" t="s">
        <v>480</v>
      </c>
      <c r="C13" s="12">
        <v>0</v>
      </c>
      <c r="D13" s="5" t="s">
        <v>481</v>
      </c>
      <c r="E13" s="12">
        <f>SUMIFS(ORCAMENTO!$G$5:$G$200,ORCAMENTO!$Q$5:$Q$200,"LPU|5.42")+SUMIFS(ORCAMENTO!$G$5:$G$200,ORCAMENTO!$Q$5:$Q$200,"LPU|48.68")</f>
        <v>2100</v>
      </c>
      <c r="F13" s="5" t="s">
        <v>482</v>
      </c>
      <c r="G13" s="5" t="s">
        <v>483</v>
      </c>
      <c r="H13" s="1"/>
      <c r="I13" s="1" t="s">
        <v>452</v>
      </c>
      <c r="J13" s="12">
        <f>MIN(SUMIFS(ORCAMENTO!$G$5:$G$200,ORCAMENTO!$Q$5:$Q$200,"LPU|5.42"),SUMIFS(ORCAMENTO!$G$5:$G$200,ORCAMENTO!$Q$5:$Q$200,"LPU|48.68"))</f>
        <v>500</v>
      </c>
    </row>
    <row r="15" spans="1:10" x14ac:dyDescent="0.35">
      <c r="A15" s="10" t="s">
        <v>191</v>
      </c>
      <c r="C15" s="22">
        <f>SUM(C5:C13)</f>
        <v>49500</v>
      </c>
      <c r="E15" s="22">
        <f>SUM(E5:E13)</f>
        <v>51864.5</v>
      </c>
      <c r="J15" s="22">
        <f>SUM(J5:J13)</f>
        <v>35912.639999999999</v>
      </c>
    </row>
  </sheetData>
  <dataValidations count="1">
    <dataValidation type="list" allowBlank="1" sqref="I5:I20" xr:uid="{00000000-0002-0000-0500-000000000000}">
      <formula1>"Aberto,Em negociação,Resolvido"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1" customWidth="1"/>
    <col min="2" max="2" width="6" customWidth="1"/>
    <col min="3" max="3" width="10" customWidth="1"/>
    <col min="4" max="4" width="7" customWidth="1"/>
    <col min="5" max="5" width="30" customWidth="1"/>
    <col min="6" max="6" width="40" customWidth="1"/>
    <col min="7" max="7" width="9" customWidth="1"/>
    <col min="8" max="8" width="7" customWidth="1"/>
    <col min="9" max="9" width="8" customWidth="1"/>
    <col min="10" max="11" width="18" customWidth="1"/>
    <col min="12" max="12" width="22" customWidth="1"/>
    <col min="13" max="14" width="34" customWidth="1"/>
    <col min="15" max="16" width="16" customWidth="1"/>
    <col min="17" max="17" width="10" customWidth="1"/>
  </cols>
  <sheetData>
    <row r="1" spans="1:17" ht="18" x14ac:dyDescent="0.4">
      <c r="A1" s="6" t="s">
        <v>484</v>
      </c>
    </row>
    <row r="2" spans="1:17" x14ac:dyDescent="0.35">
      <c r="A2" s="7" t="s">
        <v>485</v>
      </c>
    </row>
    <row r="4" spans="1:17" ht="31.5" customHeight="1" x14ac:dyDescent="0.35">
      <c r="A4" s="15" t="s">
        <v>486</v>
      </c>
      <c r="B4" s="15" t="s">
        <v>487</v>
      </c>
      <c r="C4" s="15" t="s">
        <v>488</v>
      </c>
      <c r="D4" s="15" t="s">
        <v>209</v>
      </c>
      <c r="E4" s="15" t="s">
        <v>103</v>
      </c>
      <c r="F4" s="15" t="s">
        <v>489</v>
      </c>
      <c r="G4" s="15" t="s">
        <v>206</v>
      </c>
      <c r="H4" s="15" t="s">
        <v>205</v>
      </c>
      <c r="I4" s="15" t="s">
        <v>490</v>
      </c>
      <c r="J4" s="15" t="s">
        <v>491</v>
      </c>
      <c r="K4" s="15" t="s">
        <v>492</v>
      </c>
      <c r="L4" s="15" t="s">
        <v>493</v>
      </c>
      <c r="M4" s="15" t="s">
        <v>494</v>
      </c>
      <c r="N4" s="15" t="s">
        <v>495</v>
      </c>
      <c r="O4" s="15" t="s">
        <v>496</v>
      </c>
      <c r="P4" s="15" t="s">
        <v>497</v>
      </c>
      <c r="Q4" s="15" t="s">
        <v>498</v>
      </c>
    </row>
    <row r="5" spans="1:17" ht="24" x14ac:dyDescent="0.35">
      <c r="A5" s="11" t="s">
        <v>499</v>
      </c>
      <c r="B5" s="11" t="s">
        <v>500</v>
      </c>
      <c r="C5" s="11" t="s">
        <v>501</v>
      </c>
      <c r="D5" s="11">
        <v>6</v>
      </c>
      <c r="E5" s="11" t="s">
        <v>502</v>
      </c>
      <c r="F5" s="11" t="s">
        <v>503</v>
      </c>
      <c r="G5" s="11">
        <v>4</v>
      </c>
      <c r="H5" s="11" t="s">
        <v>504</v>
      </c>
      <c r="I5" s="11">
        <v>5</v>
      </c>
      <c r="J5" s="11" t="s">
        <v>505</v>
      </c>
      <c r="K5" s="11" t="s">
        <v>506</v>
      </c>
      <c r="L5" s="11" t="s">
        <v>507</v>
      </c>
      <c r="M5" s="11" t="s">
        <v>508</v>
      </c>
      <c r="N5" s="11" t="s">
        <v>509</v>
      </c>
      <c r="O5" s="11" t="s">
        <v>510</v>
      </c>
      <c r="P5" s="11" t="s">
        <v>511</v>
      </c>
      <c r="Q5" s="11" t="s">
        <v>512</v>
      </c>
    </row>
    <row r="6" spans="1:17" x14ac:dyDescent="0.35">
      <c r="A6" s="13"/>
      <c r="B6" s="5" t="str">
        <f t="shared" ref="B6:B69" si="0">IF(A6="","",CHOOSE(WEEKDAY(A6,2),"seg","ter","qua","qui","sex","sáb","dom"))</f>
        <v/>
      </c>
      <c r="C6" s="1"/>
      <c r="D6" s="1"/>
      <c r="E6" s="5" t="str">
        <f>IF(D6="","",IFERROR(INDEX(CRONOGRAMA!$D$5:$D$32,MATCH(D6,CRONOGRAMA!$A$5:$A$32,0)),"nº inexistente"))</f>
        <v/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 s="13"/>
      <c r="B7" s="5" t="str">
        <f t="shared" si="0"/>
        <v/>
      </c>
      <c r="C7" s="1"/>
      <c r="D7" s="1"/>
      <c r="E7" s="5" t="str">
        <f>IF(D7="","",IFERROR(INDEX(CRONOGRAMA!$D$5:$D$32,MATCH(D7,CRONOGRAMA!$A$5:$A$32,0)),"nº inexistente"))</f>
        <v/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A8" s="13"/>
      <c r="B8" s="5" t="str">
        <f t="shared" si="0"/>
        <v/>
      </c>
      <c r="C8" s="1"/>
      <c r="D8" s="1"/>
      <c r="E8" s="5" t="str">
        <f>IF(D8="","",IFERROR(INDEX(CRONOGRAMA!$D$5:$D$32,MATCH(D8,CRONOGRAMA!$A$5:$A$32,0)),"nº inexistente"))</f>
        <v/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13"/>
      <c r="B9" s="5" t="str">
        <f t="shared" si="0"/>
        <v/>
      </c>
      <c r="C9" s="1"/>
      <c r="D9" s="1"/>
      <c r="E9" s="5" t="str">
        <f>IF(D9="","",IFERROR(INDEX(CRONOGRAMA!$D$5:$D$32,MATCH(D9,CRONOGRAMA!$A$5:$A$32,0)),"nº inexistente"))</f>
        <v/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5">
      <c r="A10" s="13"/>
      <c r="B10" s="5" t="str">
        <f t="shared" si="0"/>
        <v/>
      </c>
      <c r="C10" s="1"/>
      <c r="D10" s="1"/>
      <c r="E10" s="5" t="str">
        <f>IF(D10="","",IFERROR(INDEX(CRONOGRAMA!$D$5:$D$32,MATCH(D10,CRONOGRAMA!$A$5:$A$32,0)),"nº inexistente"))</f>
        <v/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13"/>
      <c r="B11" s="5" t="str">
        <f t="shared" si="0"/>
        <v/>
      </c>
      <c r="C11" s="1"/>
      <c r="D11" s="1"/>
      <c r="E11" s="5" t="str">
        <f>IF(D11="","",IFERROR(INDEX(CRONOGRAMA!$D$5:$D$32,MATCH(D11,CRONOGRAMA!$A$5:$A$32,0)),"nº inexistente"))</f>
        <v/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 s="13"/>
      <c r="B12" s="5" t="str">
        <f t="shared" si="0"/>
        <v/>
      </c>
      <c r="C12" s="1"/>
      <c r="D12" s="1"/>
      <c r="E12" s="5" t="str">
        <f>IF(D12="","",IFERROR(INDEX(CRONOGRAMA!$D$5:$D$32,MATCH(D12,CRONOGRAMA!$A$5:$A$32,0)),"nº inexistente"))</f>
        <v/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A13" s="13"/>
      <c r="B13" s="5" t="str">
        <f t="shared" si="0"/>
        <v/>
      </c>
      <c r="C13" s="1"/>
      <c r="D13" s="1"/>
      <c r="E13" s="5" t="str">
        <f>IF(D13="","",IFERROR(INDEX(CRONOGRAMA!$D$5:$D$32,MATCH(D13,CRONOGRAMA!$A$5:$A$32,0)),"nº inexistente"))</f>
        <v/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5">
      <c r="A14" s="13"/>
      <c r="B14" s="5" t="str">
        <f t="shared" si="0"/>
        <v/>
      </c>
      <c r="C14" s="1"/>
      <c r="D14" s="1"/>
      <c r="E14" s="5" t="str">
        <f>IF(D14="","",IFERROR(INDEX(CRONOGRAMA!$D$5:$D$32,MATCH(D14,CRONOGRAMA!$A$5:$A$32,0)),"nº inexistente"))</f>
        <v/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A15" s="13"/>
      <c r="B15" s="5" t="str">
        <f t="shared" si="0"/>
        <v/>
      </c>
      <c r="C15" s="1"/>
      <c r="D15" s="1"/>
      <c r="E15" s="5" t="str">
        <f>IF(D15="","",IFERROR(INDEX(CRONOGRAMA!$D$5:$D$32,MATCH(D15,CRONOGRAMA!$A$5:$A$32,0)),"nº inexistente"))</f>
        <v/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5">
      <c r="A16" s="13"/>
      <c r="B16" s="5" t="str">
        <f t="shared" si="0"/>
        <v/>
      </c>
      <c r="C16" s="1"/>
      <c r="D16" s="1"/>
      <c r="E16" s="5" t="str">
        <f>IF(D16="","",IFERROR(INDEX(CRONOGRAMA!$D$5:$D$32,MATCH(D16,CRONOGRAMA!$A$5:$A$32,0)),"nº inexistente"))</f>
        <v/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13"/>
      <c r="B17" s="5" t="str">
        <f t="shared" si="0"/>
        <v/>
      </c>
      <c r="C17" s="1"/>
      <c r="D17" s="1"/>
      <c r="E17" s="5" t="str">
        <f>IF(D17="","",IFERROR(INDEX(CRONOGRAMA!$D$5:$D$32,MATCH(D17,CRONOGRAMA!$A$5:$A$32,0)),"nº inexistente"))</f>
        <v/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13"/>
      <c r="B18" s="5" t="str">
        <f t="shared" si="0"/>
        <v/>
      </c>
      <c r="C18" s="1"/>
      <c r="D18" s="1"/>
      <c r="E18" s="5" t="str">
        <f>IF(D18="","",IFERROR(INDEX(CRONOGRAMA!$D$5:$D$32,MATCH(D18,CRONOGRAMA!$A$5:$A$32,0)),"nº inexistente"))</f>
        <v/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s="13"/>
      <c r="B19" s="5" t="str">
        <f t="shared" si="0"/>
        <v/>
      </c>
      <c r="C19" s="1"/>
      <c r="D19" s="1"/>
      <c r="E19" s="5" t="str">
        <f>IF(D19="","",IFERROR(INDEX(CRONOGRAMA!$D$5:$D$32,MATCH(D19,CRONOGRAMA!$A$5:$A$32,0)),"nº inexistente"))</f>
        <v/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5">
      <c r="A20" s="13"/>
      <c r="B20" s="5" t="str">
        <f t="shared" si="0"/>
        <v/>
      </c>
      <c r="C20" s="1"/>
      <c r="D20" s="1"/>
      <c r="E20" s="5" t="str">
        <f>IF(D20="","",IFERROR(INDEX(CRONOGRAMA!$D$5:$D$32,MATCH(D20,CRONOGRAMA!$A$5:$A$32,0)),"nº inexistente"))</f>
        <v/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5">
      <c r="A21" s="13"/>
      <c r="B21" s="5" t="str">
        <f t="shared" si="0"/>
        <v/>
      </c>
      <c r="C21" s="1"/>
      <c r="D21" s="1"/>
      <c r="E21" s="5" t="str">
        <f>IF(D21="","",IFERROR(INDEX(CRONOGRAMA!$D$5:$D$32,MATCH(D21,CRONOGRAMA!$A$5:$A$32,0)),"nº inexistente"))</f>
        <v/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5">
      <c r="A22" s="13"/>
      <c r="B22" s="5" t="str">
        <f t="shared" si="0"/>
        <v/>
      </c>
      <c r="C22" s="1"/>
      <c r="D22" s="1"/>
      <c r="E22" s="5" t="str">
        <f>IF(D22="","",IFERROR(INDEX(CRONOGRAMA!$D$5:$D$32,MATCH(D22,CRONOGRAMA!$A$5:$A$32,0)),"nº inexistente"))</f>
        <v/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5">
      <c r="A23" s="13"/>
      <c r="B23" s="5" t="str">
        <f t="shared" si="0"/>
        <v/>
      </c>
      <c r="C23" s="1"/>
      <c r="D23" s="1"/>
      <c r="E23" s="5" t="str">
        <f>IF(D23="","",IFERROR(INDEX(CRONOGRAMA!$D$5:$D$32,MATCH(D23,CRONOGRAMA!$A$5:$A$32,0)),"nº inexistente"))</f>
        <v/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5">
      <c r="A24" s="13"/>
      <c r="B24" s="5" t="str">
        <f t="shared" si="0"/>
        <v/>
      </c>
      <c r="C24" s="1"/>
      <c r="D24" s="1"/>
      <c r="E24" s="5" t="str">
        <f>IF(D24="","",IFERROR(INDEX(CRONOGRAMA!$D$5:$D$32,MATCH(D24,CRONOGRAMA!$A$5:$A$32,0)),"nº inexistente"))</f>
        <v/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5">
      <c r="A25" s="13"/>
      <c r="B25" s="5" t="str">
        <f t="shared" si="0"/>
        <v/>
      </c>
      <c r="C25" s="1"/>
      <c r="D25" s="1"/>
      <c r="E25" s="5" t="str">
        <f>IF(D25="","",IFERROR(INDEX(CRONOGRAMA!$D$5:$D$32,MATCH(D25,CRONOGRAMA!$A$5:$A$32,0)),"nº inexistente"))</f>
        <v/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5">
      <c r="A26" s="13"/>
      <c r="B26" s="5" t="str">
        <f t="shared" si="0"/>
        <v/>
      </c>
      <c r="C26" s="1"/>
      <c r="D26" s="1"/>
      <c r="E26" s="5" t="str">
        <f>IF(D26="","",IFERROR(INDEX(CRONOGRAMA!$D$5:$D$32,MATCH(D26,CRONOGRAMA!$A$5:$A$32,0)),"nº inexistente"))</f>
        <v/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5">
      <c r="A27" s="13"/>
      <c r="B27" s="5" t="str">
        <f t="shared" si="0"/>
        <v/>
      </c>
      <c r="C27" s="1"/>
      <c r="D27" s="1"/>
      <c r="E27" s="5" t="str">
        <f>IF(D27="","",IFERROR(INDEX(CRONOGRAMA!$D$5:$D$32,MATCH(D27,CRONOGRAMA!$A$5:$A$32,0)),"nº inexistente"))</f>
        <v/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5">
      <c r="A28" s="13"/>
      <c r="B28" s="5" t="str">
        <f t="shared" si="0"/>
        <v/>
      </c>
      <c r="C28" s="1"/>
      <c r="D28" s="1"/>
      <c r="E28" s="5" t="str">
        <f>IF(D28="","",IFERROR(INDEX(CRONOGRAMA!$D$5:$D$32,MATCH(D28,CRONOGRAMA!$A$5:$A$32,0)),"nº inexistente"))</f>
        <v/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5">
      <c r="A29" s="13"/>
      <c r="B29" s="5" t="str">
        <f t="shared" si="0"/>
        <v/>
      </c>
      <c r="C29" s="1"/>
      <c r="D29" s="1"/>
      <c r="E29" s="5" t="str">
        <f>IF(D29="","",IFERROR(INDEX(CRONOGRAMA!$D$5:$D$32,MATCH(D29,CRONOGRAMA!$A$5:$A$32,0)),"nº inexistente"))</f>
        <v/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5">
      <c r="A30" s="13"/>
      <c r="B30" s="5" t="str">
        <f t="shared" si="0"/>
        <v/>
      </c>
      <c r="C30" s="1"/>
      <c r="D30" s="1"/>
      <c r="E30" s="5" t="str">
        <f>IF(D30="","",IFERROR(INDEX(CRONOGRAMA!$D$5:$D$32,MATCH(D30,CRONOGRAMA!$A$5:$A$32,0)),"nº inexistente"))</f>
        <v/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5">
      <c r="A31" s="13"/>
      <c r="B31" s="5" t="str">
        <f t="shared" si="0"/>
        <v/>
      </c>
      <c r="C31" s="1"/>
      <c r="D31" s="1"/>
      <c r="E31" s="5" t="str">
        <f>IF(D31="","",IFERROR(INDEX(CRONOGRAMA!$D$5:$D$32,MATCH(D31,CRONOGRAMA!$A$5:$A$32,0)),"nº inexistente"))</f>
        <v/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5">
      <c r="A32" s="13"/>
      <c r="B32" s="5" t="str">
        <f t="shared" si="0"/>
        <v/>
      </c>
      <c r="C32" s="1"/>
      <c r="D32" s="1"/>
      <c r="E32" s="5" t="str">
        <f>IF(D32="","",IFERROR(INDEX(CRONOGRAMA!$D$5:$D$32,MATCH(D32,CRONOGRAMA!$A$5:$A$32,0)),"nº inexistente"))</f>
        <v/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5">
      <c r="A33" s="13"/>
      <c r="B33" s="5" t="str">
        <f t="shared" si="0"/>
        <v/>
      </c>
      <c r="C33" s="1"/>
      <c r="D33" s="1"/>
      <c r="E33" s="5" t="str">
        <f>IF(D33="","",IFERROR(INDEX(CRONOGRAMA!$D$5:$D$32,MATCH(D33,CRONOGRAMA!$A$5:$A$32,0)),"nº inexistente"))</f>
        <v/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5">
      <c r="A34" s="13"/>
      <c r="B34" s="5" t="str">
        <f t="shared" si="0"/>
        <v/>
      </c>
      <c r="C34" s="1"/>
      <c r="D34" s="1"/>
      <c r="E34" s="5" t="str">
        <f>IF(D34="","",IFERROR(INDEX(CRONOGRAMA!$D$5:$D$32,MATCH(D34,CRONOGRAMA!$A$5:$A$32,0)),"nº inexistente"))</f>
        <v/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5">
      <c r="A35" s="13"/>
      <c r="B35" s="5" t="str">
        <f t="shared" si="0"/>
        <v/>
      </c>
      <c r="C35" s="1"/>
      <c r="D35" s="1"/>
      <c r="E35" s="5" t="str">
        <f>IF(D35="","",IFERROR(INDEX(CRONOGRAMA!$D$5:$D$32,MATCH(D35,CRONOGRAMA!$A$5:$A$32,0)),"nº inexistente"))</f>
        <v/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5">
      <c r="A36" s="13"/>
      <c r="B36" s="5" t="str">
        <f t="shared" si="0"/>
        <v/>
      </c>
      <c r="C36" s="1"/>
      <c r="D36" s="1"/>
      <c r="E36" s="5" t="str">
        <f>IF(D36="","",IFERROR(INDEX(CRONOGRAMA!$D$5:$D$32,MATCH(D36,CRONOGRAMA!$A$5:$A$32,0)),"nº inexistente"))</f>
        <v/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5">
      <c r="A37" s="13"/>
      <c r="B37" s="5" t="str">
        <f t="shared" si="0"/>
        <v/>
      </c>
      <c r="C37" s="1"/>
      <c r="D37" s="1"/>
      <c r="E37" s="5" t="str">
        <f>IF(D37="","",IFERROR(INDEX(CRONOGRAMA!$D$5:$D$32,MATCH(D37,CRONOGRAMA!$A$5:$A$32,0)),"nº inexistente"))</f>
        <v/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5">
      <c r="A38" s="13"/>
      <c r="B38" s="5" t="str">
        <f t="shared" si="0"/>
        <v/>
      </c>
      <c r="C38" s="1"/>
      <c r="D38" s="1"/>
      <c r="E38" s="5" t="str">
        <f>IF(D38="","",IFERROR(INDEX(CRONOGRAMA!$D$5:$D$32,MATCH(D38,CRONOGRAMA!$A$5:$A$32,0)),"nº inexistente"))</f>
        <v/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5">
      <c r="A39" s="13"/>
      <c r="B39" s="5" t="str">
        <f t="shared" si="0"/>
        <v/>
      </c>
      <c r="C39" s="1"/>
      <c r="D39" s="1"/>
      <c r="E39" s="5" t="str">
        <f>IF(D39="","",IFERROR(INDEX(CRONOGRAMA!$D$5:$D$32,MATCH(D39,CRONOGRAMA!$A$5:$A$32,0)),"nº inexistente"))</f>
        <v/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5">
      <c r="A40" s="13"/>
      <c r="B40" s="5" t="str">
        <f t="shared" si="0"/>
        <v/>
      </c>
      <c r="C40" s="1"/>
      <c r="D40" s="1"/>
      <c r="E40" s="5" t="str">
        <f>IF(D40="","",IFERROR(INDEX(CRONOGRAMA!$D$5:$D$32,MATCH(D40,CRONOGRAMA!$A$5:$A$32,0)),"nº inexistente"))</f>
        <v/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5">
      <c r="A41" s="13"/>
      <c r="B41" s="5" t="str">
        <f t="shared" si="0"/>
        <v/>
      </c>
      <c r="C41" s="1"/>
      <c r="D41" s="1"/>
      <c r="E41" s="5" t="str">
        <f>IF(D41="","",IFERROR(INDEX(CRONOGRAMA!$D$5:$D$32,MATCH(D41,CRONOGRAMA!$A$5:$A$32,0)),"nº inexistente"))</f>
        <v/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5">
      <c r="A42" s="13"/>
      <c r="B42" s="5" t="str">
        <f t="shared" si="0"/>
        <v/>
      </c>
      <c r="C42" s="1"/>
      <c r="D42" s="1"/>
      <c r="E42" s="5" t="str">
        <f>IF(D42="","",IFERROR(INDEX(CRONOGRAMA!$D$5:$D$32,MATCH(D42,CRONOGRAMA!$A$5:$A$32,0)),"nº inexistente"))</f>
        <v/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5">
      <c r="A43" s="13"/>
      <c r="B43" s="5" t="str">
        <f t="shared" si="0"/>
        <v/>
      </c>
      <c r="C43" s="1"/>
      <c r="D43" s="1"/>
      <c r="E43" s="5" t="str">
        <f>IF(D43="","",IFERROR(INDEX(CRONOGRAMA!$D$5:$D$32,MATCH(D43,CRONOGRAMA!$A$5:$A$32,0)),"nº inexistente"))</f>
        <v/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5">
      <c r="A44" s="13"/>
      <c r="B44" s="5" t="str">
        <f t="shared" si="0"/>
        <v/>
      </c>
      <c r="C44" s="1"/>
      <c r="D44" s="1"/>
      <c r="E44" s="5" t="str">
        <f>IF(D44="","",IFERROR(INDEX(CRONOGRAMA!$D$5:$D$32,MATCH(D44,CRONOGRAMA!$A$5:$A$32,0)),"nº inexistente"))</f>
        <v/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5">
      <c r="A45" s="13"/>
      <c r="B45" s="5" t="str">
        <f t="shared" si="0"/>
        <v/>
      </c>
      <c r="C45" s="1"/>
      <c r="D45" s="1"/>
      <c r="E45" s="5" t="str">
        <f>IF(D45="","",IFERROR(INDEX(CRONOGRAMA!$D$5:$D$32,MATCH(D45,CRONOGRAMA!$A$5:$A$32,0)),"nº inexistente"))</f>
        <v/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5">
      <c r="A46" s="13"/>
      <c r="B46" s="5" t="str">
        <f t="shared" si="0"/>
        <v/>
      </c>
      <c r="C46" s="1"/>
      <c r="D46" s="1"/>
      <c r="E46" s="5" t="str">
        <f>IF(D46="","",IFERROR(INDEX(CRONOGRAMA!$D$5:$D$32,MATCH(D46,CRONOGRAMA!$A$5:$A$32,0)),"nº inexistente"))</f>
        <v/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5">
      <c r="A47" s="13"/>
      <c r="B47" s="5" t="str">
        <f t="shared" si="0"/>
        <v/>
      </c>
      <c r="C47" s="1"/>
      <c r="D47" s="1"/>
      <c r="E47" s="5" t="str">
        <f>IF(D47="","",IFERROR(INDEX(CRONOGRAMA!$D$5:$D$32,MATCH(D47,CRONOGRAMA!$A$5:$A$32,0)),"nº inexistente"))</f>
        <v/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5">
      <c r="A48" s="13"/>
      <c r="B48" s="5" t="str">
        <f t="shared" si="0"/>
        <v/>
      </c>
      <c r="C48" s="1"/>
      <c r="D48" s="1"/>
      <c r="E48" s="5" t="str">
        <f>IF(D48="","",IFERROR(INDEX(CRONOGRAMA!$D$5:$D$32,MATCH(D48,CRONOGRAMA!$A$5:$A$32,0)),"nº inexistente"))</f>
        <v/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5">
      <c r="A49" s="13"/>
      <c r="B49" s="5" t="str">
        <f t="shared" si="0"/>
        <v/>
      </c>
      <c r="C49" s="1"/>
      <c r="D49" s="1"/>
      <c r="E49" s="5" t="str">
        <f>IF(D49="","",IFERROR(INDEX(CRONOGRAMA!$D$5:$D$32,MATCH(D49,CRONOGRAMA!$A$5:$A$32,0)),"nº inexistente"))</f>
        <v/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5">
      <c r="A50" s="13"/>
      <c r="B50" s="5" t="str">
        <f t="shared" si="0"/>
        <v/>
      </c>
      <c r="C50" s="1"/>
      <c r="D50" s="1"/>
      <c r="E50" s="5" t="str">
        <f>IF(D50="","",IFERROR(INDEX(CRONOGRAMA!$D$5:$D$32,MATCH(D50,CRONOGRAMA!$A$5:$A$32,0)),"nº inexistente"))</f>
        <v/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5">
      <c r="A51" s="13"/>
      <c r="B51" s="5" t="str">
        <f t="shared" si="0"/>
        <v/>
      </c>
      <c r="C51" s="1"/>
      <c r="D51" s="1"/>
      <c r="E51" s="5" t="str">
        <f>IF(D51="","",IFERROR(INDEX(CRONOGRAMA!$D$5:$D$32,MATCH(D51,CRONOGRAMA!$A$5:$A$32,0)),"nº inexistente"))</f>
        <v/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5">
      <c r="A52" s="13"/>
      <c r="B52" s="5" t="str">
        <f t="shared" si="0"/>
        <v/>
      </c>
      <c r="C52" s="1"/>
      <c r="D52" s="1"/>
      <c r="E52" s="5" t="str">
        <f>IF(D52="","",IFERROR(INDEX(CRONOGRAMA!$D$5:$D$32,MATCH(D52,CRONOGRAMA!$A$5:$A$32,0)),"nº inexistente"))</f>
        <v/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5">
      <c r="A53" s="13"/>
      <c r="B53" s="5" t="str">
        <f t="shared" si="0"/>
        <v/>
      </c>
      <c r="C53" s="1"/>
      <c r="D53" s="1"/>
      <c r="E53" s="5" t="str">
        <f>IF(D53="","",IFERROR(INDEX(CRONOGRAMA!$D$5:$D$32,MATCH(D53,CRONOGRAMA!$A$5:$A$32,0)),"nº inexistente"))</f>
        <v/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5">
      <c r="A54" s="13"/>
      <c r="B54" s="5" t="str">
        <f t="shared" si="0"/>
        <v/>
      </c>
      <c r="C54" s="1"/>
      <c r="D54" s="1"/>
      <c r="E54" s="5" t="str">
        <f>IF(D54="","",IFERROR(INDEX(CRONOGRAMA!$D$5:$D$32,MATCH(D54,CRONOGRAMA!$A$5:$A$32,0)),"nº inexistente"))</f>
        <v/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5">
      <c r="A55" s="13"/>
      <c r="B55" s="5" t="str">
        <f t="shared" si="0"/>
        <v/>
      </c>
      <c r="C55" s="1"/>
      <c r="D55" s="1"/>
      <c r="E55" s="5" t="str">
        <f>IF(D55="","",IFERROR(INDEX(CRONOGRAMA!$D$5:$D$32,MATCH(D55,CRONOGRAMA!$A$5:$A$32,0)),"nº inexistente"))</f>
        <v/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5">
      <c r="A56" s="13"/>
      <c r="B56" s="5" t="str">
        <f t="shared" si="0"/>
        <v/>
      </c>
      <c r="C56" s="1"/>
      <c r="D56" s="1"/>
      <c r="E56" s="5" t="str">
        <f>IF(D56="","",IFERROR(INDEX(CRONOGRAMA!$D$5:$D$32,MATCH(D56,CRONOGRAMA!$A$5:$A$32,0)),"nº inexistente"))</f>
        <v/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5">
      <c r="A57" s="13"/>
      <c r="B57" s="5" t="str">
        <f t="shared" si="0"/>
        <v/>
      </c>
      <c r="C57" s="1"/>
      <c r="D57" s="1"/>
      <c r="E57" s="5" t="str">
        <f>IF(D57="","",IFERROR(INDEX(CRONOGRAMA!$D$5:$D$32,MATCH(D57,CRONOGRAMA!$A$5:$A$32,0)),"nº inexistente"))</f>
        <v/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5">
      <c r="A58" s="13"/>
      <c r="B58" s="5" t="str">
        <f t="shared" si="0"/>
        <v/>
      </c>
      <c r="C58" s="1"/>
      <c r="D58" s="1"/>
      <c r="E58" s="5" t="str">
        <f>IF(D58="","",IFERROR(INDEX(CRONOGRAMA!$D$5:$D$32,MATCH(D58,CRONOGRAMA!$A$5:$A$32,0)),"nº inexistente"))</f>
        <v/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5">
      <c r="A59" s="13"/>
      <c r="B59" s="5" t="str">
        <f t="shared" si="0"/>
        <v/>
      </c>
      <c r="C59" s="1"/>
      <c r="D59" s="1"/>
      <c r="E59" s="5" t="str">
        <f>IF(D59="","",IFERROR(INDEX(CRONOGRAMA!$D$5:$D$32,MATCH(D59,CRONOGRAMA!$A$5:$A$32,0)),"nº inexistente"))</f>
        <v/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5">
      <c r="A60" s="13"/>
      <c r="B60" s="5" t="str">
        <f t="shared" si="0"/>
        <v/>
      </c>
      <c r="C60" s="1"/>
      <c r="D60" s="1"/>
      <c r="E60" s="5" t="str">
        <f>IF(D60="","",IFERROR(INDEX(CRONOGRAMA!$D$5:$D$32,MATCH(D60,CRONOGRAMA!$A$5:$A$32,0)),"nº inexistente"))</f>
        <v/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5">
      <c r="A61" s="13"/>
      <c r="B61" s="5" t="str">
        <f t="shared" si="0"/>
        <v/>
      </c>
      <c r="C61" s="1"/>
      <c r="D61" s="1"/>
      <c r="E61" s="5" t="str">
        <f>IF(D61="","",IFERROR(INDEX(CRONOGRAMA!$D$5:$D$32,MATCH(D61,CRONOGRAMA!$A$5:$A$32,0)),"nº inexistente"))</f>
        <v/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5">
      <c r="A62" s="13"/>
      <c r="B62" s="5" t="str">
        <f t="shared" si="0"/>
        <v/>
      </c>
      <c r="C62" s="1"/>
      <c r="D62" s="1"/>
      <c r="E62" s="5" t="str">
        <f>IF(D62="","",IFERROR(INDEX(CRONOGRAMA!$D$5:$D$32,MATCH(D62,CRONOGRAMA!$A$5:$A$32,0)),"nº inexistente"))</f>
        <v/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5">
      <c r="A63" s="13"/>
      <c r="B63" s="5" t="str">
        <f t="shared" si="0"/>
        <v/>
      </c>
      <c r="C63" s="1"/>
      <c r="D63" s="1"/>
      <c r="E63" s="5" t="str">
        <f>IF(D63="","",IFERROR(INDEX(CRONOGRAMA!$D$5:$D$32,MATCH(D63,CRONOGRAMA!$A$5:$A$32,0)),"nº inexistente"))</f>
        <v/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5">
      <c r="A64" s="13"/>
      <c r="B64" s="5" t="str">
        <f t="shared" si="0"/>
        <v/>
      </c>
      <c r="C64" s="1"/>
      <c r="D64" s="1"/>
      <c r="E64" s="5" t="str">
        <f>IF(D64="","",IFERROR(INDEX(CRONOGRAMA!$D$5:$D$32,MATCH(D64,CRONOGRAMA!$A$5:$A$32,0)),"nº inexistente"))</f>
        <v/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5">
      <c r="A65" s="13"/>
      <c r="B65" s="5" t="str">
        <f t="shared" si="0"/>
        <v/>
      </c>
      <c r="C65" s="1"/>
      <c r="D65" s="1"/>
      <c r="E65" s="5" t="str">
        <f>IF(D65="","",IFERROR(INDEX(CRONOGRAMA!$D$5:$D$32,MATCH(D65,CRONOGRAMA!$A$5:$A$32,0)),"nº inexistente"))</f>
        <v/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5">
      <c r="A66" s="13"/>
      <c r="B66" s="5" t="str">
        <f t="shared" si="0"/>
        <v/>
      </c>
      <c r="C66" s="1"/>
      <c r="D66" s="1"/>
      <c r="E66" s="5" t="str">
        <f>IF(D66="","",IFERROR(INDEX(CRONOGRAMA!$D$5:$D$32,MATCH(D66,CRONOGRAMA!$A$5:$A$32,0)),"nº inexistente"))</f>
        <v/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5">
      <c r="A67" s="13"/>
      <c r="B67" s="5" t="str">
        <f t="shared" si="0"/>
        <v/>
      </c>
      <c r="C67" s="1"/>
      <c r="D67" s="1"/>
      <c r="E67" s="5" t="str">
        <f>IF(D67="","",IFERROR(INDEX(CRONOGRAMA!$D$5:$D$32,MATCH(D67,CRONOGRAMA!$A$5:$A$32,0)),"nº inexistente"))</f>
        <v/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5">
      <c r="A68" s="13"/>
      <c r="B68" s="5" t="str">
        <f t="shared" si="0"/>
        <v/>
      </c>
      <c r="C68" s="1"/>
      <c r="D68" s="1"/>
      <c r="E68" s="5" t="str">
        <f>IF(D68="","",IFERROR(INDEX(CRONOGRAMA!$D$5:$D$32,MATCH(D68,CRONOGRAMA!$A$5:$A$32,0)),"nº inexistente"))</f>
        <v/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5">
      <c r="A69" s="13"/>
      <c r="B69" s="5" t="str">
        <f t="shared" si="0"/>
        <v/>
      </c>
      <c r="C69" s="1"/>
      <c r="D69" s="1"/>
      <c r="E69" s="5" t="str">
        <f>IF(D69="","",IFERROR(INDEX(CRONOGRAMA!$D$5:$D$32,MATCH(D69,CRONOGRAMA!$A$5:$A$32,0)),"nº inexistente"))</f>
        <v/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5">
      <c r="A70" s="13"/>
      <c r="B70" s="5" t="str">
        <f t="shared" ref="B70:B133" si="1">IF(A70="","",CHOOSE(WEEKDAY(A70,2),"seg","ter","qua","qui","sex","sáb","dom"))</f>
        <v/>
      </c>
      <c r="C70" s="1"/>
      <c r="D70" s="1"/>
      <c r="E70" s="5" t="str">
        <f>IF(D70="","",IFERROR(INDEX(CRONOGRAMA!$D$5:$D$32,MATCH(D70,CRONOGRAMA!$A$5:$A$32,0)),"nº inexistente"))</f>
        <v/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5">
      <c r="A71" s="13"/>
      <c r="B71" s="5" t="str">
        <f t="shared" si="1"/>
        <v/>
      </c>
      <c r="C71" s="1"/>
      <c r="D71" s="1"/>
      <c r="E71" s="5" t="str">
        <f>IF(D71="","",IFERROR(INDEX(CRONOGRAMA!$D$5:$D$32,MATCH(D71,CRONOGRAMA!$A$5:$A$32,0)),"nº inexistente"))</f>
        <v/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5">
      <c r="A72" s="13"/>
      <c r="B72" s="5" t="str">
        <f t="shared" si="1"/>
        <v/>
      </c>
      <c r="C72" s="1"/>
      <c r="D72" s="1"/>
      <c r="E72" s="5" t="str">
        <f>IF(D72="","",IFERROR(INDEX(CRONOGRAMA!$D$5:$D$32,MATCH(D72,CRONOGRAMA!$A$5:$A$32,0)),"nº inexistente"))</f>
        <v/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5">
      <c r="A73" s="13"/>
      <c r="B73" s="5" t="str">
        <f t="shared" si="1"/>
        <v/>
      </c>
      <c r="C73" s="1"/>
      <c r="D73" s="1"/>
      <c r="E73" s="5" t="str">
        <f>IF(D73="","",IFERROR(INDEX(CRONOGRAMA!$D$5:$D$32,MATCH(D73,CRONOGRAMA!$A$5:$A$32,0)),"nº inexistente"))</f>
        <v/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5">
      <c r="A74" s="13"/>
      <c r="B74" s="5" t="str">
        <f t="shared" si="1"/>
        <v/>
      </c>
      <c r="C74" s="1"/>
      <c r="D74" s="1"/>
      <c r="E74" s="5" t="str">
        <f>IF(D74="","",IFERROR(INDEX(CRONOGRAMA!$D$5:$D$32,MATCH(D74,CRONOGRAMA!$A$5:$A$32,0)),"nº inexistente"))</f>
        <v/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5">
      <c r="A75" s="13"/>
      <c r="B75" s="5" t="str">
        <f t="shared" si="1"/>
        <v/>
      </c>
      <c r="C75" s="1"/>
      <c r="D75" s="1"/>
      <c r="E75" s="5" t="str">
        <f>IF(D75="","",IFERROR(INDEX(CRONOGRAMA!$D$5:$D$32,MATCH(D75,CRONOGRAMA!$A$5:$A$32,0)),"nº inexistente"))</f>
        <v/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5">
      <c r="A76" s="13"/>
      <c r="B76" s="5" t="str">
        <f t="shared" si="1"/>
        <v/>
      </c>
      <c r="C76" s="1"/>
      <c r="D76" s="1"/>
      <c r="E76" s="5" t="str">
        <f>IF(D76="","",IFERROR(INDEX(CRONOGRAMA!$D$5:$D$32,MATCH(D76,CRONOGRAMA!$A$5:$A$32,0)),"nº inexistente"))</f>
        <v/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5">
      <c r="A77" s="13"/>
      <c r="B77" s="5" t="str">
        <f t="shared" si="1"/>
        <v/>
      </c>
      <c r="C77" s="1"/>
      <c r="D77" s="1"/>
      <c r="E77" s="5" t="str">
        <f>IF(D77="","",IFERROR(INDEX(CRONOGRAMA!$D$5:$D$32,MATCH(D77,CRONOGRAMA!$A$5:$A$32,0)),"nº inexistente"))</f>
        <v/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5">
      <c r="A78" s="13"/>
      <c r="B78" s="5" t="str">
        <f t="shared" si="1"/>
        <v/>
      </c>
      <c r="C78" s="1"/>
      <c r="D78" s="1"/>
      <c r="E78" s="5" t="str">
        <f>IF(D78="","",IFERROR(INDEX(CRONOGRAMA!$D$5:$D$32,MATCH(D78,CRONOGRAMA!$A$5:$A$32,0)),"nº inexistente"))</f>
        <v/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5">
      <c r="A79" s="13"/>
      <c r="B79" s="5" t="str">
        <f t="shared" si="1"/>
        <v/>
      </c>
      <c r="C79" s="1"/>
      <c r="D79" s="1"/>
      <c r="E79" s="5" t="str">
        <f>IF(D79="","",IFERROR(INDEX(CRONOGRAMA!$D$5:$D$32,MATCH(D79,CRONOGRAMA!$A$5:$A$32,0)),"nº inexistente"))</f>
        <v/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5">
      <c r="A80" s="13"/>
      <c r="B80" s="5" t="str">
        <f t="shared" si="1"/>
        <v/>
      </c>
      <c r="C80" s="1"/>
      <c r="D80" s="1"/>
      <c r="E80" s="5" t="str">
        <f>IF(D80="","",IFERROR(INDEX(CRONOGRAMA!$D$5:$D$32,MATCH(D80,CRONOGRAMA!$A$5:$A$32,0)),"nº inexistente"))</f>
        <v/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5">
      <c r="A81" s="13"/>
      <c r="B81" s="5" t="str">
        <f t="shared" si="1"/>
        <v/>
      </c>
      <c r="C81" s="1"/>
      <c r="D81" s="1"/>
      <c r="E81" s="5" t="str">
        <f>IF(D81="","",IFERROR(INDEX(CRONOGRAMA!$D$5:$D$32,MATCH(D81,CRONOGRAMA!$A$5:$A$32,0)),"nº inexistente"))</f>
        <v/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5">
      <c r="A82" s="13"/>
      <c r="B82" s="5" t="str">
        <f t="shared" si="1"/>
        <v/>
      </c>
      <c r="C82" s="1"/>
      <c r="D82" s="1"/>
      <c r="E82" s="5" t="str">
        <f>IF(D82="","",IFERROR(INDEX(CRONOGRAMA!$D$5:$D$32,MATCH(D82,CRONOGRAMA!$A$5:$A$32,0)),"nº inexistente"))</f>
        <v/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5">
      <c r="A83" s="13"/>
      <c r="B83" s="5" t="str">
        <f t="shared" si="1"/>
        <v/>
      </c>
      <c r="C83" s="1"/>
      <c r="D83" s="1"/>
      <c r="E83" s="5" t="str">
        <f>IF(D83="","",IFERROR(INDEX(CRONOGRAMA!$D$5:$D$32,MATCH(D83,CRONOGRAMA!$A$5:$A$32,0)),"nº inexistente"))</f>
        <v/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5">
      <c r="A84" s="13"/>
      <c r="B84" s="5" t="str">
        <f t="shared" si="1"/>
        <v/>
      </c>
      <c r="C84" s="1"/>
      <c r="D84" s="1"/>
      <c r="E84" s="5" t="str">
        <f>IF(D84="","",IFERROR(INDEX(CRONOGRAMA!$D$5:$D$32,MATCH(D84,CRONOGRAMA!$A$5:$A$32,0)),"nº inexistente"))</f>
        <v/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5">
      <c r="A85" s="13"/>
      <c r="B85" s="5" t="str">
        <f t="shared" si="1"/>
        <v/>
      </c>
      <c r="C85" s="1"/>
      <c r="D85" s="1"/>
      <c r="E85" s="5" t="str">
        <f>IF(D85="","",IFERROR(INDEX(CRONOGRAMA!$D$5:$D$32,MATCH(D85,CRONOGRAMA!$A$5:$A$32,0)),"nº inexistente"))</f>
        <v/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5">
      <c r="A86" s="13"/>
      <c r="B86" s="5" t="str">
        <f t="shared" si="1"/>
        <v/>
      </c>
      <c r="C86" s="1"/>
      <c r="D86" s="1"/>
      <c r="E86" s="5" t="str">
        <f>IF(D86="","",IFERROR(INDEX(CRONOGRAMA!$D$5:$D$32,MATCH(D86,CRONOGRAMA!$A$5:$A$32,0)),"nº inexistente"))</f>
        <v/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5">
      <c r="A87" s="13"/>
      <c r="B87" s="5" t="str">
        <f t="shared" si="1"/>
        <v/>
      </c>
      <c r="C87" s="1"/>
      <c r="D87" s="1"/>
      <c r="E87" s="5" t="str">
        <f>IF(D87="","",IFERROR(INDEX(CRONOGRAMA!$D$5:$D$32,MATCH(D87,CRONOGRAMA!$A$5:$A$32,0)),"nº inexistente"))</f>
        <v/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5">
      <c r="A88" s="13"/>
      <c r="B88" s="5" t="str">
        <f t="shared" si="1"/>
        <v/>
      </c>
      <c r="C88" s="1"/>
      <c r="D88" s="1"/>
      <c r="E88" s="5" t="str">
        <f>IF(D88="","",IFERROR(INDEX(CRONOGRAMA!$D$5:$D$32,MATCH(D88,CRONOGRAMA!$A$5:$A$32,0)),"nº inexistente"))</f>
        <v/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5">
      <c r="A89" s="13"/>
      <c r="B89" s="5" t="str">
        <f t="shared" si="1"/>
        <v/>
      </c>
      <c r="C89" s="1"/>
      <c r="D89" s="1"/>
      <c r="E89" s="5" t="str">
        <f>IF(D89="","",IFERROR(INDEX(CRONOGRAMA!$D$5:$D$32,MATCH(D89,CRONOGRAMA!$A$5:$A$32,0)),"nº inexistente"))</f>
        <v/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5">
      <c r="A90" s="13"/>
      <c r="B90" s="5" t="str">
        <f t="shared" si="1"/>
        <v/>
      </c>
      <c r="C90" s="1"/>
      <c r="D90" s="1"/>
      <c r="E90" s="5" t="str">
        <f>IF(D90="","",IFERROR(INDEX(CRONOGRAMA!$D$5:$D$32,MATCH(D90,CRONOGRAMA!$A$5:$A$32,0)),"nº inexistente"))</f>
        <v/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5">
      <c r="A91" s="13"/>
      <c r="B91" s="5" t="str">
        <f t="shared" si="1"/>
        <v/>
      </c>
      <c r="C91" s="1"/>
      <c r="D91" s="1"/>
      <c r="E91" s="5" t="str">
        <f>IF(D91="","",IFERROR(INDEX(CRONOGRAMA!$D$5:$D$32,MATCH(D91,CRONOGRAMA!$A$5:$A$32,0)),"nº inexistente"))</f>
        <v/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5">
      <c r="A92" s="13"/>
      <c r="B92" s="5" t="str">
        <f t="shared" si="1"/>
        <v/>
      </c>
      <c r="C92" s="1"/>
      <c r="D92" s="1"/>
      <c r="E92" s="5" t="str">
        <f>IF(D92="","",IFERROR(INDEX(CRONOGRAMA!$D$5:$D$32,MATCH(D92,CRONOGRAMA!$A$5:$A$32,0)),"nº inexistente"))</f>
        <v/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5">
      <c r="A93" s="13"/>
      <c r="B93" s="5" t="str">
        <f t="shared" si="1"/>
        <v/>
      </c>
      <c r="C93" s="1"/>
      <c r="D93" s="1"/>
      <c r="E93" s="5" t="str">
        <f>IF(D93="","",IFERROR(INDEX(CRONOGRAMA!$D$5:$D$32,MATCH(D93,CRONOGRAMA!$A$5:$A$32,0)),"nº inexistente"))</f>
        <v/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5">
      <c r="A94" s="13"/>
      <c r="B94" s="5" t="str">
        <f t="shared" si="1"/>
        <v/>
      </c>
      <c r="C94" s="1"/>
      <c r="D94" s="1"/>
      <c r="E94" s="5" t="str">
        <f>IF(D94="","",IFERROR(INDEX(CRONOGRAMA!$D$5:$D$32,MATCH(D94,CRONOGRAMA!$A$5:$A$32,0)),"nº inexistente"))</f>
        <v/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5">
      <c r="A95" s="13"/>
      <c r="B95" s="5" t="str">
        <f t="shared" si="1"/>
        <v/>
      </c>
      <c r="C95" s="1"/>
      <c r="D95" s="1"/>
      <c r="E95" s="5" t="str">
        <f>IF(D95="","",IFERROR(INDEX(CRONOGRAMA!$D$5:$D$32,MATCH(D95,CRONOGRAMA!$A$5:$A$32,0)),"nº inexistente"))</f>
        <v/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35">
      <c r="A96" s="13"/>
      <c r="B96" s="5" t="str">
        <f t="shared" si="1"/>
        <v/>
      </c>
      <c r="C96" s="1"/>
      <c r="D96" s="1"/>
      <c r="E96" s="5" t="str">
        <f>IF(D96="","",IFERROR(INDEX(CRONOGRAMA!$D$5:$D$32,MATCH(D96,CRONOGRAMA!$A$5:$A$32,0)),"nº inexistente"))</f>
        <v/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5">
      <c r="A97" s="13"/>
      <c r="B97" s="5" t="str">
        <f t="shared" si="1"/>
        <v/>
      </c>
      <c r="C97" s="1"/>
      <c r="D97" s="1"/>
      <c r="E97" s="5" t="str">
        <f>IF(D97="","",IFERROR(INDEX(CRONOGRAMA!$D$5:$D$32,MATCH(D97,CRONOGRAMA!$A$5:$A$32,0)),"nº inexistente"))</f>
        <v/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5">
      <c r="A98" s="13"/>
      <c r="B98" s="5" t="str">
        <f t="shared" si="1"/>
        <v/>
      </c>
      <c r="C98" s="1"/>
      <c r="D98" s="1"/>
      <c r="E98" s="5" t="str">
        <f>IF(D98="","",IFERROR(INDEX(CRONOGRAMA!$D$5:$D$32,MATCH(D98,CRONOGRAMA!$A$5:$A$32,0)),"nº inexistente"))</f>
        <v/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5">
      <c r="A99" s="13"/>
      <c r="B99" s="5" t="str">
        <f t="shared" si="1"/>
        <v/>
      </c>
      <c r="C99" s="1"/>
      <c r="D99" s="1"/>
      <c r="E99" s="5" t="str">
        <f>IF(D99="","",IFERROR(INDEX(CRONOGRAMA!$D$5:$D$32,MATCH(D99,CRONOGRAMA!$A$5:$A$32,0)),"nº inexistente"))</f>
        <v/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5">
      <c r="A100" s="13"/>
      <c r="B100" s="5" t="str">
        <f t="shared" si="1"/>
        <v/>
      </c>
      <c r="C100" s="1"/>
      <c r="D100" s="1"/>
      <c r="E100" s="5" t="str">
        <f>IF(D100="","",IFERROR(INDEX(CRONOGRAMA!$D$5:$D$32,MATCH(D100,CRONOGRAMA!$A$5:$A$32,0)),"nº inexistente"))</f>
        <v/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35">
      <c r="A101" s="13"/>
      <c r="B101" s="5" t="str">
        <f t="shared" si="1"/>
        <v/>
      </c>
      <c r="C101" s="1"/>
      <c r="D101" s="1"/>
      <c r="E101" s="5" t="str">
        <f>IF(D101="","",IFERROR(INDEX(CRONOGRAMA!$D$5:$D$32,MATCH(D101,CRONOGRAMA!$A$5:$A$32,0)),"nº inexistente"))</f>
        <v/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35">
      <c r="A102" s="13"/>
      <c r="B102" s="5" t="str">
        <f t="shared" si="1"/>
        <v/>
      </c>
      <c r="C102" s="1"/>
      <c r="D102" s="1"/>
      <c r="E102" s="5" t="str">
        <f>IF(D102="","",IFERROR(INDEX(CRONOGRAMA!$D$5:$D$32,MATCH(D102,CRONOGRAMA!$A$5:$A$32,0)),"nº inexistente"))</f>
        <v/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35">
      <c r="A103" s="13"/>
      <c r="B103" s="5" t="str">
        <f t="shared" si="1"/>
        <v/>
      </c>
      <c r="C103" s="1"/>
      <c r="D103" s="1"/>
      <c r="E103" s="5" t="str">
        <f>IF(D103="","",IFERROR(INDEX(CRONOGRAMA!$D$5:$D$32,MATCH(D103,CRONOGRAMA!$A$5:$A$32,0)),"nº inexistente"))</f>
        <v/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5">
      <c r="A104" s="13"/>
      <c r="B104" s="5" t="str">
        <f t="shared" si="1"/>
        <v/>
      </c>
      <c r="C104" s="1"/>
      <c r="D104" s="1"/>
      <c r="E104" s="5" t="str">
        <f>IF(D104="","",IFERROR(INDEX(CRONOGRAMA!$D$5:$D$32,MATCH(D104,CRONOGRAMA!$A$5:$A$32,0)),"nº inexistente"))</f>
        <v/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5">
      <c r="A105" s="13"/>
      <c r="B105" s="5" t="str">
        <f t="shared" si="1"/>
        <v/>
      </c>
      <c r="C105" s="1"/>
      <c r="D105" s="1"/>
      <c r="E105" s="5" t="str">
        <f>IF(D105="","",IFERROR(INDEX(CRONOGRAMA!$D$5:$D$32,MATCH(D105,CRONOGRAMA!$A$5:$A$32,0)),"nº inexistente"))</f>
        <v/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5">
      <c r="A106" s="13"/>
      <c r="B106" s="5" t="str">
        <f t="shared" si="1"/>
        <v/>
      </c>
      <c r="C106" s="1"/>
      <c r="D106" s="1"/>
      <c r="E106" s="5" t="str">
        <f>IF(D106="","",IFERROR(INDEX(CRONOGRAMA!$D$5:$D$32,MATCH(D106,CRONOGRAMA!$A$5:$A$32,0)),"nº inexistente"))</f>
        <v/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35">
      <c r="A107" s="13"/>
      <c r="B107" s="5" t="str">
        <f t="shared" si="1"/>
        <v/>
      </c>
      <c r="C107" s="1"/>
      <c r="D107" s="1"/>
      <c r="E107" s="5" t="str">
        <f>IF(D107="","",IFERROR(INDEX(CRONOGRAMA!$D$5:$D$32,MATCH(D107,CRONOGRAMA!$A$5:$A$32,0)),"nº inexistente"))</f>
        <v/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35">
      <c r="A108" s="13"/>
      <c r="B108" s="5" t="str">
        <f t="shared" si="1"/>
        <v/>
      </c>
      <c r="C108" s="1"/>
      <c r="D108" s="1"/>
      <c r="E108" s="5" t="str">
        <f>IF(D108="","",IFERROR(INDEX(CRONOGRAMA!$D$5:$D$32,MATCH(D108,CRONOGRAMA!$A$5:$A$32,0)),"nº inexistente"))</f>
        <v/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5">
      <c r="A109" s="13"/>
      <c r="B109" s="5" t="str">
        <f t="shared" si="1"/>
        <v/>
      </c>
      <c r="C109" s="1"/>
      <c r="D109" s="1"/>
      <c r="E109" s="5" t="str">
        <f>IF(D109="","",IFERROR(INDEX(CRONOGRAMA!$D$5:$D$32,MATCH(D109,CRONOGRAMA!$A$5:$A$32,0)),"nº inexistente"))</f>
        <v/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35">
      <c r="A110" s="13"/>
      <c r="B110" s="5" t="str">
        <f t="shared" si="1"/>
        <v/>
      </c>
      <c r="C110" s="1"/>
      <c r="D110" s="1"/>
      <c r="E110" s="5" t="str">
        <f>IF(D110="","",IFERROR(INDEX(CRONOGRAMA!$D$5:$D$32,MATCH(D110,CRONOGRAMA!$A$5:$A$32,0)),"nº inexistente"))</f>
        <v/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5">
      <c r="A111" s="13"/>
      <c r="B111" s="5" t="str">
        <f t="shared" si="1"/>
        <v/>
      </c>
      <c r="C111" s="1"/>
      <c r="D111" s="1"/>
      <c r="E111" s="5" t="str">
        <f>IF(D111="","",IFERROR(INDEX(CRONOGRAMA!$D$5:$D$32,MATCH(D111,CRONOGRAMA!$A$5:$A$32,0)),"nº inexistente"))</f>
        <v/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35">
      <c r="A112" s="13"/>
      <c r="B112" s="5" t="str">
        <f t="shared" si="1"/>
        <v/>
      </c>
      <c r="C112" s="1"/>
      <c r="D112" s="1"/>
      <c r="E112" s="5" t="str">
        <f>IF(D112="","",IFERROR(INDEX(CRONOGRAMA!$D$5:$D$32,MATCH(D112,CRONOGRAMA!$A$5:$A$32,0)),"nº inexistente"))</f>
        <v/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35">
      <c r="A113" s="13"/>
      <c r="B113" s="5" t="str">
        <f t="shared" si="1"/>
        <v/>
      </c>
      <c r="C113" s="1"/>
      <c r="D113" s="1"/>
      <c r="E113" s="5" t="str">
        <f>IF(D113="","",IFERROR(INDEX(CRONOGRAMA!$D$5:$D$32,MATCH(D113,CRONOGRAMA!$A$5:$A$32,0)),"nº inexistente"))</f>
        <v/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35">
      <c r="A114" s="13"/>
      <c r="B114" s="5" t="str">
        <f t="shared" si="1"/>
        <v/>
      </c>
      <c r="C114" s="1"/>
      <c r="D114" s="1"/>
      <c r="E114" s="5" t="str">
        <f>IF(D114="","",IFERROR(INDEX(CRONOGRAMA!$D$5:$D$32,MATCH(D114,CRONOGRAMA!$A$5:$A$32,0)),"nº inexistente"))</f>
        <v/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35">
      <c r="A115" s="13"/>
      <c r="B115" s="5" t="str">
        <f t="shared" si="1"/>
        <v/>
      </c>
      <c r="C115" s="1"/>
      <c r="D115" s="1"/>
      <c r="E115" s="5" t="str">
        <f>IF(D115="","",IFERROR(INDEX(CRONOGRAMA!$D$5:$D$32,MATCH(D115,CRONOGRAMA!$A$5:$A$32,0)),"nº inexistente"))</f>
        <v/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35">
      <c r="A116" s="13"/>
      <c r="B116" s="5" t="str">
        <f t="shared" si="1"/>
        <v/>
      </c>
      <c r="C116" s="1"/>
      <c r="D116" s="1"/>
      <c r="E116" s="5" t="str">
        <f>IF(D116="","",IFERROR(INDEX(CRONOGRAMA!$D$5:$D$32,MATCH(D116,CRONOGRAMA!$A$5:$A$32,0)),"nº inexistente"))</f>
        <v/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35">
      <c r="A117" s="13"/>
      <c r="B117" s="5" t="str">
        <f t="shared" si="1"/>
        <v/>
      </c>
      <c r="C117" s="1"/>
      <c r="D117" s="1"/>
      <c r="E117" s="5" t="str">
        <f>IF(D117="","",IFERROR(INDEX(CRONOGRAMA!$D$5:$D$32,MATCH(D117,CRONOGRAMA!$A$5:$A$32,0)),"nº inexistente"))</f>
        <v/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35">
      <c r="A118" s="13"/>
      <c r="B118" s="5" t="str">
        <f t="shared" si="1"/>
        <v/>
      </c>
      <c r="C118" s="1"/>
      <c r="D118" s="1"/>
      <c r="E118" s="5" t="str">
        <f>IF(D118="","",IFERROR(INDEX(CRONOGRAMA!$D$5:$D$32,MATCH(D118,CRONOGRAMA!$A$5:$A$32,0)),"nº inexistente"))</f>
        <v/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5">
      <c r="A119" s="13"/>
      <c r="B119" s="5" t="str">
        <f t="shared" si="1"/>
        <v/>
      </c>
      <c r="C119" s="1"/>
      <c r="D119" s="1"/>
      <c r="E119" s="5" t="str">
        <f>IF(D119="","",IFERROR(INDEX(CRONOGRAMA!$D$5:$D$32,MATCH(D119,CRONOGRAMA!$A$5:$A$32,0)),"nº inexistente"))</f>
        <v/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5">
      <c r="A120" s="13"/>
      <c r="B120" s="5" t="str">
        <f t="shared" si="1"/>
        <v/>
      </c>
      <c r="C120" s="1"/>
      <c r="D120" s="1"/>
      <c r="E120" s="5" t="str">
        <f>IF(D120="","",IFERROR(INDEX(CRONOGRAMA!$D$5:$D$32,MATCH(D120,CRONOGRAMA!$A$5:$A$32,0)),"nº inexistente"))</f>
        <v/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5">
      <c r="A121" s="13"/>
      <c r="B121" s="5" t="str">
        <f t="shared" si="1"/>
        <v/>
      </c>
      <c r="C121" s="1"/>
      <c r="D121" s="1"/>
      <c r="E121" s="5" t="str">
        <f>IF(D121="","",IFERROR(INDEX(CRONOGRAMA!$D$5:$D$32,MATCH(D121,CRONOGRAMA!$A$5:$A$32,0)),"nº inexistente"))</f>
        <v/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5">
      <c r="A122" s="13"/>
      <c r="B122" s="5" t="str">
        <f t="shared" si="1"/>
        <v/>
      </c>
      <c r="C122" s="1"/>
      <c r="D122" s="1"/>
      <c r="E122" s="5" t="str">
        <f>IF(D122="","",IFERROR(INDEX(CRONOGRAMA!$D$5:$D$32,MATCH(D122,CRONOGRAMA!$A$5:$A$32,0)),"nº inexistente"))</f>
        <v/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5">
      <c r="A123" s="13"/>
      <c r="B123" s="5" t="str">
        <f t="shared" si="1"/>
        <v/>
      </c>
      <c r="C123" s="1"/>
      <c r="D123" s="1"/>
      <c r="E123" s="5" t="str">
        <f>IF(D123="","",IFERROR(INDEX(CRONOGRAMA!$D$5:$D$32,MATCH(D123,CRONOGRAMA!$A$5:$A$32,0)),"nº inexistente"))</f>
        <v/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35">
      <c r="A124" s="13"/>
      <c r="B124" s="5" t="str">
        <f t="shared" si="1"/>
        <v/>
      </c>
      <c r="C124" s="1"/>
      <c r="D124" s="1"/>
      <c r="E124" s="5" t="str">
        <f>IF(D124="","",IFERROR(INDEX(CRONOGRAMA!$D$5:$D$32,MATCH(D124,CRONOGRAMA!$A$5:$A$32,0)),"nº inexistente"))</f>
        <v/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5">
      <c r="A125" s="13"/>
      <c r="B125" s="5" t="str">
        <f t="shared" si="1"/>
        <v/>
      </c>
      <c r="C125" s="1"/>
      <c r="D125" s="1"/>
      <c r="E125" s="5" t="str">
        <f>IF(D125="","",IFERROR(INDEX(CRONOGRAMA!$D$5:$D$32,MATCH(D125,CRONOGRAMA!$A$5:$A$32,0)),"nº inexistente"))</f>
        <v/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5">
      <c r="A126" s="13"/>
      <c r="B126" s="5" t="str">
        <f t="shared" si="1"/>
        <v/>
      </c>
      <c r="C126" s="1"/>
      <c r="D126" s="1"/>
      <c r="E126" s="5" t="str">
        <f>IF(D126="","",IFERROR(INDEX(CRONOGRAMA!$D$5:$D$32,MATCH(D126,CRONOGRAMA!$A$5:$A$32,0)),"nº inexistente"))</f>
        <v/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5">
      <c r="A127" s="13"/>
      <c r="B127" s="5" t="str">
        <f t="shared" si="1"/>
        <v/>
      </c>
      <c r="C127" s="1"/>
      <c r="D127" s="1"/>
      <c r="E127" s="5" t="str">
        <f>IF(D127="","",IFERROR(INDEX(CRONOGRAMA!$D$5:$D$32,MATCH(D127,CRONOGRAMA!$A$5:$A$32,0)),"nº inexistente"))</f>
        <v/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5">
      <c r="A128" s="13"/>
      <c r="B128" s="5" t="str">
        <f t="shared" si="1"/>
        <v/>
      </c>
      <c r="C128" s="1"/>
      <c r="D128" s="1"/>
      <c r="E128" s="5" t="str">
        <f>IF(D128="","",IFERROR(INDEX(CRONOGRAMA!$D$5:$D$32,MATCH(D128,CRONOGRAMA!$A$5:$A$32,0)),"nº inexistente"))</f>
        <v/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5">
      <c r="A129" s="13"/>
      <c r="B129" s="5" t="str">
        <f t="shared" si="1"/>
        <v/>
      </c>
      <c r="C129" s="1"/>
      <c r="D129" s="1"/>
      <c r="E129" s="5" t="str">
        <f>IF(D129="","",IFERROR(INDEX(CRONOGRAMA!$D$5:$D$32,MATCH(D129,CRONOGRAMA!$A$5:$A$32,0)),"nº inexistente"))</f>
        <v/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5">
      <c r="A130" s="13"/>
      <c r="B130" s="5" t="str">
        <f t="shared" si="1"/>
        <v/>
      </c>
      <c r="C130" s="1"/>
      <c r="D130" s="1"/>
      <c r="E130" s="5" t="str">
        <f>IF(D130="","",IFERROR(INDEX(CRONOGRAMA!$D$5:$D$32,MATCH(D130,CRONOGRAMA!$A$5:$A$32,0)),"nº inexistente"))</f>
        <v/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5">
      <c r="A131" s="13"/>
      <c r="B131" s="5" t="str">
        <f t="shared" si="1"/>
        <v/>
      </c>
      <c r="C131" s="1"/>
      <c r="D131" s="1"/>
      <c r="E131" s="5" t="str">
        <f>IF(D131="","",IFERROR(INDEX(CRONOGRAMA!$D$5:$D$32,MATCH(D131,CRONOGRAMA!$A$5:$A$32,0)),"nº inexistente"))</f>
        <v/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5">
      <c r="A132" s="13"/>
      <c r="B132" s="5" t="str">
        <f t="shared" si="1"/>
        <v/>
      </c>
      <c r="C132" s="1"/>
      <c r="D132" s="1"/>
      <c r="E132" s="5" t="str">
        <f>IF(D132="","",IFERROR(INDEX(CRONOGRAMA!$D$5:$D$32,MATCH(D132,CRONOGRAMA!$A$5:$A$32,0)),"nº inexistente"))</f>
        <v/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5">
      <c r="A133" s="13"/>
      <c r="B133" s="5" t="str">
        <f t="shared" si="1"/>
        <v/>
      </c>
      <c r="C133" s="1"/>
      <c r="D133" s="1"/>
      <c r="E133" s="5" t="str">
        <f>IF(D133="","",IFERROR(INDEX(CRONOGRAMA!$D$5:$D$32,MATCH(D133,CRONOGRAMA!$A$5:$A$32,0)),"nº inexistente"))</f>
        <v/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5">
      <c r="A134" s="13"/>
      <c r="B134" s="5" t="str">
        <f t="shared" ref="B134:B197" si="2">IF(A134="","",CHOOSE(WEEKDAY(A134,2),"seg","ter","qua","qui","sex","sáb","dom"))</f>
        <v/>
      </c>
      <c r="C134" s="1"/>
      <c r="D134" s="1"/>
      <c r="E134" s="5" t="str">
        <f>IF(D134="","",IFERROR(INDEX(CRONOGRAMA!$D$5:$D$32,MATCH(D134,CRONOGRAMA!$A$5:$A$32,0)),"nº inexistente"))</f>
        <v/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35">
      <c r="A135" s="13"/>
      <c r="B135" s="5" t="str">
        <f t="shared" si="2"/>
        <v/>
      </c>
      <c r="C135" s="1"/>
      <c r="D135" s="1"/>
      <c r="E135" s="5" t="str">
        <f>IF(D135="","",IFERROR(INDEX(CRONOGRAMA!$D$5:$D$32,MATCH(D135,CRONOGRAMA!$A$5:$A$32,0)),"nº inexistente"))</f>
        <v/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35">
      <c r="A136" s="13"/>
      <c r="B136" s="5" t="str">
        <f t="shared" si="2"/>
        <v/>
      </c>
      <c r="C136" s="1"/>
      <c r="D136" s="1"/>
      <c r="E136" s="5" t="str">
        <f>IF(D136="","",IFERROR(INDEX(CRONOGRAMA!$D$5:$D$32,MATCH(D136,CRONOGRAMA!$A$5:$A$32,0)),"nº inexistente"))</f>
        <v/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35">
      <c r="A137" s="13"/>
      <c r="B137" s="5" t="str">
        <f t="shared" si="2"/>
        <v/>
      </c>
      <c r="C137" s="1"/>
      <c r="D137" s="1"/>
      <c r="E137" s="5" t="str">
        <f>IF(D137="","",IFERROR(INDEX(CRONOGRAMA!$D$5:$D$32,MATCH(D137,CRONOGRAMA!$A$5:$A$32,0)),"nº inexistente"))</f>
        <v/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5">
      <c r="A138" s="13"/>
      <c r="B138" s="5" t="str">
        <f t="shared" si="2"/>
        <v/>
      </c>
      <c r="C138" s="1"/>
      <c r="D138" s="1"/>
      <c r="E138" s="5" t="str">
        <f>IF(D138="","",IFERROR(INDEX(CRONOGRAMA!$D$5:$D$32,MATCH(D138,CRONOGRAMA!$A$5:$A$32,0)),"nº inexistente"))</f>
        <v/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5">
      <c r="A139" s="13"/>
      <c r="B139" s="5" t="str">
        <f t="shared" si="2"/>
        <v/>
      </c>
      <c r="C139" s="1"/>
      <c r="D139" s="1"/>
      <c r="E139" s="5" t="str">
        <f>IF(D139="","",IFERROR(INDEX(CRONOGRAMA!$D$5:$D$32,MATCH(D139,CRONOGRAMA!$A$5:$A$32,0)),"nº inexistente"))</f>
        <v/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5">
      <c r="A140" s="13"/>
      <c r="B140" s="5" t="str">
        <f t="shared" si="2"/>
        <v/>
      </c>
      <c r="C140" s="1"/>
      <c r="D140" s="1"/>
      <c r="E140" s="5" t="str">
        <f>IF(D140="","",IFERROR(INDEX(CRONOGRAMA!$D$5:$D$32,MATCH(D140,CRONOGRAMA!$A$5:$A$32,0)),"nº inexistente"))</f>
        <v/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5">
      <c r="A141" s="13"/>
      <c r="B141" s="5" t="str">
        <f t="shared" si="2"/>
        <v/>
      </c>
      <c r="C141" s="1"/>
      <c r="D141" s="1"/>
      <c r="E141" s="5" t="str">
        <f>IF(D141="","",IFERROR(INDEX(CRONOGRAMA!$D$5:$D$32,MATCH(D141,CRONOGRAMA!$A$5:$A$32,0)),"nº inexistente"))</f>
        <v/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5">
      <c r="A142" s="13"/>
      <c r="B142" s="5" t="str">
        <f t="shared" si="2"/>
        <v/>
      </c>
      <c r="C142" s="1"/>
      <c r="D142" s="1"/>
      <c r="E142" s="5" t="str">
        <f>IF(D142="","",IFERROR(INDEX(CRONOGRAMA!$D$5:$D$32,MATCH(D142,CRONOGRAMA!$A$5:$A$32,0)),"nº inexistente"))</f>
        <v/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5">
      <c r="A143" s="13"/>
      <c r="B143" s="5" t="str">
        <f t="shared" si="2"/>
        <v/>
      </c>
      <c r="C143" s="1"/>
      <c r="D143" s="1"/>
      <c r="E143" s="5" t="str">
        <f>IF(D143="","",IFERROR(INDEX(CRONOGRAMA!$D$5:$D$32,MATCH(D143,CRONOGRAMA!$A$5:$A$32,0)),"nº inexistente"))</f>
        <v/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5">
      <c r="A144" s="13"/>
      <c r="B144" s="5" t="str">
        <f t="shared" si="2"/>
        <v/>
      </c>
      <c r="C144" s="1"/>
      <c r="D144" s="1"/>
      <c r="E144" s="5" t="str">
        <f>IF(D144="","",IFERROR(INDEX(CRONOGRAMA!$D$5:$D$32,MATCH(D144,CRONOGRAMA!$A$5:$A$32,0)),"nº inexistente"))</f>
        <v/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5">
      <c r="A145" s="13"/>
      <c r="B145" s="5" t="str">
        <f t="shared" si="2"/>
        <v/>
      </c>
      <c r="C145" s="1"/>
      <c r="D145" s="1"/>
      <c r="E145" s="5" t="str">
        <f>IF(D145="","",IFERROR(INDEX(CRONOGRAMA!$D$5:$D$32,MATCH(D145,CRONOGRAMA!$A$5:$A$32,0)),"nº inexistente"))</f>
        <v/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35">
      <c r="A146" s="13"/>
      <c r="B146" s="5" t="str">
        <f t="shared" si="2"/>
        <v/>
      </c>
      <c r="C146" s="1"/>
      <c r="D146" s="1"/>
      <c r="E146" s="5" t="str">
        <f>IF(D146="","",IFERROR(INDEX(CRONOGRAMA!$D$5:$D$32,MATCH(D146,CRONOGRAMA!$A$5:$A$32,0)),"nº inexistente"))</f>
        <v/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35">
      <c r="A147" s="13"/>
      <c r="B147" s="5" t="str">
        <f t="shared" si="2"/>
        <v/>
      </c>
      <c r="C147" s="1"/>
      <c r="D147" s="1"/>
      <c r="E147" s="5" t="str">
        <f>IF(D147="","",IFERROR(INDEX(CRONOGRAMA!$D$5:$D$32,MATCH(D147,CRONOGRAMA!$A$5:$A$32,0)),"nº inexistente"))</f>
        <v/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35">
      <c r="A148" s="13"/>
      <c r="B148" s="5" t="str">
        <f t="shared" si="2"/>
        <v/>
      </c>
      <c r="C148" s="1"/>
      <c r="D148" s="1"/>
      <c r="E148" s="5" t="str">
        <f>IF(D148="","",IFERROR(INDEX(CRONOGRAMA!$D$5:$D$32,MATCH(D148,CRONOGRAMA!$A$5:$A$32,0)),"nº inexistente"))</f>
        <v/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35">
      <c r="A149" s="13"/>
      <c r="B149" s="5" t="str">
        <f t="shared" si="2"/>
        <v/>
      </c>
      <c r="C149" s="1"/>
      <c r="D149" s="1"/>
      <c r="E149" s="5" t="str">
        <f>IF(D149="","",IFERROR(INDEX(CRONOGRAMA!$D$5:$D$32,MATCH(D149,CRONOGRAMA!$A$5:$A$32,0)),"nº inexistente"))</f>
        <v/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35">
      <c r="A150" s="13"/>
      <c r="B150" s="5" t="str">
        <f t="shared" si="2"/>
        <v/>
      </c>
      <c r="C150" s="1"/>
      <c r="D150" s="1"/>
      <c r="E150" s="5" t="str">
        <f>IF(D150="","",IFERROR(INDEX(CRONOGRAMA!$D$5:$D$32,MATCH(D150,CRONOGRAMA!$A$5:$A$32,0)),"nº inexistente"))</f>
        <v/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35">
      <c r="A151" s="13"/>
      <c r="B151" s="5" t="str">
        <f t="shared" si="2"/>
        <v/>
      </c>
      <c r="C151" s="1"/>
      <c r="D151" s="1"/>
      <c r="E151" s="5" t="str">
        <f>IF(D151="","",IFERROR(INDEX(CRONOGRAMA!$D$5:$D$32,MATCH(D151,CRONOGRAMA!$A$5:$A$32,0)),"nº inexistente"))</f>
        <v/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35">
      <c r="A152" s="13"/>
      <c r="B152" s="5" t="str">
        <f t="shared" si="2"/>
        <v/>
      </c>
      <c r="C152" s="1"/>
      <c r="D152" s="1"/>
      <c r="E152" s="5" t="str">
        <f>IF(D152="","",IFERROR(INDEX(CRONOGRAMA!$D$5:$D$32,MATCH(D152,CRONOGRAMA!$A$5:$A$32,0)),"nº inexistente"))</f>
        <v/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35">
      <c r="A153" s="13"/>
      <c r="B153" s="5" t="str">
        <f t="shared" si="2"/>
        <v/>
      </c>
      <c r="C153" s="1"/>
      <c r="D153" s="1"/>
      <c r="E153" s="5" t="str">
        <f>IF(D153="","",IFERROR(INDEX(CRONOGRAMA!$D$5:$D$32,MATCH(D153,CRONOGRAMA!$A$5:$A$32,0)),"nº inexistente"))</f>
        <v/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35">
      <c r="A154" s="13"/>
      <c r="B154" s="5" t="str">
        <f t="shared" si="2"/>
        <v/>
      </c>
      <c r="C154" s="1"/>
      <c r="D154" s="1"/>
      <c r="E154" s="5" t="str">
        <f>IF(D154="","",IFERROR(INDEX(CRONOGRAMA!$D$5:$D$32,MATCH(D154,CRONOGRAMA!$A$5:$A$32,0)),"nº inexistente"))</f>
        <v/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35">
      <c r="A155" s="13"/>
      <c r="B155" s="5" t="str">
        <f t="shared" si="2"/>
        <v/>
      </c>
      <c r="C155" s="1"/>
      <c r="D155" s="1"/>
      <c r="E155" s="5" t="str">
        <f>IF(D155="","",IFERROR(INDEX(CRONOGRAMA!$D$5:$D$32,MATCH(D155,CRONOGRAMA!$A$5:$A$32,0)),"nº inexistente"))</f>
        <v/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35">
      <c r="A156" s="13"/>
      <c r="B156" s="5" t="str">
        <f t="shared" si="2"/>
        <v/>
      </c>
      <c r="C156" s="1"/>
      <c r="D156" s="1"/>
      <c r="E156" s="5" t="str">
        <f>IF(D156="","",IFERROR(INDEX(CRONOGRAMA!$D$5:$D$32,MATCH(D156,CRONOGRAMA!$A$5:$A$32,0)),"nº inexistente"))</f>
        <v/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35">
      <c r="A157" s="13"/>
      <c r="B157" s="5" t="str">
        <f t="shared" si="2"/>
        <v/>
      </c>
      <c r="C157" s="1"/>
      <c r="D157" s="1"/>
      <c r="E157" s="5" t="str">
        <f>IF(D157="","",IFERROR(INDEX(CRONOGRAMA!$D$5:$D$32,MATCH(D157,CRONOGRAMA!$A$5:$A$32,0)),"nº inexistente"))</f>
        <v/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35">
      <c r="A158" s="13"/>
      <c r="B158" s="5" t="str">
        <f t="shared" si="2"/>
        <v/>
      </c>
      <c r="C158" s="1"/>
      <c r="D158" s="1"/>
      <c r="E158" s="5" t="str">
        <f>IF(D158="","",IFERROR(INDEX(CRONOGRAMA!$D$5:$D$32,MATCH(D158,CRONOGRAMA!$A$5:$A$32,0)),"nº inexistente"))</f>
        <v/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35">
      <c r="A159" s="13"/>
      <c r="B159" s="5" t="str">
        <f t="shared" si="2"/>
        <v/>
      </c>
      <c r="C159" s="1"/>
      <c r="D159" s="1"/>
      <c r="E159" s="5" t="str">
        <f>IF(D159="","",IFERROR(INDEX(CRONOGRAMA!$D$5:$D$32,MATCH(D159,CRONOGRAMA!$A$5:$A$32,0)),"nº inexistente"))</f>
        <v/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35">
      <c r="A160" s="13"/>
      <c r="B160" s="5" t="str">
        <f t="shared" si="2"/>
        <v/>
      </c>
      <c r="C160" s="1"/>
      <c r="D160" s="1"/>
      <c r="E160" s="5" t="str">
        <f>IF(D160="","",IFERROR(INDEX(CRONOGRAMA!$D$5:$D$32,MATCH(D160,CRONOGRAMA!$A$5:$A$32,0)),"nº inexistente"))</f>
        <v/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35">
      <c r="A161" s="13"/>
      <c r="B161" s="5" t="str">
        <f t="shared" si="2"/>
        <v/>
      </c>
      <c r="C161" s="1"/>
      <c r="D161" s="1"/>
      <c r="E161" s="5" t="str">
        <f>IF(D161="","",IFERROR(INDEX(CRONOGRAMA!$D$5:$D$32,MATCH(D161,CRONOGRAMA!$A$5:$A$32,0)),"nº inexistente"))</f>
        <v/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35">
      <c r="A162" s="13"/>
      <c r="B162" s="5" t="str">
        <f t="shared" si="2"/>
        <v/>
      </c>
      <c r="C162" s="1"/>
      <c r="D162" s="1"/>
      <c r="E162" s="5" t="str">
        <f>IF(D162="","",IFERROR(INDEX(CRONOGRAMA!$D$5:$D$32,MATCH(D162,CRONOGRAMA!$A$5:$A$32,0)),"nº inexistente"))</f>
        <v/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35">
      <c r="A163" s="13"/>
      <c r="B163" s="5" t="str">
        <f t="shared" si="2"/>
        <v/>
      </c>
      <c r="C163" s="1"/>
      <c r="D163" s="1"/>
      <c r="E163" s="5" t="str">
        <f>IF(D163="","",IFERROR(INDEX(CRONOGRAMA!$D$5:$D$32,MATCH(D163,CRONOGRAMA!$A$5:$A$32,0)),"nº inexistente"))</f>
        <v/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35">
      <c r="A164" s="13"/>
      <c r="B164" s="5" t="str">
        <f t="shared" si="2"/>
        <v/>
      </c>
      <c r="C164" s="1"/>
      <c r="D164" s="1"/>
      <c r="E164" s="5" t="str">
        <f>IF(D164="","",IFERROR(INDEX(CRONOGRAMA!$D$5:$D$32,MATCH(D164,CRONOGRAMA!$A$5:$A$32,0)),"nº inexistente"))</f>
        <v/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35">
      <c r="A165" s="13"/>
      <c r="B165" s="5" t="str">
        <f t="shared" si="2"/>
        <v/>
      </c>
      <c r="C165" s="1"/>
      <c r="D165" s="1"/>
      <c r="E165" s="5" t="str">
        <f>IF(D165="","",IFERROR(INDEX(CRONOGRAMA!$D$5:$D$32,MATCH(D165,CRONOGRAMA!$A$5:$A$32,0)),"nº inexistente"))</f>
        <v/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35">
      <c r="A166" s="13"/>
      <c r="B166" s="5" t="str">
        <f t="shared" si="2"/>
        <v/>
      </c>
      <c r="C166" s="1"/>
      <c r="D166" s="1"/>
      <c r="E166" s="5" t="str">
        <f>IF(D166="","",IFERROR(INDEX(CRONOGRAMA!$D$5:$D$32,MATCH(D166,CRONOGRAMA!$A$5:$A$32,0)),"nº inexistente"))</f>
        <v/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35">
      <c r="A167" s="13"/>
      <c r="B167" s="5" t="str">
        <f t="shared" si="2"/>
        <v/>
      </c>
      <c r="C167" s="1"/>
      <c r="D167" s="1"/>
      <c r="E167" s="5" t="str">
        <f>IF(D167="","",IFERROR(INDEX(CRONOGRAMA!$D$5:$D$32,MATCH(D167,CRONOGRAMA!$A$5:$A$32,0)),"nº inexistente"))</f>
        <v/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35">
      <c r="A168" s="13"/>
      <c r="B168" s="5" t="str">
        <f t="shared" si="2"/>
        <v/>
      </c>
      <c r="C168" s="1"/>
      <c r="D168" s="1"/>
      <c r="E168" s="5" t="str">
        <f>IF(D168="","",IFERROR(INDEX(CRONOGRAMA!$D$5:$D$32,MATCH(D168,CRONOGRAMA!$A$5:$A$32,0)),"nº inexistente"))</f>
        <v/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35">
      <c r="A169" s="13"/>
      <c r="B169" s="5" t="str">
        <f t="shared" si="2"/>
        <v/>
      </c>
      <c r="C169" s="1"/>
      <c r="D169" s="1"/>
      <c r="E169" s="5" t="str">
        <f>IF(D169="","",IFERROR(INDEX(CRONOGRAMA!$D$5:$D$32,MATCH(D169,CRONOGRAMA!$A$5:$A$32,0)),"nº inexistente"))</f>
        <v/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35">
      <c r="A170" s="13"/>
      <c r="B170" s="5" t="str">
        <f t="shared" si="2"/>
        <v/>
      </c>
      <c r="C170" s="1"/>
      <c r="D170" s="1"/>
      <c r="E170" s="5" t="str">
        <f>IF(D170="","",IFERROR(INDEX(CRONOGRAMA!$D$5:$D$32,MATCH(D170,CRONOGRAMA!$A$5:$A$32,0)),"nº inexistente"))</f>
        <v/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35">
      <c r="A171" s="13"/>
      <c r="B171" s="5" t="str">
        <f t="shared" si="2"/>
        <v/>
      </c>
      <c r="C171" s="1"/>
      <c r="D171" s="1"/>
      <c r="E171" s="5" t="str">
        <f>IF(D171="","",IFERROR(INDEX(CRONOGRAMA!$D$5:$D$32,MATCH(D171,CRONOGRAMA!$A$5:$A$32,0)),"nº inexistente"))</f>
        <v/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35">
      <c r="A172" s="13"/>
      <c r="B172" s="5" t="str">
        <f t="shared" si="2"/>
        <v/>
      </c>
      <c r="C172" s="1"/>
      <c r="D172" s="1"/>
      <c r="E172" s="5" t="str">
        <f>IF(D172="","",IFERROR(INDEX(CRONOGRAMA!$D$5:$D$32,MATCH(D172,CRONOGRAMA!$A$5:$A$32,0)),"nº inexistente"))</f>
        <v/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35">
      <c r="A173" s="13"/>
      <c r="B173" s="5" t="str">
        <f t="shared" si="2"/>
        <v/>
      </c>
      <c r="C173" s="1"/>
      <c r="D173" s="1"/>
      <c r="E173" s="5" t="str">
        <f>IF(D173="","",IFERROR(INDEX(CRONOGRAMA!$D$5:$D$32,MATCH(D173,CRONOGRAMA!$A$5:$A$32,0)),"nº inexistente"))</f>
        <v/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35">
      <c r="A174" s="13"/>
      <c r="B174" s="5" t="str">
        <f t="shared" si="2"/>
        <v/>
      </c>
      <c r="C174" s="1"/>
      <c r="D174" s="1"/>
      <c r="E174" s="5" t="str">
        <f>IF(D174="","",IFERROR(INDEX(CRONOGRAMA!$D$5:$D$32,MATCH(D174,CRONOGRAMA!$A$5:$A$32,0)),"nº inexistente"))</f>
        <v/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35">
      <c r="A175" s="13"/>
      <c r="B175" s="5" t="str">
        <f t="shared" si="2"/>
        <v/>
      </c>
      <c r="C175" s="1"/>
      <c r="D175" s="1"/>
      <c r="E175" s="5" t="str">
        <f>IF(D175="","",IFERROR(INDEX(CRONOGRAMA!$D$5:$D$32,MATCH(D175,CRONOGRAMA!$A$5:$A$32,0)),"nº inexistente"))</f>
        <v/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35">
      <c r="A176" s="13"/>
      <c r="B176" s="5" t="str">
        <f t="shared" si="2"/>
        <v/>
      </c>
      <c r="C176" s="1"/>
      <c r="D176" s="1"/>
      <c r="E176" s="5" t="str">
        <f>IF(D176="","",IFERROR(INDEX(CRONOGRAMA!$D$5:$D$32,MATCH(D176,CRONOGRAMA!$A$5:$A$32,0)),"nº inexistente"))</f>
        <v/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35">
      <c r="A177" s="13"/>
      <c r="B177" s="5" t="str">
        <f t="shared" si="2"/>
        <v/>
      </c>
      <c r="C177" s="1"/>
      <c r="D177" s="1"/>
      <c r="E177" s="5" t="str">
        <f>IF(D177="","",IFERROR(INDEX(CRONOGRAMA!$D$5:$D$32,MATCH(D177,CRONOGRAMA!$A$5:$A$32,0)),"nº inexistente"))</f>
        <v/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35">
      <c r="A178" s="13"/>
      <c r="B178" s="5" t="str">
        <f t="shared" si="2"/>
        <v/>
      </c>
      <c r="C178" s="1"/>
      <c r="D178" s="1"/>
      <c r="E178" s="5" t="str">
        <f>IF(D178="","",IFERROR(INDEX(CRONOGRAMA!$D$5:$D$32,MATCH(D178,CRONOGRAMA!$A$5:$A$32,0)),"nº inexistente"))</f>
        <v/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35">
      <c r="A179" s="13"/>
      <c r="B179" s="5" t="str">
        <f t="shared" si="2"/>
        <v/>
      </c>
      <c r="C179" s="1"/>
      <c r="D179" s="1"/>
      <c r="E179" s="5" t="str">
        <f>IF(D179="","",IFERROR(INDEX(CRONOGRAMA!$D$5:$D$32,MATCH(D179,CRONOGRAMA!$A$5:$A$32,0)),"nº inexistente"))</f>
        <v/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35">
      <c r="A180" s="13"/>
      <c r="B180" s="5" t="str">
        <f t="shared" si="2"/>
        <v/>
      </c>
      <c r="C180" s="1"/>
      <c r="D180" s="1"/>
      <c r="E180" s="5" t="str">
        <f>IF(D180="","",IFERROR(INDEX(CRONOGRAMA!$D$5:$D$32,MATCH(D180,CRONOGRAMA!$A$5:$A$32,0)),"nº inexistente"))</f>
        <v/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35">
      <c r="A181" s="13"/>
      <c r="B181" s="5" t="str">
        <f t="shared" si="2"/>
        <v/>
      </c>
      <c r="C181" s="1"/>
      <c r="D181" s="1"/>
      <c r="E181" s="5" t="str">
        <f>IF(D181="","",IFERROR(INDEX(CRONOGRAMA!$D$5:$D$32,MATCH(D181,CRONOGRAMA!$A$5:$A$32,0)),"nº inexistente"))</f>
        <v/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35">
      <c r="A182" s="13"/>
      <c r="B182" s="5" t="str">
        <f t="shared" si="2"/>
        <v/>
      </c>
      <c r="C182" s="1"/>
      <c r="D182" s="1"/>
      <c r="E182" s="5" t="str">
        <f>IF(D182="","",IFERROR(INDEX(CRONOGRAMA!$D$5:$D$32,MATCH(D182,CRONOGRAMA!$A$5:$A$32,0)),"nº inexistente"))</f>
        <v/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35">
      <c r="A183" s="13"/>
      <c r="B183" s="5" t="str">
        <f t="shared" si="2"/>
        <v/>
      </c>
      <c r="C183" s="1"/>
      <c r="D183" s="1"/>
      <c r="E183" s="5" t="str">
        <f>IF(D183="","",IFERROR(INDEX(CRONOGRAMA!$D$5:$D$32,MATCH(D183,CRONOGRAMA!$A$5:$A$32,0)),"nº inexistente"))</f>
        <v/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35">
      <c r="A184" s="13"/>
      <c r="B184" s="5" t="str">
        <f t="shared" si="2"/>
        <v/>
      </c>
      <c r="C184" s="1"/>
      <c r="D184" s="1"/>
      <c r="E184" s="5" t="str">
        <f>IF(D184="","",IFERROR(INDEX(CRONOGRAMA!$D$5:$D$32,MATCH(D184,CRONOGRAMA!$A$5:$A$32,0)),"nº inexistente"))</f>
        <v/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35">
      <c r="A185" s="13"/>
      <c r="B185" s="5" t="str">
        <f t="shared" si="2"/>
        <v/>
      </c>
      <c r="C185" s="1"/>
      <c r="D185" s="1"/>
      <c r="E185" s="5" t="str">
        <f>IF(D185="","",IFERROR(INDEX(CRONOGRAMA!$D$5:$D$32,MATCH(D185,CRONOGRAMA!$A$5:$A$32,0)),"nº inexistente"))</f>
        <v/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35">
      <c r="A186" s="13"/>
      <c r="B186" s="5" t="str">
        <f t="shared" si="2"/>
        <v/>
      </c>
      <c r="C186" s="1"/>
      <c r="D186" s="1"/>
      <c r="E186" s="5" t="str">
        <f>IF(D186="","",IFERROR(INDEX(CRONOGRAMA!$D$5:$D$32,MATCH(D186,CRONOGRAMA!$A$5:$A$32,0)),"nº inexistente"))</f>
        <v/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35">
      <c r="A187" s="13"/>
      <c r="B187" s="5" t="str">
        <f t="shared" si="2"/>
        <v/>
      </c>
      <c r="C187" s="1"/>
      <c r="D187" s="1"/>
      <c r="E187" s="5" t="str">
        <f>IF(D187="","",IFERROR(INDEX(CRONOGRAMA!$D$5:$D$32,MATCH(D187,CRONOGRAMA!$A$5:$A$32,0)),"nº inexistente"))</f>
        <v/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35">
      <c r="A188" s="13"/>
      <c r="B188" s="5" t="str">
        <f t="shared" si="2"/>
        <v/>
      </c>
      <c r="C188" s="1"/>
      <c r="D188" s="1"/>
      <c r="E188" s="5" t="str">
        <f>IF(D188="","",IFERROR(INDEX(CRONOGRAMA!$D$5:$D$32,MATCH(D188,CRONOGRAMA!$A$5:$A$32,0)),"nº inexistente"))</f>
        <v/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35">
      <c r="A189" s="13"/>
      <c r="B189" s="5" t="str">
        <f t="shared" si="2"/>
        <v/>
      </c>
      <c r="C189" s="1"/>
      <c r="D189" s="1"/>
      <c r="E189" s="5" t="str">
        <f>IF(D189="","",IFERROR(INDEX(CRONOGRAMA!$D$5:$D$32,MATCH(D189,CRONOGRAMA!$A$5:$A$32,0)),"nº inexistente"))</f>
        <v/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35">
      <c r="A190" s="13"/>
      <c r="B190" s="5" t="str">
        <f t="shared" si="2"/>
        <v/>
      </c>
      <c r="C190" s="1"/>
      <c r="D190" s="1"/>
      <c r="E190" s="5" t="str">
        <f>IF(D190="","",IFERROR(INDEX(CRONOGRAMA!$D$5:$D$32,MATCH(D190,CRONOGRAMA!$A$5:$A$32,0)),"nº inexistente"))</f>
        <v/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35">
      <c r="A191" s="13"/>
      <c r="B191" s="5" t="str">
        <f t="shared" si="2"/>
        <v/>
      </c>
      <c r="C191" s="1"/>
      <c r="D191" s="1"/>
      <c r="E191" s="5" t="str">
        <f>IF(D191="","",IFERROR(INDEX(CRONOGRAMA!$D$5:$D$32,MATCH(D191,CRONOGRAMA!$A$5:$A$32,0)),"nº inexistente"))</f>
        <v/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35">
      <c r="A192" s="13"/>
      <c r="B192" s="5" t="str">
        <f t="shared" si="2"/>
        <v/>
      </c>
      <c r="C192" s="1"/>
      <c r="D192" s="1"/>
      <c r="E192" s="5" t="str">
        <f>IF(D192="","",IFERROR(INDEX(CRONOGRAMA!$D$5:$D$32,MATCH(D192,CRONOGRAMA!$A$5:$A$32,0)),"nº inexistente"))</f>
        <v/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35">
      <c r="A193" s="13"/>
      <c r="B193" s="5" t="str">
        <f t="shared" si="2"/>
        <v/>
      </c>
      <c r="C193" s="1"/>
      <c r="D193" s="1"/>
      <c r="E193" s="5" t="str">
        <f>IF(D193="","",IFERROR(INDEX(CRONOGRAMA!$D$5:$D$32,MATCH(D193,CRONOGRAMA!$A$5:$A$32,0)),"nº inexistente"))</f>
        <v/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35">
      <c r="A194" s="13"/>
      <c r="B194" s="5" t="str">
        <f t="shared" si="2"/>
        <v/>
      </c>
      <c r="C194" s="1"/>
      <c r="D194" s="1"/>
      <c r="E194" s="5" t="str">
        <f>IF(D194="","",IFERROR(INDEX(CRONOGRAMA!$D$5:$D$32,MATCH(D194,CRONOGRAMA!$A$5:$A$32,0)),"nº inexistente"))</f>
        <v/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35">
      <c r="A195" s="13"/>
      <c r="B195" s="5" t="str">
        <f t="shared" si="2"/>
        <v/>
      </c>
      <c r="C195" s="1"/>
      <c r="D195" s="1"/>
      <c r="E195" s="5" t="str">
        <f>IF(D195="","",IFERROR(INDEX(CRONOGRAMA!$D$5:$D$32,MATCH(D195,CRONOGRAMA!$A$5:$A$32,0)),"nº inexistente"))</f>
        <v/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35">
      <c r="A196" s="13"/>
      <c r="B196" s="5" t="str">
        <f t="shared" si="2"/>
        <v/>
      </c>
      <c r="C196" s="1"/>
      <c r="D196" s="1"/>
      <c r="E196" s="5" t="str">
        <f>IF(D196="","",IFERROR(INDEX(CRONOGRAMA!$D$5:$D$32,MATCH(D196,CRONOGRAMA!$A$5:$A$32,0)),"nº inexistente"))</f>
        <v/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35">
      <c r="A197" s="13"/>
      <c r="B197" s="5" t="str">
        <f t="shared" si="2"/>
        <v/>
      </c>
      <c r="C197" s="1"/>
      <c r="D197" s="1"/>
      <c r="E197" s="5" t="str">
        <f>IF(D197="","",IFERROR(INDEX(CRONOGRAMA!$D$5:$D$32,MATCH(D197,CRONOGRAMA!$A$5:$A$32,0)),"nº inexistente"))</f>
        <v/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35">
      <c r="A198" s="13"/>
      <c r="B198" s="5" t="str">
        <f t="shared" ref="B198:B261" si="3">IF(A198="","",CHOOSE(WEEKDAY(A198,2),"seg","ter","qua","qui","sex","sáb","dom"))</f>
        <v/>
      </c>
      <c r="C198" s="1"/>
      <c r="D198" s="1"/>
      <c r="E198" s="5" t="str">
        <f>IF(D198="","",IFERROR(INDEX(CRONOGRAMA!$D$5:$D$32,MATCH(D198,CRONOGRAMA!$A$5:$A$32,0)),"nº inexistente"))</f>
        <v/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35">
      <c r="A199" s="13"/>
      <c r="B199" s="5" t="str">
        <f t="shared" si="3"/>
        <v/>
      </c>
      <c r="C199" s="1"/>
      <c r="D199" s="1"/>
      <c r="E199" s="5" t="str">
        <f>IF(D199="","",IFERROR(INDEX(CRONOGRAMA!$D$5:$D$32,MATCH(D199,CRONOGRAMA!$A$5:$A$32,0)),"nº inexistente"))</f>
        <v/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35">
      <c r="A200" s="13"/>
      <c r="B200" s="5" t="str">
        <f t="shared" si="3"/>
        <v/>
      </c>
      <c r="C200" s="1"/>
      <c r="D200" s="1"/>
      <c r="E200" s="5" t="str">
        <f>IF(D200="","",IFERROR(INDEX(CRONOGRAMA!$D$5:$D$32,MATCH(D200,CRONOGRAMA!$A$5:$A$32,0)),"nº inexistente"))</f>
        <v/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35">
      <c r="A201" s="13"/>
      <c r="B201" s="5" t="str">
        <f t="shared" si="3"/>
        <v/>
      </c>
      <c r="C201" s="1"/>
      <c r="D201" s="1"/>
      <c r="E201" s="5" t="str">
        <f>IF(D201="","",IFERROR(INDEX(CRONOGRAMA!$D$5:$D$32,MATCH(D201,CRONOGRAMA!$A$5:$A$32,0)),"nº inexistente"))</f>
        <v/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35">
      <c r="A202" s="13"/>
      <c r="B202" s="5" t="str">
        <f t="shared" si="3"/>
        <v/>
      </c>
      <c r="C202" s="1"/>
      <c r="D202" s="1"/>
      <c r="E202" s="5" t="str">
        <f>IF(D202="","",IFERROR(INDEX(CRONOGRAMA!$D$5:$D$32,MATCH(D202,CRONOGRAMA!$A$5:$A$32,0)),"nº inexistente"))</f>
        <v/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35">
      <c r="A203" s="13"/>
      <c r="B203" s="5" t="str">
        <f t="shared" si="3"/>
        <v/>
      </c>
      <c r="C203" s="1"/>
      <c r="D203" s="1"/>
      <c r="E203" s="5" t="str">
        <f>IF(D203="","",IFERROR(INDEX(CRONOGRAMA!$D$5:$D$32,MATCH(D203,CRONOGRAMA!$A$5:$A$32,0)),"nº inexistente"))</f>
        <v/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35">
      <c r="A204" s="13"/>
      <c r="B204" s="5" t="str">
        <f t="shared" si="3"/>
        <v/>
      </c>
      <c r="C204" s="1"/>
      <c r="D204" s="1"/>
      <c r="E204" s="5" t="str">
        <f>IF(D204="","",IFERROR(INDEX(CRONOGRAMA!$D$5:$D$32,MATCH(D204,CRONOGRAMA!$A$5:$A$32,0)),"nº inexistente"))</f>
        <v/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35">
      <c r="A205" s="13"/>
      <c r="B205" s="5" t="str">
        <f t="shared" si="3"/>
        <v/>
      </c>
      <c r="C205" s="1"/>
      <c r="D205" s="1"/>
      <c r="E205" s="5" t="str">
        <f>IF(D205="","",IFERROR(INDEX(CRONOGRAMA!$D$5:$D$32,MATCH(D205,CRONOGRAMA!$A$5:$A$32,0)),"nº inexistente"))</f>
        <v/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35">
      <c r="A206" s="13"/>
      <c r="B206" s="5" t="str">
        <f t="shared" si="3"/>
        <v/>
      </c>
      <c r="C206" s="1"/>
      <c r="D206" s="1"/>
      <c r="E206" s="5" t="str">
        <f>IF(D206="","",IFERROR(INDEX(CRONOGRAMA!$D$5:$D$32,MATCH(D206,CRONOGRAMA!$A$5:$A$32,0)),"nº inexistente"))</f>
        <v/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35">
      <c r="A207" s="13"/>
      <c r="B207" s="5" t="str">
        <f t="shared" si="3"/>
        <v/>
      </c>
      <c r="C207" s="1"/>
      <c r="D207" s="1"/>
      <c r="E207" s="5" t="str">
        <f>IF(D207="","",IFERROR(INDEX(CRONOGRAMA!$D$5:$D$32,MATCH(D207,CRONOGRAMA!$A$5:$A$32,0)),"nº inexistente"))</f>
        <v/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35">
      <c r="A208" s="13"/>
      <c r="B208" s="5" t="str">
        <f t="shared" si="3"/>
        <v/>
      </c>
      <c r="C208" s="1"/>
      <c r="D208" s="1"/>
      <c r="E208" s="5" t="str">
        <f>IF(D208="","",IFERROR(INDEX(CRONOGRAMA!$D$5:$D$32,MATCH(D208,CRONOGRAMA!$A$5:$A$32,0)),"nº inexistente"))</f>
        <v/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35">
      <c r="A209" s="13"/>
      <c r="B209" s="5" t="str">
        <f t="shared" si="3"/>
        <v/>
      </c>
      <c r="C209" s="1"/>
      <c r="D209" s="1"/>
      <c r="E209" s="5" t="str">
        <f>IF(D209="","",IFERROR(INDEX(CRONOGRAMA!$D$5:$D$32,MATCH(D209,CRONOGRAMA!$A$5:$A$32,0)),"nº inexistente"))</f>
        <v/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35">
      <c r="A210" s="13"/>
      <c r="B210" s="5" t="str">
        <f t="shared" si="3"/>
        <v/>
      </c>
      <c r="C210" s="1"/>
      <c r="D210" s="1"/>
      <c r="E210" s="5" t="str">
        <f>IF(D210="","",IFERROR(INDEX(CRONOGRAMA!$D$5:$D$32,MATCH(D210,CRONOGRAMA!$A$5:$A$32,0)),"nº inexistente"))</f>
        <v/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35">
      <c r="A211" s="13"/>
      <c r="B211" s="5" t="str">
        <f t="shared" si="3"/>
        <v/>
      </c>
      <c r="C211" s="1"/>
      <c r="D211" s="1"/>
      <c r="E211" s="5" t="str">
        <f>IF(D211="","",IFERROR(INDEX(CRONOGRAMA!$D$5:$D$32,MATCH(D211,CRONOGRAMA!$A$5:$A$32,0)),"nº inexistente"))</f>
        <v/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35">
      <c r="A212" s="13"/>
      <c r="B212" s="5" t="str">
        <f t="shared" si="3"/>
        <v/>
      </c>
      <c r="C212" s="1"/>
      <c r="D212" s="1"/>
      <c r="E212" s="5" t="str">
        <f>IF(D212="","",IFERROR(INDEX(CRONOGRAMA!$D$5:$D$32,MATCH(D212,CRONOGRAMA!$A$5:$A$32,0)),"nº inexistente"))</f>
        <v/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35">
      <c r="A213" s="13"/>
      <c r="B213" s="5" t="str">
        <f t="shared" si="3"/>
        <v/>
      </c>
      <c r="C213" s="1"/>
      <c r="D213" s="1"/>
      <c r="E213" s="5" t="str">
        <f>IF(D213="","",IFERROR(INDEX(CRONOGRAMA!$D$5:$D$32,MATCH(D213,CRONOGRAMA!$A$5:$A$32,0)),"nº inexistente"))</f>
        <v/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35">
      <c r="A214" s="13"/>
      <c r="B214" s="5" t="str">
        <f t="shared" si="3"/>
        <v/>
      </c>
      <c r="C214" s="1"/>
      <c r="D214" s="1"/>
      <c r="E214" s="5" t="str">
        <f>IF(D214="","",IFERROR(INDEX(CRONOGRAMA!$D$5:$D$32,MATCH(D214,CRONOGRAMA!$A$5:$A$32,0)),"nº inexistente"))</f>
        <v/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35">
      <c r="A215" s="13"/>
      <c r="B215" s="5" t="str">
        <f t="shared" si="3"/>
        <v/>
      </c>
      <c r="C215" s="1"/>
      <c r="D215" s="1"/>
      <c r="E215" s="5" t="str">
        <f>IF(D215="","",IFERROR(INDEX(CRONOGRAMA!$D$5:$D$32,MATCH(D215,CRONOGRAMA!$A$5:$A$32,0)),"nº inexistente"))</f>
        <v/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35">
      <c r="A216" s="13"/>
      <c r="B216" s="5" t="str">
        <f t="shared" si="3"/>
        <v/>
      </c>
      <c r="C216" s="1"/>
      <c r="D216" s="1"/>
      <c r="E216" s="5" t="str">
        <f>IF(D216="","",IFERROR(INDEX(CRONOGRAMA!$D$5:$D$32,MATCH(D216,CRONOGRAMA!$A$5:$A$32,0)),"nº inexistente"))</f>
        <v/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35">
      <c r="A217" s="13"/>
      <c r="B217" s="5" t="str">
        <f t="shared" si="3"/>
        <v/>
      </c>
      <c r="C217" s="1"/>
      <c r="D217" s="1"/>
      <c r="E217" s="5" t="str">
        <f>IF(D217="","",IFERROR(INDEX(CRONOGRAMA!$D$5:$D$32,MATCH(D217,CRONOGRAMA!$A$5:$A$32,0)),"nº inexistente"))</f>
        <v/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35">
      <c r="A218" s="13"/>
      <c r="B218" s="5" t="str">
        <f t="shared" si="3"/>
        <v/>
      </c>
      <c r="C218" s="1"/>
      <c r="D218" s="1"/>
      <c r="E218" s="5" t="str">
        <f>IF(D218="","",IFERROR(INDEX(CRONOGRAMA!$D$5:$D$32,MATCH(D218,CRONOGRAMA!$A$5:$A$32,0)),"nº inexistente"))</f>
        <v/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35">
      <c r="A219" s="13"/>
      <c r="B219" s="5" t="str">
        <f t="shared" si="3"/>
        <v/>
      </c>
      <c r="C219" s="1"/>
      <c r="D219" s="1"/>
      <c r="E219" s="5" t="str">
        <f>IF(D219="","",IFERROR(INDEX(CRONOGRAMA!$D$5:$D$32,MATCH(D219,CRONOGRAMA!$A$5:$A$32,0)),"nº inexistente"))</f>
        <v/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35">
      <c r="A220" s="13"/>
      <c r="B220" s="5" t="str">
        <f t="shared" si="3"/>
        <v/>
      </c>
      <c r="C220" s="1"/>
      <c r="D220" s="1"/>
      <c r="E220" s="5" t="str">
        <f>IF(D220="","",IFERROR(INDEX(CRONOGRAMA!$D$5:$D$32,MATCH(D220,CRONOGRAMA!$A$5:$A$32,0)),"nº inexistente"))</f>
        <v/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35">
      <c r="A221" s="13"/>
      <c r="B221" s="5" t="str">
        <f t="shared" si="3"/>
        <v/>
      </c>
      <c r="C221" s="1"/>
      <c r="D221" s="1"/>
      <c r="E221" s="5" t="str">
        <f>IF(D221="","",IFERROR(INDEX(CRONOGRAMA!$D$5:$D$32,MATCH(D221,CRONOGRAMA!$A$5:$A$32,0)),"nº inexistente"))</f>
        <v/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35">
      <c r="A222" s="13"/>
      <c r="B222" s="5" t="str">
        <f t="shared" si="3"/>
        <v/>
      </c>
      <c r="C222" s="1"/>
      <c r="D222" s="1"/>
      <c r="E222" s="5" t="str">
        <f>IF(D222="","",IFERROR(INDEX(CRONOGRAMA!$D$5:$D$32,MATCH(D222,CRONOGRAMA!$A$5:$A$32,0)),"nº inexistente"))</f>
        <v/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35">
      <c r="A223" s="13"/>
      <c r="B223" s="5" t="str">
        <f t="shared" si="3"/>
        <v/>
      </c>
      <c r="C223" s="1"/>
      <c r="D223" s="1"/>
      <c r="E223" s="5" t="str">
        <f>IF(D223="","",IFERROR(INDEX(CRONOGRAMA!$D$5:$D$32,MATCH(D223,CRONOGRAMA!$A$5:$A$32,0)),"nº inexistente"))</f>
        <v/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35">
      <c r="A224" s="13"/>
      <c r="B224" s="5" t="str">
        <f t="shared" si="3"/>
        <v/>
      </c>
      <c r="C224" s="1"/>
      <c r="D224" s="1"/>
      <c r="E224" s="5" t="str">
        <f>IF(D224="","",IFERROR(INDEX(CRONOGRAMA!$D$5:$D$32,MATCH(D224,CRONOGRAMA!$A$5:$A$32,0)),"nº inexistente"))</f>
        <v/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35">
      <c r="A225" s="13"/>
      <c r="B225" s="5" t="str">
        <f t="shared" si="3"/>
        <v/>
      </c>
      <c r="C225" s="1"/>
      <c r="D225" s="1"/>
      <c r="E225" s="5" t="str">
        <f>IF(D225="","",IFERROR(INDEX(CRONOGRAMA!$D$5:$D$32,MATCH(D225,CRONOGRAMA!$A$5:$A$32,0)),"nº inexistente"))</f>
        <v/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35">
      <c r="A226" s="13"/>
      <c r="B226" s="5" t="str">
        <f t="shared" si="3"/>
        <v/>
      </c>
      <c r="C226" s="1"/>
      <c r="D226" s="1"/>
      <c r="E226" s="5" t="str">
        <f>IF(D226="","",IFERROR(INDEX(CRONOGRAMA!$D$5:$D$32,MATCH(D226,CRONOGRAMA!$A$5:$A$32,0)),"nº inexistente"))</f>
        <v/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35">
      <c r="A227" s="13"/>
      <c r="B227" s="5" t="str">
        <f t="shared" si="3"/>
        <v/>
      </c>
      <c r="C227" s="1"/>
      <c r="D227" s="1"/>
      <c r="E227" s="5" t="str">
        <f>IF(D227="","",IFERROR(INDEX(CRONOGRAMA!$D$5:$D$32,MATCH(D227,CRONOGRAMA!$A$5:$A$32,0)),"nº inexistente"))</f>
        <v/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35">
      <c r="A228" s="13"/>
      <c r="B228" s="5" t="str">
        <f t="shared" si="3"/>
        <v/>
      </c>
      <c r="C228" s="1"/>
      <c r="D228" s="1"/>
      <c r="E228" s="5" t="str">
        <f>IF(D228="","",IFERROR(INDEX(CRONOGRAMA!$D$5:$D$32,MATCH(D228,CRONOGRAMA!$A$5:$A$32,0)),"nº inexistente"))</f>
        <v/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35">
      <c r="A229" s="13"/>
      <c r="B229" s="5" t="str">
        <f t="shared" si="3"/>
        <v/>
      </c>
      <c r="C229" s="1"/>
      <c r="D229" s="1"/>
      <c r="E229" s="5" t="str">
        <f>IF(D229="","",IFERROR(INDEX(CRONOGRAMA!$D$5:$D$32,MATCH(D229,CRONOGRAMA!$A$5:$A$32,0)),"nº inexistente"))</f>
        <v/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35">
      <c r="A230" s="13"/>
      <c r="B230" s="5" t="str">
        <f t="shared" si="3"/>
        <v/>
      </c>
      <c r="C230" s="1"/>
      <c r="D230" s="1"/>
      <c r="E230" s="5" t="str">
        <f>IF(D230="","",IFERROR(INDEX(CRONOGRAMA!$D$5:$D$32,MATCH(D230,CRONOGRAMA!$A$5:$A$32,0)),"nº inexistente"))</f>
        <v/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35">
      <c r="A231" s="13"/>
      <c r="B231" s="5" t="str">
        <f t="shared" si="3"/>
        <v/>
      </c>
      <c r="C231" s="1"/>
      <c r="D231" s="1"/>
      <c r="E231" s="5" t="str">
        <f>IF(D231="","",IFERROR(INDEX(CRONOGRAMA!$D$5:$D$32,MATCH(D231,CRONOGRAMA!$A$5:$A$32,0)),"nº inexistente"))</f>
        <v/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35">
      <c r="A232" s="13"/>
      <c r="B232" s="5" t="str">
        <f t="shared" si="3"/>
        <v/>
      </c>
      <c r="C232" s="1"/>
      <c r="D232" s="1"/>
      <c r="E232" s="5" t="str">
        <f>IF(D232="","",IFERROR(INDEX(CRONOGRAMA!$D$5:$D$32,MATCH(D232,CRONOGRAMA!$A$5:$A$32,0)),"nº inexistente"))</f>
        <v/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35">
      <c r="A233" s="13"/>
      <c r="B233" s="5" t="str">
        <f t="shared" si="3"/>
        <v/>
      </c>
      <c r="C233" s="1"/>
      <c r="D233" s="1"/>
      <c r="E233" s="5" t="str">
        <f>IF(D233="","",IFERROR(INDEX(CRONOGRAMA!$D$5:$D$32,MATCH(D233,CRONOGRAMA!$A$5:$A$32,0)),"nº inexistente"))</f>
        <v/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35">
      <c r="A234" s="13"/>
      <c r="B234" s="5" t="str">
        <f t="shared" si="3"/>
        <v/>
      </c>
      <c r="C234" s="1"/>
      <c r="D234" s="1"/>
      <c r="E234" s="5" t="str">
        <f>IF(D234="","",IFERROR(INDEX(CRONOGRAMA!$D$5:$D$32,MATCH(D234,CRONOGRAMA!$A$5:$A$32,0)),"nº inexistente"))</f>
        <v/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35">
      <c r="A235" s="13"/>
      <c r="B235" s="5" t="str">
        <f t="shared" si="3"/>
        <v/>
      </c>
      <c r="C235" s="1"/>
      <c r="D235" s="1"/>
      <c r="E235" s="5" t="str">
        <f>IF(D235="","",IFERROR(INDEX(CRONOGRAMA!$D$5:$D$32,MATCH(D235,CRONOGRAMA!$A$5:$A$32,0)),"nº inexistente"))</f>
        <v/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35">
      <c r="A236" s="13"/>
      <c r="B236" s="5" t="str">
        <f t="shared" si="3"/>
        <v/>
      </c>
      <c r="C236" s="1"/>
      <c r="D236" s="1"/>
      <c r="E236" s="5" t="str">
        <f>IF(D236="","",IFERROR(INDEX(CRONOGRAMA!$D$5:$D$32,MATCH(D236,CRONOGRAMA!$A$5:$A$32,0)),"nº inexistente"))</f>
        <v/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35">
      <c r="A237" s="13"/>
      <c r="B237" s="5" t="str">
        <f t="shared" si="3"/>
        <v/>
      </c>
      <c r="C237" s="1"/>
      <c r="D237" s="1"/>
      <c r="E237" s="5" t="str">
        <f>IF(D237="","",IFERROR(INDEX(CRONOGRAMA!$D$5:$D$32,MATCH(D237,CRONOGRAMA!$A$5:$A$32,0)),"nº inexistente"))</f>
        <v/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35">
      <c r="A238" s="13"/>
      <c r="B238" s="5" t="str">
        <f t="shared" si="3"/>
        <v/>
      </c>
      <c r="C238" s="1"/>
      <c r="D238" s="1"/>
      <c r="E238" s="5" t="str">
        <f>IF(D238="","",IFERROR(INDEX(CRONOGRAMA!$D$5:$D$32,MATCH(D238,CRONOGRAMA!$A$5:$A$32,0)),"nº inexistente"))</f>
        <v/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35">
      <c r="A239" s="13"/>
      <c r="B239" s="5" t="str">
        <f t="shared" si="3"/>
        <v/>
      </c>
      <c r="C239" s="1"/>
      <c r="D239" s="1"/>
      <c r="E239" s="5" t="str">
        <f>IF(D239="","",IFERROR(INDEX(CRONOGRAMA!$D$5:$D$32,MATCH(D239,CRONOGRAMA!$A$5:$A$32,0)),"nº inexistente"))</f>
        <v/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35">
      <c r="A240" s="13"/>
      <c r="B240" s="5" t="str">
        <f t="shared" si="3"/>
        <v/>
      </c>
      <c r="C240" s="1"/>
      <c r="D240" s="1"/>
      <c r="E240" s="5" t="str">
        <f>IF(D240="","",IFERROR(INDEX(CRONOGRAMA!$D$5:$D$32,MATCH(D240,CRONOGRAMA!$A$5:$A$32,0)),"nº inexistente"))</f>
        <v/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35">
      <c r="A241" s="13"/>
      <c r="B241" s="5" t="str">
        <f t="shared" si="3"/>
        <v/>
      </c>
      <c r="C241" s="1"/>
      <c r="D241" s="1"/>
      <c r="E241" s="5" t="str">
        <f>IF(D241="","",IFERROR(INDEX(CRONOGRAMA!$D$5:$D$32,MATCH(D241,CRONOGRAMA!$A$5:$A$32,0)),"nº inexistente"))</f>
        <v/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35">
      <c r="A242" s="13"/>
      <c r="B242" s="5" t="str">
        <f t="shared" si="3"/>
        <v/>
      </c>
      <c r="C242" s="1"/>
      <c r="D242" s="1"/>
      <c r="E242" s="5" t="str">
        <f>IF(D242="","",IFERROR(INDEX(CRONOGRAMA!$D$5:$D$32,MATCH(D242,CRONOGRAMA!$A$5:$A$32,0)),"nº inexistente"))</f>
        <v/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35">
      <c r="A243" s="13"/>
      <c r="B243" s="5" t="str">
        <f t="shared" si="3"/>
        <v/>
      </c>
      <c r="C243" s="1"/>
      <c r="D243" s="1"/>
      <c r="E243" s="5" t="str">
        <f>IF(D243="","",IFERROR(INDEX(CRONOGRAMA!$D$5:$D$32,MATCH(D243,CRONOGRAMA!$A$5:$A$32,0)),"nº inexistente"))</f>
        <v/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35">
      <c r="A244" s="13"/>
      <c r="B244" s="5" t="str">
        <f t="shared" si="3"/>
        <v/>
      </c>
      <c r="C244" s="1"/>
      <c r="D244" s="1"/>
      <c r="E244" s="5" t="str">
        <f>IF(D244="","",IFERROR(INDEX(CRONOGRAMA!$D$5:$D$32,MATCH(D244,CRONOGRAMA!$A$5:$A$32,0)),"nº inexistente"))</f>
        <v/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35">
      <c r="A245" s="13"/>
      <c r="B245" s="5" t="str">
        <f t="shared" si="3"/>
        <v/>
      </c>
      <c r="C245" s="1"/>
      <c r="D245" s="1"/>
      <c r="E245" s="5" t="str">
        <f>IF(D245="","",IFERROR(INDEX(CRONOGRAMA!$D$5:$D$32,MATCH(D245,CRONOGRAMA!$A$5:$A$32,0)),"nº inexistente"))</f>
        <v/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35">
      <c r="A246" s="13"/>
      <c r="B246" s="5" t="str">
        <f t="shared" si="3"/>
        <v/>
      </c>
      <c r="C246" s="1"/>
      <c r="D246" s="1"/>
      <c r="E246" s="5" t="str">
        <f>IF(D246="","",IFERROR(INDEX(CRONOGRAMA!$D$5:$D$32,MATCH(D246,CRONOGRAMA!$A$5:$A$32,0)),"nº inexistente"))</f>
        <v/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35">
      <c r="A247" s="13"/>
      <c r="B247" s="5" t="str">
        <f t="shared" si="3"/>
        <v/>
      </c>
      <c r="C247" s="1"/>
      <c r="D247" s="1"/>
      <c r="E247" s="5" t="str">
        <f>IF(D247="","",IFERROR(INDEX(CRONOGRAMA!$D$5:$D$32,MATCH(D247,CRONOGRAMA!$A$5:$A$32,0)),"nº inexistente"))</f>
        <v/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35">
      <c r="A248" s="13"/>
      <c r="B248" s="5" t="str">
        <f t="shared" si="3"/>
        <v/>
      </c>
      <c r="C248" s="1"/>
      <c r="D248" s="1"/>
      <c r="E248" s="5" t="str">
        <f>IF(D248="","",IFERROR(INDEX(CRONOGRAMA!$D$5:$D$32,MATCH(D248,CRONOGRAMA!$A$5:$A$32,0)),"nº inexistente"))</f>
        <v/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35">
      <c r="A249" s="13"/>
      <c r="B249" s="5" t="str">
        <f t="shared" si="3"/>
        <v/>
      </c>
      <c r="C249" s="1"/>
      <c r="D249" s="1"/>
      <c r="E249" s="5" t="str">
        <f>IF(D249="","",IFERROR(INDEX(CRONOGRAMA!$D$5:$D$32,MATCH(D249,CRONOGRAMA!$A$5:$A$32,0)),"nº inexistente"))</f>
        <v/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35">
      <c r="A250" s="13"/>
      <c r="B250" s="5" t="str">
        <f t="shared" si="3"/>
        <v/>
      </c>
      <c r="C250" s="1"/>
      <c r="D250" s="1"/>
      <c r="E250" s="5" t="str">
        <f>IF(D250="","",IFERROR(INDEX(CRONOGRAMA!$D$5:$D$32,MATCH(D250,CRONOGRAMA!$A$5:$A$32,0)),"nº inexistente"))</f>
        <v/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35">
      <c r="A251" s="13"/>
      <c r="B251" s="5" t="str">
        <f t="shared" si="3"/>
        <v/>
      </c>
      <c r="C251" s="1"/>
      <c r="D251" s="1"/>
      <c r="E251" s="5" t="str">
        <f>IF(D251="","",IFERROR(INDEX(CRONOGRAMA!$D$5:$D$32,MATCH(D251,CRONOGRAMA!$A$5:$A$32,0)),"nº inexistente"))</f>
        <v/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35">
      <c r="A252" s="13"/>
      <c r="B252" s="5" t="str">
        <f t="shared" si="3"/>
        <v/>
      </c>
      <c r="C252" s="1"/>
      <c r="D252" s="1"/>
      <c r="E252" s="5" t="str">
        <f>IF(D252="","",IFERROR(INDEX(CRONOGRAMA!$D$5:$D$32,MATCH(D252,CRONOGRAMA!$A$5:$A$32,0)),"nº inexistente"))</f>
        <v/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35">
      <c r="A253" s="13"/>
      <c r="B253" s="5" t="str">
        <f t="shared" si="3"/>
        <v/>
      </c>
      <c r="C253" s="1"/>
      <c r="D253" s="1"/>
      <c r="E253" s="5" t="str">
        <f>IF(D253="","",IFERROR(INDEX(CRONOGRAMA!$D$5:$D$32,MATCH(D253,CRONOGRAMA!$A$5:$A$32,0)),"nº inexistente"))</f>
        <v/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35">
      <c r="A254" s="13"/>
      <c r="B254" s="5" t="str">
        <f t="shared" si="3"/>
        <v/>
      </c>
      <c r="C254" s="1"/>
      <c r="D254" s="1"/>
      <c r="E254" s="5" t="str">
        <f>IF(D254="","",IFERROR(INDEX(CRONOGRAMA!$D$5:$D$32,MATCH(D254,CRONOGRAMA!$A$5:$A$32,0)),"nº inexistente"))</f>
        <v/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35">
      <c r="A255" s="13"/>
      <c r="B255" s="5" t="str">
        <f t="shared" si="3"/>
        <v/>
      </c>
      <c r="C255" s="1"/>
      <c r="D255" s="1"/>
      <c r="E255" s="5" t="str">
        <f>IF(D255="","",IFERROR(INDEX(CRONOGRAMA!$D$5:$D$32,MATCH(D255,CRONOGRAMA!$A$5:$A$32,0)),"nº inexistente"))</f>
        <v/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35">
      <c r="A256" s="13"/>
      <c r="B256" s="5" t="str">
        <f t="shared" si="3"/>
        <v/>
      </c>
      <c r="C256" s="1"/>
      <c r="D256" s="1"/>
      <c r="E256" s="5" t="str">
        <f>IF(D256="","",IFERROR(INDEX(CRONOGRAMA!$D$5:$D$32,MATCH(D256,CRONOGRAMA!$A$5:$A$32,0)),"nº inexistente"))</f>
        <v/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35">
      <c r="A257" s="13"/>
      <c r="B257" s="5" t="str">
        <f t="shared" si="3"/>
        <v/>
      </c>
      <c r="C257" s="1"/>
      <c r="D257" s="1"/>
      <c r="E257" s="5" t="str">
        <f>IF(D257="","",IFERROR(INDEX(CRONOGRAMA!$D$5:$D$32,MATCH(D257,CRONOGRAMA!$A$5:$A$32,0)),"nº inexistente"))</f>
        <v/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35">
      <c r="A258" s="13"/>
      <c r="B258" s="5" t="str">
        <f t="shared" si="3"/>
        <v/>
      </c>
      <c r="C258" s="1"/>
      <c r="D258" s="1"/>
      <c r="E258" s="5" t="str">
        <f>IF(D258="","",IFERROR(INDEX(CRONOGRAMA!$D$5:$D$32,MATCH(D258,CRONOGRAMA!$A$5:$A$32,0)),"nº inexistente"))</f>
        <v/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35">
      <c r="A259" s="13"/>
      <c r="B259" s="5" t="str">
        <f t="shared" si="3"/>
        <v/>
      </c>
      <c r="C259" s="1"/>
      <c r="D259" s="1"/>
      <c r="E259" s="5" t="str">
        <f>IF(D259="","",IFERROR(INDEX(CRONOGRAMA!$D$5:$D$32,MATCH(D259,CRONOGRAMA!$A$5:$A$32,0)),"nº inexistente"))</f>
        <v/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35">
      <c r="A260" s="13"/>
      <c r="B260" s="5" t="str">
        <f t="shared" si="3"/>
        <v/>
      </c>
      <c r="C260" s="1"/>
      <c r="D260" s="1"/>
      <c r="E260" s="5" t="str">
        <f>IF(D260="","",IFERROR(INDEX(CRONOGRAMA!$D$5:$D$32,MATCH(D260,CRONOGRAMA!$A$5:$A$32,0)),"nº inexistente"))</f>
        <v/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35">
      <c r="A261" s="13"/>
      <c r="B261" s="5" t="str">
        <f t="shared" si="3"/>
        <v/>
      </c>
      <c r="C261" s="1"/>
      <c r="D261" s="1"/>
      <c r="E261" s="5" t="str">
        <f>IF(D261="","",IFERROR(INDEX(CRONOGRAMA!$D$5:$D$32,MATCH(D261,CRONOGRAMA!$A$5:$A$32,0)),"nº inexistente"))</f>
        <v/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35">
      <c r="A262" s="13"/>
      <c r="B262" s="5" t="str">
        <f t="shared" ref="B262:B300" si="4">IF(A262="","",CHOOSE(WEEKDAY(A262,2),"seg","ter","qua","qui","sex","sáb","dom"))</f>
        <v/>
      </c>
      <c r="C262" s="1"/>
      <c r="D262" s="1"/>
      <c r="E262" s="5" t="str">
        <f>IF(D262="","",IFERROR(INDEX(CRONOGRAMA!$D$5:$D$32,MATCH(D262,CRONOGRAMA!$A$5:$A$32,0)),"nº inexistente"))</f>
        <v/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35">
      <c r="A263" s="13"/>
      <c r="B263" s="5" t="str">
        <f t="shared" si="4"/>
        <v/>
      </c>
      <c r="C263" s="1"/>
      <c r="D263" s="1"/>
      <c r="E263" s="5" t="str">
        <f>IF(D263="","",IFERROR(INDEX(CRONOGRAMA!$D$5:$D$32,MATCH(D263,CRONOGRAMA!$A$5:$A$32,0)),"nº inexistente"))</f>
        <v/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35">
      <c r="A264" s="13"/>
      <c r="B264" s="5" t="str">
        <f t="shared" si="4"/>
        <v/>
      </c>
      <c r="C264" s="1"/>
      <c r="D264" s="1"/>
      <c r="E264" s="5" t="str">
        <f>IF(D264="","",IFERROR(INDEX(CRONOGRAMA!$D$5:$D$32,MATCH(D264,CRONOGRAMA!$A$5:$A$32,0)),"nº inexistente"))</f>
        <v/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35">
      <c r="A265" s="13"/>
      <c r="B265" s="5" t="str">
        <f t="shared" si="4"/>
        <v/>
      </c>
      <c r="C265" s="1"/>
      <c r="D265" s="1"/>
      <c r="E265" s="5" t="str">
        <f>IF(D265="","",IFERROR(INDEX(CRONOGRAMA!$D$5:$D$32,MATCH(D265,CRONOGRAMA!$A$5:$A$32,0)),"nº inexistente"))</f>
        <v/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35">
      <c r="A266" s="13"/>
      <c r="B266" s="5" t="str">
        <f t="shared" si="4"/>
        <v/>
      </c>
      <c r="C266" s="1"/>
      <c r="D266" s="1"/>
      <c r="E266" s="5" t="str">
        <f>IF(D266="","",IFERROR(INDEX(CRONOGRAMA!$D$5:$D$32,MATCH(D266,CRONOGRAMA!$A$5:$A$32,0)),"nº inexistente"))</f>
        <v/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35">
      <c r="A267" s="13"/>
      <c r="B267" s="5" t="str">
        <f t="shared" si="4"/>
        <v/>
      </c>
      <c r="C267" s="1"/>
      <c r="D267" s="1"/>
      <c r="E267" s="5" t="str">
        <f>IF(D267="","",IFERROR(INDEX(CRONOGRAMA!$D$5:$D$32,MATCH(D267,CRONOGRAMA!$A$5:$A$32,0)),"nº inexistente"))</f>
        <v/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35">
      <c r="A268" s="13"/>
      <c r="B268" s="5" t="str">
        <f t="shared" si="4"/>
        <v/>
      </c>
      <c r="C268" s="1"/>
      <c r="D268" s="1"/>
      <c r="E268" s="5" t="str">
        <f>IF(D268="","",IFERROR(INDEX(CRONOGRAMA!$D$5:$D$32,MATCH(D268,CRONOGRAMA!$A$5:$A$32,0)),"nº inexistente"))</f>
        <v/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35">
      <c r="A269" s="13"/>
      <c r="B269" s="5" t="str">
        <f t="shared" si="4"/>
        <v/>
      </c>
      <c r="C269" s="1"/>
      <c r="D269" s="1"/>
      <c r="E269" s="5" t="str">
        <f>IF(D269="","",IFERROR(INDEX(CRONOGRAMA!$D$5:$D$32,MATCH(D269,CRONOGRAMA!$A$5:$A$32,0)),"nº inexistente"))</f>
        <v/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35">
      <c r="A270" s="13"/>
      <c r="B270" s="5" t="str">
        <f t="shared" si="4"/>
        <v/>
      </c>
      <c r="C270" s="1"/>
      <c r="D270" s="1"/>
      <c r="E270" s="5" t="str">
        <f>IF(D270="","",IFERROR(INDEX(CRONOGRAMA!$D$5:$D$32,MATCH(D270,CRONOGRAMA!$A$5:$A$32,0)),"nº inexistente"))</f>
        <v/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35">
      <c r="A271" s="13"/>
      <c r="B271" s="5" t="str">
        <f t="shared" si="4"/>
        <v/>
      </c>
      <c r="C271" s="1"/>
      <c r="D271" s="1"/>
      <c r="E271" s="5" t="str">
        <f>IF(D271="","",IFERROR(INDEX(CRONOGRAMA!$D$5:$D$32,MATCH(D271,CRONOGRAMA!$A$5:$A$32,0)),"nº inexistente"))</f>
        <v/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35">
      <c r="A272" s="13"/>
      <c r="B272" s="5" t="str">
        <f t="shared" si="4"/>
        <v/>
      </c>
      <c r="C272" s="1"/>
      <c r="D272" s="1"/>
      <c r="E272" s="5" t="str">
        <f>IF(D272="","",IFERROR(INDEX(CRONOGRAMA!$D$5:$D$32,MATCH(D272,CRONOGRAMA!$A$5:$A$32,0)),"nº inexistente"))</f>
        <v/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35">
      <c r="A273" s="13"/>
      <c r="B273" s="5" t="str">
        <f t="shared" si="4"/>
        <v/>
      </c>
      <c r="C273" s="1"/>
      <c r="D273" s="1"/>
      <c r="E273" s="5" t="str">
        <f>IF(D273="","",IFERROR(INDEX(CRONOGRAMA!$D$5:$D$32,MATCH(D273,CRONOGRAMA!$A$5:$A$32,0)),"nº inexistente"))</f>
        <v/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35">
      <c r="A274" s="13"/>
      <c r="B274" s="5" t="str">
        <f t="shared" si="4"/>
        <v/>
      </c>
      <c r="C274" s="1"/>
      <c r="D274" s="1"/>
      <c r="E274" s="5" t="str">
        <f>IF(D274="","",IFERROR(INDEX(CRONOGRAMA!$D$5:$D$32,MATCH(D274,CRONOGRAMA!$A$5:$A$32,0)),"nº inexistente"))</f>
        <v/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35">
      <c r="A275" s="13"/>
      <c r="B275" s="5" t="str">
        <f t="shared" si="4"/>
        <v/>
      </c>
      <c r="C275" s="1"/>
      <c r="D275" s="1"/>
      <c r="E275" s="5" t="str">
        <f>IF(D275="","",IFERROR(INDEX(CRONOGRAMA!$D$5:$D$32,MATCH(D275,CRONOGRAMA!$A$5:$A$32,0)),"nº inexistente"))</f>
        <v/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35">
      <c r="A276" s="13"/>
      <c r="B276" s="5" t="str">
        <f t="shared" si="4"/>
        <v/>
      </c>
      <c r="C276" s="1"/>
      <c r="D276" s="1"/>
      <c r="E276" s="5" t="str">
        <f>IF(D276="","",IFERROR(INDEX(CRONOGRAMA!$D$5:$D$32,MATCH(D276,CRONOGRAMA!$A$5:$A$32,0)),"nº inexistente"))</f>
        <v/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35">
      <c r="A277" s="13"/>
      <c r="B277" s="5" t="str">
        <f t="shared" si="4"/>
        <v/>
      </c>
      <c r="C277" s="1"/>
      <c r="D277" s="1"/>
      <c r="E277" s="5" t="str">
        <f>IF(D277="","",IFERROR(INDEX(CRONOGRAMA!$D$5:$D$32,MATCH(D277,CRONOGRAMA!$A$5:$A$32,0)),"nº inexistente"))</f>
        <v/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35">
      <c r="A278" s="13"/>
      <c r="B278" s="5" t="str">
        <f t="shared" si="4"/>
        <v/>
      </c>
      <c r="C278" s="1"/>
      <c r="D278" s="1"/>
      <c r="E278" s="5" t="str">
        <f>IF(D278="","",IFERROR(INDEX(CRONOGRAMA!$D$5:$D$32,MATCH(D278,CRONOGRAMA!$A$5:$A$32,0)),"nº inexistente"))</f>
        <v/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35">
      <c r="A279" s="13"/>
      <c r="B279" s="5" t="str">
        <f t="shared" si="4"/>
        <v/>
      </c>
      <c r="C279" s="1"/>
      <c r="D279" s="1"/>
      <c r="E279" s="5" t="str">
        <f>IF(D279="","",IFERROR(INDEX(CRONOGRAMA!$D$5:$D$32,MATCH(D279,CRONOGRAMA!$A$5:$A$32,0)),"nº inexistente"))</f>
        <v/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35">
      <c r="A280" s="13"/>
      <c r="B280" s="5" t="str">
        <f t="shared" si="4"/>
        <v/>
      </c>
      <c r="C280" s="1"/>
      <c r="D280" s="1"/>
      <c r="E280" s="5" t="str">
        <f>IF(D280="","",IFERROR(INDEX(CRONOGRAMA!$D$5:$D$32,MATCH(D280,CRONOGRAMA!$A$5:$A$32,0)),"nº inexistente"))</f>
        <v/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35">
      <c r="A281" s="13"/>
      <c r="B281" s="5" t="str">
        <f t="shared" si="4"/>
        <v/>
      </c>
      <c r="C281" s="1"/>
      <c r="D281" s="1"/>
      <c r="E281" s="5" t="str">
        <f>IF(D281="","",IFERROR(INDEX(CRONOGRAMA!$D$5:$D$32,MATCH(D281,CRONOGRAMA!$A$5:$A$32,0)),"nº inexistente"))</f>
        <v/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35">
      <c r="A282" s="13"/>
      <c r="B282" s="5" t="str">
        <f t="shared" si="4"/>
        <v/>
      </c>
      <c r="C282" s="1"/>
      <c r="D282" s="1"/>
      <c r="E282" s="5" t="str">
        <f>IF(D282="","",IFERROR(INDEX(CRONOGRAMA!$D$5:$D$32,MATCH(D282,CRONOGRAMA!$A$5:$A$32,0)),"nº inexistente"))</f>
        <v/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35">
      <c r="A283" s="13"/>
      <c r="B283" s="5" t="str">
        <f t="shared" si="4"/>
        <v/>
      </c>
      <c r="C283" s="1"/>
      <c r="D283" s="1"/>
      <c r="E283" s="5" t="str">
        <f>IF(D283="","",IFERROR(INDEX(CRONOGRAMA!$D$5:$D$32,MATCH(D283,CRONOGRAMA!$A$5:$A$32,0)),"nº inexistente"))</f>
        <v/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35">
      <c r="A284" s="13"/>
      <c r="B284" s="5" t="str">
        <f t="shared" si="4"/>
        <v/>
      </c>
      <c r="C284" s="1"/>
      <c r="D284" s="1"/>
      <c r="E284" s="5" t="str">
        <f>IF(D284="","",IFERROR(INDEX(CRONOGRAMA!$D$5:$D$32,MATCH(D284,CRONOGRAMA!$A$5:$A$32,0)),"nº inexistente"))</f>
        <v/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35">
      <c r="A285" s="13"/>
      <c r="B285" s="5" t="str">
        <f t="shared" si="4"/>
        <v/>
      </c>
      <c r="C285" s="1"/>
      <c r="D285" s="1"/>
      <c r="E285" s="5" t="str">
        <f>IF(D285="","",IFERROR(INDEX(CRONOGRAMA!$D$5:$D$32,MATCH(D285,CRONOGRAMA!$A$5:$A$32,0)),"nº inexistente"))</f>
        <v/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35">
      <c r="A286" s="13"/>
      <c r="B286" s="5" t="str">
        <f t="shared" si="4"/>
        <v/>
      </c>
      <c r="C286" s="1"/>
      <c r="D286" s="1"/>
      <c r="E286" s="5" t="str">
        <f>IF(D286="","",IFERROR(INDEX(CRONOGRAMA!$D$5:$D$32,MATCH(D286,CRONOGRAMA!$A$5:$A$32,0)),"nº inexistente"))</f>
        <v/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35">
      <c r="A287" s="13"/>
      <c r="B287" s="5" t="str">
        <f t="shared" si="4"/>
        <v/>
      </c>
      <c r="C287" s="1"/>
      <c r="D287" s="1"/>
      <c r="E287" s="5" t="str">
        <f>IF(D287="","",IFERROR(INDEX(CRONOGRAMA!$D$5:$D$32,MATCH(D287,CRONOGRAMA!$A$5:$A$32,0)),"nº inexistente"))</f>
        <v/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35">
      <c r="A288" s="13"/>
      <c r="B288" s="5" t="str">
        <f t="shared" si="4"/>
        <v/>
      </c>
      <c r="C288" s="1"/>
      <c r="D288" s="1"/>
      <c r="E288" s="5" t="str">
        <f>IF(D288="","",IFERROR(INDEX(CRONOGRAMA!$D$5:$D$32,MATCH(D288,CRONOGRAMA!$A$5:$A$32,0)),"nº inexistente"))</f>
        <v/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35">
      <c r="A289" s="13"/>
      <c r="B289" s="5" t="str">
        <f t="shared" si="4"/>
        <v/>
      </c>
      <c r="C289" s="1"/>
      <c r="D289" s="1"/>
      <c r="E289" s="5" t="str">
        <f>IF(D289="","",IFERROR(INDEX(CRONOGRAMA!$D$5:$D$32,MATCH(D289,CRONOGRAMA!$A$5:$A$32,0)),"nº inexistente"))</f>
        <v/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35">
      <c r="A290" s="13"/>
      <c r="B290" s="5" t="str">
        <f t="shared" si="4"/>
        <v/>
      </c>
      <c r="C290" s="1"/>
      <c r="D290" s="1"/>
      <c r="E290" s="5" t="str">
        <f>IF(D290="","",IFERROR(INDEX(CRONOGRAMA!$D$5:$D$32,MATCH(D290,CRONOGRAMA!$A$5:$A$32,0)),"nº inexistente"))</f>
        <v/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35">
      <c r="A291" s="13"/>
      <c r="B291" s="5" t="str">
        <f t="shared" si="4"/>
        <v/>
      </c>
      <c r="C291" s="1"/>
      <c r="D291" s="1"/>
      <c r="E291" s="5" t="str">
        <f>IF(D291="","",IFERROR(INDEX(CRONOGRAMA!$D$5:$D$32,MATCH(D291,CRONOGRAMA!$A$5:$A$32,0)),"nº inexistente"))</f>
        <v/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35">
      <c r="A292" s="13"/>
      <c r="B292" s="5" t="str">
        <f t="shared" si="4"/>
        <v/>
      </c>
      <c r="C292" s="1"/>
      <c r="D292" s="1"/>
      <c r="E292" s="5" t="str">
        <f>IF(D292="","",IFERROR(INDEX(CRONOGRAMA!$D$5:$D$32,MATCH(D292,CRONOGRAMA!$A$5:$A$32,0)),"nº inexistente"))</f>
        <v/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35">
      <c r="A293" s="13"/>
      <c r="B293" s="5" t="str">
        <f t="shared" si="4"/>
        <v/>
      </c>
      <c r="C293" s="1"/>
      <c r="D293" s="1"/>
      <c r="E293" s="5" t="str">
        <f>IF(D293="","",IFERROR(INDEX(CRONOGRAMA!$D$5:$D$32,MATCH(D293,CRONOGRAMA!$A$5:$A$32,0)),"nº inexistente"))</f>
        <v/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35">
      <c r="A294" s="13"/>
      <c r="B294" s="5" t="str">
        <f t="shared" si="4"/>
        <v/>
      </c>
      <c r="C294" s="1"/>
      <c r="D294" s="1"/>
      <c r="E294" s="5" t="str">
        <f>IF(D294="","",IFERROR(INDEX(CRONOGRAMA!$D$5:$D$32,MATCH(D294,CRONOGRAMA!$A$5:$A$32,0)),"nº inexistente"))</f>
        <v/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35">
      <c r="A295" s="13"/>
      <c r="B295" s="5" t="str">
        <f t="shared" si="4"/>
        <v/>
      </c>
      <c r="C295" s="1"/>
      <c r="D295" s="1"/>
      <c r="E295" s="5" t="str">
        <f>IF(D295="","",IFERROR(INDEX(CRONOGRAMA!$D$5:$D$32,MATCH(D295,CRONOGRAMA!$A$5:$A$32,0)),"nº inexistente"))</f>
        <v/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35">
      <c r="A296" s="13"/>
      <c r="B296" s="5" t="str">
        <f t="shared" si="4"/>
        <v/>
      </c>
      <c r="C296" s="1"/>
      <c r="D296" s="1"/>
      <c r="E296" s="5" t="str">
        <f>IF(D296="","",IFERROR(INDEX(CRONOGRAMA!$D$5:$D$32,MATCH(D296,CRONOGRAMA!$A$5:$A$32,0)),"nº inexistente"))</f>
        <v/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35">
      <c r="A297" s="13"/>
      <c r="B297" s="5" t="str">
        <f t="shared" si="4"/>
        <v/>
      </c>
      <c r="C297" s="1"/>
      <c r="D297" s="1"/>
      <c r="E297" s="5" t="str">
        <f>IF(D297="","",IFERROR(INDEX(CRONOGRAMA!$D$5:$D$32,MATCH(D297,CRONOGRAMA!$A$5:$A$32,0)),"nº inexistente"))</f>
        <v/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35">
      <c r="A298" s="13"/>
      <c r="B298" s="5" t="str">
        <f t="shared" si="4"/>
        <v/>
      </c>
      <c r="C298" s="1"/>
      <c r="D298" s="1"/>
      <c r="E298" s="5" t="str">
        <f>IF(D298="","",IFERROR(INDEX(CRONOGRAMA!$D$5:$D$32,MATCH(D298,CRONOGRAMA!$A$5:$A$32,0)),"nº inexistente"))</f>
        <v/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35">
      <c r="A299" s="13"/>
      <c r="B299" s="5" t="str">
        <f t="shared" si="4"/>
        <v/>
      </c>
      <c r="C299" s="1"/>
      <c r="D299" s="1"/>
      <c r="E299" s="5" t="str">
        <f>IF(D299="","",IFERROR(INDEX(CRONOGRAMA!$D$5:$D$32,MATCH(D299,CRONOGRAMA!$A$5:$A$32,0)),"nº inexistente"))</f>
        <v/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35">
      <c r="A300" s="13"/>
      <c r="B300" s="5" t="str">
        <f t="shared" si="4"/>
        <v/>
      </c>
      <c r="C300" s="1"/>
      <c r="D300" s="1"/>
      <c r="E300" s="5" t="str">
        <f>IF(D300="","",IFERROR(INDEX(CRONOGRAMA!$D$5:$D$32,MATCH(D300,CRONOGRAMA!$A$5:$A$32,0)),"nº inexistente"))</f>
        <v/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</sheetData>
  <autoFilter ref="A4:Q300" xr:uid="{00000000-0009-0000-0000-000006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CRONOGRAMA!$A$5:$A$32</xm:f>
          </x14:formula1>
          <x14:formula2>
            <xm:f>0</xm:f>
          </x14:formula2>
          <xm:sqref>D6:D300</xm:sqref>
        </x14:dataValidation>
        <x14:dataValidation type="list" allowBlank="1" xr:uid="{00000000-0002-0000-0600-000001000000}">
          <x14:formula1>
            <xm:f>LISTAS!$D$5:$D$6</xm:f>
          </x14:formula1>
          <x14:formula2>
            <xm:f>0</xm:f>
          </x14:formula2>
          <xm:sqref>Q6:Q300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11" customWidth="1"/>
    <col min="2" max="2" width="22" customWidth="1"/>
    <col min="3" max="3" width="36" customWidth="1"/>
    <col min="4" max="4" width="14" customWidth="1"/>
    <col min="5" max="5" width="34" customWidth="1"/>
    <col min="6" max="6" width="8" customWidth="1"/>
    <col min="7" max="7" width="14" customWidth="1"/>
    <col min="8" max="9" width="12" customWidth="1"/>
    <col min="10" max="10" width="14" customWidth="1"/>
    <col min="11" max="11" width="10" customWidth="1"/>
    <col min="12" max="12" width="12" customWidth="1"/>
    <col min="13" max="13" width="26" customWidth="1"/>
  </cols>
  <sheetData>
    <row r="1" spans="1:13" ht="18" x14ac:dyDescent="0.4">
      <c r="A1" s="6" t="s">
        <v>513</v>
      </c>
    </row>
    <row r="2" spans="1:13" x14ac:dyDescent="0.35">
      <c r="A2" s="7" t="s">
        <v>514</v>
      </c>
    </row>
    <row r="4" spans="1:13" ht="31.5" customHeight="1" x14ac:dyDescent="0.35">
      <c r="A4" s="15" t="s">
        <v>515</v>
      </c>
      <c r="B4" s="15" t="s">
        <v>516</v>
      </c>
      <c r="C4" s="15" t="s">
        <v>204</v>
      </c>
      <c r="D4" s="15" t="s">
        <v>517</v>
      </c>
      <c r="E4" s="15" t="s">
        <v>103</v>
      </c>
      <c r="F4" s="15" t="s">
        <v>206</v>
      </c>
      <c r="G4" s="15" t="s">
        <v>518</v>
      </c>
      <c r="H4" s="15" t="s">
        <v>519</v>
      </c>
      <c r="I4" s="15" t="s">
        <v>520</v>
      </c>
      <c r="J4" s="15" t="s">
        <v>113</v>
      </c>
      <c r="K4" s="15" t="s">
        <v>521</v>
      </c>
      <c r="L4" s="15" t="s">
        <v>119</v>
      </c>
      <c r="M4" s="15" t="s">
        <v>522</v>
      </c>
    </row>
    <row r="5" spans="1:13" x14ac:dyDescent="0.35">
      <c r="A5" s="11" t="s">
        <v>499</v>
      </c>
      <c r="B5" s="11" t="s">
        <v>523</v>
      </c>
      <c r="C5" s="11" t="s">
        <v>524</v>
      </c>
      <c r="D5" s="11" t="s">
        <v>525</v>
      </c>
      <c r="E5" s="11" t="s">
        <v>526</v>
      </c>
      <c r="F5" s="11">
        <v>10</v>
      </c>
      <c r="G5" s="11">
        <v>1800</v>
      </c>
      <c r="H5" s="11" t="s">
        <v>527</v>
      </c>
      <c r="I5" s="11"/>
      <c r="J5" s="11" t="s">
        <v>528</v>
      </c>
      <c r="K5" s="11"/>
      <c r="L5" s="11" t="s">
        <v>529</v>
      </c>
      <c r="M5" s="11"/>
    </row>
    <row r="6" spans="1:13" x14ac:dyDescent="0.35">
      <c r="A6" s="13"/>
      <c r="B6" s="1"/>
      <c r="C6" s="1"/>
      <c r="D6" s="1"/>
      <c r="E6" s="5" t="str">
        <f>IF(D6="","",IFERROR(INDEX(ORCAMENTO!$I$5:$I$200,MATCH(D6,ORCAMENTO!$Q$5:$Q$200,0)),"chave inexistente"))</f>
        <v/>
      </c>
      <c r="F6" s="1"/>
      <c r="G6" s="35"/>
      <c r="H6" s="13"/>
      <c r="I6" s="13"/>
      <c r="J6" s="1"/>
      <c r="K6" s="1"/>
      <c r="L6" s="5" t="str">
        <f t="shared" ref="L6:L69" si="0">IF(A6="","",IF(J6="Entregue","Entregue",IF(J6="Cancelado","Cancelado",IF(AND(H6&lt;&gt;"",DataRef&gt;H6),"ATRASADA","No prazo"))))</f>
        <v/>
      </c>
      <c r="M6" s="1"/>
    </row>
    <row r="7" spans="1:13" x14ac:dyDescent="0.35">
      <c r="A7" s="13"/>
      <c r="B7" s="1"/>
      <c r="C7" s="1"/>
      <c r="D7" s="1"/>
      <c r="E7" s="5" t="str">
        <f>IF(D7="","",IFERROR(INDEX(ORCAMENTO!$I$5:$I$200,MATCH(D7,ORCAMENTO!$Q$5:$Q$200,0)),"chave inexistente"))</f>
        <v/>
      </c>
      <c r="F7" s="1"/>
      <c r="G7" s="35"/>
      <c r="H7" s="13"/>
      <c r="I7" s="13"/>
      <c r="J7" s="1"/>
      <c r="K7" s="1"/>
      <c r="L7" s="5" t="str">
        <f t="shared" si="0"/>
        <v/>
      </c>
      <c r="M7" s="1"/>
    </row>
    <row r="8" spans="1:13" x14ac:dyDescent="0.35">
      <c r="A8" s="13"/>
      <c r="B8" s="1"/>
      <c r="C8" s="1"/>
      <c r="D8" s="1"/>
      <c r="E8" s="5" t="str">
        <f>IF(D8="","",IFERROR(INDEX(ORCAMENTO!$I$5:$I$200,MATCH(D8,ORCAMENTO!$Q$5:$Q$200,0)),"chave inexistente"))</f>
        <v/>
      </c>
      <c r="F8" s="1"/>
      <c r="G8" s="35"/>
      <c r="H8" s="13"/>
      <c r="I8" s="13"/>
      <c r="J8" s="1"/>
      <c r="K8" s="1"/>
      <c r="L8" s="5" t="str">
        <f t="shared" si="0"/>
        <v/>
      </c>
      <c r="M8" s="1"/>
    </row>
    <row r="9" spans="1:13" x14ac:dyDescent="0.35">
      <c r="A9" s="13"/>
      <c r="B9" s="1"/>
      <c r="C9" s="1"/>
      <c r="D9" s="1"/>
      <c r="E9" s="5" t="str">
        <f>IF(D9="","",IFERROR(INDEX(ORCAMENTO!$I$5:$I$200,MATCH(D9,ORCAMENTO!$Q$5:$Q$200,0)),"chave inexistente"))</f>
        <v/>
      </c>
      <c r="F9" s="1"/>
      <c r="G9" s="35"/>
      <c r="H9" s="13"/>
      <c r="I9" s="13"/>
      <c r="J9" s="1"/>
      <c r="K9" s="1"/>
      <c r="L9" s="5" t="str">
        <f t="shared" si="0"/>
        <v/>
      </c>
      <c r="M9" s="1"/>
    </row>
    <row r="10" spans="1:13" x14ac:dyDescent="0.35">
      <c r="A10" s="13"/>
      <c r="B10" s="1"/>
      <c r="C10" s="1"/>
      <c r="D10" s="1"/>
      <c r="E10" s="5" t="str">
        <f>IF(D10="","",IFERROR(INDEX(ORCAMENTO!$I$5:$I$200,MATCH(D10,ORCAMENTO!$Q$5:$Q$200,0)),"chave inexistente"))</f>
        <v/>
      </c>
      <c r="F10" s="1"/>
      <c r="G10" s="35"/>
      <c r="H10" s="13"/>
      <c r="I10" s="13"/>
      <c r="J10" s="1"/>
      <c r="K10" s="1"/>
      <c r="L10" s="5" t="str">
        <f t="shared" si="0"/>
        <v/>
      </c>
      <c r="M10" s="1"/>
    </row>
    <row r="11" spans="1:13" x14ac:dyDescent="0.35">
      <c r="A11" s="13"/>
      <c r="B11" s="1"/>
      <c r="C11" s="1"/>
      <c r="D11" s="1"/>
      <c r="E11" s="5" t="str">
        <f>IF(D11="","",IFERROR(INDEX(ORCAMENTO!$I$5:$I$200,MATCH(D11,ORCAMENTO!$Q$5:$Q$200,0)),"chave inexistente"))</f>
        <v/>
      </c>
      <c r="F11" s="1"/>
      <c r="G11" s="35"/>
      <c r="H11" s="13"/>
      <c r="I11" s="13"/>
      <c r="J11" s="1"/>
      <c r="K11" s="1"/>
      <c r="L11" s="5" t="str">
        <f t="shared" si="0"/>
        <v/>
      </c>
      <c r="M11" s="1"/>
    </row>
    <row r="12" spans="1:13" x14ac:dyDescent="0.35">
      <c r="A12" s="13"/>
      <c r="B12" s="1"/>
      <c r="C12" s="1"/>
      <c r="D12" s="1"/>
      <c r="E12" s="5" t="str">
        <f>IF(D12="","",IFERROR(INDEX(ORCAMENTO!$I$5:$I$200,MATCH(D12,ORCAMENTO!$Q$5:$Q$200,0)),"chave inexistente"))</f>
        <v/>
      </c>
      <c r="F12" s="1"/>
      <c r="G12" s="35"/>
      <c r="H12" s="13"/>
      <c r="I12" s="13"/>
      <c r="J12" s="1"/>
      <c r="K12" s="1"/>
      <c r="L12" s="5" t="str">
        <f t="shared" si="0"/>
        <v/>
      </c>
      <c r="M12" s="1"/>
    </row>
    <row r="13" spans="1:13" x14ac:dyDescent="0.35">
      <c r="A13" s="13"/>
      <c r="B13" s="1"/>
      <c r="C13" s="1"/>
      <c r="D13" s="1"/>
      <c r="E13" s="5" t="str">
        <f>IF(D13="","",IFERROR(INDEX(ORCAMENTO!$I$5:$I$200,MATCH(D13,ORCAMENTO!$Q$5:$Q$200,0)),"chave inexistente"))</f>
        <v/>
      </c>
      <c r="F13" s="1"/>
      <c r="G13" s="35"/>
      <c r="H13" s="13"/>
      <c r="I13" s="13"/>
      <c r="J13" s="1"/>
      <c r="K13" s="1"/>
      <c r="L13" s="5" t="str">
        <f t="shared" si="0"/>
        <v/>
      </c>
      <c r="M13" s="1"/>
    </row>
    <row r="14" spans="1:13" x14ac:dyDescent="0.35">
      <c r="A14" s="13"/>
      <c r="B14" s="1"/>
      <c r="C14" s="1"/>
      <c r="D14" s="1"/>
      <c r="E14" s="5" t="str">
        <f>IF(D14="","",IFERROR(INDEX(ORCAMENTO!$I$5:$I$200,MATCH(D14,ORCAMENTO!$Q$5:$Q$200,0)),"chave inexistente"))</f>
        <v/>
      </c>
      <c r="F14" s="1"/>
      <c r="G14" s="35"/>
      <c r="H14" s="13"/>
      <c r="I14" s="13"/>
      <c r="J14" s="1"/>
      <c r="K14" s="1"/>
      <c r="L14" s="5" t="str">
        <f t="shared" si="0"/>
        <v/>
      </c>
      <c r="M14" s="1"/>
    </row>
    <row r="15" spans="1:13" x14ac:dyDescent="0.35">
      <c r="A15" s="13"/>
      <c r="B15" s="1"/>
      <c r="C15" s="1"/>
      <c r="D15" s="1"/>
      <c r="E15" s="5" t="str">
        <f>IF(D15="","",IFERROR(INDEX(ORCAMENTO!$I$5:$I$200,MATCH(D15,ORCAMENTO!$Q$5:$Q$200,0)),"chave inexistente"))</f>
        <v/>
      </c>
      <c r="F15" s="1"/>
      <c r="G15" s="35"/>
      <c r="H15" s="13"/>
      <c r="I15" s="13"/>
      <c r="J15" s="1"/>
      <c r="K15" s="1"/>
      <c r="L15" s="5" t="str">
        <f t="shared" si="0"/>
        <v/>
      </c>
      <c r="M15" s="1"/>
    </row>
    <row r="16" spans="1:13" x14ac:dyDescent="0.35">
      <c r="A16" s="13"/>
      <c r="B16" s="1"/>
      <c r="C16" s="1"/>
      <c r="D16" s="1"/>
      <c r="E16" s="5" t="str">
        <f>IF(D16="","",IFERROR(INDEX(ORCAMENTO!$I$5:$I$200,MATCH(D16,ORCAMENTO!$Q$5:$Q$200,0)),"chave inexistente"))</f>
        <v/>
      </c>
      <c r="F16" s="1"/>
      <c r="G16" s="35"/>
      <c r="H16" s="13"/>
      <c r="I16" s="13"/>
      <c r="J16" s="1"/>
      <c r="K16" s="1"/>
      <c r="L16" s="5" t="str">
        <f t="shared" si="0"/>
        <v/>
      </c>
      <c r="M16" s="1"/>
    </row>
    <row r="17" spans="1:13" x14ac:dyDescent="0.35">
      <c r="A17" s="13"/>
      <c r="B17" s="1"/>
      <c r="C17" s="1"/>
      <c r="D17" s="1"/>
      <c r="E17" s="5" t="str">
        <f>IF(D17="","",IFERROR(INDEX(ORCAMENTO!$I$5:$I$200,MATCH(D17,ORCAMENTO!$Q$5:$Q$200,0)),"chave inexistente"))</f>
        <v/>
      </c>
      <c r="F17" s="1"/>
      <c r="G17" s="35"/>
      <c r="H17" s="13"/>
      <c r="I17" s="13"/>
      <c r="J17" s="1"/>
      <c r="K17" s="1"/>
      <c r="L17" s="5" t="str">
        <f t="shared" si="0"/>
        <v/>
      </c>
      <c r="M17" s="1"/>
    </row>
    <row r="18" spans="1:13" x14ac:dyDescent="0.35">
      <c r="A18" s="13"/>
      <c r="B18" s="1"/>
      <c r="C18" s="1"/>
      <c r="D18" s="1"/>
      <c r="E18" s="5" t="str">
        <f>IF(D18="","",IFERROR(INDEX(ORCAMENTO!$I$5:$I$200,MATCH(D18,ORCAMENTO!$Q$5:$Q$200,0)),"chave inexistente"))</f>
        <v/>
      </c>
      <c r="F18" s="1"/>
      <c r="G18" s="35"/>
      <c r="H18" s="13"/>
      <c r="I18" s="13"/>
      <c r="J18" s="1"/>
      <c r="K18" s="1"/>
      <c r="L18" s="5" t="str">
        <f t="shared" si="0"/>
        <v/>
      </c>
      <c r="M18" s="1"/>
    </row>
    <row r="19" spans="1:13" x14ac:dyDescent="0.35">
      <c r="A19" s="13"/>
      <c r="B19" s="1"/>
      <c r="C19" s="1"/>
      <c r="D19" s="1"/>
      <c r="E19" s="5" t="str">
        <f>IF(D19="","",IFERROR(INDEX(ORCAMENTO!$I$5:$I$200,MATCH(D19,ORCAMENTO!$Q$5:$Q$200,0)),"chave inexistente"))</f>
        <v/>
      </c>
      <c r="F19" s="1"/>
      <c r="G19" s="35"/>
      <c r="H19" s="13"/>
      <c r="I19" s="13"/>
      <c r="J19" s="1"/>
      <c r="K19" s="1"/>
      <c r="L19" s="5" t="str">
        <f t="shared" si="0"/>
        <v/>
      </c>
      <c r="M19" s="1"/>
    </row>
    <row r="20" spans="1:13" x14ac:dyDescent="0.35">
      <c r="A20" s="13"/>
      <c r="B20" s="1"/>
      <c r="C20" s="1"/>
      <c r="D20" s="1"/>
      <c r="E20" s="5" t="str">
        <f>IF(D20="","",IFERROR(INDEX(ORCAMENTO!$I$5:$I$200,MATCH(D20,ORCAMENTO!$Q$5:$Q$200,0)),"chave inexistente"))</f>
        <v/>
      </c>
      <c r="F20" s="1"/>
      <c r="G20" s="35"/>
      <c r="H20" s="13"/>
      <c r="I20" s="13"/>
      <c r="J20" s="1"/>
      <c r="K20" s="1"/>
      <c r="L20" s="5" t="str">
        <f t="shared" si="0"/>
        <v/>
      </c>
      <c r="M20" s="1"/>
    </row>
    <row r="21" spans="1:13" x14ac:dyDescent="0.35">
      <c r="A21" s="13"/>
      <c r="B21" s="1"/>
      <c r="C21" s="1"/>
      <c r="D21" s="1"/>
      <c r="E21" s="5" t="str">
        <f>IF(D21="","",IFERROR(INDEX(ORCAMENTO!$I$5:$I$200,MATCH(D21,ORCAMENTO!$Q$5:$Q$200,0)),"chave inexistente"))</f>
        <v/>
      </c>
      <c r="F21" s="1"/>
      <c r="G21" s="35"/>
      <c r="H21" s="13"/>
      <c r="I21" s="13"/>
      <c r="J21" s="1"/>
      <c r="K21" s="1"/>
      <c r="L21" s="5" t="str">
        <f t="shared" si="0"/>
        <v/>
      </c>
      <c r="M21" s="1"/>
    </row>
    <row r="22" spans="1:13" x14ac:dyDescent="0.35">
      <c r="A22" s="13"/>
      <c r="B22" s="1"/>
      <c r="C22" s="1"/>
      <c r="D22" s="1"/>
      <c r="E22" s="5" t="str">
        <f>IF(D22="","",IFERROR(INDEX(ORCAMENTO!$I$5:$I$200,MATCH(D22,ORCAMENTO!$Q$5:$Q$200,0)),"chave inexistente"))</f>
        <v/>
      </c>
      <c r="F22" s="1"/>
      <c r="G22" s="35"/>
      <c r="H22" s="13"/>
      <c r="I22" s="13"/>
      <c r="J22" s="1"/>
      <c r="K22" s="1"/>
      <c r="L22" s="5" t="str">
        <f t="shared" si="0"/>
        <v/>
      </c>
      <c r="M22" s="1"/>
    </row>
    <row r="23" spans="1:13" x14ac:dyDescent="0.35">
      <c r="A23" s="13"/>
      <c r="B23" s="1"/>
      <c r="C23" s="1"/>
      <c r="D23" s="1"/>
      <c r="E23" s="5" t="str">
        <f>IF(D23="","",IFERROR(INDEX(ORCAMENTO!$I$5:$I$200,MATCH(D23,ORCAMENTO!$Q$5:$Q$200,0)),"chave inexistente"))</f>
        <v/>
      </c>
      <c r="F23" s="1"/>
      <c r="G23" s="35"/>
      <c r="H23" s="13"/>
      <c r="I23" s="13"/>
      <c r="J23" s="1"/>
      <c r="K23" s="1"/>
      <c r="L23" s="5" t="str">
        <f t="shared" si="0"/>
        <v/>
      </c>
      <c r="M23" s="1"/>
    </row>
    <row r="24" spans="1:13" x14ac:dyDescent="0.35">
      <c r="A24" s="13"/>
      <c r="B24" s="1"/>
      <c r="C24" s="1"/>
      <c r="D24" s="1"/>
      <c r="E24" s="5" t="str">
        <f>IF(D24="","",IFERROR(INDEX(ORCAMENTO!$I$5:$I$200,MATCH(D24,ORCAMENTO!$Q$5:$Q$200,0)),"chave inexistente"))</f>
        <v/>
      </c>
      <c r="F24" s="1"/>
      <c r="G24" s="35"/>
      <c r="H24" s="13"/>
      <c r="I24" s="13"/>
      <c r="J24" s="1"/>
      <c r="K24" s="1"/>
      <c r="L24" s="5" t="str">
        <f t="shared" si="0"/>
        <v/>
      </c>
      <c r="M24" s="1"/>
    </row>
    <row r="25" spans="1:13" x14ac:dyDescent="0.35">
      <c r="A25" s="13"/>
      <c r="B25" s="1"/>
      <c r="C25" s="1"/>
      <c r="D25" s="1"/>
      <c r="E25" s="5" t="str">
        <f>IF(D25="","",IFERROR(INDEX(ORCAMENTO!$I$5:$I$200,MATCH(D25,ORCAMENTO!$Q$5:$Q$200,0)),"chave inexistente"))</f>
        <v/>
      </c>
      <c r="F25" s="1"/>
      <c r="G25" s="35"/>
      <c r="H25" s="13"/>
      <c r="I25" s="13"/>
      <c r="J25" s="1"/>
      <c r="K25" s="1"/>
      <c r="L25" s="5" t="str">
        <f t="shared" si="0"/>
        <v/>
      </c>
      <c r="M25" s="1"/>
    </row>
    <row r="26" spans="1:13" x14ac:dyDescent="0.35">
      <c r="A26" s="13"/>
      <c r="B26" s="1"/>
      <c r="C26" s="1"/>
      <c r="D26" s="1"/>
      <c r="E26" s="5" t="str">
        <f>IF(D26="","",IFERROR(INDEX(ORCAMENTO!$I$5:$I$200,MATCH(D26,ORCAMENTO!$Q$5:$Q$200,0)),"chave inexistente"))</f>
        <v/>
      </c>
      <c r="F26" s="1"/>
      <c r="G26" s="35"/>
      <c r="H26" s="13"/>
      <c r="I26" s="13"/>
      <c r="J26" s="1"/>
      <c r="K26" s="1"/>
      <c r="L26" s="5" t="str">
        <f t="shared" si="0"/>
        <v/>
      </c>
      <c r="M26" s="1"/>
    </row>
    <row r="27" spans="1:13" x14ac:dyDescent="0.35">
      <c r="A27" s="13"/>
      <c r="B27" s="1"/>
      <c r="C27" s="1"/>
      <c r="D27" s="1"/>
      <c r="E27" s="5" t="str">
        <f>IF(D27="","",IFERROR(INDEX(ORCAMENTO!$I$5:$I$200,MATCH(D27,ORCAMENTO!$Q$5:$Q$200,0)),"chave inexistente"))</f>
        <v/>
      </c>
      <c r="F27" s="1"/>
      <c r="G27" s="35"/>
      <c r="H27" s="13"/>
      <c r="I27" s="13"/>
      <c r="J27" s="1"/>
      <c r="K27" s="1"/>
      <c r="L27" s="5" t="str">
        <f t="shared" si="0"/>
        <v/>
      </c>
      <c r="M27" s="1"/>
    </row>
    <row r="28" spans="1:13" x14ac:dyDescent="0.35">
      <c r="A28" s="13"/>
      <c r="B28" s="1"/>
      <c r="C28" s="1"/>
      <c r="D28" s="1"/>
      <c r="E28" s="5" t="str">
        <f>IF(D28="","",IFERROR(INDEX(ORCAMENTO!$I$5:$I$200,MATCH(D28,ORCAMENTO!$Q$5:$Q$200,0)),"chave inexistente"))</f>
        <v/>
      </c>
      <c r="F28" s="1"/>
      <c r="G28" s="35"/>
      <c r="H28" s="13"/>
      <c r="I28" s="13"/>
      <c r="J28" s="1"/>
      <c r="K28" s="1"/>
      <c r="L28" s="5" t="str">
        <f t="shared" si="0"/>
        <v/>
      </c>
      <c r="M28" s="1"/>
    </row>
    <row r="29" spans="1:13" x14ac:dyDescent="0.35">
      <c r="A29" s="13"/>
      <c r="B29" s="1"/>
      <c r="C29" s="1"/>
      <c r="D29" s="1"/>
      <c r="E29" s="5" t="str">
        <f>IF(D29="","",IFERROR(INDEX(ORCAMENTO!$I$5:$I$200,MATCH(D29,ORCAMENTO!$Q$5:$Q$200,0)),"chave inexistente"))</f>
        <v/>
      </c>
      <c r="F29" s="1"/>
      <c r="G29" s="35"/>
      <c r="H29" s="13"/>
      <c r="I29" s="13"/>
      <c r="J29" s="1"/>
      <c r="K29" s="1"/>
      <c r="L29" s="5" t="str">
        <f t="shared" si="0"/>
        <v/>
      </c>
      <c r="M29" s="1"/>
    </row>
    <row r="30" spans="1:13" x14ac:dyDescent="0.35">
      <c r="A30" s="13"/>
      <c r="B30" s="1"/>
      <c r="C30" s="1"/>
      <c r="D30" s="1"/>
      <c r="E30" s="5" t="str">
        <f>IF(D30="","",IFERROR(INDEX(ORCAMENTO!$I$5:$I$200,MATCH(D30,ORCAMENTO!$Q$5:$Q$200,0)),"chave inexistente"))</f>
        <v/>
      </c>
      <c r="F30" s="1"/>
      <c r="G30" s="35"/>
      <c r="H30" s="13"/>
      <c r="I30" s="13"/>
      <c r="J30" s="1"/>
      <c r="K30" s="1"/>
      <c r="L30" s="5" t="str">
        <f t="shared" si="0"/>
        <v/>
      </c>
      <c r="M30" s="1"/>
    </row>
    <row r="31" spans="1:13" x14ac:dyDescent="0.35">
      <c r="A31" s="13"/>
      <c r="B31" s="1"/>
      <c r="C31" s="1"/>
      <c r="D31" s="1"/>
      <c r="E31" s="5" t="str">
        <f>IF(D31="","",IFERROR(INDEX(ORCAMENTO!$I$5:$I$200,MATCH(D31,ORCAMENTO!$Q$5:$Q$200,0)),"chave inexistente"))</f>
        <v/>
      </c>
      <c r="F31" s="1"/>
      <c r="G31" s="35"/>
      <c r="H31" s="13"/>
      <c r="I31" s="13"/>
      <c r="J31" s="1"/>
      <c r="K31" s="1"/>
      <c r="L31" s="5" t="str">
        <f t="shared" si="0"/>
        <v/>
      </c>
      <c r="M31" s="1"/>
    </row>
    <row r="32" spans="1:13" x14ac:dyDescent="0.35">
      <c r="A32" s="13"/>
      <c r="B32" s="1"/>
      <c r="C32" s="1"/>
      <c r="D32" s="1"/>
      <c r="E32" s="5" t="str">
        <f>IF(D32="","",IFERROR(INDEX(ORCAMENTO!$I$5:$I$200,MATCH(D32,ORCAMENTO!$Q$5:$Q$200,0)),"chave inexistente"))</f>
        <v/>
      </c>
      <c r="F32" s="1"/>
      <c r="G32" s="35"/>
      <c r="H32" s="13"/>
      <c r="I32" s="13"/>
      <c r="J32" s="1"/>
      <c r="K32" s="1"/>
      <c r="L32" s="5" t="str">
        <f t="shared" si="0"/>
        <v/>
      </c>
      <c r="M32" s="1"/>
    </row>
    <row r="33" spans="1:13" x14ac:dyDescent="0.35">
      <c r="A33" s="13"/>
      <c r="B33" s="1"/>
      <c r="C33" s="1"/>
      <c r="D33" s="1"/>
      <c r="E33" s="5" t="str">
        <f>IF(D33="","",IFERROR(INDEX(ORCAMENTO!$I$5:$I$200,MATCH(D33,ORCAMENTO!$Q$5:$Q$200,0)),"chave inexistente"))</f>
        <v/>
      </c>
      <c r="F33" s="1"/>
      <c r="G33" s="35"/>
      <c r="H33" s="13"/>
      <c r="I33" s="13"/>
      <c r="J33" s="1"/>
      <c r="K33" s="1"/>
      <c r="L33" s="5" t="str">
        <f t="shared" si="0"/>
        <v/>
      </c>
      <c r="M33" s="1"/>
    </row>
    <row r="34" spans="1:13" x14ac:dyDescent="0.35">
      <c r="A34" s="13"/>
      <c r="B34" s="1"/>
      <c r="C34" s="1"/>
      <c r="D34" s="1"/>
      <c r="E34" s="5" t="str">
        <f>IF(D34="","",IFERROR(INDEX(ORCAMENTO!$I$5:$I$200,MATCH(D34,ORCAMENTO!$Q$5:$Q$200,0)),"chave inexistente"))</f>
        <v/>
      </c>
      <c r="F34" s="1"/>
      <c r="G34" s="35"/>
      <c r="H34" s="13"/>
      <c r="I34" s="13"/>
      <c r="J34" s="1"/>
      <c r="K34" s="1"/>
      <c r="L34" s="5" t="str">
        <f t="shared" si="0"/>
        <v/>
      </c>
      <c r="M34" s="1"/>
    </row>
    <row r="35" spans="1:13" x14ac:dyDescent="0.35">
      <c r="A35" s="13"/>
      <c r="B35" s="1"/>
      <c r="C35" s="1"/>
      <c r="D35" s="1"/>
      <c r="E35" s="5" t="str">
        <f>IF(D35="","",IFERROR(INDEX(ORCAMENTO!$I$5:$I$200,MATCH(D35,ORCAMENTO!$Q$5:$Q$200,0)),"chave inexistente"))</f>
        <v/>
      </c>
      <c r="F35" s="1"/>
      <c r="G35" s="35"/>
      <c r="H35" s="13"/>
      <c r="I35" s="13"/>
      <c r="J35" s="1"/>
      <c r="K35" s="1"/>
      <c r="L35" s="5" t="str">
        <f t="shared" si="0"/>
        <v/>
      </c>
      <c r="M35" s="1"/>
    </row>
    <row r="36" spans="1:13" x14ac:dyDescent="0.35">
      <c r="A36" s="13"/>
      <c r="B36" s="1"/>
      <c r="C36" s="1"/>
      <c r="D36" s="1"/>
      <c r="E36" s="5" t="str">
        <f>IF(D36="","",IFERROR(INDEX(ORCAMENTO!$I$5:$I$200,MATCH(D36,ORCAMENTO!$Q$5:$Q$200,0)),"chave inexistente"))</f>
        <v/>
      </c>
      <c r="F36" s="1"/>
      <c r="G36" s="35"/>
      <c r="H36" s="13"/>
      <c r="I36" s="13"/>
      <c r="J36" s="1"/>
      <c r="K36" s="1"/>
      <c r="L36" s="5" t="str">
        <f t="shared" si="0"/>
        <v/>
      </c>
      <c r="M36" s="1"/>
    </row>
    <row r="37" spans="1:13" x14ac:dyDescent="0.35">
      <c r="A37" s="13"/>
      <c r="B37" s="1"/>
      <c r="C37" s="1"/>
      <c r="D37" s="1"/>
      <c r="E37" s="5" t="str">
        <f>IF(D37="","",IFERROR(INDEX(ORCAMENTO!$I$5:$I$200,MATCH(D37,ORCAMENTO!$Q$5:$Q$200,0)),"chave inexistente"))</f>
        <v/>
      </c>
      <c r="F37" s="1"/>
      <c r="G37" s="35"/>
      <c r="H37" s="13"/>
      <c r="I37" s="13"/>
      <c r="J37" s="1"/>
      <c r="K37" s="1"/>
      <c r="L37" s="5" t="str">
        <f t="shared" si="0"/>
        <v/>
      </c>
      <c r="M37" s="1"/>
    </row>
    <row r="38" spans="1:13" x14ac:dyDescent="0.35">
      <c r="A38" s="13"/>
      <c r="B38" s="1"/>
      <c r="C38" s="1"/>
      <c r="D38" s="1"/>
      <c r="E38" s="5" t="str">
        <f>IF(D38="","",IFERROR(INDEX(ORCAMENTO!$I$5:$I$200,MATCH(D38,ORCAMENTO!$Q$5:$Q$200,0)),"chave inexistente"))</f>
        <v/>
      </c>
      <c r="F38" s="1"/>
      <c r="G38" s="35"/>
      <c r="H38" s="13"/>
      <c r="I38" s="13"/>
      <c r="J38" s="1"/>
      <c r="K38" s="1"/>
      <c r="L38" s="5" t="str">
        <f t="shared" si="0"/>
        <v/>
      </c>
      <c r="M38" s="1"/>
    </row>
    <row r="39" spans="1:13" x14ac:dyDescent="0.35">
      <c r="A39" s="13"/>
      <c r="B39" s="1"/>
      <c r="C39" s="1"/>
      <c r="D39" s="1"/>
      <c r="E39" s="5" t="str">
        <f>IF(D39="","",IFERROR(INDEX(ORCAMENTO!$I$5:$I$200,MATCH(D39,ORCAMENTO!$Q$5:$Q$200,0)),"chave inexistente"))</f>
        <v/>
      </c>
      <c r="F39" s="1"/>
      <c r="G39" s="35"/>
      <c r="H39" s="13"/>
      <c r="I39" s="13"/>
      <c r="J39" s="1"/>
      <c r="K39" s="1"/>
      <c r="L39" s="5" t="str">
        <f t="shared" si="0"/>
        <v/>
      </c>
      <c r="M39" s="1"/>
    </row>
    <row r="40" spans="1:13" x14ac:dyDescent="0.35">
      <c r="A40" s="13"/>
      <c r="B40" s="1"/>
      <c r="C40" s="1"/>
      <c r="D40" s="1"/>
      <c r="E40" s="5" t="str">
        <f>IF(D40="","",IFERROR(INDEX(ORCAMENTO!$I$5:$I$200,MATCH(D40,ORCAMENTO!$Q$5:$Q$200,0)),"chave inexistente"))</f>
        <v/>
      </c>
      <c r="F40" s="1"/>
      <c r="G40" s="35"/>
      <c r="H40" s="13"/>
      <c r="I40" s="13"/>
      <c r="J40" s="1"/>
      <c r="K40" s="1"/>
      <c r="L40" s="5" t="str">
        <f t="shared" si="0"/>
        <v/>
      </c>
      <c r="M40" s="1"/>
    </row>
    <row r="41" spans="1:13" x14ac:dyDescent="0.35">
      <c r="A41" s="13"/>
      <c r="B41" s="1"/>
      <c r="C41" s="1"/>
      <c r="D41" s="1"/>
      <c r="E41" s="5" t="str">
        <f>IF(D41="","",IFERROR(INDEX(ORCAMENTO!$I$5:$I$200,MATCH(D41,ORCAMENTO!$Q$5:$Q$200,0)),"chave inexistente"))</f>
        <v/>
      </c>
      <c r="F41" s="1"/>
      <c r="G41" s="35"/>
      <c r="H41" s="13"/>
      <c r="I41" s="13"/>
      <c r="J41" s="1"/>
      <c r="K41" s="1"/>
      <c r="L41" s="5" t="str">
        <f t="shared" si="0"/>
        <v/>
      </c>
      <c r="M41" s="1"/>
    </row>
    <row r="42" spans="1:13" x14ac:dyDescent="0.35">
      <c r="A42" s="13"/>
      <c r="B42" s="1"/>
      <c r="C42" s="1"/>
      <c r="D42" s="1"/>
      <c r="E42" s="5" t="str">
        <f>IF(D42="","",IFERROR(INDEX(ORCAMENTO!$I$5:$I$200,MATCH(D42,ORCAMENTO!$Q$5:$Q$200,0)),"chave inexistente"))</f>
        <v/>
      </c>
      <c r="F42" s="1"/>
      <c r="G42" s="35"/>
      <c r="H42" s="13"/>
      <c r="I42" s="13"/>
      <c r="J42" s="1"/>
      <c r="K42" s="1"/>
      <c r="L42" s="5" t="str">
        <f t="shared" si="0"/>
        <v/>
      </c>
      <c r="M42" s="1"/>
    </row>
    <row r="43" spans="1:13" x14ac:dyDescent="0.35">
      <c r="A43" s="13"/>
      <c r="B43" s="1"/>
      <c r="C43" s="1"/>
      <c r="D43" s="1"/>
      <c r="E43" s="5" t="str">
        <f>IF(D43="","",IFERROR(INDEX(ORCAMENTO!$I$5:$I$200,MATCH(D43,ORCAMENTO!$Q$5:$Q$200,0)),"chave inexistente"))</f>
        <v/>
      </c>
      <c r="F43" s="1"/>
      <c r="G43" s="35"/>
      <c r="H43" s="13"/>
      <c r="I43" s="13"/>
      <c r="J43" s="1"/>
      <c r="K43" s="1"/>
      <c r="L43" s="5" t="str">
        <f t="shared" si="0"/>
        <v/>
      </c>
      <c r="M43" s="1"/>
    </row>
    <row r="44" spans="1:13" x14ac:dyDescent="0.35">
      <c r="A44" s="13"/>
      <c r="B44" s="1"/>
      <c r="C44" s="1"/>
      <c r="D44" s="1"/>
      <c r="E44" s="5" t="str">
        <f>IF(D44="","",IFERROR(INDEX(ORCAMENTO!$I$5:$I$200,MATCH(D44,ORCAMENTO!$Q$5:$Q$200,0)),"chave inexistente"))</f>
        <v/>
      </c>
      <c r="F44" s="1"/>
      <c r="G44" s="35"/>
      <c r="H44" s="13"/>
      <c r="I44" s="13"/>
      <c r="J44" s="1"/>
      <c r="K44" s="1"/>
      <c r="L44" s="5" t="str">
        <f t="shared" si="0"/>
        <v/>
      </c>
      <c r="M44" s="1"/>
    </row>
    <row r="45" spans="1:13" x14ac:dyDescent="0.35">
      <c r="A45" s="13"/>
      <c r="B45" s="1"/>
      <c r="C45" s="1"/>
      <c r="D45" s="1"/>
      <c r="E45" s="5" t="str">
        <f>IF(D45="","",IFERROR(INDEX(ORCAMENTO!$I$5:$I$200,MATCH(D45,ORCAMENTO!$Q$5:$Q$200,0)),"chave inexistente"))</f>
        <v/>
      </c>
      <c r="F45" s="1"/>
      <c r="G45" s="35"/>
      <c r="H45" s="13"/>
      <c r="I45" s="13"/>
      <c r="J45" s="1"/>
      <c r="K45" s="1"/>
      <c r="L45" s="5" t="str">
        <f t="shared" si="0"/>
        <v/>
      </c>
      <c r="M45" s="1"/>
    </row>
    <row r="46" spans="1:13" x14ac:dyDescent="0.35">
      <c r="A46" s="13"/>
      <c r="B46" s="1"/>
      <c r="C46" s="1"/>
      <c r="D46" s="1"/>
      <c r="E46" s="5" t="str">
        <f>IF(D46="","",IFERROR(INDEX(ORCAMENTO!$I$5:$I$200,MATCH(D46,ORCAMENTO!$Q$5:$Q$200,0)),"chave inexistente"))</f>
        <v/>
      </c>
      <c r="F46" s="1"/>
      <c r="G46" s="35"/>
      <c r="H46" s="13"/>
      <c r="I46" s="13"/>
      <c r="J46" s="1"/>
      <c r="K46" s="1"/>
      <c r="L46" s="5" t="str">
        <f t="shared" si="0"/>
        <v/>
      </c>
      <c r="M46" s="1"/>
    </row>
    <row r="47" spans="1:13" x14ac:dyDescent="0.35">
      <c r="A47" s="13"/>
      <c r="B47" s="1"/>
      <c r="C47" s="1"/>
      <c r="D47" s="1"/>
      <c r="E47" s="5" t="str">
        <f>IF(D47="","",IFERROR(INDEX(ORCAMENTO!$I$5:$I$200,MATCH(D47,ORCAMENTO!$Q$5:$Q$200,0)),"chave inexistente"))</f>
        <v/>
      </c>
      <c r="F47" s="1"/>
      <c r="G47" s="35"/>
      <c r="H47" s="13"/>
      <c r="I47" s="13"/>
      <c r="J47" s="1"/>
      <c r="K47" s="1"/>
      <c r="L47" s="5" t="str">
        <f t="shared" si="0"/>
        <v/>
      </c>
      <c r="M47" s="1"/>
    </row>
    <row r="48" spans="1:13" x14ac:dyDescent="0.35">
      <c r="A48" s="13"/>
      <c r="B48" s="1"/>
      <c r="C48" s="1"/>
      <c r="D48" s="1"/>
      <c r="E48" s="5" t="str">
        <f>IF(D48="","",IFERROR(INDEX(ORCAMENTO!$I$5:$I$200,MATCH(D48,ORCAMENTO!$Q$5:$Q$200,0)),"chave inexistente"))</f>
        <v/>
      </c>
      <c r="F48" s="1"/>
      <c r="G48" s="35"/>
      <c r="H48" s="13"/>
      <c r="I48" s="13"/>
      <c r="J48" s="1"/>
      <c r="K48" s="1"/>
      <c r="L48" s="5" t="str">
        <f t="shared" si="0"/>
        <v/>
      </c>
      <c r="M48" s="1"/>
    </row>
    <row r="49" spans="1:13" x14ac:dyDescent="0.35">
      <c r="A49" s="13"/>
      <c r="B49" s="1"/>
      <c r="C49" s="1"/>
      <c r="D49" s="1"/>
      <c r="E49" s="5" t="str">
        <f>IF(D49="","",IFERROR(INDEX(ORCAMENTO!$I$5:$I$200,MATCH(D49,ORCAMENTO!$Q$5:$Q$200,0)),"chave inexistente"))</f>
        <v/>
      </c>
      <c r="F49" s="1"/>
      <c r="G49" s="35"/>
      <c r="H49" s="13"/>
      <c r="I49" s="13"/>
      <c r="J49" s="1"/>
      <c r="K49" s="1"/>
      <c r="L49" s="5" t="str">
        <f t="shared" si="0"/>
        <v/>
      </c>
      <c r="M49" s="1"/>
    </row>
    <row r="50" spans="1:13" x14ac:dyDescent="0.35">
      <c r="A50" s="13"/>
      <c r="B50" s="1"/>
      <c r="C50" s="1"/>
      <c r="D50" s="1"/>
      <c r="E50" s="5" t="str">
        <f>IF(D50="","",IFERROR(INDEX(ORCAMENTO!$I$5:$I$200,MATCH(D50,ORCAMENTO!$Q$5:$Q$200,0)),"chave inexistente"))</f>
        <v/>
      </c>
      <c r="F50" s="1"/>
      <c r="G50" s="35"/>
      <c r="H50" s="13"/>
      <c r="I50" s="13"/>
      <c r="J50" s="1"/>
      <c r="K50" s="1"/>
      <c r="L50" s="5" t="str">
        <f t="shared" si="0"/>
        <v/>
      </c>
      <c r="M50" s="1"/>
    </row>
    <row r="51" spans="1:13" x14ac:dyDescent="0.35">
      <c r="A51" s="13"/>
      <c r="B51" s="1"/>
      <c r="C51" s="1"/>
      <c r="D51" s="1"/>
      <c r="E51" s="5" t="str">
        <f>IF(D51="","",IFERROR(INDEX(ORCAMENTO!$I$5:$I$200,MATCH(D51,ORCAMENTO!$Q$5:$Q$200,0)),"chave inexistente"))</f>
        <v/>
      </c>
      <c r="F51" s="1"/>
      <c r="G51" s="35"/>
      <c r="H51" s="13"/>
      <c r="I51" s="13"/>
      <c r="J51" s="1"/>
      <c r="K51" s="1"/>
      <c r="L51" s="5" t="str">
        <f t="shared" si="0"/>
        <v/>
      </c>
      <c r="M51" s="1"/>
    </row>
    <row r="52" spans="1:13" x14ac:dyDescent="0.35">
      <c r="A52" s="13"/>
      <c r="B52" s="1"/>
      <c r="C52" s="1"/>
      <c r="D52" s="1"/>
      <c r="E52" s="5" t="str">
        <f>IF(D52="","",IFERROR(INDEX(ORCAMENTO!$I$5:$I$200,MATCH(D52,ORCAMENTO!$Q$5:$Q$200,0)),"chave inexistente"))</f>
        <v/>
      </c>
      <c r="F52" s="1"/>
      <c r="G52" s="35"/>
      <c r="H52" s="13"/>
      <c r="I52" s="13"/>
      <c r="J52" s="1"/>
      <c r="K52" s="1"/>
      <c r="L52" s="5" t="str">
        <f t="shared" si="0"/>
        <v/>
      </c>
      <c r="M52" s="1"/>
    </row>
    <row r="53" spans="1:13" x14ac:dyDescent="0.35">
      <c r="A53" s="13"/>
      <c r="B53" s="1"/>
      <c r="C53" s="1"/>
      <c r="D53" s="1"/>
      <c r="E53" s="5" t="str">
        <f>IF(D53="","",IFERROR(INDEX(ORCAMENTO!$I$5:$I$200,MATCH(D53,ORCAMENTO!$Q$5:$Q$200,0)),"chave inexistente"))</f>
        <v/>
      </c>
      <c r="F53" s="1"/>
      <c r="G53" s="35"/>
      <c r="H53" s="13"/>
      <c r="I53" s="13"/>
      <c r="J53" s="1"/>
      <c r="K53" s="1"/>
      <c r="L53" s="5" t="str">
        <f t="shared" si="0"/>
        <v/>
      </c>
      <c r="M53" s="1"/>
    </row>
    <row r="54" spans="1:13" x14ac:dyDescent="0.35">
      <c r="A54" s="13"/>
      <c r="B54" s="1"/>
      <c r="C54" s="1"/>
      <c r="D54" s="1"/>
      <c r="E54" s="5" t="str">
        <f>IF(D54="","",IFERROR(INDEX(ORCAMENTO!$I$5:$I$200,MATCH(D54,ORCAMENTO!$Q$5:$Q$200,0)),"chave inexistente"))</f>
        <v/>
      </c>
      <c r="F54" s="1"/>
      <c r="G54" s="35"/>
      <c r="H54" s="13"/>
      <c r="I54" s="13"/>
      <c r="J54" s="1"/>
      <c r="K54" s="1"/>
      <c r="L54" s="5" t="str">
        <f t="shared" si="0"/>
        <v/>
      </c>
      <c r="M54" s="1"/>
    </row>
    <row r="55" spans="1:13" x14ac:dyDescent="0.35">
      <c r="A55" s="13"/>
      <c r="B55" s="1"/>
      <c r="C55" s="1"/>
      <c r="D55" s="1"/>
      <c r="E55" s="5" t="str">
        <f>IF(D55="","",IFERROR(INDEX(ORCAMENTO!$I$5:$I$200,MATCH(D55,ORCAMENTO!$Q$5:$Q$200,0)),"chave inexistente"))</f>
        <v/>
      </c>
      <c r="F55" s="1"/>
      <c r="G55" s="35"/>
      <c r="H55" s="13"/>
      <c r="I55" s="13"/>
      <c r="J55" s="1"/>
      <c r="K55" s="1"/>
      <c r="L55" s="5" t="str">
        <f t="shared" si="0"/>
        <v/>
      </c>
      <c r="M55" s="1"/>
    </row>
    <row r="56" spans="1:13" x14ac:dyDescent="0.35">
      <c r="A56" s="13"/>
      <c r="B56" s="1"/>
      <c r="C56" s="1"/>
      <c r="D56" s="1"/>
      <c r="E56" s="5" t="str">
        <f>IF(D56="","",IFERROR(INDEX(ORCAMENTO!$I$5:$I$200,MATCH(D56,ORCAMENTO!$Q$5:$Q$200,0)),"chave inexistente"))</f>
        <v/>
      </c>
      <c r="F56" s="1"/>
      <c r="G56" s="35"/>
      <c r="H56" s="13"/>
      <c r="I56" s="13"/>
      <c r="J56" s="1"/>
      <c r="K56" s="1"/>
      <c r="L56" s="5" t="str">
        <f t="shared" si="0"/>
        <v/>
      </c>
      <c r="M56" s="1"/>
    </row>
    <row r="57" spans="1:13" x14ac:dyDescent="0.35">
      <c r="A57" s="13"/>
      <c r="B57" s="1"/>
      <c r="C57" s="1"/>
      <c r="D57" s="1"/>
      <c r="E57" s="5" t="str">
        <f>IF(D57="","",IFERROR(INDEX(ORCAMENTO!$I$5:$I$200,MATCH(D57,ORCAMENTO!$Q$5:$Q$200,0)),"chave inexistente"))</f>
        <v/>
      </c>
      <c r="F57" s="1"/>
      <c r="G57" s="35"/>
      <c r="H57" s="13"/>
      <c r="I57" s="13"/>
      <c r="J57" s="1"/>
      <c r="K57" s="1"/>
      <c r="L57" s="5" t="str">
        <f t="shared" si="0"/>
        <v/>
      </c>
      <c r="M57" s="1"/>
    </row>
    <row r="58" spans="1:13" x14ac:dyDescent="0.35">
      <c r="A58" s="13"/>
      <c r="B58" s="1"/>
      <c r="C58" s="1"/>
      <c r="D58" s="1"/>
      <c r="E58" s="5" t="str">
        <f>IF(D58="","",IFERROR(INDEX(ORCAMENTO!$I$5:$I$200,MATCH(D58,ORCAMENTO!$Q$5:$Q$200,0)),"chave inexistente"))</f>
        <v/>
      </c>
      <c r="F58" s="1"/>
      <c r="G58" s="35"/>
      <c r="H58" s="13"/>
      <c r="I58" s="13"/>
      <c r="J58" s="1"/>
      <c r="K58" s="1"/>
      <c r="L58" s="5" t="str">
        <f t="shared" si="0"/>
        <v/>
      </c>
      <c r="M58" s="1"/>
    </row>
    <row r="59" spans="1:13" x14ac:dyDescent="0.35">
      <c r="A59" s="13"/>
      <c r="B59" s="1"/>
      <c r="C59" s="1"/>
      <c r="D59" s="1"/>
      <c r="E59" s="5" t="str">
        <f>IF(D59="","",IFERROR(INDEX(ORCAMENTO!$I$5:$I$200,MATCH(D59,ORCAMENTO!$Q$5:$Q$200,0)),"chave inexistente"))</f>
        <v/>
      </c>
      <c r="F59" s="1"/>
      <c r="G59" s="35"/>
      <c r="H59" s="13"/>
      <c r="I59" s="13"/>
      <c r="J59" s="1"/>
      <c r="K59" s="1"/>
      <c r="L59" s="5" t="str">
        <f t="shared" si="0"/>
        <v/>
      </c>
      <c r="M59" s="1"/>
    </row>
    <row r="60" spans="1:13" x14ac:dyDescent="0.35">
      <c r="A60" s="13"/>
      <c r="B60" s="1"/>
      <c r="C60" s="1"/>
      <c r="D60" s="1"/>
      <c r="E60" s="5" t="str">
        <f>IF(D60="","",IFERROR(INDEX(ORCAMENTO!$I$5:$I$200,MATCH(D60,ORCAMENTO!$Q$5:$Q$200,0)),"chave inexistente"))</f>
        <v/>
      </c>
      <c r="F60" s="1"/>
      <c r="G60" s="35"/>
      <c r="H60" s="13"/>
      <c r="I60" s="13"/>
      <c r="J60" s="1"/>
      <c r="K60" s="1"/>
      <c r="L60" s="5" t="str">
        <f t="shared" si="0"/>
        <v/>
      </c>
      <c r="M60" s="1"/>
    </row>
    <row r="61" spans="1:13" x14ac:dyDescent="0.35">
      <c r="A61" s="13"/>
      <c r="B61" s="1"/>
      <c r="C61" s="1"/>
      <c r="D61" s="1"/>
      <c r="E61" s="5" t="str">
        <f>IF(D61="","",IFERROR(INDEX(ORCAMENTO!$I$5:$I$200,MATCH(D61,ORCAMENTO!$Q$5:$Q$200,0)),"chave inexistente"))</f>
        <v/>
      </c>
      <c r="F61" s="1"/>
      <c r="G61" s="35"/>
      <c r="H61" s="13"/>
      <c r="I61" s="13"/>
      <c r="J61" s="1"/>
      <c r="K61" s="1"/>
      <c r="L61" s="5" t="str">
        <f t="shared" si="0"/>
        <v/>
      </c>
      <c r="M61" s="1"/>
    </row>
    <row r="62" spans="1:13" x14ac:dyDescent="0.35">
      <c r="A62" s="13"/>
      <c r="B62" s="1"/>
      <c r="C62" s="1"/>
      <c r="D62" s="1"/>
      <c r="E62" s="5" t="str">
        <f>IF(D62="","",IFERROR(INDEX(ORCAMENTO!$I$5:$I$200,MATCH(D62,ORCAMENTO!$Q$5:$Q$200,0)),"chave inexistente"))</f>
        <v/>
      </c>
      <c r="F62" s="1"/>
      <c r="G62" s="35"/>
      <c r="H62" s="13"/>
      <c r="I62" s="13"/>
      <c r="J62" s="1"/>
      <c r="K62" s="1"/>
      <c r="L62" s="5" t="str">
        <f t="shared" si="0"/>
        <v/>
      </c>
      <c r="M62" s="1"/>
    </row>
    <row r="63" spans="1:13" x14ac:dyDescent="0.35">
      <c r="A63" s="13"/>
      <c r="B63" s="1"/>
      <c r="C63" s="1"/>
      <c r="D63" s="1"/>
      <c r="E63" s="5" t="str">
        <f>IF(D63="","",IFERROR(INDEX(ORCAMENTO!$I$5:$I$200,MATCH(D63,ORCAMENTO!$Q$5:$Q$200,0)),"chave inexistente"))</f>
        <v/>
      </c>
      <c r="F63" s="1"/>
      <c r="G63" s="35"/>
      <c r="H63" s="13"/>
      <c r="I63" s="13"/>
      <c r="J63" s="1"/>
      <c r="K63" s="1"/>
      <c r="L63" s="5" t="str">
        <f t="shared" si="0"/>
        <v/>
      </c>
      <c r="M63" s="1"/>
    </row>
    <row r="64" spans="1:13" x14ac:dyDescent="0.35">
      <c r="A64" s="13"/>
      <c r="B64" s="1"/>
      <c r="C64" s="1"/>
      <c r="D64" s="1"/>
      <c r="E64" s="5" t="str">
        <f>IF(D64="","",IFERROR(INDEX(ORCAMENTO!$I$5:$I$200,MATCH(D64,ORCAMENTO!$Q$5:$Q$200,0)),"chave inexistente"))</f>
        <v/>
      </c>
      <c r="F64" s="1"/>
      <c r="G64" s="35"/>
      <c r="H64" s="13"/>
      <c r="I64" s="13"/>
      <c r="J64" s="1"/>
      <c r="K64" s="1"/>
      <c r="L64" s="5" t="str">
        <f t="shared" si="0"/>
        <v/>
      </c>
      <c r="M64" s="1"/>
    </row>
    <row r="65" spans="1:13" x14ac:dyDescent="0.35">
      <c r="A65" s="13"/>
      <c r="B65" s="1"/>
      <c r="C65" s="1"/>
      <c r="D65" s="1"/>
      <c r="E65" s="5" t="str">
        <f>IF(D65="","",IFERROR(INDEX(ORCAMENTO!$I$5:$I$200,MATCH(D65,ORCAMENTO!$Q$5:$Q$200,0)),"chave inexistente"))</f>
        <v/>
      </c>
      <c r="F65" s="1"/>
      <c r="G65" s="35"/>
      <c r="H65" s="13"/>
      <c r="I65" s="13"/>
      <c r="J65" s="1"/>
      <c r="K65" s="1"/>
      <c r="L65" s="5" t="str">
        <f t="shared" si="0"/>
        <v/>
      </c>
      <c r="M65" s="1"/>
    </row>
    <row r="66" spans="1:13" x14ac:dyDescent="0.35">
      <c r="A66" s="13"/>
      <c r="B66" s="1"/>
      <c r="C66" s="1"/>
      <c r="D66" s="1"/>
      <c r="E66" s="5" t="str">
        <f>IF(D66="","",IFERROR(INDEX(ORCAMENTO!$I$5:$I$200,MATCH(D66,ORCAMENTO!$Q$5:$Q$200,0)),"chave inexistente"))</f>
        <v/>
      </c>
      <c r="F66" s="1"/>
      <c r="G66" s="35"/>
      <c r="H66" s="13"/>
      <c r="I66" s="13"/>
      <c r="J66" s="1"/>
      <c r="K66" s="1"/>
      <c r="L66" s="5" t="str">
        <f t="shared" si="0"/>
        <v/>
      </c>
      <c r="M66" s="1"/>
    </row>
    <row r="67" spans="1:13" x14ac:dyDescent="0.35">
      <c r="A67" s="13"/>
      <c r="B67" s="1"/>
      <c r="C67" s="1"/>
      <c r="D67" s="1"/>
      <c r="E67" s="5" t="str">
        <f>IF(D67="","",IFERROR(INDEX(ORCAMENTO!$I$5:$I$200,MATCH(D67,ORCAMENTO!$Q$5:$Q$200,0)),"chave inexistente"))</f>
        <v/>
      </c>
      <c r="F67" s="1"/>
      <c r="G67" s="35"/>
      <c r="H67" s="13"/>
      <c r="I67" s="13"/>
      <c r="J67" s="1"/>
      <c r="K67" s="1"/>
      <c r="L67" s="5" t="str">
        <f t="shared" si="0"/>
        <v/>
      </c>
      <c r="M67" s="1"/>
    </row>
    <row r="68" spans="1:13" x14ac:dyDescent="0.35">
      <c r="A68" s="13"/>
      <c r="B68" s="1"/>
      <c r="C68" s="1"/>
      <c r="D68" s="1"/>
      <c r="E68" s="5" t="str">
        <f>IF(D68="","",IFERROR(INDEX(ORCAMENTO!$I$5:$I$200,MATCH(D68,ORCAMENTO!$Q$5:$Q$200,0)),"chave inexistente"))</f>
        <v/>
      </c>
      <c r="F68" s="1"/>
      <c r="G68" s="35"/>
      <c r="H68" s="13"/>
      <c r="I68" s="13"/>
      <c r="J68" s="1"/>
      <c r="K68" s="1"/>
      <c r="L68" s="5" t="str">
        <f t="shared" si="0"/>
        <v/>
      </c>
      <c r="M68" s="1"/>
    </row>
    <row r="69" spans="1:13" x14ac:dyDescent="0.35">
      <c r="A69" s="13"/>
      <c r="B69" s="1"/>
      <c r="C69" s="1"/>
      <c r="D69" s="1"/>
      <c r="E69" s="5" t="str">
        <f>IF(D69="","",IFERROR(INDEX(ORCAMENTO!$I$5:$I$200,MATCH(D69,ORCAMENTO!$Q$5:$Q$200,0)),"chave inexistente"))</f>
        <v/>
      </c>
      <c r="F69" s="1"/>
      <c r="G69" s="35"/>
      <c r="H69" s="13"/>
      <c r="I69" s="13"/>
      <c r="J69" s="1"/>
      <c r="K69" s="1"/>
      <c r="L69" s="5" t="str">
        <f t="shared" si="0"/>
        <v/>
      </c>
      <c r="M69" s="1"/>
    </row>
    <row r="70" spans="1:13" x14ac:dyDescent="0.35">
      <c r="A70" s="13"/>
      <c r="B70" s="1"/>
      <c r="C70" s="1"/>
      <c r="D70" s="1"/>
      <c r="E70" s="5" t="str">
        <f>IF(D70="","",IFERROR(INDEX(ORCAMENTO!$I$5:$I$200,MATCH(D70,ORCAMENTO!$Q$5:$Q$200,0)),"chave inexistente"))</f>
        <v/>
      </c>
      <c r="F70" s="1"/>
      <c r="G70" s="35"/>
      <c r="H70" s="13"/>
      <c r="I70" s="13"/>
      <c r="J70" s="1"/>
      <c r="K70" s="1"/>
      <c r="L70" s="5" t="str">
        <f t="shared" ref="L70:L133" si="1">IF(A70="","",IF(J70="Entregue","Entregue",IF(J70="Cancelado","Cancelado",IF(AND(H70&lt;&gt;"",DataRef&gt;H70),"ATRASADA","No prazo"))))</f>
        <v/>
      </c>
      <c r="M70" s="1"/>
    </row>
    <row r="71" spans="1:13" x14ac:dyDescent="0.35">
      <c r="A71" s="13"/>
      <c r="B71" s="1"/>
      <c r="C71" s="1"/>
      <c r="D71" s="1"/>
      <c r="E71" s="5" t="str">
        <f>IF(D71="","",IFERROR(INDEX(ORCAMENTO!$I$5:$I$200,MATCH(D71,ORCAMENTO!$Q$5:$Q$200,0)),"chave inexistente"))</f>
        <v/>
      </c>
      <c r="F71" s="1"/>
      <c r="G71" s="35"/>
      <c r="H71" s="13"/>
      <c r="I71" s="13"/>
      <c r="J71" s="1"/>
      <c r="K71" s="1"/>
      <c r="L71" s="5" t="str">
        <f t="shared" si="1"/>
        <v/>
      </c>
      <c r="M71" s="1"/>
    </row>
    <row r="72" spans="1:13" x14ac:dyDescent="0.35">
      <c r="A72" s="13"/>
      <c r="B72" s="1"/>
      <c r="C72" s="1"/>
      <c r="D72" s="1"/>
      <c r="E72" s="5" t="str">
        <f>IF(D72="","",IFERROR(INDEX(ORCAMENTO!$I$5:$I$200,MATCH(D72,ORCAMENTO!$Q$5:$Q$200,0)),"chave inexistente"))</f>
        <v/>
      </c>
      <c r="F72" s="1"/>
      <c r="G72" s="35"/>
      <c r="H72" s="13"/>
      <c r="I72" s="13"/>
      <c r="J72" s="1"/>
      <c r="K72" s="1"/>
      <c r="L72" s="5" t="str">
        <f t="shared" si="1"/>
        <v/>
      </c>
      <c r="M72" s="1"/>
    </row>
    <row r="73" spans="1:13" x14ac:dyDescent="0.35">
      <c r="A73" s="13"/>
      <c r="B73" s="1"/>
      <c r="C73" s="1"/>
      <c r="D73" s="1"/>
      <c r="E73" s="5" t="str">
        <f>IF(D73="","",IFERROR(INDEX(ORCAMENTO!$I$5:$I$200,MATCH(D73,ORCAMENTO!$Q$5:$Q$200,0)),"chave inexistente"))</f>
        <v/>
      </c>
      <c r="F73" s="1"/>
      <c r="G73" s="35"/>
      <c r="H73" s="13"/>
      <c r="I73" s="13"/>
      <c r="J73" s="1"/>
      <c r="K73" s="1"/>
      <c r="L73" s="5" t="str">
        <f t="shared" si="1"/>
        <v/>
      </c>
      <c r="M73" s="1"/>
    </row>
    <row r="74" spans="1:13" x14ac:dyDescent="0.35">
      <c r="A74" s="13"/>
      <c r="B74" s="1"/>
      <c r="C74" s="1"/>
      <c r="D74" s="1"/>
      <c r="E74" s="5" t="str">
        <f>IF(D74="","",IFERROR(INDEX(ORCAMENTO!$I$5:$I$200,MATCH(D74,ORCAMENTO!$Q$5:$Q$200,0)),"chave inexistente"))</f>
        <v/>
      </c>
      <c r="F74" s="1"/>
      <c r="G74" s="35"/>
      <c r="H74" s="13"/>
      <c r="I74" s="13"/>
      <c r="J74" s="1"/>
      <c r="K74" s="1"/>
      <c r="L74" s="5" t="str">
        <f t="shared" si="1"/>
        <v/>
      </c>
      <c r="M74" s="1"/>
    </row>
    <row r="75" spans="1:13" x14ac:dyDescent="0.35">
      <c r="A75" s="13"/>
      <c r="B75" s="1"/>
      <c r="C75" s="1"/>
      <c r="D75" s="1"/>
      <c r="E75" s="5" t="str">
        <f>IF(D75="","",IFERROR(INDEX(ORCAMENTO!$I$5:$I$200,MATCH(D75,ORCAMENTO!$Q$5:$Q$200,0)),"chave inexistente"))</f>
        <v/>
      </c>
      <c r="F75" s="1"/>
      <c r="G75" s="35"/>
      <c r="H75" s="13"/>
      <c r="I75" s="13"/>
      <c r="J75" s="1"/>
      <c r="K75" s="1"/>
      <c r="L75" s="5" t="str">
        <f t="shared" si="1"/>
        <v/>
      </c>
      <c r="M75" s="1"/>
    </row>
    <row r="76" spans="1:13" x14ac:dyDescent="0.35">
      <c r="A76" s="13"/>
      <c r="B76" s="1"/>
      <c r="C76" s="1"/>
      <c r="D76" s="1"/>
      <c r="E76" s="5" t="str">
        <f>IF(D76="","",IFERROR(INDEX(ORCAMENTO!$I$5:$I$200,MATCH(D76,ORCAMENTO!$Q$5:$Q$200,0)),"chave inexistente"))</f>
        <v/>
      </c>
      <c r="F76" s="1"/>
      <c r="G76" s="35"/>
      <c r="H76" s="13"/>
      <c r="I76" s="13"/>
      <c r="J76" s="1"/>
      <c r="K76" s="1"/>
      <c r="L76" s="5" t="str">
        <f t="shared" si="1"/>
        <v/>
      </c>
      <c r="M76" s="1"/>
    </row>
    <row r="77" spans="1:13" x14ac:dyDescent="0.35">
      <c r="A77" s="13"/>
      <c r="B77" s="1"/>
      <c r="C77" s="1"/>
      <c r="D77" s="1"/>
      <c r="E77" s="5" t="str">
        <f>IF(D77="","",IFERROR(INDEX(ORCAMENTO!$I$5:$I$200,MATCH(D77,ORCAMENTO!$Q$5:$Q$200,0)),"chave inexistente"))</f>
        <v/>
      </c>
      <c r="F77" s="1"/>
      <c r="G77" s="35"/>
      <c r="H77" s="13"/>
      <c r="I77" s="13"/>
      <c r="J77" s="1"/>
      <c r="K77" s="1"/>
      <c r="L77" s="5" t="str">
        <f t="shared" si="1"/>
        <v/>
      </c>
      <c r="M77" s="1"/>
    </row>
    <row r="78" spans="1:13" x14ac:dyDescent="0.35">
      <c r="A78" s="13"/>
      <c r="B78" s="1"/>
      <c r="C78" s="1"/>
      <c r="D78" s="1"/>
      <c r="E78" s="5" t="str">
        <f>IF(D78="","",IFERROR(INDEX(ORCAMENTO!$I$5:$I$200,MATCH(D78,ORCAMENTO!$Q$5:$Q$200,0)),"chave inexistente"))</f>
        <v/>
      </c>
      <c r="F78" s="1"/>
      <c r="G78" s="35"/>
      <c r="H78" s="13"/>
      <c r="I78" s="13"/>
      <c r="J78" s="1"/>
      <c r="K78" s="1"/>
      <c r="L78" s="5" t="str">
        <f t="shared" si="1"/>
        <v/>
      </c>
      <c r="M78" s="1"/>
    </row>
    <row r="79" spans="1:13" x14ac:dyDescent="0.35">
      <c r="A79" s="13"/>
      <c r="B79" s="1"/>
      <c r="C79" s="1"/>
      <c r="D79" s="1"/>
      <c r="E79" s="5" t="str">
        <f>IF(D79="","",IFERROR(INDEX(ORCAMENTO!$I$5:$I$200,MATCH(D79,ORCAMENTO!$Q$5:$Q$200,0)),"chave inexistente"))</f>
        <v/>
      </c>
      <c r="F79" s="1"/>
      <c r="G79" s="35"/>
      <c r="H79" s="13"/>
      <c r="I79" s="13"/>
      <c r="J79" s="1"/>
      <c r="K79" s="1"/>
      <c r="L79" s="5" t="str">
        <f t="shared" si="1"/>
        <v/>
      </c>
      <c r="M79" s="1"/>
    </row>
    <row r="80" spans="1:13" x14ac:dyDescent="0.35">
      <c r="A80" s="13"/>
      <c r="B80" s="1"/>
      <c r="C80" s="1"/>
      <c r="D80" s="1"/>
      <c r="E80" s="5" t="str">
        <f>IF(D80="","",IFERROR(INDEX(ORCAMENTO!$I$5:$I$200,MATCH(D80,ORCAMENTO!$Q$5:$Q$200,0)),"chave inexistente"))</f>
        <v/>
      </c>
      <c r="F80" s="1"/>
      <c r="G80" s="35"/>
      <c r="H80" s="13"/>
      <c r="I80" s="13"/>
      <c r="J80" s="1"/>
      <c r="K80" s="1"/>
      <c r="L80" s="5" t="str">
        <f t="shared" si="1"/>
        <v/>
      </c>
      <c r="M80" s="1"/>
    </row>
    <row r="81" spans="1:13" x14ac:dyDescent="0.35">
      <c r="A81" s="13"/>
      <c r="B81" s="1"/>
      <c r="C81" s="1"/>
      <c r="D81" s="1"/>
      <c r="E81" s="5" t="str">
        <f>IF(D81="","",IFERROR(INDEX(ORCAMENTO!$I$5:$I$200,MATCH(D81,ORCAMENTO!$Q$5:$Q$200,0)),"chave inexistente"))</f>
        <v/>
      </c>
      <c r="F81" s="1"/>
      <c r="G81" s="35"/>
      <c r="H81" s="13"/>
      <c r="I81" s="13"/>
      <c r="J81" s="1"/>
      <c r="K81" s="1"/>
      <c r="L81" s="5" t="str">
        <f t="shared" si="1"/>
        <v/>
      </c>
      <c r="M81" s="1"/>
    </row>
    <row r="82" spans="1:13" x14ac:dyDescent="0.35">
      <c r="A82" s="13"/>
      <c r="B82" s="1"/>
      <c r="C82" s="1"/>
      <c r="D82" s="1"/>
      <c r="E82" s="5" t="str">
        <f>IF(D82="","",IFERROR(INDEX(ORCAMENTO!$I$5:$I$200,MATCH(D82,ORCAMENTO!$Q$5:$Q$200,0)),"chave inexistente"))</f>
        <v/>
      </c>
      <c r="F82" s="1"/>
      <c r="G82" s="35"/>
      <c r="H82" s="13"/>
      <c r="I82" s="13"/>
      <c r="J82" s="1"/>
      <c r="K82" s="1"/>
      <c r="L82" s="5" t="str">
        <f t="shared" si="1"/>
        <v/>
      </c>
      <c r="M82" s="1"/>
    </row>
    <row r="83" spans="1:13" x14ac:dyDescent="0.35">
      <c r="A83" s="13"/>
      <c r="B83" s="1"/>
      <c r="C83" s="1"/>
      <c r="D83" s="1"/>
      <c r="E83" s="5" t="str">
        <f>IF(D83="","",IFERROR(INDEX(ORCAMENTO!$I$5:$I$200,MATCH(D83,ORCAMENTO!$Q$5:$Q$200,0)),"chave inexistente"))</f>
        <v/>
      </c>
      <c r="F83" s="1"/>
      <c r="G83" s="35"/>
      <c r="H83" s="13"/>
      <c r="I83" s="13"/>
      <c r="J83" s="1"/>
      <c r="K83" s="1"/>
      <c r="L83" s="5" t="str">
        <f t="shared" si="1"/>
        <v/>
      </c>
      <c r="M83" s="1"/>
    </row>
    <row r="84" spans="1:13" x14ac:dyDescent="0.35">
      <c r="A84" s="13"/>
      <c r="B84" s="1"/>
      <c r="C84" s="1"/>
      <c r="D84" s="1"/>
      <c r="E84" s="5" t="str">
        <f>IF(D84="","",IFERROR(INDEX(ORCAMENTO!$I$5:$I$200,MATCH(D84,ORCAMENTO!$Q$5:$Q$200,0)),"chave inexistente"))</f>
        <v/>
      </c>
      <c r="F84" s="1"/>
      <c r="G84" s="35"/>
      <c r="H84" s="13"/>
      <c r="I84" s="13"/>
      <c r="J84" s="1"/>
      <c r="K84" s="1"/>
      <c r="L84" s="5" t="str">
        <f t="shared" si="1"/>
        <v/>
      </c>
      <c r="M84" s="1"/>
    </row>
    <row r="85" spans="1:13" x14ac:dyDescent="0.35">
      <c r="A85" s="13"/>
      <c r="B85" s="1"/>
      <c r="C85" s="1"/>
      <c r="D85" s="1"/>
      <c r="E85" s="5" t="str">
        <f>IF(D85="","",IFERROR(INDEX(ORCAMENTO!$I$5:$I$200,MATCH(D85,ORCAMENTO!$Q$5:$Q$200,0)),"chave inexistente"))</f>
        <v/>
      </c>
      <c r="F85" s="1"/>
      <c r="G85" s="35"/>
      <c r="H85" s="13"/>
      <c r="I85" s="13"/>
      <c r="J85" s="1"/>
      <c r="K85" s="1"/>
      <c r="L85" s="5" t="str">
        <f t="shared" si="1"/>
        <v/>
      </c>
      <c r="M85" s="1"/>
    </row>
    <row r="86" spans="1:13" x14ac:dyDescent="0.35">
      <c r="A86" s="13"/>
      <c r="B86" s="1"/>
      <c r="C86" s="1"/>
      <c r="D86" s="1"/>
      <c r="E86" s="5" t="str">
        <f>IF(D86="","",IFERROR(INDEX(ORCAMENTO!$I$5:$I$200,MATCH(D86,ORCAMENTO!$Q$5:$Q$200,0)),"chave inexistente"))</f>
        <v/>
      </c>
      <c r="F86" s="1"/>
      <c r="G86" s="35"/>
      <c r="H86" s="13"/>
      <c r="I86" s="13"/>
      <c r="J86" s="1"/>
      <c r="K86" s="1"/>
      <c r="L86" s="5" t="str">
        <f t="shared" si="1"/>
        <v/>
      </c>
      <c r="M86" s="1"/>
    </row>
    <row r="87" spans="1:13" x14ac:dyDescent="0.35">
      <c r="A87" s="13"/>
      <c r="B87" s="1"/>
      <c r="C87" s="1"/>
      <c r="D87" s="1"/>
      <c r="E87" s="5" t="str">
        <f>IF(D87="","",IFERROR(INDEX(ORCAMENTO!$I$5:$I$200,MATCH(D87,ORCAMENTO!$Q$5:$Q$200,0)),"chave inexistente"))</f>
        <v/>
      </c>
      <c r="F87" s="1"/>
      <c r="G87" s="35"/>
      <c r="H87" s="13"/>
      <c r="I87" s="13"/>
      <c r="J87" s="1"/>
      <c r="K87" s="1"/>
      <c r="L87" s="5" t="str">
        <f t="shared" si="1"/>
        <v/>
      </c>
      <c r="M87" s="1"/>
    </row>
    <row r="88" spans="1:13" x14ac:dyDescent="0.35">
      <c r="A88" s="13"/>
      <c r="B88" s="1"/>
      <c r="C88" s="1"/>
      <c r="D88" s="1"/>
      <c r="E88" s="5" t="str">
        <f>IF(D88="","",IFERROR(INDEX(ORCAMENTO!$I$5:$I$200,MATCH(D88,ORCAMENTO!$Q$5:$Q$200,0)),"chave inexistente"))</f>
        <v/>
      </c>
      <c r="F88" s="1"/>
      <c r="G88" s="35"/>
      <c r="H88" s="13"/>
      <c r="I88" s="13"/>
      <c r="J88" s="1"/>
      <c r="K88" s="1"/>
      <c r="L88" s="5" t="str">
        <f t="shared" si="1"/>
        <v/>
      </c>
      <c r="M88" s="1"/>
    </row>
    <row r="89" spans="1:13" x14ac:dyDescent="0.35">
      <c r="A89" s="13"/>
      <c r="B89" s="1"/>
      <c r="C89" s="1"/>
      <c r="D89" s="1"/>
      <c r="E89" s="5" t="str">
        <f>IF(D89="","",IFERROR(INDEX(ORCAMENTO!$I$5:$I$200,MATCH(D89,ORCAMENTO!$Q$5:$Q$200,0)),"chave inexistente"))</f>
        <v/>
      </c>
      <c r="F89" s="1"/>
      <c r="G89" s="35"/>
      <c r="H89" s="13"/>
      <c r="I89" s="13"/>
      <c r="J89" s="1"/>
      <c r="K89" s="1"/>
      <c r="L89" s="5" t="str">
        <f t="shared" si="1"/>
        <v/>
      </c>
      <c r="M89" s="1"/>
    </row>
    <row r="90" spans="1:13" x14ac:dyDescent="0.35">
      <c r="A90" s="13"/>
      <c r="B90" s="1"/>
      <c r="C90" s="1"/>
      <c r="D90" s="1"/>
      <c r="E90" s="5" t="str">
        <f>IF(D90="","",IFERROR(INDEX(ORCAMENTO!$I$5:$I$200,MATCH(D90,ORCAMENTO!$Q$5:$Q$200,0)),"chave inexistente"))</f>
        <v/>
      </c>
      <c r="F90" s="1"/>
      <c r="G90" s="35"/>
      <c r="H90" s="13"/>
      <c r="I90" s="13"/>
      <c r="J90" s="1"/>
      <c r="K90" s="1"/>
      <c r="L90" s="5" t="str">
        <f t="shared" si="1"/>
        <v/>
      </c>
      <c r="M90" s="1"/>
    </row>
    <row r="91" spans="1:13" x14ac:dyDescent="0.35">
      <c r="A91" s="13"/>
      <c r="B91" s="1"/>
      <c r="C91" s="1"/>
      <c r="D91" s="1"/>
      <c r="E91" s="5" t="str">
        <f>IF(D91="","",IFERROR(INDEX(ORCAMENTO!$I$5:$I$200,MATCH(D91,ORCAMENTO!$Q$5:$Q$200,0)),"chave inexistente"))</f>
        <v/>
      </c>
      <c r="F91" s="1"/>
      <c r="G91" s="35"/>
      <c r="H91" s="13"/>
      <c r="I91" s="13"/>
      <c r="J91" s="1"/>
      <c r="K91" s="1"/>
      <c r="L91" s="5" t="str">
        <f t="shared" si="1"/>
        <v/>
      </c>
      <c r="M91" s="1"/>
    </row>
    <row r="92" spans="1:13" x14ac:dyDescent="0.35">
      <c r="A92" s="13"/>
      <c r="B92" s="1"/>
      <c r="C92" s="1"/>
      <c r="D92" s="1"/>
      <c r="E92" s="5" t="str">
        <f>IF(D92="","",IFERROR(INDEX(ORCAMENTO!$I$5:$I$200,MATCH(D92,ORCAMENTO!$Q$5:$Q$200,0)),"chave inexistente"))</f>
        <v/>
      </c>
      <c r="F92" s="1"/>
      <c r="G92" s="35"/>
      <c r="H92" s="13"/>
      <c r="I92" s="13"/>
      <c r="J92" s="1"/>
      <c r="K92" s="1"/>
      <c r="L92" s="5" t="str">
        <f t="shared" si="1"/>
        <v/>
      </c>
      <c r="M92" s="1"/>
    </row>
    <row r="93" spans="1:13" x14ac:dyDescent="0.35">
      <c r="A93" s="13"/>
      <c r="B93" s="1"/>
      <c r="C93" s="1"/>
      <c r="D93" s="1"/>
      <c r="E93" s="5" t="str">
        <f>IF(D93="","",IFERROR(INDEX(ORCAMENTO!$I$5:$I$200,MATCH(D93,ORCAMENTO!$Q$5:$Q$200,0)),"chave inexistente"))</f>
        <v/>
      </c>
      <c r="F93" s="1"/>
      <c r="G93" s="35"/>
      <c r="H93" s="13"/>
      <c r="I93" s="13"/>
      <c r="J93" s="1"/>
      <c r="K93" s="1"/>
      <c r="L93" s="5" t="str">
        <f t="shared" si="1"/>
        <v/>
      </c>
      <c r="M93" s="1"/>
    </row>
    <row r="94" spans="1:13" x14ac:dyDescent="0.35">
      <c r="A94" s="13"/>
      <c r="B94" s="1"/>
      <c r="C94" s="1"/>
      <c r="D94" s="1"/>
      <c r="E94" s="5" t="str">
        <f>IF(D94="","",IFERROR(INDEX(ORCAMENTO!$I$5:$I$200,MATCH(D94,ORCAMENTO!$Q$5:$Q$200,0)),"chave inexistente"))</f>
        <v/>
      </c>
      <c r="F94" s="1"/>
      <c r="G94" s="35"/>
      <c r="H94" s="13"/>
      <c r="I94" s="13"/>
      <c r="J94" s="1"/>
      <c r="K94" s="1"/>
      <c r="L94" s="5" t="str">
        <f t="shared" si="1"/>
        <v/>
      </c>
      <c r="M94" s="1"/>
    </row>
    <row r="95" spans="1:13" x14ac:dyDescent="0.35">
      <c r="A95" s="13"/>
      <c r="B95" s="1"/>
      <c r="C95" s="1"/>
      <c r="D95" s="1"/>
      <c r="E95" s="5" t="str">
        <f>IF(D95="","",IFERROR(INDEX(ORCAMENTO!$I$5:$I$200,MATCH(D95,ORCAMENTO!$Q$5:$Q$200,0)),"chave inexistente"))</f>
        <v/>
      </c>
      <c r="F95" s="1"/>
      <c r="G95" s="35"/>
      <c r="H95" s="13"/>
      <c r="I95" s="13"/>
      <c r="J95" s="1"/>
      <c r="K95" s="1"/>
      <c r="L95" s="5" t="str">
        <f t="shared" si="1"/>
        <v/>
      </c>
      <c r="M95" s="1"/>
    </row>
    <row r="96" spans="1:13" x14ac:dyDescent="0.35">
      <c r="A96" s="13"/>
      <c r="B96" s="1"/>
      <c r="C96" s="1"/>
      <c r="D96" s="1"/>
      <c r="E96" s="5" t="str">
        <f>IF(D96="","",IFERROR(INDEX(ORCAMENTO!$I$5:$I$200,MATCH(D96,ORCAMENTO!$Q$5:$Q$200,0)),"chave inexistente"))</f>
        <v/>
      </c>
      <c r="F96" s="1"/>
      <c r="G96" s="35"/>
      <c r="H96" s="13"/>
      <c r="I96" s="13"/>
      <c r="J96" s="1"/>
      <c r="K96" s="1"/>
      <c r="L96" s="5" t="str">
        <f t="shared" si="1"/>
        <v/>
      </c>
      <c r="M96" s="1"/>
    </row>
    <row r="97" spans="1:13" x14ac:dyDescent="0.35">
      <c r="A97" s="13"/>
      <c r="B97" s="1"/>
      <c r="C97" s="1"/>
      <c r="D97" s="1"/>
      <c r="E97" s="5" t="str">
        <f>IF(D97="","",IFERROR(INDEX(ORCAMENTO!$I$5:$I$200,MATCH(D97,ORCAMENTO!$Q$5:$Q$200,0)),"chave inexistente"))</f>
        <v/>
      </c>
      <c r="F97" s="1"/>
      <c r="G97" s="35"/>
      <c r="H97" s="13"/>
      <c r="I97" s="13"/>
      <c r="J97" s="1"/>
      <c r="K97" s="1"/>
      <c r="L97" s="5" t="str">
        <f t="shared" si="1"/>
        <v/>
      </c>
      <c r="M97" s="1"/>
    </row>
    <row r="98" spans="1:13" x14ac:dyDescent="0.35">
      <c r="A98" s="13"/>
      <c r="B98" s="1"/>
      <c r="C98" s="1"/>
      <c r="D98" s="1"/>
      <c r="E98" s="5" t="str">
        <f>IF(D98="","",IFERROR(INDEX(ORCAMENTO!$I$5:$I$200,MATCH(D98,ORCAMENTO!$Q$5:$Q$200,0)),"chave inexistente"))</f>
        <v/>
      </c>
      <c r="F98" s="1"/>
      <c r="G98" s="35"/>
      <c r="H98" s="13"/>
      <c r="I98" s="13"/>
      <c r="J98" s="1"/>
      <c r="K98" s="1"/>
      <c r="L98" s="5" t="str">
        <f t="shared" si="1"/>
        <v/>
      </c>
      <c r="M98" s="1"/>
    </row>
    <row r="99" spans="1:13" x14ac:dyDescent="0.35">
      <c r="A99" s="13"/>
      <c r="B99" s="1"/>
      <c r="C99" s="1"/>
      <c r="D99" s="1"/>
      <c r="E99" s="5" t="str">
        <f>IF(D99="","",IFERROR(INDEX(ORCAMENTO!$I$5:$I$200,MATCH(D99,ORCAMENTO!$Q$5:$Q$200,0)),"chave inexistente"))</f>
        <v/>
      </c>
      <c r="F99" s="1"/>
      <c r="G99" s="35"/>
      <c r="H99" s="13"/>
      <c r="I99" s="13"/>
      <c r="J99" s="1"/>
      <c r="K99" s="1"/>
      <c r="L99" s="5" t="str">
        <f t="shared" si="1"/>
        <v/>
      </c>
      <c r="M99" s="1"/>
    </row>
    <row r="100" spans="1:13" x14ac:dyDescent="0.35">
      <c r="A100" s="13"/>
      <c r="B100" s="1"/>
      <c r="C100" s="1"/>
      <c r="D100" s="1"/>
      <c r="E100" s="5" t="str">
        <f>IF(D100="","",IFERROR(INDEX(ORCAMENTO!$I$5:$I$200,MATCH(D100,ORCAMENTO!$Q$5:$Q$200,0)),"chave inexistente"))</f>
        <v/>
      </c>
      <c r="F100" s="1"/>
      <c r="G100" s="35"/>
      <c r="H100" s="13"/>
      <c r="I100" s="13"/>
      <c r="J100" s="1"/>
      <c r="K100" s="1"/>
      <c r="L100" s="5" t="str">
        <f t="shared" si="1"/>
        <v/>
      </c>
      <c r="M100" s="1"/>
    </row>
    <row r="101" spans="1:13" x14ac:dyDescent="0.35">
      <c r="A101" s="13"/>
      <c r="B101" s="1"/>
      <c r="C101" s="1"/>
      <c r="D101" s="1"/>
      <c r="E101" s="5" t="str">
        <f>IF(D101="","",IFERROR(INDEX(ORCAMENTO!$I$5:$I$200,MATCH(D101,ORCAMENTO!$Q$5:$Q$200,0)),"chave inexistente"))</f>
        <v/>
      </c>
      <c r="F101" s="1"/>
      <c r="G101" s="35"/>
      <c r="H101" s="13"/>
      <c r="I101" s="13"/>
      <c r="J101" s="1"/>
      <c r="K101" s="1"/>
      <c r="L101" s="5" t="str">
        <f t="shared" si="1"/>
        <v/>
      </c>
      <c r="M101" s="1"/>
    </row>
    <row r="102" spans="1:13" x14ac:dyDescent="0.35">
      <c r="A102" s="13"/>
      <c r="B102" s="1"/>
      <c r="C102" s="1"/>
      <c r="D102" s="1"/>
      <c r="E102" s="5" t="str">
        <f>IF(D102="","",IFERROR(INDEX(ORCAMENTO!$I$5:$I$200,MATCH(D102,ORCAMENTO!$Q$5:$Q$200,0)),"chave inexistente"))</f>
        <v/>
      </c>
      <c r="F102" s="1"/>
      <c r="G102" s="35"/>
      <c r="H102" s="13"/>
      <c r="I102" s="13"/>
      <c r="J102" s="1"/>
      <c r="K102" s="1"/>
      <c r="L102" s="5" t="str">
        <f t="shared" si="1"/>
        <v/>
      </c>
      <c r="M102" s="1"/>
    </row>
    <row r="103" spans="1:13" x14ac:dyDescent="0.35">
      <c r="A103" s="13"/>
      <c r="B103" s="1"/>
      <c r="C103" s="1"/>
      <c r="D103" s="1"/>
      <c r="E103" s="5" t="str">
        <f>IF(D103="","",IFERROR(INDEX(ORCAMENTO!$I$5:$I$200,MATCH(D103,ORCAMENTO!$Q$5:$Q$200,0)),"chave inexistente"))</f>
        <v/>
      </c>
      <c r="F103" s="1"/>
      <c r="G103" s="35"/>
      <c r="H103" s="13"/>
      <c r="I103" s="13"/>
      <c r="J103" s="1"/>
      <c r="K103" s="1"/>
      <c r="L103" s="5" t="str">
        <f t="shared" si="1"/>
        <v/>
      </c>
      <c r="M103" s="1"/>
    </row>
    <row r="104" spans="1:13" x14ac:dyDescent="0.35">
      <c r="A104" s="13"/>
      <c r="B104" s="1"/>
      <c r="C104" s="1"/>
      <c r="D104" s="1"/>
      <c r="E104" s="5" t="str">
        <f>IF(D104="","",IFERROR(INDEX(ORCAMENTO!$I$5:$I$200,MATCH(D104,ORCAMENTO!$Q$5:$Q$200,0)),"chave inexistente"))</f>
        <v/>
      </c>
      <c r="F104" s="1"/>
      <c r="G104" s="35"/>
      <c r="H104" s="13"/>
      <c r="I104" s="13"/>
      <c r="J104" s="1"/>
      <c r="K104" s="1"/>
      <c r="L104" s="5" t="str">
        <f t="shared" si="1"/>
        <v/>
      </c>
      <c r="M104" s="1"/>
    </row>
    <row r="105" spans="1:13" x14ac:dyDescent="0.35">
      <c r="A105" s="13"/>
      <c r="B105" s="1"/>
      <c r="C105" s="1"/>
      <c r="D105" s="1"/>
      <c r="E105" s="5" t="str">
        <f>IF(D105="","",IFERROR(INDEX(ORCAMENTO!$I$5:$I$200,MATCH(D105,ORCAMENTO!$Q$5:$Q$200,0)),"chave inexistente"))</f>
        <v/>
      </c>
      <c r="F105" s="1"/>
      <c r="G105" s="35"/>
      <c r="H105" s="13"/>
      <c r="I105" s="13"/>
      <c r="J105" s="1"/>
      <c r="K105" s="1"/>
      <c r="L105" s="5" t="str">
        <f t="shared" si="1"/>
        <v/>
      </c>
      <c r="M105" s="1"/>
    </row>
    <row r="106" spans="1:13" x14ac:dyDescent="0.35">
      <c r="A106" s="13"/>
      <c r="B106" s="1"/>
      <c r="C106" s="1"/>
      <c r="D106" s="1"/>
      <c r="E106" s="5" t="str">
        <f>IF(D106="","",IFERROR(INDEX(ORCAMENTO!$I$5:$I$200,MATCH(D106,ORCAMENTO!$Q$5:$Q$200,0)),"chave inexistente"))</f>
        <v/>
      </c>
      <c r="F106" s="1"/>
      <c r="G106" s="35"/>
      <c r="H106" s="13"/>
      <c r="I106" s="13"/>
      <c r="J106" s="1"/>
      <c r="K106" s="1"/>
      <c r="L106" s="5" t="str">
        <f t="shared" si="1"/>
        <v/>
      </c>
      <c r="M106" s="1"/>
    </row>
    <row r="107" spans="1:13" x14ac:dyDescent="0.35">
      <c r="A107" s="13"/>
      <c r="B107" s="1"/>
      <c r="C107" s="1"/>
      <c r="D107" s="1"/>
      <c r="E107" s="5" t="str">
        <f>IF(D107="","",IFERROR(INDEX(ORCAMENTO!$I$5:$I$200,MATCH(D107,ORCAMENTO!$Q$5:$Q$200,0)),"chave inexistente"))</f>
        <v/>
      </c>
      <c r="F107" s="1"/>
      <c r="G107" s="35"/>
      <c r="H107" s="13"/>
      <c r="I107" s="13"/>
      <c r="J107" s="1"/>
      <c r="K107" s="1"/>
      <c r="L107" s="5" t="str">
        <f t="shared" si="1"/>
        <v/>
      </c>
      <c r="M107" s="1"/>
    </row>
    <row r="108" spans="1:13" x14ac:dyDescent="0.35">
      <c r="A108" s="13"/>
      <c r="B108" s="1"/>
      <c r="C108" s="1"/>
      <c r="D108" s="1"/>
      <c r="E108" s="5" t="str">
        <f>IF(D108="","",IFERROR(INDEX(ORCAMENTO!$I$5:$I$200,MATCH(D108,ORCAMENTO!$Q$5:$Q$200,0)),"chave inexistente"))</f>
        <v/>
      </c>
      <c r="F108" s="1"/>
      <c r="G108" s="35"/>
      <c r="H108" s="13"/>
      <c r="I108" s="13"/>
      <c r="J108" s="1"/>
      <c r="K108" s="1"/>
      <c r="L108" s="5" t="str">
        <f t="shared" si="1"/>
        <v/>
      </c>
      <c r="M108" s="1"/>
    </row>
    <row r="109" spans="1:13" x14ac:dyDescent="0.35">
      <c r="A109" s="13"/>
      <c r="B109" s="1"/>
      <c r="C109" s="1"/>
      <c r="D109" s="1"/>
      <c r="E109" s="5" t="str">
        <f>IF(D109="","",IFERROR(INDEX(ORCAMENTO!$I$5:$I$200,MATCH(D109,ORCAMENTO!$Q$5:$Q$200,0)),"chave inexistente"))</f>
        <v/>
      </c>
      <c r="F109" s="1"/>
      <c r="G109" s="35"/>
      <c r="H109" s="13"/>
      <c r="I109" s="13"/>
      <c r="J109" s="1"/>
      <c r="K109" s="1"/>
      <c r="L109" s="5" t="str">
        <f t="shared" si="1"/>
        <v/>
      </c>
      <c r="M109" s="1"/>
    </row>
    <row r="110" spans="1:13" x14ac:dyDescent="0.35">
      <c r="A110" s="13"/>
      <c r="B110" s="1"/>
      <c r="C110" s="1"/>
      <c r="D110" s="1"/>
      <c r="E110" s="5" t="str">
        <f>IF(D110="","",IFERROR(INDEX(ORCAMENTO!$I$5:$I$200,MATCH(D110,ORCAMENTO!$Q$5:$Q$200,0)),"chave inexistente"))</f>
        <v/>
      </c>
      <c r="F110" s="1"/>
      <c r="G110" s="35"/>
      <c r="H110" s="13"/>
      <c r="I110" s="13"/>
      <c r="J110" s="1"/>
      <c r="K110" s="1"/>
      <c r="L110" s="5" t="str">
        <f t="shared" si="1"/>
        <v/>
      </c>
      <c r="M110" s="1"/>
    </row>
    <row r="111" spans="1:13" x14ac:dyDescent="0.35">
      <c r="A111" s="13"/>
      <c r="B111" s="1"/>
      <c r="C111" s="1"/>
      <c r="D111" s="1"/>
      <c r="E111" s="5" t="str">
        <f>IF(D111="","",IFERROR(INDEX(ORCAMENTO!$I$5:$I$200,MATCH(D111,ORCAMENTO!$Q$5:$Q$200,0)),"chave inexistente"))</f>
        <v/>
      </c>
      <c r="F111" s="1"/>
      <c r="G111" s="35"/>
      <c r="H111" s="13"/>
      <c r="I111" s="13"/>
      <c r="J111" s="1"/>
      <c r="K111" s="1"/>
      <c r="L111" s="5" t="str">
        <f t="shared" si="1"/>
        <v/>
      </c>
      <c r="M111" s="1"/>
    </row>
    <row r="112" spans="1:13" x14ac:dyDescent="0.35">
      <c r="A112" s="13"/>
      <c r="B112" s="1"/>
      <c r="C112" s="1"/>
      <c r="D112" s="1"/>
      <c r="E112" s="5" t="str">
        <f>IF(D112="","",IFERROR(INDEX(ORCAMENTO!$I$5:$I$200,MATCH(D112,ORCAMENTO!$Q$5:$Q$200,0)),"chave inexistente"))</f>
        <v/>
      </c>
      <c r="F112" s="1"/>
      <c r="G112" s="35"/>
      <c r="H112" s="13"/>
      <c r="I112" s="13"/>
      <c r="J112" s="1"/>
      <c r="K112" s="1"/>
      <c r="L112" s="5" t="str">
        <f t="shared" si="1"/>
        <v/>
      </c>
      <c r="M112" s="1"/>
    </row>
    <row r="113" spans="1:13" x14ac:dyDescent="0.35">
      <c r="A113" s="13"/>
      <c r="B113" s="1"/>
      <c r="C113" s="1"/>
      <c r="D113" s="1"/>
      <c r="E113" s="5" t="str">
        <f>IF(D113="","",IFERROR(INDEX(ORCAMENTO!$I$5:$I$200,MATCH(D113,ORCAMENTO!$Q$5:$Q$200,0)),"chave inexistente"))</f>
        <v/>
      </c>
      <c r="F113" s="1"/>
      <c r="G113" s="35"/>
      <c r="H113" s="13"/>
      <c r="I113" s="13"/>
      <c r="J113" s="1"/>
      <c r="K113" s="1"/>
      <c r="L113" s="5" t="str">
        <f t="shared" si="1"/>
        <v/>
      </c>
      <c r="M113" s="1"/>
    </row>
    <row r="114" spans="1:13" x14ac:dyDescent="0.35">
      <c r="A114" s="13"/>
      <c r="B114" s="1"/>
      <c r="C114" s="1"/>
      <c r="D114" s="1"/>
      <c r="E114" s="5" t="str">
        <f>IF(D114="","",IFERROR(INDEX(ORCAMENTO!$I$5:$I$200,MATCH(D114,ORCAMENTO!$Q$5:$Q$200,0)),"chave inexistente"))</f>
        <v/>
      </c>
      <c r="F114" s="1"/>
      <c r="G114" s="35"/>
      <c r="H114" s="13"/>
      <c r="I114" s="13"/>
      <c r="J114" s="1"/>
      <c r="K114" s="1"/>
      <c r="L114" s="5" t="str">
        <f t="shared" si="1"/>
        <v/>
      </c>
      <c r="M114" s="1"/>
    </row>
    <row r="115" spans="1:13" x14ac:dyDescent="0.35">
      <c r="A115" s="13"/>
      <c r="B115" s="1"/>
      <c r="C115" s="1"/>
      <c r="D115" s="1"/>
      <c r="E115" s="5" t="str">
        <f>IF(D115="","",IFERROR(INDEX(ORCAMENTO!$I$5:$I$200,MATCH(D115,ORCAMENTO!$Q$5:$Q$200,0)),"chave inexistente"))</f>
        <v/>
      </c>
      <c r="F115" s="1"/>
      <c r="G115" s="35"/>
      <c r="H115" s="13"/>
      <c r="I115" s="13"/>
      <c r="J115" s="1"/>
      <c r="K115" s="1"/>
      <c r="L115" s="5" t="str">
        <f t="shared" si="1"/>
        <v/>
      </c>
      <c r="M115" s="1"/>
    </row>
    <row r="116" spans="1:13" x14ac:dyDescent="0.35">
      <c r="A116" s="13"/>
      <c r="B116" s="1"/>
      <c r="C116" s="1"/>
      <c r="D116" s="1"/>
      <c r="E116" s="5" t="str">
        <f>IF(D116="","",IFERROR(INDEX(ORCAMENTO!$I$5:$I$200,MATCH(D116,ORCAMENTO!$Q$5:$Q$200,0)),"chave inexistente"))</f>
        <v/>
      </c>
      <c r="F116" s="1"/>
      <c r="G116" s="35"/>
      <c r="H116" s="13"/>
      <c r="I116" s="13"/>
      <c r="J116" s="1"/>
      <c r="K116" s="1"/>
      <c r="L116" s="5" t="str">
        <f t="shared" si="1"/>
        <v/>
      </c>
      <c r="M116" s="1"/>
    </row>
    <row r="117" spans="1:13" x14ac:dyDescent="0.35">
      <c r="A117" s="13"/>
      <c r="B117" s="1"/>
      <c r="C117" s="1"/>
      <c r="D117" s="1"/>
      <c r="E117" s="5" t="str">
        <f>IF(D117="","",IFERROR(INDEX(ORCAMENTO!$I$5:$I$200,MATCH(D117,ORCAMENTO!$Q$5:$Q$200,0)),"chave inexistente"))</f>
        <v/>
      </c>
      <c r="F117" s="1"/>
      <c r="G117" s="35"/>
      <c r="H117" s="13"/>
      <c r="I117" s="13"/>
      <c r="J117" s="1"/>
      <c r="K117" s="1"/>
      <c r="L117" s="5" t="str">
        <f t="shared" si="1"/>
        <v/>
      </c>
      <c r="M117" s="1"/>
    </row>
    <row r="118" spans="1:13" x14ac:dyDescent="0.35">
      <c r="A118" s="13"/>
      <c r="B118" s="1"/>
      <c r="C118" s="1"/>
      <c r="D118" s="1"/>
      <c r="E118" s="5" t="str">
        <f>IF(D118="","",IFERROR(INDEX(ORCAMENTO!$I$5:$I$200,MATCH(D118,ORCAMENTO!$Q$5:$Q$200,0)),"chave inexistente"))</f>
        <v/>
      </c>
      <c r="F118" s="1"/>
      <c r="G118" s="35"/>
      <c r="H118" s="13"/>
      <c r="I118" s="13"/>
      <c r="J118" s="1"/>
      <c r="K118" s="1"/>
      <c r="L118" s="5" t="str">
        <f t="shared" si="1"/>
        <v/>
      </c>
      <c r="M118" s="1"/>
    </row>
    <row r="119" spans="1:13" x14ac:dyDescent="0.35">
      <c r="A119" s="13"/>
      <c r="B119" s="1"/>
      <c r="C119" s="1"/>
      <c r="D119" s="1"/>
      <c r="E119" s="5" t="str">
        <f>IF(D119="","",IFERROR(INDEX(ORCAMENTO!$I$5:$I$200,MATCH(D119,ORCAMENTO!$Q$5:$Q$200,0)),"chave inexistente"))</f>
        <v/>
      </c>
      <c r="F119" s="1"/>
      <c r="G119" s="35"/>
      <c r="H119" s="13"/>
      <c r="I119" s="13"/>
      <c r="J119" s="1"/>
      <c r="K119" s="1"/>
      <c r="L119" s="5" t="str">
        <f t="shared" si="1"/>
        <v/>
      </c>
      <c r="M119" s="1"/>
    </row>
    <row r="120" spans="1:13" x14ac:dyDescent="0.35">
      <c r="A120" s="13"/>
      <c r="B120" s="1"/>
      <c r="C120" s="1"/>
      <c r="D120" s="1"/>
      <c r="E120" s="5" t="str">
        <f>IF(D120="","",IFERROR(INDEX(ORCAMENTO!$I$5:$I$200,MATCH(D120,ORCAMENTO!$Q$5:$Q$200,0)),"chave inexistente"))</f>
        <v/>
      </c>
      <c r="F120" s="1"/>
      <c r="G120" s="35"/>
      <c r="H120" s="13"/>
      <c r="I120" s="13"/>
      <c r="J120" s="1"/>
      <c r="K120" s="1"/>
      <c r="L120" s="5" t="str">
        <f t="shared" si="1"/>
        <v/>
      </c>
      <c r="M120" s="1"/>
    </row>
    <row r="121" spans="1:13" x14ac:dyDescent="0.35">
      <c r="A121" s="13"/>
      <c r="B121" s="1"/>
      <c r="C121" s="1"/>
      <c r="D121" s="1"/>
      <c r="E121" s="5" t="str">
        <f>IF(D121="","",IFERROR(INDEX(ORCAMENTO!$I$5:$I$200,MATCH(D121,ORCAMENTO!$Q$5:$Q$200,0)),"chave inexistente"))</f>
        <v/>
      </c>
      <c r="F121" s="1"/>
      <c r="G121" s="35"/>
      <c r="H121" s="13"/>
      <c r="I121" s="13"/>
      <c r="J121" s="1"/>
      <c r="K121" s="1"/>
      <c r="L121" s="5" t="str">
        <f t="shared" si="1"/>
        <v/>
      </c>
      <c r="M121" s="1"/>
    </row>
    <row r="122" spans="1:13" x14ac:dyDescent="0.35">
      <c r="A122" s="13"/>
      <c r="B122" s="1"/>
      <c r="C122" s="1"/>
      <c r="D122" s="1"/>
      <c r="E122" s="5" t="str">
        <f>IF(D122="","",IFERROR(INDEX(ORCAMENTO!$I$5:$I$200,MATCH(D122,ORCAMENTO!$Q$5:$Q$200,0)),"chave inexistente"))</f>
        <v/>
      </c>
      <c r="F122" s="1"/>
      <c r="G122" s="35"/>
      <c r="H122" s="13"/>
      <c r="I122" s="13"/>
      <c r="J122" s="1"/>
      <c r="K122" s="1"/>
      <c r="L122" s="5" t="str">
        <f t="shared" si="1"/>
        <v/>
      </c>
      <c r="M122" s="1"/>
    </row>
    <row r="123" spans="1:13" x14ac:dyDescent="0.35">
      <c r="A123" s="13"/>
      <c r="B123" s="1"/>
      <c r="C123" s="1"/>
      <c r="D123" s="1"/>
      <c r="E123" s="5" t="str">
        <f>IF(D123="","",IFERROR(INDEX(ORCAMENTO!$I$5:$I$200,MATCH(D123,ORCAMENTO!$Q$5:$Q$200,0)),"chave inexistente"))</f>
        <v/>
      </c>
      <c r="F123" s="1"/>
      <c r="G123" s="35"/>
      <c r="H123" s="13"/>
      <c r="I123" s="13"/>
      <c r="J123" s="1"/>
      <c r="K123" s="1"/>
      <c r="L123" s="5" t="str">
        <f t="shared" si="1"/>
        <v/>
      </c>
      <c r="M123" s="1"/>
    </row>
    <row r="124" spans="1:13" x14ac:dyDescent="0.35">
      <c r="A124" s="13"/>
      <c r="B124" s="1"/>
      <c r="C124" s="1"/>
      <c r="D124" s="1"/>
      <c r="E124" s="5" t="str">
        <f>IF(D124="","",IFERROR(INDEX(ORCAMENTO!$I$5:$I$200,MATCH(D124,ORCAMENTO!$Q$5:$Q$200,0)),"chave inexistente"))</f>
        <v/>
      </c>
      <c r="F124" s="1"/>
      <c r="G124" s="35"/>
      <c r="H124" s="13"/>
      <c r="I124" s="13"/>
      <c r="J124" s="1"/>
      <c r="K124" s="1"/>
      <c r="L124" s="5" t="str">
        <f t="shared" si="1"/>
        <v/>
      </c>
      <c r="M124" s="1"/>
    </row>
    <row r="125" spans="1:13" x14ac:dyDescent="0.35">
      <c r="A125" s="13"/>
      <c r="B125" s="1"/>
      <c r="C125" s="1"/>
      <c r="D125" s="1"/>
      <c r="E125" s="5" t="str">
        <f>IF(D125="","",IFERROR(INDEX(ORCAMENTO!$I$5:$I$200,MATCH(D125,ORCAMENTO!$Q$5:$Q$200,0)),"chave inexistente"))</f>
        <v/>
      </c>
      <c r="F125" s="1"/>
      <c r="G125" s="35"/>
      <c r="H125" s="13"/>
      <c r="I125" s="13"/>
      <c r="J125" s="1"/>
      <c r="K125" s="1"/>
      <c r="L125" s="5" t="str">
        <f t="shared" si="1"/>
        <v/>
      </c>
      <c r="M125" s="1"/>
    </row>
    <row r="126" spans="1:13" x14ac:dyDescent="0.35">
      <c r="A126" s="13"/>
      <c r="B126" s="1"/>
      <c r="C126" s="1"/>
      <c r="D126" s="1"/>
      <c r="E126" s="5" t="str">
        <f>IF(D126="","",IFERROR(INDEX(ORCAMENTO!$I$5:$I$200,MATCH(D126,ORCAMENTO!$Q$5:$Q$200,0)),"chave inexistente"))</f>
        <v/>
      </c>
      <c r="F126" s="1"/>
      <c r="G126" s="35"/>
      <c r="H126" s="13"/>
      <c r="I126" s="13"/>
      <c r="J126" s="1"/>
      <c r="K126" s="1"/>
      <c r="L126" s="5" t="str">
        <f t="shared" si="1"/>
        <v/>
      </c>
      <c r="M126" s="1"/>
    </row>
    <row r="127" spans="1:13" x14ac:dyDescent="0.35">
      <c r="A127" s="13"/>
      <c r="B127" s="1"/>
      <c r="C127" s="1"/>
      <c r="D127" s="1"/>
      <c r="E127" s="5" t="str">
        <f>IF(D127="","",IFERROR(INDEX(ORCAMENTO!$I$5:$I$200,MATCH(D127,ORCAMENTO!$Q$5:$Q$200,0)),"chave inexistente"))</f>
        <v/>
      </c>
      <c r="F127" s="1"/>
      <c r="G127" s="35"/>
      <c r="H127" s="13"/>
      <c r="I127" s="13"/>
      <c r="J127" s="1"/>
      <c r="K127" s="1"/>
      <c r="L127" s="5" t="str">
        <f t="shared" si="1"/>
        <v/>
      </c>
      <c r="M127" s="1"/>
    </row>
    <row r="128" spans="1:13" x14ac:dyDescent="0.35">
      <c r="A128" s="13"/>
      <c r="B128" s="1"/>
      <c r="C128" s="1"/>
      <c r="D128" s="1"/>
      <c r="E128" s="5" t="str">
        <f>IF(D128="","",IFERROR(INDEX(ORCAMENTO!$I$5:$I$200,MATCH(D128,ORCAMENTO!$Q$5:$Q$200,0)),"chave inexistente"))</f>
        <v/>
      </c>
      <c r="F128" s="1"/>
      <c r="G128" s="35"/>
      <c r="H128" s="13"/>
      <c r="I128" s="13"/>
      <c r="J128" s="1"/>
      <c r="K128" s="1"/>
      <c r="L128" s="5" t="str">
        <f t="shared" si="1"/>
        <v/>
      </c>
      <c r="M128" s="1"/>
    </row>
    <row r="129" spans="1:13" x14ac:dyDescent="0.35">
      <c r="A129" s="13"/>
      <c r="B129" s="1"/>
      <c r="C129" s="1"/>
      <c r="D129" s="1"/>
      <c r="E129" s="5" t="str">
        <f>IF(D129="","",IFERROR(INDEX(ORCAMENTO!$I$5:$I$200,MATCH(D129,ORCAMENTO!$Q$5:$Q$200,0)),"chave inexistente"))</f>
        <v/>
      </c>
      <c r="F129" s="1"/>
      <c r="G129" s="35"/>
      <c r="H129" s="13"/>
      <c r="I129" s="13"/>
      <c r="J129" s="1"/>
      <c r="K129" s="1"/>
      <c r="L129" s="5" t="str">
        <f t="shared" si="1"/>
        <v/>
      </c>
      <c r="M129" s="1"/>
    </row>
    <row r="130" spans="1:13" x14ac:dyDescent="0.35">
      <c r="A130" s="13"/>
      <c r="B130" s="1"/>
      <c r="C130" s="1"/>
      <c r="D130" s="1"/>
      <c r="E130" s="5" t="str">
        <f>IF(D130="","",IFERROR(INDEX(ORCAMENTO!$I$5:$I$200,MATCH(D130,ORCAMENTO!$Q$5:$Q$200,0)),"chave inexistente"))</f>
        <v/>
      </c>
      <c r="F130" s="1"/>
      <c r="G130" s="35"/>
      <c r="H130" s="13"/>
      <c r="I130" s="13"/>
      <c r="J130" s="1"/>
      <c r="K130" s="1"/>
      <c r="L130" s="5" t="str">
        <f t="shared" si="1"/>
        <v/>
      </c>
      <c r="M130" s="1"/>
    </row>
    <row r="131" spans="1:13" x14ac:dyDescent="0.35">
      <c r="A131" s="13"/>
      <c r="B131" s="1"/>
      <c r="C131" s="1"/>
      <c r="D131" s="1"/>
      <c r="E131" s="5" t="str">
        <f>IF(D131="","",IFERROR(INDEX(ORCAMENTO!$I$5:$I$200,MATCH(D131,ORCAMENTO!$Q$5:$Q$200,0)),"chave inexistente"))</f>
        <v/>
      </c>
      <c r="F131" s="1"/>
      <c r="G131" s="35"/>
      <c r="H131" s="13"/>
      <c r="I131" s="13"/>
      <c r="J131" s="1"/>
      <c r="K131" s="1"/>
      <c r="L131" s="5" t="str">
        <f t="shared" si="1"/>
        <v/>
      </c>
      <c r="M131" s="1"/>
    </row>
    <row r="132" spans="1:13" x14ac:dyDescent="0.35">
      <c r="A132" s="13"/>
      <c r="B132" s="1"/>
      <c r="C132" s="1"/>
      <c r="D132" s="1"/>
      <c r="E132" s="5" t="str">
        <f>IF(D132="","",IFERROR(INDEX(ORCAMENTO!$I$5:$I$200,MATCH(D132,ORCAMENTO!$Q$5:$Q$200,0)),"chave inexistente"))</f>
        <v/>
      </c>
      <c r="F132" s="1"/>
      <c r="G132" s="35"/>
      <c r="H132" s="13"/>
      <c r="I132" s="13"/>
      <c r="J132" s="1"/>
      <c r="K132" s="1"/>
      <c r="L132" s="5" t="str">
        <f t="shared" si="1"/>
        <v/>
      </c>
      <c r="M132" s="1"/>
    </row>
    <row r="133" spans="1:13" x14ac:dyDescent="0.35">
      <c r="A133" s="13"/>
      <c r="B133" s="1"/>
      <c r="C133" s="1"/>
      <c r="D133" s="1"/>
      <c r="E133" s="5" t="str">
        <f>IF(D133="","",IFERROR(INDEX(ORCAMENTO!$I$5:$I$200,MATCH(D133,ORCAMENTO!$Q$5:$Q$200,0)),"chave inexistente"))</f>
        <v/>
      </c>
      <c r="F133" s="1"/>
      <c r="G133" s="35"/>
      <c r="H133" s="13"/>
      <c r="I133" s="13"/>
      <c r="J133" s="1"/>
      <c r="K133" s="1"/>
      <c r="L133" s="5" t="str">
        <f t="shared" si="1"/>
        <v/>
      </c>
      <c r="M133" s="1"/>
    </row>
    <row r="134" spans="1:13" x14ac:dyDescent="0.35">
      <c r="A134" s="13"/>
      <c r="B134" s="1"/>
      <c r="C134" s="1"/>
      <c r="D134" s="1"/>
      <c r="E134" s="5" t="str">
        <f>IF(D134="","",IFERROR(INDEX(ORCAMENTO!$I$5:$I$200,MATCH(D134,ORCAMENTO!$Q$5:$Q$200,0)),"chave inexistente"))</f>
        <v/>
      </c>
      <c r="F134" s="1"/>
      <c r="G134" s="35"/>
      <c r="H134" s="13"/>
      <c r="I134" s="13"/>
      <c r="J134" s="1"/>
      <c r="K134" s="1"/>
      <c r="L134" s="5" t="str">
        <f t="shared" ref="L134:L197" si="2">IF(A134="","",IF(J134="Entregue","Entregue",IF(J134="Cancelado","Cancelado",IF(AND(H134&lt;&gt;"",DataRef&gt;H134),"ATRASADA","No prazo"))))</f>
        <v/>
      </c>
      <c r="M134" s="1"/>
    </row>
    <row r="135" spans="1:13" x14ac:dyDescent="0.35">
      <c r="A135" s="13"/>
      <c r="B135" s="1"/>
      <c r="C135" s="1"/>
      <c r="D135" s="1"/>
      <c r="E135" s="5" t="str">
        <f>IF(D135="","",IFERROR(INDEX(ORCAMENTO!$I$5:$I$200,MATCH(D135,ORCAMENTO!$Q$5:$Q$200,0)),"chave inexistente"))</f>
        <v/>
      </c>
      <c r="F135" s="1"/>
      <c r="G135" s="35"/>
      <c r="H135" s="13"/>
      <c r="I135" s="13"/>
      <c r="J135" s="1"/>
      <c r="K135" s="1"/>
      <c r="L135" s="5" t="str">
        <f t="shared" si="2"/>
        <v/>
      </c>
      <c r="M135" s="1"/>
    </row>
    <row r="136" spans="1:13" x14ac:dyDescent="0.35">
      <c r="A136" s="13"/>
      <c r="B136" s="1"/>
      <c r="C136" s="1"/>
      <c r="D136" s="1"/>
      <c r="E136" s="5" t="str">
        <f>IF(D136="","",IFERROR(INDEX(ORCAMENTO!$I$5:$I$200,MATCH(D136,ORCAMENTO!$Q$5:$Q$200,0)),"chave inexistente"))</f>
        <v/>
      </c>
      <c r="F136" s="1"/>
      <c r="G136" s="35"/>
      <c r="H136" s="13"/>
      <c r="I136" s="13"/>
      <c r="J136" s="1"/>
      <c r="K136" s="1"/>
      <c r="L136" s="5" t="str">
        <f t="shared" si="2"/>
        <v/>
      </c>
      <c r="M136" s="1"/>
    </row>
    <row r="137" spans="1:13" x14ac:dyDescent="0.35">
      <c r="A137" s="13"/>
      <c r="B137" s="1"/>
      <c r="C137" s="1"/>
      <c r="D137" s="1"/>
      <c r="E137" s="5" t="str">
        <f>IF(D137="","",IFERROR(INDEX(ORCAMENTO!$I$5:$I$200,MATCH(D137,ORCAMENTO!$Q$5:$Q$200,0)),"chave inexistente"))</f>
        <v/>
      </c>
      <c r="F137" s="1"/>
      <c r="G137" s="35"/>
      <c r="H137" s="13"/>
      <c r="I137" s="13"/>
      <c r="J137" s="1"/>
      <c r="K137" s="1"/>
      <c r="L137" s="5" t="str">
        <f t="shared" si="2"/>
        <v/>
      </c>
      <c r="M137" s="1"/>
    </row>
    <row r="138" spans="1:13" x14ac:dyDescent="0.35">
      <c r="A138" s="13"/>
      <c r="B138" s="1"/>
      <c r="C138" s="1"/>
      <c r="D138" s="1"/>
      <c r="E138" s="5" t="str">
        <f>IF(D138="","",IFERROR(INDEX(ORCAMENTO!$I$5:$I$200,MATCH(D138,ORCAMENTO!$Q$5:$Q$200,0)),"chave inexistente"))</f>
        <v/>
      </c>
      <c r="F138" s="1"/>
      <c r="G138" s="35"/>
      <c r="H138" s="13"/>
      <c r="I138" s="13"/>
      <c r="J138" s="1"/>
      <c r="K138" s="1"/>
      <c r="L138" s="5" t="str">
        <f t="shared" si="2"/>
        <v/>
      </c>
      <c r="M138" s="1"/>
    </row>
    <row r="139" spans="1:13" x14ac:dyDescent="0.35">
      <c r="A139" s="13"/>
      <c r="B139" s="1"/>
      <c r="C139" s="1"/>
      <c r="D139" s="1"/>
      <c r="E139" s="5" t="str">
        <f>IF(D139="","",IFERROR(INDEX(ORCAMENTO!$I$5:$I$200,MATCH(D139,ORCAMENTO!$Q$5:$Q$200,0)),"chave inexistente"))</f>
        <v/>
      </c>
      <c r="F139" s="1"/>
      <c r="G139" s="35"/>
      <c r="H139" s="13"/>
      <c r="I139" s="13"/>
      <c r="J139" s="1"/>
      <c r="K139" s="1"/>
      <c r="L139" s="5" t="str">
        <f t="shared" si="2"/>
        <v/>
      </c>
      <c r="M139" s="1"/>
    </row>
    <row r="140" spans="1:13" x14ac:dyDescent="0.35">
      <c r="A140" s="13"/>
      <c r="B140" s="1"/>
      <c r="C140" s="1"/>
      <c r="D140" s="1"/>
      <c r="E140" s="5" t="str">
        <f>IF(D140="","",IFERROR(INDEX(ORCAMENTO!$I$5:$I$200,MATCH(D140,ORCAMENTO!$Q$5:$Q$200,0)),"chave inexistente"))</f>
        <v/>
      </c>
      <c r="F140" s="1"/>
      <c r="G140" s="35"/>
      <c r="H140" s="13"/>
      <c r="I140" s="13"/>
      <c r="J140" s="1"/>
      <c r="K140" s="1"/>
      <c r="L140" s="5" t="str">
        <f t="shared" si="2"/>
        <v/>
      </c>
      <c r="M140" s="1"/>
    </row>
    <row r="141" spans="1:13" x14ac:dyDescent="0.35">
      <c r="A141" s="13"/>
      <c r="B141" s="1"/>
      <c r="C141" s="1"/>
      <c r="D141" s="1"/>
      <c r="E141" s="5" t="str">
        <f>IF(D141="","",IFERROR(INDEX(ORCAMENTO!$I$5:$I$200,MATCH(D141,ORCAMENTO!$Q$5:$Q$200,0)),"chave inexistente"))</f>
        <v/>
      </c>
      <c r="F141" s="1"/>
      <c r="G141" s="35"/>
      <c r="H141" s="13"/>
      <c r="I141" s="13"/>
      <c r="J141" s="1"/>
      <c r="K141" s="1"/>
      <c r="L141" s="5" t="str">
        <f t="shared" si="2"/>
        <v/>
      </c>
      <c r="M141" s="1"/>
    </row>
    <row r="142" spans="1:13" x14ac:dyDescent="0.35">
      <c r="A142" s="13"/>
      <c r="B142" s="1"/>
      <c r="C142" s="1"/>
      <c r="D142" s="1"/>
      <c r="E142" s="5" t="str">
        <f>IF(D142="","",IFERROR(INDEX(ORCAMENTO!$I$5:$I$200,MATCH(D142,ORCAMENTO!$Q$5:$Q$200,0)),"chave inexistente"))</f>
        <v/>
      </c>
      <c r="F142" s="1"/>
      <c r="G142" s="35"/>
      <c r="H142" s="13"/>
      <c r="I142" s="13"/>
      <c r="J142" s="1"/>
      <c r="K142" s="1"/>
      <c r="L142" s="5" t="str">
        <f t="shared" si="2"/>
        <v/>
      </c>
      <c r="M142" s="1"/>
    </row>
    <row r="143" spans="1:13" x14ac:dyDescent="0.35">
      <c r="A143" s="13"/>
      <c r="B143" s="1"/>
      <c r="C143" s="1"/>
      <c r="D143" s="1"/>
      <c r="E143" s="5" t="str">
        <f>IF(D143="","",IFERROR(INDEX(ORCAMENTO!$I$5:$I$200,MATCH(D143,ORCAMENTO!$Q$5:$Q$200,0)),"chave inexistente"))</f>
        <v/>
      </c>
      <c r="F143" s="1"/>
      <c r="G143" s="35"/>
      <c r="H143" s="13"/>
      <c r="I143" s="13"/>
      <c r="J143" s="1"/>
      <c r="K143" s="1"/>
      <c r="L143" s="5" t="str">
        <f t="shared" si="2"/>
        <v/>
      </c>
      <c r="M143" s="1"/>
    </row>
    <row r="144" spans="1:13" x14ac:dyDescent="0.35">
      <c r="A144" s="13"/>
      <c r="B144" s="1"/>
      <c r="C144" s="1"/>
      <c r="D144" s="1"/>
      <c r="E144" s="5" t="str">
        <f>IF(D144="","",IFERROR(INDEX(ORCAMENTO!$I$5:$I$200,MATCH(D144,ORCAMENTO!$Q$5:$Q$200,0)),"chave inexistente"))</f>
        <v/>
      </c>
      <c r="F144" s="1"/>
      <c r="G144" s="35"/>
      <c r="H144" s="13"/>
      <c r="I144" s="13"/>
      <c r="J144" s="1"/>
      <c r="K144" s="1"/>
      <c r="L144" s="5" t="str">
        <f t="shared" si="2"/>
        <v/>
      </c>
      <c r="M144" s="1"/>
    </row>
    <row r="145" spans="1:13" x14ac:dyDescent="0.35">
      <c r="A145" s="13"/>
      <c r="B145" s="1"/>
      <c r="C145" s="1"/>
      <c r="D145" s="1"/>
      <c r="E145" s="5" t="str">
        <f>IF(D145="","",IFERROR(INDEX(ORCAMENTO!$I$5:$I$200,MATCH(D145,ORCAMENTO!$Q$5:$Q$200,0)),"chave inexistente"))</f>
        <v/>
      </c>
      <c r="F145" s="1"/>
      <c r="G145" s="35"/>
      <c r="H145" s="13"/>
      <c r="I145" s="13"/>
      <c r="J145" s="1"/>
      <c r="K145" s="1"/>
      <c r="L145" s="5" t="str">
        <f t="shared" si="2"/>
        <v/>
      </c>
      <c r="M145" s="1"/>
    </row>
    <row r="146" spans="1:13" x14ac:dyDescent="0.35">
      <c r="A146" s="13"/>
      <c r="B146" s="1"/>
      <c r="C146" s="1"/>
      <c r="D146" s="1"/>
      <c r="E146" s="5" t="str">
        <f>IF(D146="","",IFERROR(INDEX(ORCAMENTO!$I$5:$I$200,MATCH(D146,ORCAMENTO!$Q$5:$Q$200,0)),"chave inexistente"))</f>
        <v/>
      </c>
      <c r="F146" s="1"/>
      <c r="G146" s="35"/>
      <c r="H146" s="13"/>
      <c r="I146" s="13"/>
      <c r="J146" s="1"/>
      <c r="K146" s="1"/>
      <c r="L146" s="5" t="str">
        <f t="shared" si="2"/>
        <v/>
      </c>
      <c r="M146" s="1"/>
    </row>
    <row r="147" spans="1:13" x14ac:dyDescent="0.35">
      <c r="A147" s="13"/>
      <c r="B147" s="1"/>
      <c r="C147" s="1"/>
      <c r="D147" s="1"/>
      <c r="E147" s="5" t="str">
        <f>IF(D147="","",IFERROR(INDEX(ORCAMENTO!$I$5:$I$200,MATCH(D147,ORCAMENTO!$Q$5:$Q$200,0)),"chave inexistente"))</f>
        <v/>
      </c>
      <c r="F147" s="1"/>
      <c r="G147" s="35"/>
      <c r="H147" s="13"/>
      <c r="I147" s="13"/>
      <c r="J147" s="1"/>
      <c r="K147" s="1"/>
      <c r="L147" s="5" t="str">
        <f t="shared" si="2"/>
        <v/>
      </c>
      <c r="M147" s="1"/>
    </row>
    <row r="148" spans="1:13" x14ac:dyDescent="0.35">
      <c r="A148" s="13"/>
      <c r="B148" s="1"/>
      <c r="C148" s="1"/>
      <c r="D148" s="1"/>
      <c r="E148" s="5" t="str">
        <f>IF(D148="","",IFERROR(INDEX(ORCAMENTO!$I$5:$I$200,MATCH(D148,ORCAMENTO!$Q$5:$Q$200,0)),"chave inexistente"))</f>
        <v/>
      </c>
      <c r="F148" s="1"/>
      <c r="G148" s="35"/>
      <c r="H148" s="13"/>
      <c r="I148" s="13"/>
      <c r="J148" s="1"/>
      <c r="K148" s="1"/>
      <c r="L148" s="5" t="str">
        <f t="shared" si="2"/>
        <v/>
      </c>
      <c r="M148" s="1"/>
    </row>
    <row r="149" spans="1:13" x14ac:dyDescent="0.35">
      <c r="A149" s="13"/>
      <c r="B149" s="1"/>
      <c r="C149" s="1"/>
      <c r="D149" s="1"/>
      <c r="E149" s="5" t="str">
        <f>IF(D149="","",IFERROR(INDEX(ORCAMENTO!$I$5:$I$200,MATCH(D149,ORCAMENTO!$Q$5:$Q$200,0)),"chave inexistente"))</f>
        <v/>
      </c>
      <c r="F149" s="1"/>
      <c r="G149" s="35"/>
      <c r="H149" s="13"/>
      <c r="I149" s="13"/>
      <c r="J149" s="1"/>
      <c r="K149" s="1"/>
      <c r="L149" s="5" t="str">
        <f t="shared" si="2"/>
        <v/>
      </c>
      <c r="M149" s="1"/>
    </row>
    <row r="150" spans="1:13" x14ac:dyDescent="0.35">
      <c r="A150" s="13"/>
      <c r="B150" s="1"/>
      <c r="C150" s="1"/>
      <c r="D150" s="1"/>
      <c r="E150" s="5" t="str">
        <f>IF(D150="","",IFERROR(INDEX(ORCAMENTO!$I$5:$I$200,MATCH(D150,ORCAMENTO!$Q$5:$Q$200,0)),"chave inexistente"))</f>
        <v/>
      </c>
      <c r="F150" s="1"/>
      <c r="G150" s="35"/>
      <c r="H150" s="13"/>
      <c r="I150" s="13"/>
      <c r="J150" s="1"/>
      <c r="K150" s="1"/>
      <c r="L150" s="5" t="str">
        <f t="shared" si="2"/>
        <v/>
      </c>
      <c r="M150" s="1"/>
    </row>
    <row r="151" spans="1:13" x14ac:dyDescent="0.35">
      <c r="A151" s="13"/>
      <c r="B151" s="1"/>
      <c r="C151" s="1"/>
      <c r="D151" s="1"/>
      <c r="E151" s="5" t="str">
        <f>IF(D151="","",IFERROR(INDEX(ORCAMENTO!$I$5:$I$200,MATCH(D151,ORCAMENTO!$Q$5:$Q$200,0)),"chave inexistente"))</f>
        <v/>
      </c>
      <c r="F151" s="1"/>
      <c r="G151" s="35"/>
      <c r="H151" s="13"/>
      <c r="I151" s="13"/>
      <c r="J151" s="1"/>
      <c r="K151" s="1"/>
      <c r="L151" s="5" t="str">
        <f t="shared" si="2"/>
        <v/>
      </c>
      <c r="M151" s="1"/>
    </row>
    <row r="152" spans="1:13" x14ac:dyDescent="0.35">
      <c r="A152" s="13"/>
      <c r="B152" s="1"/>
      <c r="C152" s="1"/>
      <c r="D152" s="1"/>
      <c r="E152" s="5" t="str">
        <f>IF(D152="","",IFERROR(INDEX(ORCAMENTO!$I$5:$I$200,MATCH(D152,ORCAMENTO!$Q$5:$Q$200,0)),"chave inexistente"))</f>
        <v/>
      </c>
      <c r="F152" s="1"/>
      <c r="G152" s="35"/>
      <c r="H152" s="13"/>
      <c r="I152" s="13"/>
      <c r="J152" s="1"/>
      <c r="K152" s="1"/>
      <c r="L152" s="5" t="str">
        <f t="shared" si="2"/>
        <v/>
      </c>
      <c r="M152" s="1"/>
    </row>
    <row r="153" spans="1:13" x14ac:dyDescent="0.35">
      <c r="A153" s="13"/>
      <c r="B153" s="1"/>
      <c r="C153" s="1"/>
      <c r="D153" s="1"/>
      <c r="E153" s="5" t="str">
        <f>IF(D153="","",IFERROR(INDEX(ORCAMENTO!$I$5:$I$200,MATCH(D153,ORCAMENTO!$Q$5:$Q$200,0)),"chave inexistente"))</f>
        <v/>
      </c>
      <c r="F153" s="1"/>
      <c r="G153" s="35"/>
      <c r="H153" s="13"/>
      <c r="I153" s="13"/>
      <c r="J153" s="1"/>
      <c r="K153" s="1"/>
      <c r="L153" s="5" t="str">
        <f t="shared" si="2"/>
        <v/>
      </c>
      <c r="M153" s="1"/>
    </row>
    <row r="154" spans="1:13" x14ac:dyDescent="0.35">
      <c r="A154" s="13"/>
      <c r="B154" s="1"/>
      <c r="C154" s="1"/>
      <c r="D154" s="1"/>
      <c r="E154" s="5" t="str">
        <f>IF(D154="","",IFERROR(INDEX(ORCAMENTO!$I$5:$I$200,MATCH(D154,ORCAMENTO!$Q$5:$Q$200,0)),"chave inexistente"))</f>
        <v/>
      </c>
      <c r="F154" s="1"/>
      <c r="G154" s="35"/>
      <c r="H154" s="13"/>
      <c r="I154" s="13"/>
      <c r="J154" s="1"/>
      <c r="K154" s="1"/>
      <c r="L154" s="5" t="str">
        <f t="shared" si="2"/>
        <v/>
      </c>
      <c r="M154" s="1"/>
    </row>
    <row r="155" spans="1:13" x14ac:dyDescent="0.35">
      <c r="A155" s="13"/>
      <c r="B155" s="1"/>
      <c r="C155" s="1"/>
      <c r="D155" s="1"/>
      <c r="E155" s="5" t="str">
        <f>IF(D155="","",IFERROR(INDEX(ORCAMENTO!$I$5:$I$200,MATCH(D155,ORCAMENTO!$Q$5:$Q$200,0)),"chave inexistente"))</f>
        <v/>
      </c>
      <c r="F155" s="1"/>
      <c r="G155" s="35"/>
      <c r="H155" s="13"/>
      <c r="I155" s="13"/>
      <c r="J155" s="1"/>
      <c r="K155" s="1"/>
      <c r="L155" s="5" t="str">
        <f t="shared" si="2"/>
        <v/>
      </c>
      <c r="M155" s="1"/>
    </row>
    <row r="156" spans="1:13" x14ac:dyDescent="0.35">
      <c r="A156" s="13"/>
      <c r="B156" s="1"/>
      <c r="C156" s="1"/>
      <c r="D156" s="1"/>
      <c r="E156" s="5" t="str">
        <f>IF(D156="","",IFERROR(INDEX(ORCAMENTO!$I$5:$I$200,MATCH(D156,ORCAMENTO!$Q$5:$Q$200,0)),"chave inexistente"))</f>
        <v/>
      </c>
      <c r="F156" s="1"/>
      <c r="G156" s="35"/>
      <c r="H156" s="13"/>
      <c r="I156" s="13"/>
      <c r="J156" s="1"/>
      <c r="K156" s="1"/>
      <c r="L156" s="5" t="str">
        <f t="shared" si="2"/>
        <v/>
      </c>
      <c r="M156" s="1"/>
    </row>
    <row r="157" spans="1:13" x14ac:dyDescent="0.35">
      <c r="A157" s="13"/>
      <c r="B157" s="1"/>
      <c r="C157" s="1"/>
      <c r="D157" s="1"/>
      <c r="E157" s="5" t="str">
        <f>IF(D157="","",IFERROR(INDEX(ORCAMENTO!$I$5:$I$200,MATCH(D157,ORCAMENTO!$Q$5:$Q$200,0)),"chave inexistente"))</f>
        <v/>
      </c>
      <c r="F157" s="1"/>
      <c r="G157" s="35"/>
      <c r="H157" s="13"/>
      <c r="I157" s="13"/>
      <c r="J157" s="1"/>
      <c r="K157" s="1"/>
      <c r="L157" s="5" t="str">
        <f t="shared" si="2"/>
        <v/>
      </c>
      <c r="M157" s="1"/>
    </row>
    <row r="158" spans="1:13" x14ac:dyDescent="0.35">
      <c r="A158" s="13"/>
      <c r="B158" s="1"/>
      <c r="C158" s="1"/>
      <c r="D158" s="1"/>
      <c r="E158" s="5" t="str">
        <f>IF(D158="","",IFERROR(INDEX(ORCAMENTO!$I$5:$I$200,MATCH(D158,ORCAMENTO!$Q$5:$Q$200,0)),"chave inexistente"))</f>
        <v/>
      </c>
      <c r="F158" s="1"/>
      <c r="G158" s="35"/>
      <c r="H158" s="13"/>
      <c r="I158" s="13"/>
      <c r="J158" s="1"/>
      <c r="K158" s="1"/>
      <c r="L158" s="5" t="str">
        <f t="shared" si="2"/>
        <v/>
      </c>
      <c r="M158" s="1"/>
    </row>
    <row r="159" spans="1:13" x14ac:dyDescent="0.35">
      <c r="A159" s="13"/>
      <c r="B159" s="1"/>
      <c r="C159" s="1"/>
      <c r="D159" s="1"/>
      <c r="E159" s="5" t="str">
        <f>IF(D159="","",IFERROR(INDEX(ORCAMENTO!$I$5:$I$200,MATCH(D159,ORCAMENTO!$Q$5:$Q$200,0)),"chave inexistente"))</f>
        <v/>
      </c>
      <c r="F159" s="1"/>
      <c r="G159" s="35"/>
      <c r="H159" s="13"/>
      <c r="I159" s="13"/>
      <c r="J159" s="1"/>
      <c r="K159" s="1"/>
      <c r="L159" s="5" t="str">
        <f t="shared" si="2"/>
        <v/>
      </c>
      <c r="M159" s="1"/>
    </row>
    <row r="160" spans="1:13" x14ac:dyDescent="0.35">
      <c r="A160" s="13"/>
      <c r="B160" s="1"/>
      <c r="C160" s="1"/>
      <c r="D160" s="1"/>
      <c r="E160" s="5" t="str">
        <f>IF(D160="","",IFERROR(INDEX(ORCAMENTO!$I$5:$I$200,MATCH(D160,ORCAMENTO!$Q$5:$Q$200,0)),"chave inexistente"))</f>
        <v/>
      </c>
      <c r="F160" s="1"/>
      <c r="G160" s="35"/>
      <c r="H160" s="13"/>
      <c r="I160" s="13"/>
      <c r="J160" s="1"/>
      <c r="K160" s="1"/>
      <c r="L160" s="5" t="str">
        <f t="shared" si="2"/>
        <v/>
      </c>
      <c r="M160" s="1"/>
    </row>
    <row r="161" spans="1:13" x14ac:dyDescent="0.35">
      <c r="A161" s="13"/>
      <c r="B161" s="1"/>
      <c r="C161" s="1"/>
      <c r="D161" s="1"/>
      <c r="E161" s="5" t="str">
        <f>IF(D161="","",IFERROR(INDEX(ORCAMENTO!$I$5:$I$200,MATCH(D161,ORCAMENTO!$Q$5:$Q$200,0)),"chave inexistente"))</f>
        <v/>
      </c>
      <c r="F161" s="1"/>
      <c r="G161" s="35"/>
      <c r="H161" s="13"/>
      <c r="I161" s="13"/>
      <c r="J161" s="1"/>
      <c r="K161" s="1"/>
      <c r="L161" s="5" t="str">
        <f t="shared" si="2"/>
        <v/>
      </c>
      <c r="M161" s="1"/>
    </row>
    <row r="162" spans="1:13" x14ac:dyDescent="0.35">
      <c r="A162" s="13"/>
      <c r="B162" s="1"/>
      <c r="C162" s="1"/>
      <c r="D162" s="1"/>
      <c r="E162" s="5" t="str">
        <f>IF(D162="","",IFERROR(INDEX(ORCAMENTO!$I$5:$I$200,MATCH(D162,ORCAMENTO!$Q$5:$Q$200,0)),"chave inexistente"))</f>
        <v/>
      </c>
      <c r="F162" s="1"/>
      <c r="G162" s="35"/>
      <c r="H162" s="13"/>
      <c r="I162" s="13"/>
      <c r="J162" s="1"/>
      <c r="K162" s="1"/>
      <c r="L162" s="5" t="str">
        <f t="shared" si="2"/>
        <v/>
      </c>
      <c r="M162" s="1"/>
    </row>
    <row r="163" spans="1:13" x14ac:dyDescent="0.35">
      <c r="A163" s="13"/>
      <c r="B163" s="1"/>
      <c r="C163" s="1"/>
      <c r="D163" s="1"/>
      <c r="E163" s="5" t="str">
        <f>IF(D163="","",IFERROR(INDEX(ORCAMENTO!$I$5:$I$200,MATCH(D163,ORCAMENTO!$Q$5:$Q$200,0)),"chave inexistente"))</f>
        <v/>
      </c>
      <c r="F163" s="1"/>
      <c r="G163" s="35"/>
      <c r="H163" s="13"/>
      <c r="I163" s="13"/>
      <c r="J163" s="1"/>
      <c r="K163" s="1"/>
      <c r="L163" s="5" t="str">
        <f t="shared" si="2"/>
        <v/>
      </c>
      <c r="M163" s="1"/>
    </row>
    <row r="164" spans="1:13" x14ac:dyDescent="0.35">
      <c r="A164" s="13"/>
      <c r="B164" s="1"/>
      <c r="C164" s="1"/>
      <c r="D164" s="1"/>
      <c r="E164" s="5" t="str">
        <f>IF(D164="","",IFERROR(INDEX(ORCAMENTO!$I$5:$I$200,MATCH(D164,ORCAMENTO!$Q$5:$Q$200,0)),"chave inexistente"))</f>
        <v/>
      </c>
      <c r="F164" s="1"/>
      <c r="G164" s="35"/>
      <c r="H164" s="13"/>
      <c r="I164" s="13"/>
      <c r="J164" s="1"/>
      <c r="K164" s="1"/>
      <c r="L164" s="5" t="str">
        <f t="shared" si="2"/>
        <v/>
      </c>
      <c r="M164" s="1"/>
    </row>
    <row r="165" spans="1:13" x14ac:dyDescent="0.35">
      <c r="A165" s="13"/>
      <c r="B165" s="1"/>
      <c r="C165" s="1"/>
      <c r="D165" s="1"/>
      <c r="E165" s="5" t="str">
        <f>IF(D165="","",IFERROR(INDEX(ORCAMENTO!$I$5:$I$200,MATCH(D165,ORCAMENTO!$Q$5:$Q$200,0)),"chave inexistente"))</f>
        <v/>
      </c>
      <c r="F165" s="1"/>
      <c r="G165" s="35"/>
      <c r="H165" s="13"/>
      <c r="I165" s="13"/>
      <c r="J165" s="1"/>
      <c r="K165" s="1"/>
      <c r="L165" s="5" t="str">
        <f t="shared" si="2"/>
        <v/>
      </c>
      <c r="M165" s="1"/>
    </row>
    <row r="166" spans="1:13" x14ac:dyDescent="0.35">
      <c r="A166" s="13"/>
      <c r="B166" s="1"/>
      <c r="C166" s="1"/>
      <c r="D166" s="1"/>
      <c r="E166" s="5" t="str">
        <f>IF(D166="","",IFERROR(INDEX(ORCAMENTO!$I$5:$I$200,MATCH(D166,ORCAMENTO!$Q$5:$Q$200,0)),"chave inexistente"))</f>
        <v/>
      </c>
      <c r="F166" s="1"/>
      <c r="G166" s="35"/>
      <c r="H166" s="13"/>
      <c r="I166" s="13"/>
      <c r="J166" s="1"/>
      <c r="K166" s="1"/>
      <c r="L166" s="5" t="str">
        <f t="shared" si="2"/>
        <v/>
      </c>
      <c r="M166" s="1"/>
    </row>
    <row r="167" spans="1:13" x14ac:dyDescent="0.35">
      <c r="A167" s="13"/>
      <c r="B167" s="1"/>
      <c r="C167" s="1"/>
      <c r="D167" s="1"/>
      <c r="E167" s="5" t="str">
        <f>IF(D167="","",IFERROR(INDEX(ORCAMENTO!$I$5:$I$200,MATCH(D167,ORCAMENTO!$Q$5:$Q$200,0)),"chave inexistente"))</f>
        <v/>
      </c>
      <c r="F167" s="1"/>
      <c r="G167" s="35"/>
      <c r="H167" s="13"/>
      <c r="I167" s="13"/>
      <c r="J167" s="1"/>
      <c r="K167" s="1"/>
      <c r="L167" s="5" t="str">
        <f t="shared" si="2"/>
        <v/>
      </c>
      <c r="M167" s="1"/>
    </row>
    <row r="168" spans="1:13" x14ac:dyDescent="0.35">
      <c r="A168" s="13"/>
      <c r="B168" s="1"/>
      <c r="C168" s="1"/>
      <c r="D168" s="1"/>
      <c r="E168" s="5" t="str">
        <f>IF(D168="","",IFERROR(INDEX(ORCAMENTO!$I$5:$I$200,MATCH(D168,ORCAMENTO!$Q$5:$Q$200,0)),"chave inexistente"))</f>
        <v/>
      </c>
      <c r="F168" s="1"/>
      <c r="G168" s="35"/>
      <c r="H168" s="13"/>
      <c r="I168" s="13"/>
      <c r="J168" s="1"/>
      <c r="K168" s="1"/>
      <c r="L168" s="5" t="str">
        <f t="shared" si="2"/>
        <v/>
      </c>
      <c r="M168" s="1"/>
    </row>
    <row r="169" spans="1:13" x14ac:dyDescent="0.35">
      <c r="A169" s="13"/>
      <c r="B169" s="1"/>
      <c r="C169" s="1"/>
      <c r="D169" s="1"/>
      <c r="E169" s="5" t="str">
        <f>IF(D169="","",IFERROR(INDEX(ORCAMENTO!$I$5:$I$200,MATCH(D169,ORCAMENTO!$Q$5:$Q$200,0)),"chave inexistente"))</f>
        <v/>
      </c>
      <c r="F169" s="1"/>
      <c r="G169" s="35"/>
      <c r="H169" s="13"/>
      <c r="I169" s="13"/>
      <c r="J169" s="1"/>
      <c r="K169" s="1"/>
      <c r="L169" s="5" t="str">
        <f t="shared" si="2"/>
        <v/>
      </c>
      <c r="M169" s="1"/>
    </row>
    <row r="170" spans="1:13" x14ac:dyDescent="0.35">
      <c r="A170" s="13"/>
      <c r="B170" s="1"/>
      <c r="C170" s="1"/>
      <c r="D170" s="1"/>
      <c r="E170" s="5" t="str">
        <f>IF(D170="","",IFERROR(INDEX(ORCAMENTO!$I$5:$I$200,MATCH(D170,ORCAMENTO!$Q$5:$Q$200,0)),"chave inexistente"))</f>
        <v/>
      </c>
      <c r="F170" s="1"/>
      <c r="G170" s="35"/>
      <c r="H170" s="13"/>
      <c r="I170" s="13"/>
      <c r="J170" s="1"/>
      <c r="K170" s="1"/>
      <c r="L170" s="5" t="str">
        <f t="shared" si="2"/>
        <v/>
      </c>
      <c r="M170" s="1"/>
    </row>
    <row r="171" spans="1:13" x14ac:dyDescent="0.35">
      <c r="A171" s="13"/>
      <c r="B171" s="1"/>
      <c r="C171" s="1"/>
      <c r="D171" s="1"/>
      <c r="E171" s="5" t="str">
        <f>IF(D171="","",IFERROR(INDEX(ORCAMENTO!$I$5:$I$200,MATCH(D171,ORCAMENTO!$Q$5:$Q$200,0)),"chave inexistente"))</f>
        <v/>
      </c>
      <c r="F171" s="1"/>
      <c r="G171" s="35"/>
      <c r="H171" s="13"/>
      <c r="I171" s="13"/>
      <c r="J171" s="1"/>
      <c r="K171" s="1"/>
      <c r="L171" s="5" t="str">
        <f t="shared" si="2"/>
        <v/>
      </c>
      <c r="M171" s="1"/>
    </row>
    <row r="172" spans="1:13" x14ac:dyDescent="0.35">
      <c r="A172" s="13"/>
      <c r="B172" s="1"/>
      <c r="C172" s="1"/>
      <c r="D172" s="1"/>
      <c r="E172" s="5" t="str">
        <f>IF(D172="","",IFERROR(INDEX(ORCAMENTO!$I$5:$I$200,MATCH(D172,ORCAMENTO!$Q$5:$Q$200,0)),"chave inexistente"))</f>
        <v/>
      </c>
      <c r="F172" s="1"/>
      <c r="G172" s="35"/>
      <c r="H172" s="13"/>
      <c r="I172" s="13"/>
      <c r="J172" s="1"/>
      <c r="K172" s="1"/>
      <c r="L172" s="5" t="str">
        <f t="shared" si="2"/>
        <v/>
      </c>
      <c r="M172" s="1"/>
    </row>
    <row r="173" spans="1:13" x14ac:dyDescent="0.35">
      <c r="A173" s="13"/>
      <c r="B173" s="1"/>
      <c r="C173" s="1"/>
      <c r="D173" s="1"/>
      <c r="E173" s="5" t="str">
        <f>IF(D173="","",IFERROR(INDEX(ORCAMENTO!$I$5:$I$200,MATCH(D173,ORCAMENTO!$Q$5:$Q$200,0)),"chave inexistente"))</f>
        <v/>
      </c>
      <c r="F173" s="1"/>
      <c r="G173" s="35"/>
      <c r="H173" s="13"/>
      <c r="I173" s="13"/>
      <c r="J173" s="1"/>
      <c r="K173" s="1"/>
      <c r="L173" s="5" t="str">
        <f t="shared" si="2"/>
        <v/>
      </c>
      <c r="M173" s="1"/>
    </row>
    <row r="174" spans="1:13" x14ac:dyDescent="0.35">
      <c r="A174" s="13"/>
      <c r="B174" s="1"/>
      <c r="C174" s="1"/>
      <c r="D174" s="1"/>
      <c r="E174" s="5" t="str">
        <f>IF(D174="","",IFERROR(INDEX(ORCAMENTO!$I$5:$I$200,MATCH(D174,ORCAMENTO!$Q$5:$Q$200,0)),"chave inexistente"))</f>
        <v/>
      </c>
      <c r="F174" s="1"/>
      <c r="G174" s="35"/>
      <c r="H174" s="13"/>
      <c r="I174" s="13"/>
      <c r="J174" s="1"/>
      <c r="K174" s="1"/>
      <c r="L174" s="5" t="str">
        <f t="shared" si="2"/>
        <v/>
      </c>
      <c r="M174" s="1"/>
    </row>
    <row r="175" spans="1:13" x14ac:dyDescent="0.35">
      <c r="A175" s="13"/>
      <c r="B175" s="1"/>
      <c r="C175" s="1"/>
      <c r="D175" s="1"/>
      <c r="E175" s="5" t="str">
        <f>IF(D175="","",IFERROR(INDEX(ORCAMENTO!$I$5:$I$200,MATCH(D175,ORCAMENTO!$Q$5:$Q$200,0)),"chave inexistente"))</f>
        <v/>
      </c>
      <c r="F175" s="1"/>
      <c r="G175" s="35"/>
      <c r="H175" s="13"/>
      <c r="I175" s="13"/>
      <c r="J175" s="1"/>
      <c r="K175" s="1"/>
      <c r="L175" s="5" t="str">
        <f t="shared" si="2"/>
        <v/>
      </c>
      <c r="M175" s="1"/>
    </row>
    <row r="176" spans="1:13" x14ac:dyDescent="0.35">
      <c r="A176" s="13"/>
      <c r="B176" s="1"/>
      <c r="C176" s="1"/>
      <c r="D176" s="1"/>
      <c r="E176" s="5" t="str">
        <f>IF(D176="","",IFERROR(INDEX(ORCAMENTO!$I$5:$I$200,MATCH(D176,ORCAMENTO!$Q$5:$Q$200,0)),"chave inexistente"))</f>
        <v/>
      </c>
      <c r="F176" s="1"/>
      <c r="G176" s="35"/>
      <c r="H176" s="13"/>
      <c r="I176" s="13"/>
      <c r="J176" s="1"/>
      <c r="K176" s="1"/>
      <c r="L176" s="5" t="str">
        <f t="shared" si="2"/>
        <v/>
      </c>
      <c r="M176" s="1"/>
    </row>
    <row r="177" spans="1:13" x14ac:dyDescent="0.35">
      <c r="A177" s="13"/>
      <c r="B177" s="1"/>
      <c r="C177" s="1"/>
      <c r="D177" s="1"/>
      <c r="E177" s="5" t="str">
        <f>IF(D177="","",IFERROR(INDEX(ORCAMENTO!$I$5:$I$200,MATCH(D177,ORCAMENTO!$Q$5:$Q$200,0)),"chave inexistente"))</f>
        <v/>
      </c>
      <c r="F177" s="1"/>
      <c r="G177" s="35"/>
      <c r="H177" s="13"/>
      <c r="I177" s="13"/>
      <c r="J177" s="1"/>
      <c r="K177" s="1"/>
      <c r="L177" s="5" t="str">
        <f t="shared" si="2"/>
        <v/>
      </c>
      <c r="M177" s="1"/>
    </row>
    <row r="178" spans="1:13" x14ac:dyDescent="0.35">
      <c r="A178" s="13"/>
      <c r="B178" s="1"/>
      <c r="C178" s="1"/>
      <c r="D178" s="1"/>
      <c r="E178" s="5" t="str">
        <f>IF(D178="","",IFERROR(INDEX(ORCAMENTO!$I$5:$I$200,MATCH(D178,ORCAMENTO!$Q$5:$Q$200,0)),"chave inexistente"))</f>
        <v/>
      </c>
      <c r="F178" s="1"/>
      <c r="G178" s="35"/>
      <c r="H178" s="13"/>
      <c r="I178" s="13"/>
      <c r="J178" s="1"/>
      <c r="K178" s="1"/>
      <c r="L178" s="5" t="str">
        <f t="shared" si="2"/>
        <v/>
      </c>
      <c r="M178" s="1"/>
    </row>
    <row r="179" spans="1:13" x14ac:dyDescent="0.35">
      <c r="A179" s="13"/>
      <c r="B179" s="1"/>
      <c r="C179" s="1"/>
      <c r="D179" s="1"/>
      <c r="E179" s="5" t="str">
        <f>IF(D179="","",IFERROR(INDEX(ORCAMENTO!$I$5:$I$200,MATCH(D179,ORCAMENTO!$Q$5:$Q$200,0)),"chave inexistente"))</f>
        <v/>
      </c>
      <c r="F179" s="1"/>
      <c r="G179" s="35"/>
      <c r="H179" s="13"/>
      <c r="I179" s="13"/>
      <c r="J179" s="1"/>
      <c r="K179" s="1"/>
      <c r="L179" s="5" t="str">
        <f t="shared" si="2"/>
        <v/>
      </c>
      <c r="M179" s="1"/>
    </row>
    <row r="180" spans="1:13" x14ac:dyDescent="0.35">
      <c r="A180" s="13"/>
      <c r="B180" s="1"/>
      <c r="C180" s="1"/>
      <c r="D180" s="1"/>
      <c r="E180" s="5" t="str">
        <f>IF(D180="","",IFERROR(INDEX(ORCAMENTO!$I$5:$I$200,MATCH(D180,ORCAMENTO!$Q$5:$Q$200,0)),"chave inexistente"))</f>
        <v/>
      </c>
      <c r="F180" s="1"/>
      <c r="G180" s="35"/>
      <c r="H180" s="13"/>
      <c r="I180" s="13"/>
      <c r="J180" s="1"/>
      <c r="K180" s="1"/>
      <c r="L180" s="5" t="str">
        <f t="shared" si="2"/>
        <v/>
      </c>
      <c r="M180" s="1"/>
    </row>
    <row r="181" spans="1:13" x14ac:dyDescent="0.35">
      <c r="A181" s="13"/>
      <c r="B181" s="1"/>
      <c r="C181" s="1"/>
      <c r="D181" s="1"/>
      <c r="E181" s="5" t="str">
        <f>IF(D181="","",IFERROR(INDEX(ORCAMENTO!$I$5:$I$200,MATCH(D181,ORCAMENTO!$Q$5:$Q$200,0)),"chave inexistente"))</f>
        <v/>
      </c>
      <c r="F181" s="1"/>
      <c r="G181" s="35"/>
      <c r="H181" s="13"/>
      <c r="I181" s="13"/>
      <c r="J181" s="1"/>
      <c r="K181" s="1"/>
      <c r="L181" s="5" t="str">
        <f t="shared" si="2"/>
        <v/>
      </c>
      <c r="M181" s="1"/>
    </row>
    <row r="182" spans="1:13" x14ac:dyDescent="0.35">
      <c r="A182" s="13"/>
      <c r="B182" s="1"/>
      <c r="C182" s="1"/>
      <c r="D182" s="1"/>
      <c r="E182" s="5" t="str">
        <f>IF(D182="","",IFERROR(INDEX(ORCAMENTO!$I$5:$I$200,MATCH(D182,ORCAMENTO!$Q$5:$Q$200,0)),"chave inexistente"))</f>
        <v/>
      </c>
      <c r="F182" s="1"/>
      <c r="G182" s="35"/>
      <c r="H182" s="13"/>
      <c r="I182" s="13"/>
      <c r="J182" s="1"/>
      <c r="K182" s="1"/>
      <c r="L182" s="5" t="str">
        <f t="shared" si="2"/>
        <v/>
      </c>
      <c r="M182" s="1"/>
    </row>
    <row r="183" spans="1:13" x14ac:dyDescent="0.35">
      <c r="A183" s="13"/>
      <c r="B183" s="1"/>
      <c r="C183" s="1"/>
      <c r="D183" s="1"/>
      <c r="E183" s="5" t="str">
        <f>IF(D183="","",IFERROR(INDEX(ORCAMENTO!$I$5:$I$200,MATCH(D183,ORCAMENTO!$Q$5:$Q$200,0)),"chave inexistente"))</f>
        <v/>
      </c>
      <c r="F183" s="1"/>
      <c r="G183" s="35"/>
      <c r="H183" s="13"/>
      <c r="I183" s="13"/>
      <c r="J183" s="1"/>
      <c r="K183" s="1"/>
      <c r="L183" s="5" t="str">
        <f t="shared" si="2"/>
        <v/>
      </c>
      <c r="M183" s="1"/>
    </row>
    <row r="184" spans="1:13" x14ac:dyDescent="0.35">
      <c r="A184" s="13"/>
      <c r="B184" s="1"/>
      <c r="C184" s="1"/>
      <c r="D184" s="1"/>
      <c r="E184" s="5" t="str">
        <f>IF(D184="","",IFERROR(INDEX(ORCAMENTO!$I$5:$I$200,MATCH(D184,ORCAMENTO!$Q$5:$Q$200,0)),"chave inexistente"))</f>
        <v/>
      </c>
      <c r="F184" s="1"/>
      <c r="G184" s="35"/>
      <c r="H184" s="13"/>
      <c r="I184" s="13"/>
      <c r="J184" s="1"/>
      <c r="K184" s="1"/>
      <c r="L184" s="5" t="str">
        <f t="shared" si="2"/>
        <v/>
      </c>
      <c r="M184" s="1"/>
    </row>
    <row r="185" spans="1:13" x14ac:dyDescent="0.35">
      <c r="A185" s="13"/>
      <c r="B185" s="1"/>
      <c r="C185" s="1"/>
      <c r="D185" s="1"/>
      <c r="E185" s="5" t="str">
        <f>IF(D185="","",IFERROR(INDEX(ORCAMENTO!$I$5:$I$200,MATCH(D185,ORCAMENTO!$Q$5:$Q$200,0)),"chave inexistente"))</f>
        <v/>
      </c>
      <c r="F185" s="1"/>
      <c r="G185" s="35"/>
      <c r="H185" s="13"/>
      <c r="I185" s="13"/>
      <c r="J185" s="1"/>
      <c r="K185" s="1"/>
      <c r="L185" s="5" t="str">
        <f t="shared" si="2"/>
        <v/>
      </c>
      <c r="M185" s="1"/>
    </row>
    <row r="186" spans="1:13" x14ac:dyDescent="0.35">
      <c r="A186" s="13"/>
      <c r="B186" s="1"/>
      <c r="C186" s="1"/>
      <c r="D186" s="1"/>
      <c r="E186" s="5" t="str">
        <f>IF(D186="","",IFERROR(INDEX(ORCAMENTO!$I$5:$I$200,MATCH(D186,ORCAMENTO!$Q$5:$Q$200,0)),"chave inexistente"))</f>
        <v/>
      </c>
      <c r="F186" s="1"/>
      <c r="G186" s="35"/>
      <c r="H186" s="13"/>
      <c r="I186" s="13"/>
      <c r="J186" s="1"/>
      <c r="K186" s="1"/>
      <c r="L186" s="5" t="str">
        <f t="shared" si="2"/>
        <v/>
      </c>
      <c r="M186" s="1"/>
    </row>
    <row r="187" spans="1:13" x14ac:dyDescent="0.35">
      <c r="A187" s="13"/>
      <c r="B187" s="1"/>
      <c r="C187" s="1"/>
      <c r="D187" s="1"/>
      <c r="E187" s="5" t="str">
        <f>IF(D187="","",IFERROR(INDEX(ORCAMENTO!$I$5:$I$200,MATCH(D187,ORCAMENTO!$Q$5:$Q$200,0)),"chave inexistente"))</f>
        <v/>
      </c>
      <c r="F187" s="1"/>
      <c r="G187" s="35"/>
      <c r="H187" s="13"/>
      <c r="I187" s="13"/>
      <c r="J187" s="1"/>
      <c r="K187" s="1"/>
      <c r="L187" s="5" t="str">
        <f t="shared" si="2"/>
        <v/>
      </c>
      <c r="M187" s="1"/>
    </row>
    <row r="188" spans="1:13" x14ac:dyDescent="0.35">
      <c r="A188" s="13"/>
      <c r="B188" s="1"/>
      <c r="C188" s="1"/>
      <c r="D188" s="1"/>
      <c r="E188" s="5" t="str">
        <f>IF(D188="","",IFERROR(INDEX(ORCAMENTO!$I$5:$I$200,MATCH(D188,ORCAMENTO!$Q$5:$Q$200,0)),"chave inexistente"))</f>
        <v/>
      </c>
      <c r="F188" s="1"/>
      <c r="G188" s="35"/>
      <c r="H188" s="13"/>
      <c r="I188" s="13"/>
      <c r="J188" s="1"/>
      <c r="K188" s="1"/>
      <c r="L188" s="5" t="str">
        <f t="shared" si="2"/>
        <v/>
      </c>
      <c r="M188" s="1"/>
    </row>
    <row r="189" spans="1:13" x14ac:dyDescent="0.35">
      <c r="A189" s="13"/>
      <c r="B189" s="1"/>
      <c r="C189" s="1"/>
      <c r="D189" s="1"/>
      <c r="E189" s="5" t="str">
        <f>IF(D189="","",IFERROR(INDEX(ORCAMENTO!$I$5:$I$200,MATCH(D189,ORCAMENTO!$Q$5:$Q$200,0)),"chave inexistente"))</f>
        <v/>
      </c>
      <c r="F189" s="1"/>
      <c r="G189" s="35"/>
      <c r="H189" s="13"/>
      <c r="I189" s="13"/>
      <c r="J189" s="1"/>
      <c r="K189" s="1"/>
      <c r="L189" s="5" t="str">
        <f t="shared" si="2"/>
        <v/>
      </c>
      <c r="M189" s="1"/>
    </row>
    <row r="190" spans="1:13" x14ac:dyDescent="0.35">
      <c r="A190" s="13"/>
      <c r="B190" s="1"/>
      <c r="C190" s="1"/>
      <c r="D190" s="1"/>
      <c r="E190" s="5" t="str">
        <f>IF(D190="","",IFERROR(INDEX(ORCAMENTO!$I$5:$I$200,MATCH(D190,ORCAMENTO!$Q$5:$Q$200,0)),"chave inexistente"))</f>
        <v/>
      </c>
      <c r="F190" s="1"/>
      <c r="G190" s="35"/>
      <c r="H190" s="13"/>
      <c r="I190" s="13"/>
      <c r="J190" s="1"/>
      <c r="K190" s="1"/>
      <c r="L190" s="5" t="str">
        <f t="shared" si="2"/>
        <v/>
      </c>
      <c r="M190" s="1"/>
    </row>
    <row r="191" spans="1:13" x14ac:dyDescent="0.35">
      <c r="A191" s="13"/>
      <c r="B191" s="1"/>
      <c r="C191" s="1"/>
      <c r="D191" s="1"/>
      <c r="E191" s="5" t="str">
        <f>IF(D191="","",IFERROR(INDEX(ORCAMENTO!$I$5:$I$200,MATCH(D191,ORCAMENTO!$Q$5:$Q$200,0)),"chave inexistente"))</f>
        <v/>
      </c>
      <c r="F191" s="1"/>
      <c r="G191" s="35"/>
      <c r="H191" s="13"/>
      <c r="I191" s="13"/>
      <c r="J191" s="1"/>
      <c r="K191" s="1"/>
      <c r="L191" s="5" t="str">
        <f t="shared" si="2"/>
        <v/>
      </c>
      <c r="M191" s="1"/>
    </row>
    <row r="192" spans="1:13" x14ac:dyDescent="0.35">
      <c r="A192" s="13"/>
      <c r="B192" s="1"/>
      <c r="C192" s="1"/>
      <c r="D192" s="1"/>
      <c r="E192" s="5" t="str">
        <f>IF(D192="","",IFERROR(INDEX(ORCAMENTO!$I$5:$I$200,MATCH(D192,ORCAMENTO!$Q$5:$Q$200,0)),"chave inexistente"))</f>
        <v/>
      </c>
      <c r="F192" s="1"/>
      <c r="G192" s="35"/>
      <c r="H192" s="13"/>
      <c r="I192" s="13"/>
      <c r="J192" s="1"/>
      <c r="K192" s="1"/>
      <c r="L192" s="5" t="str">
        <f t="shared" si="2"/>
        <v/>
      </c>
      <c r="M192" s="1"/>
    </row>
    <row r="193" spans="1:13" x14ac:dyDescent="0.35">
      <c r="A193" s="13"/>
      <c r="B193" s="1"/>
      <c r="C193" s="1"/>
      <c r="D193" s="1"/>
      <c r="E193" s="5" t="str">
        <f>IF(D193="","",IFERROR(INDEX(ORCAMENTO!$I$5:$I$200,MATCH(D193,ORCAMENTO!$Q$5:$Q$200,0)),"chave inexistente"))</f>
        <v/>
      </c>
      <c r="F193" s="1"/>
      <c r="G193" s="35"/>
      <c r="H193" s="13"/>
      <c r="I193" s="13"/>
      <c r="J193" s="1"/>
      <c r="K193" s="1"/>
      <c r="L193" s="5" t="str">
        <f t="shared" si="2"/>
        <v/>
      </c>
      <c r="M193" s="1"/>
    </row>
    <row r="194" spans="1:13" x14ac:dyDescent="0.35">
      <c r="A194" s="13"/>
      <c r="B194" s="1"/>
      <c r="C194" s="1"/>
      <c r="D194" s="1"/>
      <c r="E194" s="5" t="str">
        <f>IF(D194="","",IFERROR(INDEX(ORCAMENTO!$I$5:$I$200,MATCH(D194,ORCAMENTO!$Q$5:$Q$200,0)),"chave inexistente"))</f>
        <v/>
      </c>
      <c r="F194" s="1"/>
      <c r="G194" s="35"/>
      <c r="H194" s="13"/>
      <c r="I194" s="13"/>
      <c r="J194" s="1"/>
      <c r="K194" s="1"/>
      <c r="L194" s="5" t="str">
        <f t="shared" si="2"/>
        <v/>
      </c>
      <c r="M194" s="1"/>
    </row>
    <row r="195" spans="1:13" x14ac:dyDescent="0.35">
      <c r="A195" s="13"/>
      <c r="B195" s="1"/>
      <c r="C195" s="1"/>
      <c r="D195" s="1"/>
      <c r="E195" s="5" t="str">
        <f>IF(D195="","",IFERROR(INDEX(ORCAMENTO!$I$5:$I$200,MATCH(D195,ORCAMENTO!$Q$5:$Q$200,0)),"chave inexistente"))</f>
        <v/>
      </c>
      <c r="F195" s="1"/>
      <c r="G195" s="35"/>
      <c r="H195" s="13"/>
      <c r="I195" s="13"/>
      <c r="J195" s="1"/>
      <c r="K195" s="1"/>
      <c r="L195" s="5" t="str">
        <f t="shared" si="2"/>
        <v/>
      </c>
      <c r="M195" s="1"/>
    </row>
    <row r="196" spans="1:13" x14ac:dyDescent="0.35">
      <c r="A196" s="13"/>
      <c r="B196" s="1"/>
      <c r="C196" s="1"/>
      <c r="D196" s="1"/>
      <c r="E196" s="5" t="str">
        <f>IF(D196="","",IFERROR(INDEX(ORCAMENTO!$I$5:$I$200,MATCH(D196,ORCAMENTO!$Q$5:$Q$200,0)),"chave inexistente"))</f>
        <v/>
      </c>
      <c r="F196" s="1"/>
      <c r="G196" s="35"/>
      <c r="H196" s="13"/>
      <c r="I196" s="13"/>
      <c r="J196" s="1"/>
      <c r="K196" s="1"/>
      <c r="L196" s="5" t="str">
        <f t="shared" si="2"/>
        <v/>
      </c>
      <c r="M196" s="1"/>
    </row>
    <row r="197" spans="1:13" x14ac:dyDescent="0.35">
      <c r="A197" s="13"/>
      <c r="B197" s="1"/>
      <c r="C197" s="1"/>
      <c r="D197" s="1"/>
      <c r="E197" s="5" t="str">
        <f>IF(D197="","",IFERROR(INDEX(ORCAMENTO!$I$5:$I$200,MATCH(D197,ORCAMENTO!$Q$5:$Q$200,0)),"chave inexistente"))</f>
        <v/>
      </c>
      <c r="F197" s="1"/>
      <c r="G197" s="35"/>
      <c r="H197" s="13"/>
      <c r="I197" s="13"/>
      <c r="J197" s="1"/>
      <c r="K197" s="1"/>
      <c r="L197" s="5" t="str">
        <f t="shared" si="2"/>
        <v/>
      </c>
      <c r="M197" s="1"/>
    </row>
    <row r="198" spans="1:13" x14ac:dyDescent="0.35">
      <c r="A198" s="13"/>
      <c r="B198" s="1"/>
      <c r="C198" s="1"/>
      <c r="D198" s="1"/>
      <c r="E198" s="5" t="str">
        <f>IF(D198="","",IFERROR(INDEX(ORCAMENTO!$I$5:$I$200,MATCH(D198,ORCAMENTO!$Q$5:$Q$200,0)),"chave inexistente"))</f>
        <v/>
      </c>
      <c r="F198" s="1"/>
      <c r="G198" s="35"/>
      <c r="H198" s="13"/>
      <c r="I198" s="13"/>
      <c r="J198" s="1"/>
      <c r="K198" s="1"/>
      <c r="L198" s="5" t="str">
        <f t="shared" ref="L198:L261" si="3">IF(A198="","",IF(J198="Entregue","Entregue",IF(J198="Cancelado","Cancelado",IF(AND(H198&lt;&gt;"",DataRef&gt;H198),"ATRASADA","No prazo"))))</f>
        <v/>
      </c>
      <c r="M198" s="1"/>
    </row>
    <row r="199" spans="1:13" x14ac:dyDescent="0.35">
      <c r="A199" s="13"/>
      <c r="B199" s="1"/>
      <c r="C199" s="1"/>
      <c r="D199" s="1"/>
      <c r="E199" s="5" t="str">
        <f>IF(D199="","",IFERROR(INDEX(ORCAMENTO!$I$5:$I$200,MATCH(D199,ORCAMENTO!$Q$5:$Q$200,0)),"chave inexistente"))</f>
        <v/>
      </c>
      <c r="F199" s="1"/>
      <c r="G199" s="35"/>
      <c r="H199" s="13"/>
      <c r="I199" s="13"/>
      <c r="J199" s="1"/>
      <c r="K199" s="1"/>
      <c r="L199" s="5" t="str">
        <f t="shared" si="3"/>
        <v/>
      </c>
      <c r="M199" s="1"/>
    </row>
    <row r="200" spans="1:13" x14ac:dyDescent="0.35">
      <c r="A200" s="13"/>
      <c r="B200" s="1"/>
      <c r="C200" s="1"/>
      <c r="D200" s="1"/>
      <c r="E200" s="5" t="str">
        <f>IF(D200="","",IFERROR(INDEX(ORCAMENTO!$I$5:$I$200,MATCH(D200,ORCAMENTO!$Q$5:$Q$200,0)),"chave inexistente"))</f>
        <v/>
      </c>
      <c r="F200" s="1"/>
      <c r="G200" s="35"/>
      <c r="H200" s="13"/>
      <c r="I200" s="13"/>
      <c r="J200" s="1"/>
      <c r="K200" s="1"/>
      <c r="L200" s="5" t="str">
        <f t="shared" si="3"/>
        <v/>
      </c>
      <c r="M200" s="1"/>
    </row>
    <row r="201" spans="1:13" x14ac:dyDescent="0.35">
      <c r="A201" s="13"/>
      <c r="B201" s="1"/>
      <c r="C201" s="1"/>
      <c r="D201" s="1"/>
      <c r="E201" s="5" t="str">
        <f>IF(D201="","",IFERROR(INDEX(ORCAMENTO!$I$5:$I$200,MATCH(D201,ORCAMENTO!$Q$5:$Q$200,0)),"chave inexistente"))</f>
        <v/>
      </c>
      <c r="F201" s="1"/>
      <c r="G201" s="35"/>
      <c r="H201" s="13"/>
      <c r="I201" s="13"/>
      <c r="J201" s="1"/>
      <c r="K201" s="1"/>
      <c r="L201" s="5" t="str">
        <f t="shared" si="3"/>
        <v/>
      </c>
      <c r="M201" s="1"/>
    </row>
    <row r="202" spans="1:13" x14ac:dyDescent="0.35">
      <c r="A202" s="13"/>
      <c r="B202" s="1"/>
      <c r="C202" s="1"/>
      <c r="D202" s="1"/>
      <c r="E202" s="5" t="str">
        <f>IF(D202="","",IFERROR(INDEX(ORCAMENTO!$I$5:$I$200,MATCH(D202,ORCAMENTO!$Q$5:$Q$200,0)),"chave inexistente"))</f>
        <v/>
      </c>
      <c r="F202" s="1"/>
      <c r="G202" s="35"/>
      <c r="H202" s="13"/>
      <c r="I202" s="13"/>
      <c r="J202" s="1"/>
      <c r="K202" s="1"/>
      <c r="L202" s="5" t="str">
        <f t="shared" si="3"/>
        <v/>
      </c>
      <c r="M202" s="1"/>
    </row>
    <row r="203" spans="1:13" x14ac:dyDescent="0.35">
      <c r="A203" s="13"/>
      <c r="B203" s="1"/>
      <c r="C203" s="1"/>
      <c r="D203" s="1"/>
      <c r="E203" s="5" t="str">
        <f>IF(D203="","",IFERROR(INDEX(ORCAMENTO!$I$5:$I$200,MATCH(D203,ORCAMENTO!$Q$5:$Q$200,0)),"chave inexistente"))</f>
        <v/>
      </c>
      <c r="F203" s="1"/>
      <c r="G203" s="35"/>
      <c r="H203" s="13"/>
      <c r="I203" s="13"/>
      <c r="J203" s="1"/>
      <c r="K203" s="1"/>
      <c r="L203" s="5" t="str">
        <f t="shared" si="3"/>
        <v/>
      </c>
      <c r="M203" s="1"/>
    </row>
    <row r="204" spans="1:13" x14ac:dyDescent="0.35">
      <c r="A204" s="13"/>
      <c r="B204" s="1"/>
      <c r="C204" s="1"/>
      <c r="D204" s="1"/>
      <c r="E204" s="5" t="str">
        <f>IF(D204="","",IFERROR(INDEX(ORCAMENTO!$I$5:$I$200,MATCH(D204,ORCAMENTO!$Q$5:$Q$200,0)),"chave inexistente"))</f>
        <v/>
      </c>
      <c r="F204" s="1"/>
      <c r="G204" s="35"/>
      <c r="H204" s="13"/>
      <c r="I204" s="13"/>
      <c r="J204" s="1"/>
      <c r="K204" s="1"/>
      <c r="L204" s="5" t="str">
        <f t="shared" si="3"/>
        <v/>
      </c>
      <c r="M204" s="1"/>
    </row>
    <row r="205" spans="1:13" x14ac:dyDescent="0.35">
      <c r="A205" s="13"/>
      <c r="B205" s="1"/>
      <c r="C205" s="1"/>
      <c r="D205" s="1"/>
      <c r="E205" s="5" t="str">
        <f>IF(D205="","",IFERROR(INDEX(ORCAMENTO!$I$5:$I$200,MATCH(D205,ORCAMENTO!$Q$5:$Q$200,0)),"chave inexistente"))</f>
        <v/>
      </c>
      <c r="F205" s="1"/>
      <c r="G205" s="35"/>
      <c r="H205" s="13"/>
      <c r="I205" s="13"/>
      <c r="J205" s="1"/>
      <c r="K205" s="1"/>
      <c r="L205" s="5" t="str">
        <f t="shared" si="3"/>
        <v/>
      </c>
      <c r="M205" s="1"/>
    </row>
    <row r="206" spans="1:13" x14ac:dyDescent="0.35">
      <c r="A206" s="13"/>
      <c r="B206" s="1"/>
      <c r="C206" s="1"/>
      <c r="D206" s="1"/>
      <c r="E206" s="5" t="str">
        <f>IF(D206="","",IFERROR(INDEX(ORCAMENTO!$I$5:$I$200,MATCH(D206,ORCAMENTO!$Q$5:$Q$200,0)),"chave inexistente"))</f>
        <v/>
      </c>
      <c r="F206" s="1"/>
      <c r="G206" s="35"/>
      <c r="H206" s="13"/>
      <c r="I206" s="13"/>
      <c r="J206" s="1"/>
      <c r="K206" s="1"/>
      <c r="L206" s="5" t="str">
        <f t="shared" si="3"/>
        <v/>
      </c>
      <c r="M206" s="1"/>
    </row>
    <row r="207" spans="1:13" x14ac:dyDescent="0.35">
      <c r="A207" s="13"/>
      <c r="B207" s="1"/>
      <c r="C207" s="1"/>
      <c r="D207" s="1"/>
      <c r="E207" s="5" t="str">
        <f>IF(D207="","",IFERROR(INDEX(ORCAMENTO!$I$5:$I$200,MATCH(D207,ORCAMENTO!$Q$5:$Q$200,0)),"chave inexistente"))</f>
        <v/>
      </c>
      <c r="F207" s="1"/>
      <c r="G207" s="35"/>
      <c r="H207" s="13"/>
      <c r="I207" s="13"/>
      <c r="J207" s="1"/>
      <c r="K207" s="1"/>
      <c r="L207" s="5" t="str">
        <f t="shared" si="3"/>
        <v/>
      </c>
      <c r="M207" s="1"/>
    </row>
    <row r="208" spans="1:13" x14ac:dyDescent="0.35">
      <c r="A208" s="13"/>
      <c r="B208" s="1"/>
      <c r="C208" s="1"/>
      <c r="D208" s="1"/>
      <c r="E208" s="5" t="str">
        <f>IF(D208="","",IFERROR(INDEX(ORCAMENTO!$I$5:$I$200,MATCH(D208,ORCAMENTO!$Q$5:$Q$200,0)),"chave inexistente"))</f>
        <v/>
      </c>
      <c r="F208" s="1"/>
      <c r="G208" s="35"/>
      <c r="H208" s="13"/>
      <c r="I208" s="13"/>
      <c r="J208" s="1"/>
      <c r="K208" s="1"/>
      <c r="L208" s="5" t="str">
        <f t="shared" si="3"/>
        <v/>
      </c>
      <c r="M208" s="1"/>
    </row>
    <row r="209" spans="1:13" x14ac:dyDescent="0.35">
      <c r="A209" s="13"/>
      <c r="B209" s="1"/>
      <c r="C209" s="1"/>
      <c r="D209" s="1"/>
      <c r="E209" s="5" t="str">
        <f>IF(D209="","",IFERROR(INDEX(ORCAMENTO!$I$5:$I$200,MATCH(D209,ORCAMENTO!$Q$5:$Q$200,0)),"chave inexistente"))</f>
        <v/>
      </c>
      <c r="F209" s="1"/>
      <c r="G209" s="35"/>
      <c r="H209" s="13"/>
      <c r="I209" s="13"/>
      <c r="J209" s="1"/>
      <c r="K209" s="1"/>
      <c r="L209" s="5" t="str">
        <f t="shared" si="3"/>
        <v/>
      </c>
      <c r="M209" s="1"/>
    </row>
    <row r="210" spans="1:13" x14ac:dyDescent="0.35">
      <c r="A210" s="13"/>
      <c r="B210" s="1"/>
      <c r="C210" s="1"/>
      <c r="D210" s="1"/>
      <c r="E210" s="5" t="str">
        <f>IF(D210="","",IFERROR(INDEX(ORCAMENTO!$I$5:$I$200,MATCH(D210,ORCAMENTO!$Q$5:$Q$200,0)),"chave inexistente"))</f>
        <v/>
      </c>
      <c r="F210" s="1"/>
      <c r="G210" s="35"/>
      <c r="H210" s="13"/>
      <c r="I210" s="13"/>
      <c r="J210" s="1"/>
      <c r="K210" s="1"/>
      <c r="L210" s="5" t="str">
        <f t="shared" si="3"/>
        <v/>
      </c>
      <c r="M210" s="1"/>
    </row>
    <row r="211" spans="1:13" x14ac:dyDescent="0.35">
      <c r="A211" s="13"/>
      <c r="B211" s="1"/>
      <c r="C211" s="1"/>
      <c r="D211" s="1"/>
      <c r="E211" s="5" t="str">
        <f>IF(D211="","",IFERROR(INDEX(ORCAMENTO!$I$5:$I$200,MATCH(D211,ORCAMENTO!$Q$5:$Q$200,0)),"chave inexistente"))</f>
        <v/>
      </c>
      <c r="F211" s="1"/>
      <c r="G211" s="35"/>
      <c r="H211" s="13"/>
      <c r="I211" s="13"/>
      <c r="J211" s="1"/>
      <c r="K211" s="1"/>
      <c r="L211" s="5" t="str">
        <f t="shared" si="3"/>
        <v/>
      </c>
      <c r="M211" s="1"/>
    </row>
    <row r="212" spans="1:13" x14ac:dyDescent="0.35">
      <c r="A212" s="13"/>
      <c r="B212" s="1"/>
      <c r="C212" s="1"/>
      <c r="D212" s="1"/>
      <c r="E212" s="5" t="str">
        <f>IF(D212="","",IFERROR(INDEX(ORCAMENTO!$I$5:$I$200,MATCH(D212,ORCAMENTO!$Q$5:$Q$200,0)),"chave inexistente"))</f>
        <v/>
      </c>
      <c r="F212" s="1"/>
      <c r="G212" s="35"/>
      <c r="H212" s="13"/>
      <c r="I212" s="13"/>
      <c r="J212" s="1"/>
      <c r="K212" s="1"/>
      <c r="L212" s="5" t="str">
        <f t="shared" si="3"/>
        <v/>
      </c>
      <c r="M212" s="1"/>
    </row>
    <row r="213" spans="1:13" x14ac:dyDescent="0.35">
      <c r="A213" s="13"/>
      <c r="B213" s="1"/>
      <c r="C213" s="1"/>
      <c r="D213" s="1"/>
      <c r="E213" s="5" t="str">
        <f>IF(D213="","",IFERROR(INDEX(ORCAMENTO!$I$5:$I$200,MATCH(D213,ORCAMENTO!$Q$5:$Q$200,0)),"chave inexistente"))</f>
        <v/>
      </c>
      <c r="F213" s="1"/>
      <c r="G213" s="35"/>
      <c r="H213" s="13"/>
      <c r="I213" s="13"/>
      <c r="J213" s="1"/>
      <c r="K213" s="1"/>
      <c r="L213" s="5" t="str">
        <f t="shared" si="3"/>
        <v/>
      </c>
      <c r="M213" s="1"/>
    </row>
    <row r="214" spans="1:13" x14ac:dyDescent="0.35">
      <c r="A214" s="13"/>
      <c r="B214" s="1"/>
      <c r="C214" s="1"/>
      <c r="D214" s="1"/>
      <c r="E214" s="5" t="str">
        <f>IF(D214="","",IFERROR(INDEX(ORCAMENTO!$I$5:$I$200,MATCH(D214,ORCAMENTO!$Q$5:$Q$200,0)),"chave inexistente"))</f>
        <v/>
      </c>
      <c r="F214" s="1"/>
      <c r="G214" s="35"/>
      <c r="H214" s="13"/>
      <c r="I214" s="13"/>
      <c r="J214" s="1"/>
      <c r="K214" s="1"/>
      <c r="L214" s="5" t="str">
        <f t="shared" si="3"/>
        <v/>
      </c>
      <c r="M214" s="1"/>
    </row>
    <row r="215" spans="1:13" x14ac:dyDescent="0.35">
      <c r="A215" s="13"/>
      <c r="B215" s="1"/>
      <c r="C215" s="1"/>
      <c r="D215" s="1"/>
      <c r="E215" s="5" t="str">
        <f>IF(D215="","",IFERROR(INDEX(ORCAMENTO!$I$5:$I$200,MATCH(D215,ORCAMENTO!$Q$5:$Q$200,0)),"chave inexistente"))</f>
        <v/>
      </c>
      <c r="F215" s="1"/>
      <c r="G215" s="35"/>
      <c r="H215" s="13"/>
      <c r="I215" s="13"/>
      <c r="J215" s="1"/>
      <c r="K215" s="1"/>
      <c r="L215" s="5" t="str">
        <f t="shared" si="3"/>
        <v/>
      </c>
      <c r="M215" s="1"/>
    </row>
    <row r="216" spans="1:13" x14ac:dyDescent="0.35">
      <c r="A216" s="13"/>
      <c r="B216" s="1"/>
      <c r="C216" s="1"/>
      <c r="D216" s="1"/>
      <c r="E216" s="5" t="str">
        <f>IF(D216="","",IFERROR(INDEX(ORCAMENTO!$I$5:$I$200,MATCH(D216,ORCAMENTO!$Q$5:$Q$200,0)),"chave inexistente"))</f>
        <v/>
      </c>
      <c r="F216" s="1"/>
      <c r="G216" s="35"/>
      <c r="H216" s="13"/>
      <c r="I216" s="13"/>
      <c r="J216" s="1"/>
      <c r="K216" s="1"/>
      <c r="L216" s="5" t="str">
        <f t="shared" si="3"/>
        <v/>
      </c>
      <c r="M216" s="1"/>
    </row>
    <row r="217" spans="1:13" x14ac:dyDescent="0.35">
      <c r="A217" s="13"/>
      <c r="B217" s="1"/>
      <c r="C217" s="1"/>
      <c r="D217" s="1"/>
      <c r="E217" s="5" t="str">
        <f>IF(D217="","",IFERROR(INDEX(ORCAMENTO!$I$5:$I$200,MATCH(D217,ORCAMENTO!$Q$5:$Q$200,0)),"chave inexistente"))</f>
        <v/>
      </c>
      <c r="F217" s="1"/>
      <c r="G217" s="35"/>
      <c r="H217" s="13"/>
      <c r="I217" s="13"/>
      <c r="J217" s="1"/>
      <c r="K217" s="1"/>
      <c r="L217" s="5" t="str">
        <f t="shared" si="3"/>
        <v/>
      </c>
      <c r="M217" s="1"/>
    </row>
    <row r="218" spans="1:13" x14ac:dyDescent="0.35">
      <c r="A218" s="13"/>
      <c r="B218" s="1"/>
      <c r="C218" s="1"/>
      <c r="D218" s="1"/>
      <c r="E218" s="5" t="str">
        <f>IF(D218="","",IFERROR(INDEX(ORCAMENTO!$I$5:$I$200,MATCH(D218,ORCAMENTO!$Q$5:$Q$200,0)),"chave inexistente"))</f>
        <v/>
      </c>
      <c r="F218" s="1"/>
      <c r="G218" s="35"/>
      <c r="H218" s="13"/>
      <c r="I218" s="13"/>
      <c r="J218" s="1"/>
      <c r="K218" s="1"/>
      <c r="L218" s="5" t="str">
        <f t="shared" si="3"/>
        <v/>
      </c>
      <c r="M218" s="1"/>
    </row>
    <row r="219" spans="1:13" x14ac:dyDescent="0.35">
      <c r="A219" s="13"/>
      <c r="B219" s="1"/>
      <c r="C219" s="1"/>
      <c r="D219" s="1"/>
      <c r="E219" s="5" t="str">
        <f>IF(D219="","",IFERROR(INDEX(ORCAMENTO!$I$5:$I$200,MATCH(D219,ORCAMENTO!$Q$5:$Q$200,0)),"chave inexistente"))</f>
        <v/>
      </c>
      <c r="F219" s="1"/>
      <c r="G219" s="35"/>
      <c r="H219" s="13"/>
      <c r="I219" s="13"/>
      <c r="J219" s="1"/>
      <c r="K219" s="1"/>
      <c r="L219" s="5" t="str">
        <f t="shared" si="3"/>
        <v/>
      </c>
      <c r="M219" s="1"/>
    </row>
    <row r="220" spans="1:13" x14ac:dyDescent="0.35">
      <c r="A220" s="13"/>
      <c r="B220" s="1"/>
      <c r="C220" s="1"/>
      <c r="D220" s="1"/>
      <c r="E220" s="5" t="str">
        <f>IF(D220="","",IFERROR(INDEX(ORCAMENTO!$I$5:$I$200,MATCH(D220,ORCAMENTO!$Q$5:$Q$200,0)),"chave inexistente"))</f>
        <v/>
      </c>
      <c r="F220" s="1"/>
      <c r="G220" s="35"/>
      <c r="H220" s="13"/>
      <c r="I220" s="13"/>
      <c r="J220" s="1"/>
      <c r="K220" s="1"/>
      <c r="L220" s="5" t="str">
        <f t="shared" si="3"/>
        <v/>
      </c>
      <c r="M220" s="1"/>
    </row>
    <row r="221" spans="1:13" x14ac:dyDescent="0.35">
      <c r="A221" s="13"/>
      <c r="B221" s="1"/>
      <c r="C221" s="1"/>
      <c r="D221" s="1"/>
      <c r="E221" s="5" t="str">
        <f>IF(D221="","",IFERROR(INDEX(ORCAMENTO!$I$5:$I$200,MATCH(D221,ORCAMENTO!$Q$5:$Q$200,0)),"chave inexistente"))</f>
        <v/>
      </c>
      <c r="F221" s="1"/>
      <c r="G221" s="35"/>
      <c r="H221" s="13"/>
      <c r="I221" s="13"/>
      <c r="J221" s="1"/>
      <c r="K221" s="1"/>
      <c r="L221" s="5" t="str">
        <f t="shared" si="3"/>
        <v/>
      </c>
      <c r="M221" s="1"/>
    </row>
    <row r="222" spans="1:13" x14ac:dyDescent="0.35">
      <c r="A222" s="13"/>
      <c r="B222" s="1"/>
      <c r="C222" s="1"/>
      <c r="D222" s="1"/>
      <c r="E222" s="5" t="str">
        <f>IF(D222="","",IFERROR(INDEX(ORCAMENTO!$I$5:$I$200,MATCH(D222,ORCAMENTO!$Q$5:$Q$200,0)),"chave inexistente"))</f>
        <v/>
      </c>
      <c r="F222" s="1"/>
      <c r="G222" s="35"/>
      <c r="H222" s="13"/>
      <c r="I222" s="13"/>
      <c r="J222" s="1"/>
      <c r="K222" s="1"/>
      <c r="L222" s="5" t="str">
        <f t="shared" si="3"/>
        <v/>
      </c>
      <c r="M222" s="1"/>
    </row>
    <row r="223" spans="1:13" x14ac:dyDescent="0.35">
      <c r="A223" s="13"/>
      <c r="B223" s="1"/>
      <c r="C223" s="1"/>
      <c r="D223" s="1"/>
      <c r="E223" s="5" t="str">
        <f>IF(D223="","",IFERROR(INDEX(ORCAMENTO!$I$5:$I$200,MATCH(D223,ORCAMENTO!$Q$5:$Q$200,0)),"chave inexistente"))</f>
        <v/>
      </c>
      <c r="F223" s="1"/>
      <c r="G223" s="35"/>
      <c r="H223" s="13"/>
      <c r="I223" s="13"/>
      <c r="J223" s="1"/>
      <c r="K223" s="1"/>
      <c r="L223" s="5" t="str">
        <f t="shared" si="3"/>
        <v/>
      </c>
      <c r="M223" s="1"/>
    </row>
    <row r="224" spans="1:13" x14ac:dyDescent="0.35">
      <c r="A224" s="13"/>
      <c r="B224" s="1"/>
      <c r="C224" s="1"/>
      <c r="D224" s="1"/>
      <c r="E224" s="5" t="str">
        <f>IF(D224="","",IFERROR(INDEX(ORCAMENTO!$I$5:$I$200,MATCH(D224,ORCAMENTO!$Q$5:$Q$200,0)),"chave inexistente"))</f>
        <v/>
      </c>
      <c r="F224" s="1"/>
      <c r="G224" s="35"/>
      <c r="H224" s="13"/>
      <c r="I224" s="13"/>
      <c r="J224" s="1"/>
      <c r="K224" s="1"/>
      <c r="L224" s="5" t="str">
        <f t="shared" si="3"/>
        <v/>
      </c>
      <c r="M224" s="1"/>
    </row>
    <row r="225" spans="1:13" x14ac:dyDescent="0.35">
      <c r="A225" s="13"/>
      <c r="B225" s="1"/>
      <c r="C225" s="1"/>
      <c r="D225" s="1"/>
      <c r="E225" s="5" t="str">
        <f>IF(D225="","",IFERROR(INDEX(ORCAMENTO!$I$5:$I$200,MATCH(D225,ORCAMENTO!$Q$5:$Q$200,0)),"chave inexistente"))</f>
        <v/>
      </c>
      <c r="F225" s="1"/>
      <c r="G225" s="35"/>
      <c r="H225" s="13"/>
      <c r="I225" s="13"/>
      <c r="J225" s="1"/>
      <c r="K225" s="1"/>
      <c r="L225" s="5" t="str">
        <f t="shared" si="3"/>
        <v/>
      </c>
      <c r="M225" s="1"/>
    </row>
    <row r="226" spans="1:13" x14ac:dyDescent="0.35">
      <c r="A226" s="13"/>
      <c r="B226" s="1"/>
      <c r="C226" s="1"/>
      <c r="D226" s="1"/>
      <c r="E226" s="5" t="str">
        <f>IF(D226="","",IFERROR(INDEX(ORCAMENTO!$I$5:$I$200,MATCH(D226,ORCAMENTO!$Q$5:$Q$200,0)),"chave inexistente"))</f>
        <v/>
      </c>
      <c r="F226" s="1"/>
      <c r="G226" s="35"/>
      <c r="H226" s="13"/>
      <c r="I226" s="13"/>
      <c r="J226" s="1"/>
      <c r="K226" s="1"/>
      <c r="L226" s="5" t="str">
        <f t="shared" si="3"/>
        <v/>
      </c>
      <c r="M226" s="1"/>
    </row>
    <row r="227" spans="1:13" x14ac:dyDescent="0.35">
      <c r="A227" s="13"/>
      <c r="B227" s="1"/>
      <c r="C227" s="1"/>
      <c r="D227" s="1"/>
      <c r="E227" s="5" t="str">
        <f>IF(D227="","",IFERROR(INDEX(ORCAMENTO!$I$5:$I$200,MATCH(D227,ORCAMENTO!$Q$5:$Q$200,0)),"chave inexistente"))</f>
        <v/>
      </c>
      <c r="F227" s="1"/>
      <c r="G227" s="35"/>
      <c r="H227" s="13"/>
      <c r="I227" s="13"/>
      <c r="J227" s="1"/>
      <c r="K227" s="1"/>
      <c r="L227" s="5" t="str">
        <f t="shared" si="3"/>
        <v/>
      </c>
      <c r="M227" s="1"/>
    </row>
    <row r="228" spans="1:13" x14ac:dyDescent="0.35">
      <c r="A228" s="13"/>
      <c r="B228" s="1"/>
      <c r="C228" s="1"/>
      <c r="D228" s="1"/>
      <c r="E228" s="5" t="str">
        <f>IF(D228="","",IFERROR(INDEX(ORCAMENTO!$I$5:$I$200,MATCH(D228,ORCAMENTO!$Q$5:$Q$200,0)),"chave inexistente"))</f>
        <v/>
      </c>
      <c r="F228" s="1"/>
      <c r="G228" s="35"/>
      <c r="H228" s="13"/>
      <c r="I228" s="13"/>
      <c r="J228" s="1"/>
      <c r="K228" s="1"/>
      <c r="L228" s="5" t="str">
        <f t="shared" si="3"/>
        <v/>
      </c>
      <c r="M228" s="1"/>
    </row>
    <row r="229" spans="1:13" x14ac:dyDescent="0.35">
      <c r="A229" s="13"/>
      <c r="B229" s="1"/>
      <c r="C229" s="1"/>
      <c r="D229" s="1"/>
      <c r="E229" s="5" t="str">
        <f>IF(D229="","",IFERROR(INDEX(ORCAMENTO!$I$5:$I$200,MATCH(D229,ORCAMENTO!$Q$5:$Q$200,0)),"chave inexistente"))</f>
        <v/>
      </c>
      <c r="F229" s="1"/>
      <c r="G229" s="35"/>
      <c r="H229" s="13"/>
      <c r="I229" s="13"/>
      <c r="J229" s="1"/>
      <c r="K229" s="1"/>
      <c r="L229" s="5" t="str">
        <f t="shared" si="3"/>
        <v/>
      </c>
      <c r="M229" s="1"/>
    </row>
    <row r="230" spans="1:13" x14ac:dyDescent="0.35">
      <c r="A230" s="13"/>
      <c r="B230" s="1"/>
      <c r="C230" s="1"/>
      <c r="D230" s="1"/>
      <c r="E230" s="5" t="str">
        <f>IF(D230="","",IFERROR(INDEX(ORCAMENTO!$I$5:$I$200,MATCH(D230,ORCAMENTO!$Q$5:$Q$200,0)),"chave inexistente"))</f>
        <v/>
      </c>
      <c r="F230" s="1"/>
      <c r="G230" s="35"/>
      <c r="H230" s="13"/>
      <c r="I230" s="13"/>
      <c r="J230" s="1"/>
      <c r="K230" s="1"/>
      <c r="L230" s="5" t="str">
        <f t="shared" si="3"/>
        <v/>
      </c>
      <c r="M230" s="1"/>
    </row>
    <row r="231" spans="1:13" x14ac:dyDescent="0.35">
      <c r="A231" s="13"/>
      <c r="B231" s="1"/>
      <c r="C231" s="1"/>
      <c r="D231" s="1"/>
      <c r="E231" s="5" t="str">
        <f>IF(D231="","",IFERROR(INDEX(ORCAMENTO!$I$5:$I$200,MATCH(D231,ORCAMENTO!$Q$5:$Q$200,0)),"chave inexistente"))</f>
        <v/>
      </c>
      <c r="F231" s="1"/>
      <c r="G231" s="35"/>
      <c r="H231" s="13"/>
      <c r="I231" s="13"/>
      <c r="J231" s="1"/>
      <c r="K231" s="1"/>
      <c r="L231" s="5" t="str">
        <f t="shared" si="3"/>
        <v/>
      </c>
      <c r="M231" s="1"/>
    </row>
    <row r="232" spans="1:13" x14ac:dyDescent="0.35">
      <c r="A232" s="13"/>
      <c r="B232" s="1"/>
      <c r="C232" s="1"/>
      <c r="D232" s="1"/>
      <c r="E232" s="5" t="str">
        <f>IF(D232="","",IFERROR(INDEX(ORCAMENTO!$I$5:$I$200,MATCH(D232,ORCAMENTO!$Q$5:$Q$200,0)),"chave inexistente"))</f>
        <v/>
      </c>
      <c r="F232" s="1"/>
      <c r="G232" s="35"/>
      <c r="H232" s="13"/>
      <c r="I232" s="13"/>
      <c r="J232" s="1"/>
      <c r="K232" s="1"/>
      <c r="L232" s="5" t="str">
        <f t="shared" si="3"/>
        <v/>
      </c>
      <c r="M232" s="1"/>
    </row>
    <row r="233" spans="1:13" x14ac:dyDescent="0.35">
      <c r="A233" s="13"/>
      <c r="B233" s="1"/>
      <c r="C233" s="1"/>
      <c r="D233" s="1"/>
      <c r="E233" s="5" t="str">
        <f>IF(D233="","",IFERROR(INDEX(ORCAMENTO!$I$5:$I$200,MATCH(D233,ORCAMENTO!$Q$5:$Q$200,0)),"chave inexistente"))</f>
        <v/>
      </c>
      <c r="F233" s="1"/>
      <c r="G233" s="35"/>
      <c r="H233" s="13"/>
      <c r="I233" s="13"/>
      <c r="J233" s="1"/>
      <c r="K233" s="1"/>
      <c r="L233" s="5" t="str">
        <f t="shared" si="3"/>
        <v/>
      </c>
      <c r="M233" s="1"/>
    </row>
    <row r="234" spans="1:13" x14ac:dyDescent="0.35">
      <c r="A234" s="13"/>
      <c r="B234" s="1"/>
      <c r="C234" s="1"/>
      <c r="D234" s="1"/>
      <c r="E234" s="5" t="str">
        <f>IF(D234="","",IFERROR(INDEX(ORCAMENTO!$I$5:$I$200,MATCH(D234,ORCAMENTO!$Q$5:$Q$200,0)),"chave inexistente"))</f>
        <v/>
      </c>
      <c r="F234" s="1"/>
      <c r="G234" s="35"/>
      <c r="H234" s="13"/>
      <c r="I234" s="13"/>
      <c r="J234" s="1"/>
      <c r="K234" s="1"/>
      <c r="L234" s="5" t="str">
        <f t="shared" si="3"/>
        <v/>
      </c>
      <c r="M234" s="1"/>
    </row>
    <row r="235" spans="1:13" x14ac:dyDescent="0.35">
      <c r="A235" s="13"/>
      <c r="B235" s="1"/>
      <c r="C235" s="1"/>
      <c r="D235" s="1"/>
      <c r="E235" s="5" t="str">
        <f>IF(D235="","",IFERROR(INDEX(ORCAMENTO!$I$5:$I$200,MATCH(D235,ORCAMENTO!$Q$5:$Q$200,0)),"chave inexistente"))</f>
        <v/>
      </c>
      <c r="F235" s="1"/>
      <c r="G235" s="35"/>
      <c r="H235" s="13"/>
      <c r="I235" s="13"/>
      <c r="J235" s="1"/>
      <c r="K235" s="1"/>
      <c r="L235" s="5" t="str">
        <f t="shared" si="3"/>
        <v/>
      </c>
      <c r="M235" s="1"/>
    </row>
    <row r="236" spans="1:13" x14ac:dyDescent="0.35">
      <c r="A236" s="13"/>
      <c r="B236" s="1"/>
      <c r="C236" s="1"/>
      <c r="D236" s="1"/>
      <c r="E236" s="5" t="str">
        <f>IF(D236="","",IFERROR(INDEX(ORCAMENTO!$I$5:$I$200,MATCH(D236,ORCAMENTO!$Q$5:$Q$200,0)),"chave inexistente"))</f>
        <v/>
      </c>
      <c r="F236" s="1"/>
      <c r="G236" s="35"/>
      <c r="H236" s="13"/>
      <c r="I236" s="13"/>
      <c r="J236" s="1"/>
      <c r="K236" s="1"/>
      <c r="L236" s="5" t="str">
        <f t="shared" si="3"/>
        <v/>
      </c>
      <c r="M236" s="1"/>
    </row>
    <row r="237" spans="1:13" x14ac:dyDescent="0.35">
      <c r="A237" s="13"/>
      <c r="B237" s="1"/>
      <c r="C237" s="1"/>
      <c r="D237" s="1"/>
      <c r="E237" s="5" t="str">
        <f>IF(D237="","",IFERROR(INDEX(ORCAMENTO!$I$5:$I$200,MATCH(D237,ORCAMENTO!$Q$5:$Q$200,0)),"chave inexistente"))</f>
        <v/>
      </c>
      <c r="F237" s="1"/>
      <c r="G237" s="35"/>
      <c r="H237" s="13"/>
      <c r="I237" s="13"/>
      <c r="J237" s="1"/>
      <c r="K237" s="1"/>
      <c r="L237" s="5" t="str">
        <f t="shared" si="3"/>
        <v/>
      </c>
      <c r="M237" s="1"/>
    </row>
    <row r="238" spans="1:13" x14ac:dyDescent="0.35">
      <c r="A238" s="13"/>
      <c r="B238" s="1"/>
      <c r="C238" s="1"/>
      <c r="D238" s="1"/>
      <c r="E238" s="5" t="str">
        <f>IF(D238="","",IFERROR(INDEX(ORCAMENTO!$I$5:$I$200,MATCH(D238,ORCAMENTO!$Q$5:$Q$200,0)),"chave inexistente"))</f>
        <v/>
      </c>
      <c r="F238" s="1"/>
      <c r="G238" s="35"/>
      <c r="H238" s="13"/>
      <c r="I238" s="13"/>
      <c r="J238" s="1"/>
      <c r="K238" s="1"/>
      <c r="L238" s="5" t="str">
        <f t="shared" si="3"/>
        <v/>
      </c>
      <c r="M238" s="1"/>
    </row>
    <row r="239" spans="1:13" x14ac:dyDescent="0.35">
      <c r="A239" s="13"/>
      <c r="B239" s="1"/>
      <c r="C239" s="1"/>
      <c r="D239" s="1"/>
      <c r="E239" s="5" t="str">
        <f>IF(D239="","",IFERROR(INDEX(ORCAMENTO!$I$5:$I$200,MATCH(D239,ORCAMENTO!$Q$5:$Q$200,0)),"chave inexistente"))</f>
        <v/>
      </c>
      <c r="F239" s="1"/>
      <c r="G239" s="35"/>
      <c r="H239" s="13"/>
      <c r="I239" s="13"/>
      <c r="J239" s="1"/>
      <c r="K239" s="1"/>
      <c r="L239" s="5" t="str">
        <f t="shared" si="3"/>
        <v/>
      </c>
      <c r="M239" s="1"/>
    </row>
    <row r="240" spans="1:13" x14ac:dyDescent="0.35">
      <c r="A240" s="13"/>
      <c r="B240" s="1"/>
      <c r="C240" s="1"/>
      <c r="D240" s="1"/>
      <c r="E240" s="5" t="str">
        <f>IF(D240="","",IFERROR(INDEX(ORCAMENTO!$I$5:$I$200,MATCH(D240,ORCAMENTO!$Q$5:$Q$200,0)),"chave inexistente"))</f>
        <v/>
      </c>
      <c r="F240" s="1"/>
      <c r="G240" s="35"/>
      <c r="H240" s="13"/>
      <c r="I240" s="13"/>
      <c r="J240" s="1"/>
      <c r="K240" s="1"/>
      <c r="L240" s="5" t="str">
        <f t="shared" si="3"/>
        <v/>
      </c>
      <c r="M240" s="1"/>
    </row>
    <row r="241" spans="1:13" x14ac:dyDescent="0.35">
      <c r="A241" s="13"/>
      <c r="B241" s="1"/>
      <c r="C241" s="1"/>
      <c r="D241" s="1"/>
      <c r="E241" s="5" t="str">
        <f>IF(D241="","",IFERROR(INDEX(ORCAMENTO!$I$5:$I$200,MATCH(D241,ORCAMENTO!$Q$5:$Q$200,0)),"chave inexistente"))</f>
        <v/>
      </c>
      <c r="F241" s="1"/>
      <c r="G241" s="35"/>
      <c r="H241" s="13"/>
      <c r="I241" s="13"/>
      <c r="J241" s="1"/>
      <c r="K241" s="1"/>
      <c r="L241" s="5" t="str">
        <f t="shared" si="3"/>
        <v/>
      </c>
      <c r="M241" s="1"/>
    </row>
    <row r="242" spans="1:13" x14ac:dyDescent="0.35">
      <c r="A242" s="13"/>
      <c r="B242" s="1"/>
      <c r="C242" s="1"/>
      <c r="D242" s="1"/>
      <c r="E242" s="5" t="str">
        <f>IF(D242="","",IFERROR(INDEX(ORCAMENTO!$I$5:$I$200,MATCH(D242,ORCAMENTO!$Q$5:$Q$200,0)),"chave inexistente"))</f>
        <v/>
      </c>
      <c r="F242" s="1"/>
      <c r="G242" s="35"/>
      <c r="H242" s="13"/>
      <c r="I242" s="13"/>
      <c r="J242" s="1"/>
      <c r="K242" s="1"/>
      <c r="L242" s="5" t="str">
        <f t="shared" si="3"/>
        <v/>
      </c>
      <c r="M242" s="1"/>
    </row>
    <row r="243" spans="1:13" x14ac:dyDescent="0.35">
      <c r="A243" s="13"/>
      <c r="B243" s="1"/>
      <c r="C243" s="1"/>
      <c r="D243" s="1"/>
      <c r="E243" s="5" t="str">
        <f>IF(D243="","",IFERROR(INDEX(ORCAMENTO!$I$5:$I$200,MATCH(D243,ORCAMENTO!$Q$5:$Q$200,0)),"chave inexistente"))</f>
        <v/>
      </c>
      <c r="F243" s="1"/>
      <c r="G243" s="35"/>
      <c r="H243" s="13"/>
      <c r="I243" s="13"/>
      <c r="J243" s="1"/>
      <c r="K243" s="1"/>
      <c r="L243" s="5" t="str">
        <f t="shared" si="3"/>
        <v/>
      </c>
      <c r="M243" s="1"/>
    </row>
    <row r="244" spans="1:13" x14ac:dyDescent="0.35">
      <c r="A244" s="13"/>
      <c r="B244" s="1"/>
      <c r="C244" s="1"/>
      <c r="D244" s="1"/>
      <c r="E244" s="5" t="str">
        <f>IF(D244="","",IFERROR(INDEX(ORCAMENTO!$I$5:$I$200,MATCH(D244,ORCAMENTO!$Q$5:$Q$200,0)),"chave inexistente"))</f>
        <v/>
      </c>
      <c r="F244" s="1"/>
      <c r="G244" s="35"/>
      <c r="H244" s="13"/>
      <c r="I244" s="13"/>
      <c r="J244" s="1"/>
      <c r="K244" s="1"/>
      <c r="L244" s="5" t="str">
        <f t="shared" si="3"/>
        <v/>
      </c>
      <c r="M244" s="1"/>
    </row>
    <row r="245" spans="1:13" x14ac:dyDescent="0.35">
      <c r="A245" s="13"/>
      <c r="B245" s="1"/>
      <c r="C245" s="1"/>
      <c r="D245" s="1"/>
      <c r="E245" s="5" t="str">
        <f>IF(D245="","",IFERROR(INDEX(ORCAMENTO!$I$5:$I$200,MATCH(D245,ORCAMENTO!$Q$5:$Q$200,0)),"chave inexistente"))</f>
        <v/>
      </c>
      <c r="F245" s="1"/>
      <c r="G245" s="35"/>
      <c r="H245" s="13"/>
      <c r="I245" s="13"/>
      <c r="J245" s="1"/>
      <c r="K245" s="1"/>
      <c r="L245" s="5" t="str">
        <f t="shared" si="3"/>
        <v/>
      </c>
      <c r="M245" s="1"/>
    </row>
    <row r="246" spans="1:13" x14ac:dyDescent="0.35">
      <c r="A246" s="13"/>
      <c r="B246" s="1"/>
      <c r="C246" s="1"/>
      <c r="D246" s="1"/>
      <c r="E246" s="5" t="str">
        <f>IF(D246="","",IFERROR(INDEX(ORCAMENTO!$I$5:$I$200,MATCH(D246,ORCAMENTO!$Q$5:$Q$200,0)),"chave inexistente"))</f>
        <v/>
      </c>
      <c r="F246" s="1"/>
      <c r="G246" s="35"/>
      <c r="H246" s="13"/>
      <c r="I246" s="13"/>
      <c r="J246" s="1"/>
      <c r="K246" s="1"/>
      <c r="L246" s="5" t="str">
        <f t="shared" si="3"/>
        <v/>
      </c>
      <c r="M246" s="1"/>
    </row>
    <row r="247" spans="1:13" x14ac:dyDescent="0.35">
      <c r="A247" s="13"/>
      <c r="B247" s="1"/>
      <c r="C247" s="1"/>
      <c r="D247" s="1"/>
      <c r="E247" s="5" t="str">
        <f>IF(D247="","",IFERROR(INDEX(ORCAMENTO!$I$5:$I$200,MATCH(D247,ORCAMENTO!$Q$5:$Q$200,0)),"chave inexistente"))</f>
        <v/>
      </c>
      <c r="F247" s="1"/>
      <c r="G247" s="35"/>
      <c r="H247" s="13"/>
      <c r="I247" s="13"/>
      <c r="J247" s="1"/>
      <c r="K247" s="1"/>
      <c r="L247" s="5" t="str">
        <f t="shared" si="3"/>
        <v/>
      </c>
      <c r="M247" s="1"/>
    </row>
    <row r="248" spans="1:13" x14ac:dyDescent="0.35">
      <c r="A248" s="13"/>
      <c r="B248" s="1"/>
      <c r="C248" s="1"/>
      <c r="D248" s="1"/>
      <c r="E248" s="5" t="str">
        <f>IF(D248="","",IFERROR(INDEX(ORCAMENTO!$I$5:$I$200,MATCH(D248,ORCAMENTO!$Q$5:$Q$200,0)),"chave inexistente"))</f>
        <v/>
      </c>
      <c r="F248" s="1"/>
      <c r="G248" s="35"/>
      <c r="H248" s="13"/>
      <c r="I248" s="13"/>
      <c r="J248" s="1"/>
      <c r="K248" s="1"/>
      <c r="L248" s="5" t="str">
        <f t="shared" si="3"/>
        <v/>
      </c>
      <c r="M248" s="1"/>
    </row>
    <row r="249" spans="1:13" x14ac:dyDescent="0.35">
      <c r="A249" s="13"/>
      <c r="B249" s="1"/>
      <c r="C249" s="1"/>
      <c r="D249" s="1"/>
      <c r="E249" s="5" t="str">
        <f>IF(D249="","",IFERROR(INDEX(ORCAMENTO!$I$5:$I$200,MATCH(D249,ORCAMENTO!$Q$5:$Q$200,0)),"chave inexistente"))</f>
        <v/>
      </c>
      <c r="F249" s="1"/>
      <c r="G249" s="35"/>
      <c r="H249" s="13"/>
      <c r="I249" s="13"/>
      <c r="J249" s="1"/>
      <c r="K249" s="1"/>
      <c r="L249" s="5" t="str">
        <f t="shared" si="3"/>
        <v/>
      </c>
      <c r="M249" s="1"/>
    </row>
    <row r="250" spans="1:13" x14ac:dyDescent="0.35">
      <c r="A250" s="13"/>
      <c r="B250" s="1"/>
      <c r="C250" s="1"/>
      <c r="D250" s="1"/>
      <c r="E250" s="5" t="str">
        <f>IF(D250="","",IFERROR(INDEX(ORCAMENTO!$I$5:$I$200,MATCH(D250,ORCAMENTO!$Q$5:$Q$200,0)),"chave inexistente"))</f>
        <v/>
      </c>
      <c r="F250" s="1"/>
      <c r="G250" s="35"/>
      <c r="H250" s="13"/>
      <c r="I250" s="13"/>
      <c r="J250" s="1"/>
      <c r="K250" s="1"/>
      <c r="L250" s="5" t="str">
        <f t="shared" si="3"/>
        <v/>
      </c>
      <c r="M250" s="1"/>
    </row>
    <row r="251" spans="1:13" x14ac:dyDescent="0.35">
      <c r="A251" s="13"/>
      <c r="B251" s="1"/>
      <c r="C251" s="1"/>
      <c r="D251" s="1"/>
      <c r="E251" s="5" t="str">
        <f>IF(D251="","",IFERROR(INDEX(ORCAMENTO!$I$5:$I$200,MATCH(D251,ORCAMENTO!$Q$5:$Q$200,0)),"chave inexistente"))</f>
        <v/>
      </c>
      <c r="F251" s="1"/>
      <c r="G251" s="35"/>
      <c r="H251" s="13"/>
      <c r="I251" s="13"/>
      <c r="J251" s="1"/>
      <c r="K251" s="1"/>
      <c r="L251" s="5" t="str">
        <f t="shared" si="3"/>
        <v/>
      </c>
      <c r="M251" s="1"/>
    </row>
    <row r="252" spans="1:13" x14ac:dyDescent="0.35">
      <c r="A252" s="13"/>
      <c r="B252" s="1"/>
      <c r="C252" s="1"/>
      <c r="D252" s="1"/>
      <c r="E252" s="5" t="str">
        <f>IF(D252="","",IFERROR(INDEX(ORCAMENTO!$I$5:$I$200,MATCH(D252,ORCAMENTO!$Q$5:$Q$200,0)),"chave inexistente"))</f>
        <v/>
      </c>
      <c r="F252" s="1"/>
      <c r="G252" s="35"/>
      <c r="H252" s="13"/>
      <c r="I252" s="13"/>
      <c r="J252" s="1"/>
      <c r="K252" s="1"/>
      <c r="L252" s="5" t="str">
        <f t="shared" si="3"/>
        <v/>
      </c>
      <c r="M252" s="1"/>
    </row>
    <row r="253" spans="1:13" x14ac:dyDescent="0.35">
      <c r="A253" s="13"/>
      <c r="B253" s="1"/>
      <c r="C253" s="1"/>
      <c r="D253" s="1"/>
      <c r="E253" s="5" t="str">
        <f>IF(D253="","",IFERROR(INDEX(ORCAMENTO!$I$5:$I$200,MATCH(D253,ORCAMENTO!$Q$5:$Q$200,0)),"chave inexistente"))</f>
        <v/>
      </c>
      <c r="F253" s="1"/>
      <c r="G253" s="35"/>
      <c r="H253" s="13"/>
      <c r="I253" s="13"/>
      <c r="J253" s="1"/>
      <c r="K253" s="1"/>
      <c r="L253" s="5" t="str">
        <f t="shared" si="3"/>
        <v/>
      </c>
      <c r="M253" s="1"/>
    </row>
    <row r="254" spans="1:13" x14ac:dyDescent="0.35">
      <c r="A254" s="13"/>
      <c r="B254" s="1"/>
      <c r="C254" s="1"/>
      <c r="D254" s="1"/>
      <c r="E254" s="5" t="str">
        <f>IF(D254="","",IFERROR(INDEX(ORCAMENTO!$I$5:$I$200,MATCH(D254,ORCAMENTO!$Q$5:$Q$200,0)),"chave inexistente"))</f>
        <v/>
      </c>
      <c r="F254" s="1"/>
      <c r="G254" s="35"/>
      <c r="H254" s="13"/>
      <c r="I254" s="13"/>
      <c r="J254" s="1"/>
      <c r="K254" s="1"/>
      <c r="L254" s="5" t="str">
        <f t="shared" si="3"/>
        <v/>
      </c>
      <c r="M254" s="1"/>
    </row>
    <row r="255" spans="1:13" x14ac:dyDescent="0.35">
      <c r="A255" s="13"/>
      <c r="B255" s="1"/>
      <c r="C255" s="1"/>
      <c r="D255" s="1"/>
      <c r="E255" s="5" t="str">
        <f>IF(D255="","",IFERROR(INDEX(ORCAMENTO!$I$5:$I$200,MATCH(D255,ORCAMENTO!$Q$5:$Q$200,0)),"chave inexistente"))</f>
        <v/>
      </c>
      <c r="F255" s="1"/>
      <c r="G255" s="35"/>
      <c r="H255" s="13"/>
      <c r="I255" s="13"/>
      <c r="J255" s="1"/>
      <c r="K255" s="1"/>
      <c r="L255" s="5" t="str">
        <f t="shared" si="3"/>
        <v/>
      </c>
      <c r="M255" s="1"/>
    </row>
    <row r="256" spans="1:13" x14ac:dyDescent="0.35">
      <c r="A256" s="13"/>
      <c r="B256" s="1"/>
      <c r="C256" s="1"/>
      <c r="D256" s="1"/>
      <c r="E256" s="5" t="str">
        <f>IF(D256="","",IFERROR(INDEX(ORCAMENTO!$I$5:$I$200,MATCH(D256,ORCAMENTO!$Q$5:$Q$200,0)),"chave inexistente"))</f>
        <v/>
      </c>
      <c r="F256" s="1"/>
      <c r="G256" s="35"/>
      <c r="H256" s="13"/>
      <c r="I256" s="13"/>
      <c r="J256" s="1"/>
      <c r="K256" s="1"/>
      <c r="L256" s="5" t="str">
        <f t="shared" si="3"/>
        <v/>
      </c>
      <c r="M256" s="1"/>
    </row>
    <row r="257" spans="1:13" x14ac:dyDescent="0.35">
      <c r="A257" s="13"/>
      <c r="B257" s="1"/>
      <c r="C257" s="1"/>
      <c r="D257" s="1"/>
      <c r="E257" s="5" t="str">
        <f>IF(D257="","",IFERROR(INDEX(ORCAMENTO!$I$5:$I$200,MATCH(D257,ORCAMENTO!$Q$5:$Q$200,0)),"chave inexistente"))</f>
        <v/>
      </c>
      <c r="F257" s="1"/>
      <c r="G257" s="35"/>
      <c r="H257" s="13"/>
      <c r="I257" s="13"/>
      <c r="J257" s="1"/>
      <c r="K257" s="1"/>
      <c r="L257" s="5" t="str">
        <f t="shared" si="3"/>
        <v/>
      </c>
      <c r="M257" s="1"/>
    </row>
    <row r="258" spans="1:13" x14ac:dyDescent="0.35">
      <c r="A258" s="13"/>
      <c r="B258" s="1"/>
      <c r="C258" s="1"/>
      <c r="D258" s="1"/>
      <c r="E258" s="5" t="str">
        <f>IF(D258="","",IFERROR(INDEX(ORCAMENTO!$I$5:$I$200,MATCH(D258,ORCAMENTO!$Q$5:$Q$200,0)),"chave inexistente"))</f>
        <v/>
      </c>
      <c r="F258" s="1"/>
      <c r="G258" s="35"/>
      <c r="H258" s="13"/>
      <c r="I258" s="13"/>
      <c r="J258" s="1"/>
      <c r="K258" s="1"/>
      <c r="L258" s="5" t="str">
        <f t="shared" si="3"/>
        <v/>
      </c>
      <c r="M258" s="1"/>
    </row>
    <row r="259" spans="1:13" x14ac:dyDescent="0.35">
      <c r="A259" s="13"/>
      <c r="B259" s="1"/>
      <c r="C259" s="1"/>
      <c r="D259" s="1"/>
      <c r="E259" s="5" t="str">
        <f>IF(D259="","",IFERROR(INDEX(ORCAMENTO!$I$5:$I$200,MATCH(D259,ORCAMENTO!$Q$5:$Q$200,0)),"chave inexistente"))</f>
        <v/>
      </c>
      <c r="F259" s="1"/>
      <c r="G259" s="35"/>
      <c r="H259" s="13"/>
      <c r="I259" s="13"/>
      <c r="J259" s="1"/>
      <c r="K259" s="1"/>
      <c r="L259" s="5" t="str">
        <f t="shared" si="3"/>
        <v/>
      </c>
      <c r="M259" s="1"/>
    </row>
    <row r="260" spans="1:13" x14ac:dyDescent="0.35">
      <c r="A260" s="13"/>
      <c r="B260" s="1"/>
      <c r="C260" s="1"/>
      <c r="D260" s="1"/>
      <c r="E260" s="5" t="str">
        <f>IF(D260="","",IFERROR(INDEX(ORCAMENTO!$I$5:$I$200,MATCH(D260,ORCAMENTO!$Q$5:$Q$200,0)),"chave inexistente"))</f>
        <v/>
      </c>
      <c r="F260" s="1"/>
      <c r="G260" s="35"/>
      <c r="H260" s="13"/>
      <c r="I260" s="13"/>
      <c r="J260" s="1"/>
      <c r="K260" s="1"/>
      <c r="L260" s="5" t="str">
        <f t="shared" si="3"/>
        <v/>
      </c>
      <c r="M260" s="1"/>
    </row>
    <row r="261" spans="1:13" x14ac:dyDescent="0.35">
      <c r="A261" s="13"/>
      <c r="B261" s="1"/>
      <c r="C261" s="1"/>
      <c r="D261" s="1"/>
      <c r="E261" s="5" t="str">
        <f>IF(D261="","",IFERROR(INDEX(ORCAMENTO!$I$5:$I$200,MATCH(D261,ORCAMENTO!$Q$5:$Q$200,0)),"chave inexistente"))</f>
        <v/>
      </c>
      <c r="F261" s="1"/>
      <c r="G261" s="35"/>
      <c r="H261" s="13"/>
      <c r="I261" s="13"/>
      <c r="J261" s="1"/>
      <c r="K261" s="1"/>
      <c r="L261" s="5" t="str">
        <f t="shared" si="3"/>
        <v/>
      </c>
      <c r="M261" s="1"/>
    </row>
    <row r="262" spans="1:13" x14ac:dyDescent="0.35">
      <c r="A262" s="13"/>
      <c r="B262" s="1"/>
      <c r="C262" s="1"/>
      <c r="D262" s="1"/>
      <c r="E262" s="5" t="str">
        <f>IF(D262="","",IFERROR(INDEX(ORCAMENTO!$I$5:$I$200,MATCH(D262,ORCAMENTO!$Q$5:$Q$200,0)),"chave inexistente"))</f>
        <v/>
      </c>
      <c r="F262" s="1"/>
      <c r="G262" s="35"/>
      <c r="H262" s="13"/>
      <c r="I262" s="13"/>
      <c r="J262" s="1"/>
      <c r="K262" s="1"/>
      <c r="L262" s="5" t="str">
        <f t="shared" ref="L262:L325" si="4">IF(A262="","",IF(J262="Entregue","Entregue",IF(J262="Cancelado","Cancelado",IF(AND(H262&lt;&gt;"",DataRef&gt;H262),"ATRASADA","No prazo"))))</f>
        <v/>
      </c>
      <c r="M262" s="1"/>
    </row>
    <row r="263" spans="1:13" x14ac:dyDescent="0.35">
      <c r="A263" s="13"/>
      <c r="B263" s="1"/>
      <c r="C263" s="1"/>
      <c r="D263" s="1"/>
      <c r="E263" s="5" t="str">
        <f>IF(D263="","",IFERROR(INDEX(ORCAMENTO!$I$5:$I$200,MATCH(D263,ORCAMENTO!$Q$5:$Q$200,0)),"chave inexistente"))</f>
        <v/>
      </c>
      <c r="F263" s="1"/>
      <c r="G263" s="35"/>
      <c r="H263" s="13"/>
      <c r="I263" s="13"/>
      <c r="J263" s="1"/>
      <c r="K263" s="1"/>
      <c r="L263" s="5" t="str">
        <f t="shared" si="4"/>
        <v/>
      </c>
      <c r="M263" s="1"/>
    </row>
    <row r="264" spans="1:13" x14ac:dyDescent="0.35">
      <c r="A264" s="13"/>
      <c r="B264" s="1"/>
      <c r="C264" s="1"/>
      <c r="D264" s="1"/>
      <c r="E264" s="5" t="str">
        <f>IF(D264="","",IFERROR(INDEX(ORCAMENTO!$I$5:$I$200,MATCH(D264,ORCAMENTO!$Q$5:$Q$200,0)),"chave inexistente"))</f>
        <v/>
      </c>
      <c r="F264" s="1"/>
      <c r="G264" s="35"/>
      <c r="H264" s="13"/>
      <c r="I264" s="13"/>
      <c r="J264" s="1"/>
      <c r="K264" s="1"/>
      <c r="L264" s="5" t="str">
        <f t="shared" si="4"/>
        <v/>
      </c>
      <c r="M264" s="1"/>
    </row>
    <row r="265" spans="1:13" x14ac:dyDescent="0.35">
      <c r="A265" s="13"/>
      <c r="B265" s="1"/>
      <c r="C265" s="1"/>
      <c r="D265" s="1"/>
      <c r="E265" s="5" t="str">
        <f>IF(D265="","",IFERROR(INDEX(ORCAMENTO!$I$5:$I$200,MATCH(D265,ORCAMENTO!$Q$5:$Q$200,0)),"chave inexistente"))</f>
        <v/>
      </c>
      <c r="F265" s="1"/>
      <c r="G265" s="35"/>
      <c r="H265" s="13"/>
      <c r="I265" s="13"/>
      <c r="J265" s="1"/>
      <c r="K265" s="1"/>
      <c r="L265" s="5" t="str">
        <f t="shared" si="4"/>
        <v/>
      </c>
      <c r="M265" s="1"/>
    </row>
    <row r="266" spans="1:13" x14ac:dyDescent="0.35">
      <c r="A266" s="13"/>
      <c r="B266" s="1"/>
      <c r="C266" s="1"/>
      <c r="D266" s="1"/>
      <c r="E266" s="5" t="str">
        <f>IF(D266="","",IFERROR(INDEX(ORCAMENTO!$I$5:$I$200,MATCH(D266,ORCAMENTO!$Q$5:$Q$200,0)),"chave inexistente"))</f>
        <v/>
      </c>
      <c r="F266" s="1"/>
      <c r="G266" s="35"/>
      <c r="H266" s="13"/>
      <c r="I266" s="13"/>
      <c r="J266" s="1"/>
      <c r="K266" s="1"/>
      <c r="L266" s="5" t="str">
        <f t="shared" si="4"/>
        <v/>
      </c>
      <c r="M266" s="1"/>
    </row>
    <row r="267" spans="1:13" x14ac:dyDescent="0.35">
      <c r="A267" s="13"/>
      <c r="B267" s="1"/>
      <c r="C267" s="1"/>
      <c r="D267" s="1"/>
      <c r="E267" s="5" t="str">
        <f>IF(D267="","",IFERROR(INDEX(ORCAMENTO!$I$5:$I$200,MATCH(D267,ORCAMENTO!$Q$5:$Q$200,0)),"chave inexistente"))</f>
        <v/>
      </c>
      <c r="F267" s="1"/>
      <c r="G267" s="35"/>
      <c r="H267" s="13"/>
      <c r="I267" s="13"/>
      <c r="J267" s="1"/>
      <c r="K267" s="1"/>
      <c r="L267" s="5" t="str">
        <f t="shared" si="4"/>
        <v/>
      </c>
      <c r="M267" s="1"/>
    </row>
    <row r="268" spans="1:13" x14ac:dyDescent="0.35">
      <c r="A268" s="13"/>
      <c r="B268" s="1"/>
      <c r="C268" s="1"/>
      <c r="D268" s="1"/>
      <c r="E268" s="5" t="str">
        <f>IF(D268="","",IFERROR(INDEX(ORCAMENTO!$I$5:$I$200,MATCH(D268,ORCAMENTO!$Q$5:$Q$200,0)),"chave inexistente"))</f>
        <v/>
      </c>
      <c r="F268" s="1"/>
      <c r="G268" s="35"/>
      <c r="H268" s="13"/>
      <c r="I268" s="13"/>
      <c r="J268" s="1"/>
      <c r="K268" s="1"/>
      <c r="L268" s="5" t="str">
        <f t="shared" si="4"/>
        <v/>
      </c>
      <c r="M268" s="1"/>
    </row>
    <row r="269" spans="1:13" x14ac:dyDescent="0.35">
      <c r="A269" s="13"/>
      <c r="B269" s="1"/>
      <c r="C269" s="1"/>
      <c r="D269" s="1"/>
      <c r="E269" s="5" t="str">
        <f>IF(D269="","",IFERROR(INDEX(ORCAMENTO!$I$5:$I$200,MATCH(D269,ORCAMENTO!$Q$5:$Q$200,0)),"chave inexistente"))</f>
        <v/>
      </c>
      <c r="F269" s="1"/>
      <c r="G269" s="35"/>
      <c r="H269" s="13"/>
      <c r="I269" s="13"/>
      <c r="J269" s="1"/>
      <c r="K269" s="1"/>
      <c r="L269" s="5" t="str">
        <f t="shared" si="4"/>
        <v/>
      </c>
      <c r="M269" s="1"/>
    </row>
    <row r="270" spans="1:13" x14ac:dyDescent="0.35">
      <c r="A270" s="13"/>
      <c r="B270" s="1"/>
      <c r="C270" s="1"/>
      <c r="D270" s="1"/>
      <c r="E270" s="5" t="str">
        <f>IF(D270="","",IFERROR(INDEX(ORCAMENTO!$I$5:$I$200,MATCH(D270,ORCAMENTO!$Q$5:$Q$200,0)),"chave inexistente"))</f>
        <v/>
      </c>
      <c r="F270" s="1"/>
      <c r="G270" s="35"/>
      <c r="H270" s="13"/>
      <c r="I270" s="13"/>
      <c r="J270" s="1"/>
      <c r="K270" s="1"/>
      <c r="L270" s="5" t="str">
        <f t="shared" si="4"/>
        <v/>
      </c>
      <c r="M270" s="1"/>
    </row>
    <row r="271" spans="1:13" x14ac:dyDescent="0.35">
      <c r="A271" s="13"/>
      <c r="B271" s="1"/>
      <c r="C271" s="1"/>
      <c r="D271" s="1"/>
      <c r="E271" s="5" t="str">
        <f>IF(D271="","",IFERROR(INDEX(ORCAMENTO!$I$5:$I$200,MATCH(D271,ORCAMENTO!$Q$5:$Q$200,0)),"chave inexistente"))</f>
        <v/>
      </c>
      <c r="F271" s="1"/>
      <c r="G271" s="35"/>
      <c r="H271" s="13"/>
      <c r="I271" s="13"/>
      <c r="J271" s="1"/>
      <c r="K271" s="1"/>
      <c r="L271" s="5" t="str">
        <f t="shared" si="4"/>
        <v/>
      </c>
      <c r="M271" s="1"/>
    </row>
    <row r="272" spans="1:13" x14ac:dyDescent="0.35">
      <c r="A272" s="13"/>
      <c r="B272" s="1"/>
      <c r="C272" s="1"/>
      <c r="D272" s="1"/>
      <c r="E272" s="5" t="str">
        <f>IF(D272="","",IFERROR(INDEX(ORCAMENTO!$I$5:$I$200,MATCH(D272,ORCAMENTO!$Q$5:$Q$200,0)),"chave inexistente"))</f>
        <v/>
      </c>
      <c r="F272" s="1"/>
      <c r="G272" s="35"/>
      <c r="H272" s="13"/>
      <c r="I272" s="13"/>
      <c r="J272" s="1"/>
      <c r="K272" s="1"/>
      <c r="L272" s="5" t="str">
        <f t="shared" si="4"/>
        <v/>
      </c>
      <c r="M272" s="1"/>
    </row>
    <row r="273" spans="1:13" x14ac:dyDescent="0.35">
      <c r="A273" s="13"/>
      <c r="B273" s="1"/>
      <c r="C273" s="1"/>
      <c r="D273" s="1"/>
      <c r="E273" s="5" t="str">
        <f>IF(D273="","",IFERROR(INDEX(ORCAMENTO!$I$5:$I$200,MATCH(D273,ORCAMENTO!$Q$5:$Q$200,0)),"chave inexistente"))</f>
        <v/>
      </c>
      <c r="F273" s="1"/>
      <c r="G273" s="35"/>
      <c r="H273" s="13"/>
      <c r="I273" s="13"/>
      <c r="J273" s="1"/>
      <c r="K273" s="1"/>
      <c r="L273" s="5" t="str">
        <f t="shared" si="4"/>
        <v/>
      </c>
      <c r="M273" s="1"/>
    </row>
    <row r="274" spans="1:13" x14ac:dyDescent="0.35">
      <c r="A274" s="13"/>
      <c r="B274" s="1"/>
      <c r="C274" s="1"/>
      <c r="D274" s="1"/>
      <c r="E274" s="5" t="str">
        <f>IF(D274="","",IFERROR(INDEX(ORCAMENTO!$I$5:$I$200,MATCH(D274,ORCAMENTO!$Q$5:$Q$200,0)),"chave inexistente"))</f>
        <v/>
      </c>
      <c r="F274" s="1"/>
      <c r="G274" s="35"/>
      <c r="H274" s="13"/>
      <c r="I274" s="13"/>
      <c r="J274" s="1"/>
      <c r="K274" s="1"/>
      <c r="L274" s="5" t="str">
        <f t="shared" si="4"/>
        <v/>
      </c>
      <c r="M274" s="1"/>
    </row>
    <row r="275" spans="1:13" x14ac:dyDescent="0.35">
      <c r="A275" s="13"/>
      <c r="B275" s="1"/>
      <c r="C275" s="1"/>
      <c r="D275" s="1"/>
      <c r="E275" s="5" t="str">
        <f>IF(D275="","",IFERROR(INDEX(ORCAMENTO!$I$5:$I$200,MATCH(D275,ORCAMENTO!$Q$5:$Q$200,0)),"chave inexistente"))</f>
        <v/>
      </c>
      <c r="F275" s="1"/>
      <c r="G275" s="35"/>
      <c r="H275" s="13"/>
      <c r="I275" s="13"/>
      <c r="J275" s="1"/>
      <c r="K275" s="1"/>
      <c r="L275" s="5" t="str">
        <f t="shared" si="4"/>
        <v/>
      </c>
      <c r="M275" s="1"/>
    </row>
    <row r="276" spans="1:13" x14ac:dyDescent="0.35">
      <c r="A276" s="13"/>
      <c r="B276" s="1"/>
      <c r="C276" s="1"/>
      <c r="D276" s="1"/>
      <c r="E276" s="5" t="str">
        <f>IF(D276="","",IFERROR(INDEX(ORCAMENTO!$I$5:$I$200,MATCH(D276,ORCAMENTO!$Q$5:$Q$200,0)),"chave inexistente"))</f>
        <v/>
      </c>
      <c r="F276" s="1"/>
      <c r="G276" s="35"/>
      <c r="H276" s="13"/>
      <c r="I276" s="13"/>
      <c r="J276" s="1"/>
      <c r="K276" s="1"/>
      <c r="L276" s="5" t="str">
        <f t="shared" si="4"/>
        <v/>
      </c>
      <c r="M276" s="1"/>
    </row>
    <row r="277" spans="1:13" x14ac:dyDescent="0.35">
      <c r="A277" s="13"/>
      <c r="B277" s="1"/>
      <c r="C277" s="1"/>
      <c r="D277" s="1"/>
      <c r="E277" s="5" t="str">
        <f>IF(D277="","",IFERROR(INDEX(ORCAMENTO!$I$5:$I$200,MATCH(D277,ORCAMENTO!$Q$5:$Q$200,0)),"chave inexistente"))</f>
        <v/>
      </c>
      <c r="F277" s="1"/>
      <c r="G277" s="35"/>
      <c r="H277" s="13"/>
      <c r="I277" s="13"/>
      <c r="J277" s="1"/>
      <c r="K277" s="1"/>
      <c r="L277" s="5" t="str">
        <f t="shared" si="4"/>
        <v/>
      </c>
      <c r="M277" s="1"/>
    </row>
    <row r="278" spans="1:13" x14ac:dyDescent="0.35">
      <c r="A278" s="13"/>
      <c r="B278" s="1"/>
      <c r="C278" s="1"/>
      <c r="D278" s="1"/>
      <c r="E278" s="5" t="str">
        <f>IF(D278="","",IFERROR(INDEX(ORCAMENTO!$I$5:$I$200,MATCH(D278,ORCAMENTO!$Q$5:$Q$200,0)),"chave inexistente"))</f>
        <v/>
      </c>
      <c r="F278" s="1"/>
      <c r="G278" s="35"/>
      <c r="H278" s="13"/>
      <c r="I278" s="13"/>
      <c r="J278" s="1"/>
      <c r="K278" s="1"/>
      <c r="L278" s="5" t="str">
        <f t="shared" si="4"/>
        <v/>
      </c>
      <c r="M278" s="1"/>
    </row>
    <row r="279" spans="1:13" x14ac:dyDescent="0.35">
      <c r="A279" s="13"/>
      <c r="B279" s="1"/>
      <c r="C279" s="1"/>
      <c r="D279" s="1"/>
      <c r="E279" s="5" t="str">
        <f>IF(D279="","",IFERROR(INDEX(ORCAMENTO!$I$5:$I$200,MATCH(D279,ORCAMENTO!$Q$5:$Q$200,0)),"chave inexistente"))</f>
        <v/>
      </c>
      <c r="F279" s="1"/>
      <c r="G279" s="35"/>
      <c r="H279" s="13"/>
      <c r="I279" s="13"/>
      <c r="J279" s="1"/>
      <c r="K279" s="1"/>
      <c r="L279" s="5" t="str">
        <f t="shared" si="4"/>
        <v/>
      </c>
      <c r="M279" s="1"/>
    </row>
    <row r="280" spans="1:13" x14ac:dyDescent="0.35">
      <c r="A280" s="13"/>
      <c r="B280" s="1"/>
      <c r="C280" s="1"/>
      <c r="D280" s="1"/>
      <c r="E280" s="5" t="str">
        <f>IF(D280="","",IFERROR(INDEX(ORCAMENTO!$I$5:$I$200,MATCH(D280,ORCAMENTO!$Q$5:$Q$200,0)),"chave inexistente"))</f>
        <v/>
      </c>
      <c r="F280" s="1"/>
      <c r="G280" s="35"/>
      <c r="H280" s="13"/>
      <c r="I280" s="13"/>
      <c r="J280" s="1"/>
      <c r="K280" s="1"/>
      <c r="L280" s="5" t="str">
        <f t="shared" si="4"/>
        <v/>
      </c>
      <c r="M280" s="1"/>
    </row>
    <row r="281" spans="1:13" x14ac:dyDescent="0.35">
      <c r="A281" s="13"/>
      <c r="B281" s="1"/>
      <c r="C281" s="1"/>
      <c r="D281" s="1"/>
      <c r="E281" s="5" t="str">
        <f>IF(D281="","",IFERROR(INDEX(ORCAMENTO!$I$5:$I$200,MATCH(D281,ORCAMENTO!$Q$5:$Q$200,0)),"chave inexistente"))</f>
        <v/>
      </c>
      <c r="F281" s="1"/>
      <c r="G281" s="35"/>
      <c r="H281" s="13"/>
      <c r="I281" s="13"/>
      <c r="J281" s="1"/>
      <c r="K281" s="1"/>
      <c r="L281" s="5" t="str">
        <f t="shared" si="4"/>
        <v/>
      </c>
      <c r="M281" s="1"/>
    </row>
    <row r="282" spans="1:13" x14ac:dyDescent="0.35">
      <c r="A282" s="13"/>
      <c r="B282" s="1"/>
      <c r="C282" s="1"/>
      <c r="D282" s="1"/>
      <c r="E282" s="5" t="str">
        <f>IF(D282="","",IFERROR(INDEX(ORCAMENTO!$I$5:$I$200,MATCH(D282,ORCAMENTO!$Q$5:$Q$200,0)),"chave inexistente"))</f>
        <v/>
      </c>
      <c r="F282" s="1"/>
      <c r="G282" s="35"/>
      <c r="H282" s="13"/>
      <c r="I282" s="13"/>
      <c r="J282" s="1"/>
      <c r="K282" s="1"/>
      <c r="L282" s="5" t="str">
        <f t="shared" si="4"/>
        <v/>
      </c>
      <c r="M282" s="1"/>
    </row>
    <row r="283" spans="1:13" x14ac:dyDescent="0.35">
      <c r="A283" s="13"/>
      <c r="B283" s="1"/>
      <c r="C283" s="1"/>
      <c r="D283" s="1"/>
      <c r="E283" s="5" t="str">
        <f>IF(D283="","",IFERROR(INDEX(ORCAMENTO!$I$5:$I$200,MATCH(D283,ORCAMENTO!$Q$5:$Q$200,0)),"chave inexistente"))</f>
        <v/>
      </c>
      <c r="F283" s="1"/>
      <c r="G283" s="35"/>
      <c r="H283" s="13"/>
      <c r="I283" s="13"/>
      <c r="J283" s="1"/>
      <c r="K283" s="1"/>
      <c r="L283" s="5" t="str">
        <f t="shared" si="4"/>
        <v/>
      </c>
      <c r="M283" s="1"/>
    </row>
    <row r="284" spans="1:13" x14ac:dyDescent="0.35">
      <c r="A284" s="13"/>
      <c r="B284" s="1"/>
      <c r="C284" s="1"/>
      <c r="D284" s="1"/>
      <c r="E284" s="5" t="str">
        <f>IF(D284="","",IFERROR(INDEX(ORCAMENTO!$I$5:$I$200,MATCH(D284,ORCAMENTO!$Q$5:$Q$200,0)),"chave inexistente"))</f>
        <v/>
      </c>
      <c r="F284" s="1"/>
      <c r="G284" s="35"/>
      <c r="H284" s="13"/>
      <c r="I284" s="13"/>
      <c r="J284" s="1"/>
      <c r="K284" s="1"/>
      <c r="L284" s="5" t="str">
        <f t="shared" si="4"/>
        <v/>
      </c>
      <c r="M284" s="1"/>
    </row>
    <row r="285" spans="1:13" x14ac:dyDescent="0.35">
      <c r="A285" s="13"/>
      <c r="B285" s="1"/>
      <c r="C285" s="1"/>
      <c r="D285" s="1"/>
      <c r="E285" s="5" t="str">
        <f>IF(D285="","",IFERROR(INDEX(ORCAMENTO!$I$5:$I$200,MATCH(D285,ORCAMENTO!$Q$5:$Q$200,0)),"chave inexistente"))</f>
        <v/>
      </c>
      <c r="F285" s="1"/>
      <c r="G285" s="35"/>
      <c r="H285" s="13"/>
      <c r="I285" s="13"/>
      <c r="J285" s="1"/>
      <c r="K285" s="1"/>
      <c r="L285" s="5" t="str">
        <f t="shared" si="4"/>
        <v/>
      </c>
      <c r="M285" s="1"/>
    </row>
    <row r="286" spans="1:13" x14ac:dyDescent="0.35">
      <c r="A286" s="13"/>
      <c r="B286" s="1"/>
      <c r="C286" s="1"/>
      <c r="D286" s="1"/>
      <c r="E286" s="5" t="str">
        <f>IF(D286="","",IFERROR(INDEX(ORCAMENTO!$I$5:$I$200,MATCH(D286,ORCAMENTO!$Q$5:$Q$200,0)),"chave inexistente"))</f>
        <v/>
      </c>
      <c r="F286" s="1"/>
      <c r="G286" s="35"/>
      <c r="H286" s="13"/>
      <c r="I286" s="13"/>
      <c r="J286" s="1"/>
      <c r="K286" s="1"/>
      <c r="L286" s="5" t="str">
        <f t="shared" si="4"/>
        <v/>
      </c>
      <c r="M286" s="1"/>
    </row>
    <row r="287" spans="1:13" x14ac:dyDescent="0.35">
      <c r="A287" s="13"/>
      <c r="B287" s="1"/>
      <c r="C287" s="1"/>
      <c r="D287" s="1"/>
      <c r="E287" s="5" t="str">
        <f>IF(D287="","",IFERROR(INDEX(ORCAMENTO!$I$5:$I$200,MATCH(D287,ORCAMENTO!$Q$5:$Q$200,0)),"chave inexistente"))</f>
        <v/>
      </c>
      <c r="F287" s="1"/>
      <c r="G287" s="35"/>
      <c r="H287" s="13"/>
      <c r="I287" s="13"/>
      <c r="J287" s="1"/>
      <c r="K287" s="1"/>
      <c r="L287" s="5" t="str">
        <f t="shared" si="4"/>
        <v/>
      </c>
      <c r="M287" s="1"/>
    </row>
    <row r="288" spans="1:13" x14ac:dyDescent="0.35">
      <c r="A288" s="13"/>
      <c r="B288" s="1"/>
      <c r="C288" s="1"/>
      <c r="D288" s="1"/>
      <c r="E288" s="5" t="str">
        <f>IF(D288="","",IFERROR(INDEX(ORCAMENTO!$I$5:$I$200,MATCH(D288,ORCAMENTO!$Q$5:$Q$200,0)),"chave inexistente"))</f>
        <v/>
      </c>
      <c r="F288" s="1"/>
      <c r="G288" s="35"/>
      <c r="H288" s="13"/>
      <c r="I288" s="13"/>
      <c r="J288" s="1"/>
      <c r="K288" s="1"/>
      <c r="L288" s="5" t="str">
        <f t="shared" si="4"/>
        <v/>
      </c>
      <c r="M288" s="1"/>
    </row>
    <row r="289" spans="1:13" x14ac:dyDescent="0.35">
      <c r="A289" s="13"/>
      <c r="B289" s="1"/>
      <c r="C289" s="1"/>
      <c r="D289" s="1"/>
      <c r="E289" s="5" t="str">
        <f>IF(D289="","",IFERROR(INDEX(ORCAMENTO!$I$5:$I$200,MATCH(D289,ORCAMENTO!$Q$5:$Q$200,0)),"chave inexistente"))</f>
        <v/>
      </c>
      <c r="F289" s="1"/>
      <c r="G289" s="35"/>
      <c r="H289" s="13"/>
      <c r="I289" s="13"/>
      <c r="J289" s="1"/>
      <c r="K289" s="1"/>
      <c r="L289" s="5" t="str">
        <f t="shared" si="4"/>
        <v/>
      </c>
      <c r="M289" s="1"/>
    </row>
    <row r="290" spans="1:13" x14ac:dyDescent="0.35">
      <c r="A290" s="13"/>
      <c r="B290" s="1"/>
      <c r="C290" s="1"/>
      <c r="D290" s="1"/>
      <c r="E290" s="5" t="str">
        <f>IF(D290="","",IFERROR(INDEX(ORCAMENTO!$I$5:$I$200,MATCH(D290,ORCAMENTO!$Q$5:$Q$200,0)),"chave inexistente"))</f>
        <v/>
      </c>
      <c r="F290" s="1"/>
      <c r="G290" s="35"/>
      <c r="H290" s="13"/>
      <c r="I290" s="13"/>
      <c r="J290" s="1"/>
      <c r="K290" s="1"/>
      <c r="L290" s="5" t="str">
        <f t="shared" si="4"/>
        <v/>
      </c>
      <c r="M290" s="1"/>
    </row>
    <row r="291" spans="1:13" x14ac:dyDescent="0.35">
      <c r="A291" s="13"/>
      <c r="B291" s="1"/>
      <c r="C291" s="1"/>
      <c r="D291" s="1"/>
      <c r="E291" s="5" t="str">
        <f>IF(D291="","",IFERROR(INDEX(ORCAMENTO!$I$5:$I$200,MATCH(D291,ORCAMENTO!$Q$5:$Q$200,0)),"chave inexistente"))</f>
        <v/>
      </c>
      <c r="F291" s="1"/>
      <c r="G291" s="35"/>
      <c r="H291" s="13"/>
      <c r="I291" s="13"/>
      <c r="J291" s="1"/>
      <c r="K291" s="1"/>
      <c r="L291" s="5" t="str">
        <f t="shared" si="4"/>
        <v/>
      </c>
      <c r="M291" s="1"/>
    </row>
    <row r="292" spans="1:13" x14ac:dyDescent="0.35">
      <c r="A292" s="13"/>
      <c r="B292" s="1"/>
      <c r="C292" s="1"/>
      <c r="D292" s="1"/>
      <c r="E292" s="5" t="str">
        <f>IF(D292="","",IFERROR(INDEX(ORCAMENTO!$I$5:$I$200,MATCH(D292,ORCAMENTO!$Q$5:$Q$200,0)),"chave inexistente"))</f>
        <v/>
      </c>
      <c r="F292" s="1"/>
      <c r="G292" s="35"/>
      <c r="H292" s="13"/>
      <c r="I292" s="13"/>
      <c r="J292" s="1"/>
      <c r="K292" s="1"/>
      <c r="L292" s="5" t="str">
        <f t="shared" si="4"/>
        <v/>
      </c>
      <c r="M292" s="1"/>
    </row>
    <row r="293" spans="1:13" x14ac:dyDescent="0.35">
      <c r="A293" s="13"/>
      <c r="B293" s="1"/>
      <c r="C293" s="1"/>
      <c r="D293" s="1"/>
      <c r="E293" s="5" t="str">
        <f>IF(D293="","",IFERROR(INDEX(ORCAMENTO!$I$5:$I$200,MATCH(D293,ORCAMENTO!$Q$5:$Q$200,0)),"chave inexistente"))</f>
        <v/>
      </c>
      <c r="F293" s="1"/>
      <c r="G293" s="35"/>
      <c r="H293" s="13"/>
      <c r="I293" s="13"/>
      <c r="J293" s="1"/>
      <c r="K293" s="1"/>
      <c r="L293" s="5" t="str">
        <f t="shared" si="4"/>
        <v/>
      </c>
      <c r="M293" s="1"/>
    </row>
    <row r="294" spans="1:13" x14ac:dyDescent="0.35">
      <c r="A294" s="13"/>
      <c r="B294" s="1"/>
      <c r="C294" s="1"/>
      <c r="D294" s="1"/>
      <c r="E294" s="5" t="str">
        <f>IF(D294="","",IFERROR(INDEX(ORCAMENTO!$I$5:$I$200,MATCH(D294,ORCAMENTO!$Q$5:$Q$200,0)),"chave inexistente"))</f>
        <v/>
      </c>
      <c r="F294" s="1"/>
      <c r="G294" s="35"/>
      <c r="H294" s="13"/>
      <c r="I294" s="13"/>
      <c r="J294" s="1"/>
      <c r="K294" s="1"/>
      <c r="L294" s="5" t="str">
        <f t="shared" si="4"/>
        <v/>
      </c>
      <c r="M294" s="1"/>
    </row>
    <row r="295" spans="1:13" x14ac:dyDescent="0.35">
      <c r="A295" s="13"/>
      <c r="B295" s="1"/>
      <c r="C295" s="1"/>
      <c r="D295" s="1"/>
      <c r="E295" s="5" t="str">
        <f>IF(D295="","",IFERROR(INDEX(ORCAMENTO!$I$5:$I$200,MATCH(D295,ORCAMENTO!$Q$5:$Q$200,0)),"chave inexistente"))</f>
        <v/>
      </c>
      <c r="F295" s="1"/>
      <c r="G295" s="35"/>
      <c r="H295" s="13"/>
      <c r="I295" s="13"/>
      <c r="J295" s="1"/>
      <c r="K295" s="1"/>
      <c r="L295" s="5" t="str">
        <f t="shared" si="4"/>
        <v/>
      </c>
      <c r="M295" s="1"/>
    </row>
    <row r="296" spans="1:13" x14ac:dyDescent="0.35">
      <c r="A296" s="13"/>
      <c r="B296" s="1"/>
      <c r="C296" s="1"/>
      <c r="D296" s="1"/>
      <c r="E296" s="5" t="str">
        <f>IF(D296="","",IFERROR(INDEX(ORCAMENTO!$I$5:$I$200,MATCH(D296,ORCAMENTO!$Q$5:$Q$200,0)),"chave inexistente"))</f>
        <v/>
      </c>
      <c r="F296" s="1"/>
      <c r="G296" s="35"/>
      <c r="H296" s="13"/>
      <c r="I296" s="13"/>
      <c r="J296" s="1"/>
      <c r="K296" s="1"/>
      <c r="L296" s="5" t="str">
        <f t="shared" si="4"/>
        <v/>
      </c>
      <c r="M296" s="1"/>
    </row>
    <row r="297" spans="1:13" x14ac:dyDescent="0.35">
      <c r="A297" s="13"/>
      <c r="B297" s="1"/>
      <c r="C297" s="1"/>
      <c r="D297" s="1"/>
      <c r="E297" s="5" t="str">
        <f>IF(D297="","",IFERROR(INDEX(ORCAMENTO!$I$5:$I$200,MATCH(D297,ORCAMENTO!$Q$5:$Q$200,0)),"chave inexistente"))</f>
        <v/>
      </c>
      <c r="F297" s="1"/>
      <c r="G297" s="35"/>
      <c r="H297" s="13"/>
      <c r="I297" s="13"/>
      <c r="J297" s="1"/>
      <c r="K297" s="1"/>
      <c r="L297" s="5" t="str">
        <f t="shared" si="4"/>
        <v/>
      </c>
      <c r="M297" s="1"/>
    </row>
    <row r="298" spans="1:13" x14ac:dyDescent="0.35">
      <c r="A298" s="13"/>
      <c r="B298" s="1"/>
      <c r="C298" s="1"/>
      <c r="D298" s="1"/>
      <c r="E298" s="5" t="str">
        <f>IF(D298="","",IFERROR(INDEX(ORCAMENTO!$I$5:$I$200,MATCH(D298,ORCAMENTO!$Q$5:$Q$200,0)),"chave inexistente"))</f>
        <v/>
      </c>
      <c r="F298" s="1"/>
      <c r="G298" s="35"/>
      <c r="H298" s="13"/>
      <c r="I298" s="13"/>
      <c r="J298" s="1"/>
      <c r="K298" s="1"/>
      <c r="L298" s="5" t="str">
        <f t="shared" si="4"/>
        <v/>
      </c>
      <c r="M298" s="1"/>
    </row>
    <row r="299" spans="1:13" x14ac:dyDescent="0.35">
      <c r="A299" s="13"/>
      <c r="B299" s="1"/>
      <c r="C299" s="1"/>
      <c r="D299" s="1"/>
      <c r="E299" s="5" t="str">
        <f>IF(D299="","",IFERROR(INDEX(ORCAMENTO!$I$5:$I$200,MATCH(D299,ORCAMENTO!$Q$5:$Q$200,0)),"chave inexistente"))</f>
        <v/>
      </c>
      <c r="F299" s="1"/>
      <c r="G299" s="35"/>
      <c r="H299" s="13"/>
      <c r="I299" s="13"/>
      <c r="J299" s="1"/>
      <c r="K299" s="1"/>
      <c r="L299" s="5" t="str">
        <f t="shared" si="4"/>
        <v/>
      </c>
      <c r="M299" s="1"/>
    </row>
    <row r="300" spans="1:13" x14ac:dyDescent="0.35">
      <c r="A300" s="13"/>
      <c r="B300" s="1"/>
      <c r="C300" s="1"/>
      <c r="D300" s="1"/>
      <c r="E300" s="5" t="str">
        <f>IF(D300="","",IFERROR(INDEX(ORCAMENTO!$I$5:$I$200,MATCH(D300,ORCAMENTO!$Q$5:$Q$200,0)),"chave inexistente"))</f>
        <v/>
      </c>
      <c r="F300" s="1"/>
      <c r="G300" s="35"/>
      <c r="H300" s="13"/>
      <c r="I300" s="13"/>
      <c r="J300" s="1"/>
      <c r="K300" s="1"/>
      <c r="L300" s="5" t="str">
        <f t="shared" si="4"/>
        <v/>
      </c>
      <c r="M300" s="1"/>
    </row>
    <row r="301" spans="1:13" x14ac:dyDescent="0.35">
      <c r="A301" s="13"/>
      <c r="B301" s="1"/>
      <c r="C301" s="1"/>
      <c r="D301" s="1"/>
      <c r="E301" s="5" t="str">
        <f>IF(D301="","",IFERROR(INDEX(ORCAMENTO!$I$5:$I$200,MATCH(D301,ORCAMENTO!$Q$5:$Q$200,0)),"chave inexistente"))</f>
        <v/>
      </c>
      <c r="F301" s="1"/>
      <c r="G301" s="35"/>
      <c r="H301" s="13"/>
      <c r="I301" s="13"/>
      <c r="J301" s="1"/>
      <c r="K301" s="1"/>
      <c r="L301" s="5" t="str">
        <f t="shared" si="4"/>
        <v/>
      </c>
      <c r="M301" s="1"/>
    </row>
    <row r="302" spans="1:13" x14ac:dyDescent="0.35">
      <c r="A302" s="13"/>
      <c r="B302" s="1"/>
      <c r="C302" s="1"/>
      <c r="D302" s="1"/>
      <c r="E302" s="5" t="str">
        <f>IF(D302="","",IFERROR(INDEX(ORCAMENTO!$I$5:$I$200,MATCH(D302,ORCAMENTO!$Q$5:$Q$200,0)),"chave inexistente"))</f>
        <v/>
      </c>
      <c r="F302" s="1"/>
      <c r="G302" s="35"/>
      <c r="H302" s="13"/>
      <c r="I302" s="13"/>
      <c r="J302" s="1"/>
      <c r="K302" s="1"/>
      <c r="L302" s="5" t="str">
        <f t="shared" si="4"/>
        <v/>
      </c>
      <c r="M302" s="1"/>
    </row>
    <row r="303" spans="1:13" x14ac:dyDescent="0.35">
      <c r="A303" s="13"/>
      <c r="B303" s="1"/>
      <c r="C303" s="1"/>
      <c r="D303" s="1"/>
      <c r="E303" s="5" t="str">
        <f>IF(D303="","",IFERROR(INDEX(ORCAMENTO!$I$5:$I$200,MATCH(D303,ORCAMENTO!$Q$5:$Q$200,0)),"chave inexistente"))</f>
        <v/>
      </c>
      <c r="F303" s="1"/>
      <c r="G303" s="35"/>
      <c r="H303" s="13"/>
      <c r="I303" s="13"/>
      <c r="J303" s="1"/>
      <c r="K303" s="1"/>
      <c r="L303" s="5" t="str">
        <f t="shared" si="4"/>
        <v/>
      </c>
      <c r="M303" s="1"/>
    </row>
    <row r="304" spans="1:13" x14ac:dyDescent="0.35">
      <c r="A304" s="13"/>
      <c r="B304" s="1"/>
      <c r="C304" s="1"/>
      <c r="D304" s="1"/>
      <c r="E304" s="5" t="str">
        <f>IF(D304="","",IFERROR(INDEX(ORCAMENTO!$I$5:$I$200,MATCH(D304,ORCAMENTO!$Q$5:$Q$200,0)),"chave inexistente"))</f>
        <v/>
      </c>
      <c r="F304" s="1"/>
      <c r="G304" s="35"/>
      <c r="H304" s="13"/>
      <c r="I304" s="13"/>
      <c r="J304" s="1"/>
      <c r="K304" s="1"/>
      <c r="L304" s="5" t="str">
        <f t="shared" si="4"/>
        <v/>
      </c>
      <c r="M304" s="1"/>
    </row>
    <row r="305" spans="1:13" x14ac:dyDescent="0.35">
      <c r="A305" s="13"/>
      <c r="B305" s="1"/>
      <c r="C305" s="1"/>
      <c r="D305" s="1"/>
      <c r="E305" s="5" t="str">
        <f>IF(D305="","",IFERROR(INDEX(ORCAMENTO!$I$5:$I$200,MATCH(D305,ORCAMENTO!$Q$5:$Q$200,0)),"chave inexistente"))</f>
        <v/>
      </c>
      <c r="F305" s="1"/>
      <c r="G305" s="35"/>
      <c r="H305" s="13"/>
      <c r="I305" s="13"/>
      <c r="J305" s="1"/>
      <c r="K305" s="1"/>
      <c r="L305" s="5" t="str">
        <f t="shared" si="4"/>
        <v/>
      </c>
      <c r="M305" s="1"/>
    </row>
    <row r="306" spans="1:13" x14ac:dyDescent="0.35">
      <c r="A306" s="13"/>
      <c r="B306" s="1"/>
      <c r="C306" s="1"/>
      <c r="D306" s="1"/>
      <c r="E306" s="5" t="str">
        <f>IF(D306="","",IFERROR(INDEX(ORCAMENTO!$I$5:$I$200,MATCH(D306,ORCAMENTO!$Q$5:$Q$200,0)),"chave inexistente"))</f>
        <v/>
      </c>
      <c r="F306" s="1"/>
      <c r="G306" s="35"/>
      <c r="H306" s="13"/>
      <c r="I306" s="13"/>
      <c r="J306" s="1"/>
      <c r="K306" s="1"/>
      <c r="L306" s="5" t="str">
        <f t="shared" si="4"/>
        <v/>
      </c>
      <c r="M306" s="1"/>
    </row>
    <row r="307" spans="1:13" x14ac:dyDescent="0.35">
      <c r="A307" s="13"/>
      <c r="B307" s="1"/>
      <c r="C307" s="1"/>
      <c r="D307" s="1"/>
      <c r="E307" s="5" t="str">
        <f>IF(D307="","",IFERROR(INDEX(ORCAMENTO!$I$5:$I$200,MATCH(D307,ORCAMENTO!$Q$5:$Q$200,0)),"chave inexistente"))</f>
        <v/>
      </c>
      <c r="F307" s="1"/>
      <c r="G307" s="35"/>
      <c r="H307" s="13"/>
      <c r="I307" s="13"/>
      <c r="J307" s="1"/>
      <c r="K307" s="1"/>
      <c r="L307" s="5" t="str">
        <f t="shared" si="4"/>
        <v/>
      </c>
      <c r="M307" s="1"/>
    </row>
    <row r="308" spans="1:13" x14ac:dyDescent="0.35">
      <c r="A308" s="13"/>
      <c r="B308" s="1"/>
      <c r="C308" s="1"/>
      <c r="D308" s="1"/>
      <c r="E308" s="5" t="str">
        <f>IF(D308="","",IFERROR(INDEX(ORCAMENTO!$I$5:$I$200,MATCH(D308,ORCAMENTO!$Q$5:$Q$200,0)),"chave inexistente"))</f>
        <v/>
      </c>
      <c r="F308" s="1"/>
      <c r="G308" s="35"/>
      <c r="H308" s="13"/>
      <c r="I308" s="13"/>
      <c r="J308" s="1"/>
      <c r="K308" s="1"/>
      <c r="L308" s="5" t="str">
        <f t="shared" si="4"/>
        <v/>
      </c>
      <c r="M308" s="1"/>
    </row>
    <row r="309" spans="1:13" x14ac:dyDescent="0.35">
      <c r="A309" s="13"/>
      <c r="B309" s="1"/>
      <c r="C309" s="1"/>
      <c r="D309" s="1"/>
      <c r="E309" s="5" t="str">
        <f>IF(D309="","",IFERROR(INDEX(ORCAMENTO!$I$5:$I$200,MATCH(D309,ORCAMENTO!$Q$5:$Q$200,0)),"chave inexistente"))</f>
        <v/>
      </c>
      <c r="F309" s="1"/>
      <c r="G309" s="35"/>
      <c r="H309" s="13"/>
      <c r="I309" s="13"/>
      <c r="J309" s="1"/>
      <c r="K309" s="1"/>
      <c r="L309" s="5" t="str">
        <f t="shared" si="4"/>
        <v/>
      </c>
      <c r="M309" s="1"/>
    </row>
    <row r="310" spans="1:13" x14ac:dyDescent="0.35">
      <c r="A310" s="13"/>
      <c r="B310" s="1"/>
      <c r="C310" s="1"/>
      <c r="D310" s="1"/>
      <c r="E310" s="5" t="str">
        <f>IF(D310="","",IFERROR(INDEX(ORCAMENTO!$I$5:$I$200,MATCH(D310,ORCAMENTO!$Q$5:$Q$200,0)),"chave inexistente"))</f>
        <v/>
      </c>
      <c r="F310" s="1"/>
      <c r="G310" s="35"/>
      <c r="H310" s="13"/>
      <c r="I310" s="13"/>
      <c r="J310" s="1"/>
      <c r="K310" s="1"/>
      <c r="L310" s="5" t="str">
        <f t="shared" si="4"/>
        <v/>
      </c>
      <c r="M310" s="1"/>
    </row>
    <row r="311" spans="1:13" x14ac:dyDescent="0.35">
      <c r="A311" s="13"/>
      <c r="B311" s="1"/>
      <c r="C311" s="1"/>
      <c r="D311" s="1"/>
      <c r="E311" s="5" t="str">
        <f>IF(D311="","",IFERROR(INDEX(ORCAMENTO!$I$5:$I$200,MATCH(D311,ORCAMENTO!$Q$5:$Q$200,0)),"chave inexistente"))</f>
        <v/>
      </c>
      <c r="F311" s="1"/>
      <c r="G311" s="35"/>
      <c r="H311" s="13"/>
      <c r="I311" s="13"/>
      <c r="J311" s="1"/>
      <c r="K311" s="1"/>
      <c r="L311" s="5" t="str">
        <f t="shared" si="4"/>
        <v/>
      </c>
      <c r="M311" s="1"/>
    </row>
    <row r="312" spans="1:13" x14ac:dyDescent="0.35">
      <c r="A312" s="13"/>
      <c r="B312" s="1"/>
      <c r="C312" s="1"/>
      <c r="D312" s="1"/>
      <c r="E312" s="5" t="str">
        <f>IF(D312="","",IFERROR(INDEX(ORCAMENTO!$I$5:$I$200,MATCH(D312,ORCAMENTO!$Q$5:$Q$200,0)),"chave inexistente"))</f>
        <v/>
      </c>
      <c r="F312" s="1"/>
      <c r="G312" s="35"/>
      <c r="H312" s="13"/>
      <c r="I312" s="13"/>
      <c r="J312" s="1"/>
      <c r="K312" s="1"/>
      <c r="L312" s="5" t="str">
        <f t="shared" si="4"/>
        <v/>
      </c>
      <c r="M312" s="1"/>
    </row>
    <row r="313" spans="1:13" x14ac:dyDescent="0.35">
      <c r="A313" s="13"/>
      <c r="B313" s="1"/>
      <c r="C313" s="1"/>
      <c r="D313" s="1"/>
      <c r="E313" s="5" t="str">
        <f>IF(D313="","",IFERROR(INDEX(ORCAMENTO!$I$5:$I$200,MATCH(D313,ORCAMENTO!$Q$5:$Q$200,0)),"chave inexistente"))</f>
        <v/>
      </c>
      <c r="F313" s="1"/>
      <c r="G313" s="35"/>
      <c r="H313" s="13"/>
      <c r="I313" s="13"/>
      <c r="J313" s="1"/>
      <c r="K313" s="1"/>
      <c r="L313" s="5" t="str">
        <f t="shared" si="4"/>
        <v/>
      </c>
      <c r="M313" s="1"/>
    </row>
    <row r="314" spans="1:13" x14ac:dyDescent="0.35">
      <c r="A314" s="13"/>
      <c r="B314" s="1"/>
      <c r="C314" s="1"/>
      <c r="D314" s="1"/>
      <c r="E314" s="5" t="str">
        <f>IF(D314="","",IFERROR(INDEX(ORCAMENTO!$I$5:$I$200,MATCH(D314,ORCAMENTO!$Q$5:$Q$200,0)),"chave inexistente"))</f>
        <v/>
      </c>
      <c r="F314" s="1"/>
      <c r="G314" s="35"/>
      <c r="H314" s="13"/>
      <c r="I314" s="13"/>
      <c r="J314" s="1"/>
      <c r="K314" s="1"/>
      <c r="L314" s="5" t="str">
        <f t="shared" si="4"/>
        <v/>
      </c>
      <c r="M314" s="1"/>
    </row>
    <row r="315" spans="1:13" x14ac:dyDescent="0.35">
      <c r="A315" s="13"/>
      <c r="B315" s="1"/>
      <c r="C315" s="1"/>
      <c r="D315" s="1"/>
      <c r="E315" s="5" t="str">
        <f>IF(D315="","",IFERROR(INDEX(ORCAMENTO!$I$5:$I$200,MATCH(D315,ORCAMENTO!$Q$5:$Q$200,0)),"chave inexistente"))</f>
        <v/>
      </c>
      <c r="F315" s="1"/>
      <c r="G315" s="35"/>
      <c r="H315" s="13"/>
      <c r="I315" s="13"/>
      <c r="J315" s="1"/>
      <c r="K315" s="1"/>
      <c r="L315" s="5" t="str">
        <f t="shared" si="4"/>
        <v/>
      </c>
      <c r="M315" s="1"/>
    </row>
    <row r="316" spans="1:13" x14ac:dyDescent="0.35">
      <c r="A316" s="13"/>
      <c r="B316" s="1"/>
      <c r="C316" s="1"/>
      <c r="D316" s="1"/>
      <c r="E316" s="5" t="str">
        <f>IF(D316="","",IFERROR(INDEX(ORCAMENTO!$I$5:$I$200,MATCH(D316,ORCAMENTO!$Q$5:$Q$200,0)),"chave inexistente"))</f>
        <v/>
      </c>
      <c r="F316" s="1"/>
      <c r="G316" s="35"/>
      <c r="H316" s="13"/>
      <c r="I316" s="13"/>
      <c r="J316" s="1"/>
      <c r="K316" s="1"/>
      <c r="L316" s="5" t="str">
        <f t="shared" si="4"/>
        <v/>
      </c>
      <c r="M316" s="1"/>
    </row>
    <row r="317" spans="1:13" x14ac:dyDescent="0.35">
      <c r="A317" s="13"/>
      <c r="B317" s="1"/>
      <c r="C317" s="1"/>
      <c r="D317" s="1"/>
      <c r="E317" s="5" t="str">
        <f>IF(D317="","",IFERROR(INDEX(ORCAMENTO!$I$5:$I$200,MATCH(D317,ORCAMENTO!$Q$5:$Q$200,0)),"chave inexistente"))</f>
        <v/>
      </c>
      <c r="F317" s="1"/>
      <c r="G317" s="35"/>
      <c r="H317" s="13"/>
      <c r="I317" s="13"/>
      <c r="J317" s="1"/>
      <c r="K317" s="1"/>
      <c r="L317" s="5" t="str">
        <f t="shared" si="4"/>
        <v/>
      </c>
      <c r="M317" s="1"/>
    </row>
    <row r="318" spans="1:13" x14ac:dyDescent="0.35">
      <c r="A318" s="13"/>
      <c r="B318" s="1"/>
      <c r="C318" s="1"/>
      <c r="D318" s="1"/>
      <c r="E318" s="5" t="str">
        <f>IF(D318="","",IFERROR(INDEX(ORCAMENTO!$I$5:$I$200,MATCH(D318,ORCAMENTO!$Q$5:$Q$200,0)),"chave inexistente"))</f>
        <v/>
      </c>
      <c r="F318" s="1"/>
      <c r="G318" s="35"/>
      <c r="H318" s="13"/>
      <c r="I318" s="13"/>
      <c r="J318" s="1"/>
      <c r="K318" s="1"/>
      <c r="L318" s="5" t="str">
        <f t="shared" si="4"/>
        <v/>
      </c>
      <c r="M318" s="1"/>
    </row>
    <row r="319" spans="1:13" x14ac:dyDescent="0.35">
      <c r="A319" s="13"/>
      <c r="B319" s="1"/>
      <c r="C319" s="1"/>
      <c r="D319" s="1"/>
      <c r="E319" s="5" t="str">
        <f>IF(D319="","",IFERROR(INDEX(ORCAMENTO!$I$5:$I$200,MATCH(D319,ORCAMENTO!$Q$5:$Q$200,0)),"chave inexistente"))</f>
        <v/>
      </c>
      <c r="F319" s="1"/>
      <c r="G319" s="35"/>
      <c r="H319" s="13"/>
      <c r="I319" s="13"/>
      <c r="J319" s="1"/>
      <c r="K319" s="1"/>
      <c r="L319" s="5" t="str">
        <f t="shared" si="4"/>
        <v/>
      </c>
      <c r="M319" s="1"/>
    </row>
    <row r="320" spans="1:13" x14ac:dyDescent="0.35">
      <c r="A320" s="13"/>
      <c r="B320" s="1"/>
      <c r="C320" s="1"/>
      <c r="D320" s="1"/>
      <c r="E320" s="5" t="str">
        <f>IF(D320="","",IFERROR(INDEX(ORCAMENTO!$I$5:$I$200,MATCH(D320,ORCAMENTO!$Q$5:$Q$200,0)),"chave inexistente"))</f>
        <v/>
      </c>
      <c r="F320" s="1"/>
      <c r="G320" s="35"/>
      <c r="H320" s="13"/>
      <c r="I320" s="13"/>
      <c r="J320" s="1"/>
      <c r="K320" s="1"/>
      <c r="L320" s="5" t="str">
        <f t="shared" si="4"/>
        <v/>
      </c>
      <c r="M320" s="1"/>
    </row>
    <row r="321" spans="1:13" x14ac:dyDescent="0.35">
      <c r="A321" s="13"/>
      <c r="B321" s="1"/>
      <c r="C321" s="1"/>
      <c r="D321" s="1"/>
      <c r="E321" s="5" t="str">
        <f>IF(D321="","",IFERROR(INDEX(ORCAMENTO!$I$5:$I$200,MATCH(D321,ORCAMENTO!$Q$5:$Q$200,0)),"chave inexistente"))</f>
        <v/>
      </c>
      <c r="F321" s="1"/>
      <c r="G321" s="35"/>
      <c r="H321" s="13"/>
      <c r="I321" s="13"/>
      <c r="J321" s="1"/>
      <c r="K321" s="1"/>
      <c r="L321" s="5" t="str">
        <f t="shared" si="4"/>
        <v/>
      </c>
      <c r="M321" s="1"/>
    </row>
    <row r="322" spans="1:13" x14ac:dyDescent="0.35">
      <c r="A322" s="13"/>
      <c r="B322" s="1"/>
      <c r="C322" s="1"/>
      <c r="D322" s="1"/>
      <c r="E322" s="5" t="str">
        <f>IF(D322="","",IFERROR(INDEX(ORCAMENTO!$I$5:$I$200,MATCH(D322,ORCAMENTO!$Q$5:$Q$200,0)),"chave inexistente"))</f>
        <v/>
      </c>
      <c r="F322" s="1"/>
      <c r="G322" s="35"/>
      <c r="H322" s="13"/>
      <c r="I322" s="13"/>
      <c r="J322" s="1"/>
      <c r="K322" s="1"/>
      <c r="L322" s="5" t="str">
        <f t="shared" si="4"/>
        <v/>
      </c>
      <c r="M322" s="1"/>
    </row>
    <row r="323" spans="1:13" x14ac:dyDescent="0.35">
      <c r="A323" s="13"/>
      <c r="B323" s="1"/>
      <c r="C323" s="1"/>
      <c r="D323" s="1"/>
      <c r="E323" s="5" t="str">
        <f>IF(D323="","",IFERROR(INDEX(ORCAMENTO!$I$5:$I$200,MATCH(D323,ORCAMENTO!$Q$5:$Q$200,0)),"chave inexistente"))</f>
        <v/>
      </c>
      <c r="F323" s="1"/>
      <c r="G323" s="35"/>
      <c r="H323" s="13"/>
      <c r="I323" s="13"/>
      <c r="J323" s="1"/>
      <c r="K323" s="1"/>
      <c r="L323" s="5" t="str">
        <f t="shared" si="4"/>
        <v/>
      </c>
      <c r="M323" s="1"/>
    </row>
    <row r="324" spans="1:13" x14ac:dyDescent="0.35">
      <c r="A324" s="13"/>
      <c r="B324" s="1"/>
      <c r="C324" s="1"/>
      <c r="D324" s="1"/>
      <c r="E324" s="5" t="str">
        <f>IF(D324="","",IFERROR(INDEX(ORCAMENTO!$I$5:$I$200,MATCH(D324,ORCAMENTO!$Q$5:$Q$200,0)),"chave inexistente"))</f>
        <v/>
      </c>
      <c r="F324" s="1"/>
      <c r="G324" s="35"/>
      <c r="H324" s="13"/>
      <c r="I324" s="13"/>
      <c r="J324" s="1"/>
      <c r="K324" s="1"/>
      <c r="L324" s="5" t="str">
        <f t="shared" si="4"/>
        <v/>
      </c>
      <c r="M324" s="1"/>
    </row>
    <row r="325" spans="1:13" x14ac:dyDescent="0.35">
      <c r="A325" s="13"/>
      <c r="B325" s="1"/>
      <c r="C325" s="1"/>
      <c r="D325" s="1"/>
      <c r="E325" s="5" t="str">
        <f>IF(D325="","",IFERROR(INDEX(ORCAMENTO!$I$5:$I$200,MATCH(D325,ORCAMENTO!$Q$5:$Q$200,0)),"chave inexistente"))</f>
        <v/>
      </c>
      <c r="F325" s="1"/>
      <c r="G325" s="35"/>
      <c r="H325" s="13"/>
      <c r="I325" s="13"/>
      <c r="J325" s="1"/>
      <c r="K325" s="1"/>
      <c r="L325" s="5" t="str">
        <f t="shared" si="4"/>
        <v/>
      </c>
      <c r="M325" s="1"/>
    </row>
    <row r="326" spans="1:13" x14ac:dyDescent="0.35">
      <c r="A326" s="13"/>
      <c r="B326" s="1"/>
      <c r="C326" s="1"/>
      <c r="D326" s="1"/>
      <c r="E326" s="5" t="str">
        <f>IF(D326="","",IFERROR(INDEX(ORCAMENTO!$I$5:$I$200,MATCH(D326,ORCAMENTO!$Q$5:$Q$200,0)),"chave inexistente"))</f>
        <v/>
      </c>
      <c r="F326" s="1"/>
      <c r="G326" s="35"/>
      <c r="H326" s="13"/>
      <c r="I326" s="13"/>
      <c r="J326" s="1"/>
      <c r="K326" s="1"/>
      <c r="L326" s="5" t="str">
        <f t="shared" ref="L326:L389" si="5">IF(A326="","",IF(J326="Entregue","Entregue",IF(J326="Cancelado","Cancelado",IF(AND(H326&lt;&gt;"",DataRef&gt;H326),"ATRASADA","No prazo"))))</f>
        <v/>
      </c>
      <c r="M326" s="1"/>
    </row>
    <row r="327" spans="1:13" x14ac:dyDescent="0.35">
      <c r="A327" s="13"/>
      <c r="B327" s="1"/>
      <c r="C327" s="1"/>
      <c r="D327" s="1"/>
      <c r="E327" s="5" t="str">
        <f>IF(D327="","",IFERROR(INDEX(ORCAMENTO!$I$5:$I$200,MATCH(D327,ORCAMENTO!$Q$5:$Q$200,0)),"chave inexistente"))</f>
        <v/>
      </c>
      <c r="F327" s="1"/>
      <c r="G327" s="35"/>
      <c r="H327" s="13"/>
      <c r="I327" s="13"/>
      <c r="J327" s="1"/>
      <c r="K327" s="1"/>
      <c r="L327" s="5" t="str">
        <f t="shared" si="5"/>
        <v/>
      </c>
      <c r="M327" s="1"/>
    </row>
    <row r="328" spans="1:13" x14ac:dyDescent="0.35">
      <c r="A328" s="13"/>
      <c r="B328" s="1"/>
      <c r="C328" s="1"/>
      <c r="D328" s="1"/>
      <c r="E328" s="5" t="str">
        <f>IF(D328="","",IFERROR(INDEX(ORCAMENTO!$I$5:$I$200,MATCH(D328,ORCAMENTO!$Q$5:$Q$200,0)),"chave inexistente"))</f>
        <v/>
      </c>
      <c r="F328" s="1"/>
      <c r="G328" s="35"/>
      <c r="H328" s="13"/>
      <c r="I328" s="13"/>
      <c r="J328" s="1"/>
      <c r="K328" s="1"/>
      <c r="L328" s="5" t="str">
        <f t="shared" si="5"/>
        <v/>
      </c>
      <c r="M328" s="1"/>
    </row>
    <row r="329" spans="1:13" x14ac:dyDescent="0.35">
      <c r="A329" s="13"/>
      <c r="B329" s="1"/>
      <c r="C329" s="1"/>
      <c r="D329" s="1"/>
      <c r="E329" s="5" t="str">
        <f>IF(D329="","",IFERROR(INDEX(ORCAMENTO!$I$5:$I$200,MATCH(D329,ORCAMENTO!$Q$5:$Q$200,0)),"chave inexistente"))</f>
        <v/>
      </c>
      <c r="F329" s="1"/>
      <c r="G329" s="35"/>
      <c r="H329" s="13"/>
      <c r="I329" s="13"/>
      <c r="J329" s="1"/>
      <c r="K329" s="1"/>
      <c r="L329" s="5" t="str">
        <f t="shared" si="5"/>
        <v/>
      </c>
      <c r="M329" s="1"/>
    </row>
    <row r="330" spans="1:13" x14ac:dyDescent="0.35">
      <c r="A330" s="13"/>
      <c r="B330" s="1"/>
      <c r="C330" s="1"/>
      <c r="D330" s="1"/>
      <c r="E330" s="5" t="str">
        <f>IF(D330="","",IFERROR(INDEX(ORCAMENTO!$I$5:$I$200,MATCH(D330,ORCAMENTO!$Q$5:$Q$200,0)),"chave inexistente"))</f>
        <v/>
      </c>
      <c r="F330" s="1"/>
      <c r="G330" s="35"/>
      <c r="H330" s="13"/>
      <c r="I330" s="13"/>
      <c r="J330" s="1"/>
      <c r="K330" s="1"/>
      <c r="L330" s="5" t="str">
        <f t="shared" si="5"/>
        <v/>
      </c>
      <c r="M330" s="1"/>
    </row>
    <row r="331" spans="1:13" x14ac:dyDescent="0.35">
      <c r="A331" s="13"/>
      <c r="B331" s="1"/>
      <c r="C331" s="1"/>
      <c r="D331" s="1"/>
      <c r="E331" s="5" t="str">
        <f>IF(D331="","",IFERROR(INDEX(ORCAMENTO!$I$5:$I$200,MATCH(D331,ORCAMENTO!$Q$5:$Q$200,0)),"chave inexistente"))</f>
        <v/>
      </c>
      <c r="F331" s="1"/>
      <c r="G331" s="35"/>
      <c r="H331" s="13"/>
      <c r="I331" s="13"/>
      <c r="J331" s="1"/>
      <c r="K331" s="1"/>
      <c r="L331" s="5" t="str">
        <f t="shared" si="5"/>
        <v/>
      </c>
      <c r="M331" s="1"/>
    </row>
    <row r="332" spans="1:13" x14ac:dyDescent="0.35">
      <c r="A332" s="13"/>
      <c r="B332" s="1"/>
      <c r="C332" s="1"/>
      <c r="D332" s="1"/>
      <c r="E332" s="5" t="str">
        <f>IF(D332="","",IFERROR(INDEX(ORCAMENTO!$I$5:$I$200,MATCH(D332,ORCAMENTO!$Q$5:$Q$200,0)),"chave inexistente"))</f>
        <v/>
      </c>
      <c r="F332" s="1"/>
      <c r="G332" s="35"/>
      <c r="H332" s="13"/>
      <c r="I332" s="13"/>
      <c r="J332" s="1"/>
      <c r="K332" s="1"/>
      <c r="L332" s="5" t="str">
        <f t="shared" si="5"/>
        <v/>
      </c>
      <c r="M332" s="1"/>
    </row>
    <row r="333" spans="1:13" x14ac:dyDescent="0.35">
      <c r="A333" s="13"/>
      <c r="B333" s="1"/>
      <c r="C333" s="1"/>
      <c r="D333" s="1"/>
      <c r="E333" s="5" t="str">
        <f>IF(D333="","",IFERROR(INDEX(ORCAMENTO!$I$5:$I$200,MATCH(D333,ORCAMENTO!$Q$5:$Q$200,0)),"chave inexistente"))</f>
        <v/>
      </c>
      <c r="F333" s="1"/>
      <c r="G333" s="35"/>
      <c r="H333" s="13"/>
      <c r="I333" s="13"/>
      <c r="J333" s="1"/>
      <c r="K333" s="1"/>
      <c r="L333" s="5" t="str">
        <f t="shared" si="5"/>
        <v/>
      </c>
      <c r="M333" s="1"/>
    </row>
    <row r="334" spans="1:13" x14ac:dyDescent="0.35">
      <c r="A334" s="13"/>
      <c r="B334" s="1"/>
      <c r="C334" s="1"/>
      <c r="D334" s="1"/>
      <c r="E334" s="5" t="str">
        <f>IF(D334="","",IFERROR(INDEX(ORCAMENTO!$I$5:$I$200,MATCH(D334,ORCAMENTO!$Q$5:$Q$200,0)),"chave inexistente"))</f>
        <v/>
      </c>
      <c r="F334" s="1"/>
      <c r="G334" s="35"/>
      <c r="H334" s="13"/>
      <c r="I334" s="13"/>
      <c r="J334" s="1"/>
      <c r="K334" s="1"/>
      <c r="L334" s="5" t="str">
        <f t="shared" si="5"/>
        <v/>
      </c>
      <c r="M334" s="1"/>
    </row>
    <row r="335" spans="1:13" x14ac:dyDescent="0.35">
      <c r="A335" s="13"/>
      <c r="B335" s="1"/>
      <c r="C335" s="1"/>
      <c r="D335" s="1"/>
      <c r="E335" s="5" t="str">
        <f>IF(D335="","",IFERROR(INDEX(ORCAMENTO!$I$5:$I$200,MATCH(D335,ORCAMENTO!$Q$5:$Q$200,0)),"chave inexistente"))</f>
        <v/>
      </c>
      <c r="F335" s="1"/>
      <c r="G335" s="35"/>
      <c r="H335" s="13"/>
      <c r="I335" s="13"/>
      <c r="J335" s="1"/>
      <c r="K335" s="1"/>
      <c r="L335" s="5" t="str">
        <f t="shared" si="5"/>
        <v/>
      </c>
      <c r="M335" s="1"/>
    </row>
    <row r="336" spans="1:13" x14ac:dyDescent="0.35">
      <c r="A336" s="13"/>
      <c r="B336" s="1"/>
      <c r="C336" s="1"/>
      <c r="D336" s="1"/>
      <c r="E336" s="5" t="str">
        <f>IF(D336="","",IFERROR(INDEX(ORCAMENTO!$I$5:$I$200,MATCH(D336,ORCAMENTO!$Q$5:$Q$200,0)),"chave inexistente"))</f>
        <v/>
      </c>
      <c r="F336" s="1"/>
      <c r="G336" s="35"/>
      <c r="H336" s="13"/>
      <c r="I336" s="13"/>
      <c r="J336" s="1"/>
      <c r="K336" s="1"/>
      <c r="L336" s="5" t="str">
        <f t="shared" si="5"/>
        <v/>
      </c>
      <c r="M336" s="1"/>
    </row>
    <row r="337" spans="1:13" x14ac:dyDescent="0.35">
      <c r="A337" s="13"/>
      <c r="B337" s="1"/>
      <c r="C337" s="1"/>
      <c r="D337" s="1"/>
      <c r="E337" s="5" t="str">
        <f>IF(D337="","",IFERROR(INDEX(ORCAMENTO!$I$5:$I$200,MATCH(D337,ORCAMENTO!$Q$5:$Q$200,0)),"chave inexistente"))</f>
        <v/>
      </c>
      <c r="F337" s="1"/>
      <c r="G337" s="35"/>
      <c r="H337" s="13"/>
      <c r="I337" s="13"/>
      <c r="J337" s="1"/>
      <c r="K337" s="1"/>
      <c r="L337" s="5" t="str">
        <f t="shared" si="5"/>
        <v/>
      </c>
      <c r="M337" s="1"/>
    </row>
    <row r="338" spans="1:13" x14ac:dyDescent="0.35">
      <c r="A338" s="13"/>
      <c r="B338" s="1"/>
      <c r="C338" s="1"/>
      <c r="D338" s="1"/>
      <c r="E338" s="5" t="str">
        <f>IF(D338="","",IFERROR(INDEX(ORCAMENTO!$I$5:$I$200,MATCH(D338,ORCAMENTO!$Q$5:$Q$200,0)),"chave inexistente"))</f>
        <v/>
      </c>
      <c r="F338" s="1"/>
      <c r="G338" s="35"/>
      <c r="H338" s="13"/>
      <c r="I338" s="13"/>
      <c r="J338" s="1"/>
      <c r="K338" s="1"/>
      <c r="L338" s="5" t="str">
        <f t="shared" si="5"/>
        <v/>
      </c>
      <c r="M338" s="1"/>
    </row>
    <row r="339" spans="1:13" x14ac:dyDescent="0.35">
      <c r="A339" s="13"/>
      <c r="B339" s="1"/>
      <c r="C339" s="1"/>
      <c r="D339" s="1"/>
      <c r="E339" s="5" t="str">
        <f>IF(D339="","",IFERROR(INDEX(ORCAMENTO!$I$5:$I$200,MATCH(D339,ORCAMENTO!$Q$5:$Q$200,0)),"chave inexistente"))</f>
        <v/>
      </c>
      <c r="F339" s="1"/>
      <c r="G339" s="35"/>
      <c r="H339" s="13"/>
      <c r="I339" s="13"/>
      <c r="J339" s="1"/>
      <c r="K339" s="1"/>
      <c r="L339" s="5" t="str">
        <f t="shared" si="5"/>
        <v/>
      </c>
      <c r="M339" s="1"/>
    </row>
    <row r="340" spans="1:13" x14ac:dyDescent="0.35">
      <c r="A340" s="13"/>
      <c r="B340" s="1"/>
      <c r="C340" s="1"/>
      <c r="D340" s="1"/>
      <c r="E340" s="5" t="str">
        <f>IF(D340="","",IFERROR(INDEX(ORCAMENTO!$I$5:$I$200,MATCH(D340,ORCAMENTO!$Q$5:$Q$200,0)),"chave inexistente"))</f>
        <v/>
      </c>
      <c r="F340" s="1"/>
      <c r="G340" s="35"/>
      <c r="H340" s="13"/>
      <c r="I340" s="13"/>
      <c r="J340" s="1"/>
      <c r="K340" s="1"/>
      <c r="L340" s="5" t="str">
        <f t="shared" si="5"/>
        <v/>
      </c>
      <c r="M340" s="1"/>
    </row>
    <row r="341" spans="1:13" x14ac:dyDescent="0.35">
      <c r="A341" s="13"/>
      <c r="B341" s="1"/>
      <c r="C341" s="1"/>
      <c r="D341" s="1"/>
      <c r="E341" s="5" t="str">
        <f>IF(D341="","",IFERROR(INDEX(ORCAMENTO!$I$5:$I$200,MATCH(D341,ORCAMENTO!$Q$5:$Q$200,0)),"chave inexistente"))</f>
        <v/>
      </c>
      <c r="F341" s="1"/>
      <c r="G341" s="35"/>
      <c r="H341" s="13"/>
      <c r="I341" s="13"/>
      <c r="J341" s="1"/>
      <c r="K341" s="1"/>
      <c r="L341" s="5" t="str">
        <f t="shared" si="5"/>
        <v/>
      </c>
      <c r="M341" s="1"/>
    </row>
    <row r="342" spans="1:13" x14ac:dyDescent="0.35">
      <c r="A342" s="13"/>
      <c r="B342" s="1"/>
      <c r="C342" s="1"/>
      <c r="D342" s="1"/>
      <c r="E342" s="5" t="str">
        <f>IF(D342="","",IFERROR(INDEX(ORCAMENTO!$I$5:$I$200,MATCH(D342,ORCAMENTO!$Q$5:$Q$200,0)),"chave inexistente"))</f>
        <v/>
      </c>
      <c r="F342" s="1"/>
      <c r="G342" s="35"/>
      <c r="H342" s="13"/>
      <c r="I342" s="13"/>
      <c r="J342" s="1"/>
      <c r="K342" s="1"/>
      <c r="L342" s="5" t="str">
        <f t="shared" si="5"/>
        <v/>
      </c>
      <c r="M342" s="1"/>
    </row>
    <row r="343" spans="1:13" x14ac:dyDescent="0.35">
      <c r="A343" s="13"/>
      <c r="B343" s="1"/>
      <c r="C343" s="1"/>
      <c r="D343" s="1"/>
      <c r="E343" s="5" t="str">
        <f>IF(D343="","",IFERROR(INDEX(ORCAMENTO!$I$5:$I$200,MATCH(D343,ORCAMENTO!$Q$5:$Q$200,0)),"chave inexistente"))</f>
        <v/>
      </c>
      <c r="F343" s="1"/>
      <c r="G343" s="35"/>
      <c r="H343" s="13"/>
      <c r="I343" s="13"/>
      <c r="J343" s="1"/>
      <c r="K343" s="1"/>
      <c r="L343" s="5" t="str">
        <f t="shared" si="5"/>
        <v/>
      </c>
      <c r="M343" s="1"/>
    </row>
    <row r="344" spans="1:13" x14ac:dyDescent="0.35">
      <c r="A344" s="13"/>
      <c r="B344" s="1"/>
      <c r="C344" s="1"/>
      <c r="D344" s="1"/>
      <c r="E344" s="5" t="str">
        <f>IF(D344="","",IFERROR(INDEX(ORCAMENTO!$I$5:$I$200,MATCH(D344,ORCAMENTO!$Q$5:$Q$200,0)),"chave inexistente"))</f>
        <v/>
      </c>
      <c r="F344" s="1"/>
      <c r="G344" s="35"/>
      <c r="H344" s="13"/>
      <c r="I344" s="13"/>
      <c r="J344" s="1"/>
      <c r="K344" s="1"/>
      <c r="L344" s="5" t="str">
        <f t="shared" si="5"/>
        <v/>
      </c>
      <c r="M344" s="1"/>
    </row>
    <row r="345" spans="1:13" x14ac:dyDescent="0.35">
      <c r="A345" s="13"/>
      <c r="B345" s="1"/>
      <c r="C345" s="1"/>
      <c r="D345" s="1"/>
      <c r="E345" s="5" t="str">
        <f>IF(D345="","",IFERROR(INDEX(ORCAMENTO!$I$5:$I$200,MATCH(D345,ORCAMENTO!$Q$5:$Q$200,0)),"chave inexistente"))</f>
        <v/>
      </c>
      <c r="F345" s="1"/>
      <c r="G345" s="35"/>
      <c r="H345" s="13"/>
      <c r="I345" s="13"/>
      <c r="J345" s="1"/>
      <c r="K345" s="1"/>
      <c r="L345" s="5" t="str">
        <f t="shared" si="5"/>
        <v/>
      </c>
      <c r="M345" s="1"/>
    </row>
    <row r="346" spans="1:13" x14ac:dyDescent="0.35">
      <c r="A346" s="13"/>
      <c r="B346" s="1"/>
      <c r="C346" s="1"/>
      <c r="D346" s="1"/>
      <c r="E346" s="5" t="str">
        <f>IF(D346="","",IFERROR(INDEX(ORCAMENTO!$I$5:$I$200,MATCH(D346,ORCAMENTO!$Q$5:$Q$200,0)),"chave inexistente"))</f>
        <v/>
      </c>
      <c r="F346" s="1"/>
      <c r="G346" s="35"/>
      <c r="H346" s="13"/>
      <c r="I346" s="13"/>
      <c r="J346" s="1"/>
      <c r="K346" s="1"/>
      <c r="L346" s="5" t="str">
        <f t="shared" si="5"/>
        <v/>
      </c>
      <c r="M346" s="1"/>
    </row>
    <row r="347" spans="1:13" x14ac:dyDescent="0.35">
      <c r="A347" s="13"/>
      <c r="B347" s="1"/>
      <c r="C347" s="1"/>
      <c r="D347" s="1"/>
      <c r="E347" s="5" t="str">
        <f>IF(D347="","",IFERROR(INDEX(ORCAMENTO!$I$5:$I$200,MATCH(D347,ORCAMENTO!$Q$5:$Q$200,0)),"chave inexistente"))</f>
        <v/>
      </c>
      <c r="F347" s="1"/>
      <c r="G347" s="35"/>
      <c r="H347" s="13"/>
      <c r="I347" s="13"/>
      <c r="J347" s="1"/>
      <c r="K347" s="1"/>
      <c r="L347" s="5" t="str">
        <f t="shared" si="5"/>
        <v/>
      </c>
      <c r="M347" s="1"/>
    </row>
    <row r="348" spans="1:13" x14ac:dyDescent="0.35">
      <c r="A348" s="13"/>
      <c r="B348" s="1"/>
      <c r="C348" s="1"/>
      <c r="D348" s="1"/>
      <c r="E348" s="5" t="str">
        <f>IF(D348="","",IFERROR(INDEX(ORCAMENTO!$I$5:$I$200,MATCH(D348,ORCAMENTO!$Q$5:$Q$200,0)),"chave inexistente"))</f>
        <v/>
      </c>
      <c r="F348" s="1"/>
      <c r="G348" s="35"/>
      <c r="H348" s="13"/>
      <c r="I348" s="13"/>
      <c r="J348" s="1"/>
      <c r="K348" s="1"/>
      <c r="L348" s="5" t="str">
        <f t="shared" si="5"/>
        <v/>
      </c>
      <c r="M348" s="1"/>
    </row>
    <row r="349" spans="1:13" x14ac:dyDescent="0.35">
      <c r="A349" s="13"/>
      <c r="B349" s="1"/>
      <c r="C349" s="1"/>
      <c r="D349" s="1"/>
      <c r="E349" s="5" t="str">
        <f>IF(D349="","",IFERROR(INDEX(ORCAMENTO!$I$5:$I$200,MATCH(D349,ORCAMENTO!$Q$5:$Q$200,0)),"chave inexistente"))</f>
        <v/>
      </c>
      <c r="F349" s="1"/>
      <c r="G349" s="35"/>
      <c r="H349" s="13"/>
      <c r="I349" s="13"/>
      <c r="J349" s="1"/>
      <c r="K349" s="1"/>
      <c r="L349" s="5" t="str">
        <f t="shared" si="5"/>
        <v/>
      </c>
      <c r="M349" s="1"/>
    </row>
    <row r="350" spans="1:13" x14ac:dyDescent="0.35">
      <c r="A350" s="13"/>
      <c r="B350" s="1"/>
      <c r="C350" s="1"/>
      <c r="D350" s="1"/>
      <c r="E350" s="5" t="str">
        <f>IF(D350="","",IFERROR(INDEX(ORCAMENTO!$I$5:$I$200,MATCH(D350,ORCAMENTO!$Q$5:$Q$200,0)),"chave inexistente"))</f>
        <v/>
      </c>
      <c r="F350" s="1"/>
      <c r="G350" s="35"/>
      <c r="H350" s="13"/>
      <c r="I350" s="13"/>
      <c r="J350" s="1"/>
      <c r="K350" s="1"/>
      <c r="L350" s="5" t="str">
        <f t="shared" si="5"/>
        <v/>
      </c>
      <c r="M350" s="1"/>
    </row>
    <row r="351" spans="1:13" x14ac:dyDescent="0.35">
      <c r="A351" s="13"/>
      <c r="B351" s="1"/>
      <c r="C351" s="1"/>
      <c r="D351" s="1"/>
      <c r="E351" s="5" t="str">
        <f>IF(D351="","",IFERROR(INDEX(ORCAMENTO!$I$5:$I$200,MATCH(D351,ORCAMENTO!$Q$5:$Q$200,0)),"chave inexistente"))</f>
        <v/>
      </c>
      <c r="F351" s="1"/>
      <c r="G351" s="35"/>
      <c r="H351" s="13"/>
      <c r="I351" s="13"/>
      <c r="J351" s="1"/>
      <c r="K351" s="1"/>
      <c r="L351" s="5" t="str">
        <f t="shared" si="5"/>
        <v/>
      </c>
      <c r="M351" s="1"/>
    </row>
    <row r="352" spans="1:13" x14ac:dyDescent="0.35">
      <c r="A352" s="13"/>
      <c r="B352" s="1"/>
      <c r="C352" s="1"/>
      <c r="D352" s="1"/>
      <c r="E352" s="5" t="str">
        <f>IF(D352="","",IFERROR(INDEX(ORCAMENTO!$I$5:$I$200,MATCH(D352,ORCAMENTO!$Q$5:$Q$200,0)),"chave inexistente"))</f>
        <v/>
      </c>
      <c r="F352" s="1"/>
      <c r="G352" s="35"/>
      <c r="H352" s="13"/>
      <c r="I352" s="13"/>
      <c r="J352" s="1"/>
      <c r="K352" s="1"/>
      <c r="L352" s="5" t="str">
        <f t="shared" si="5"/>
        <v/>
      </c>
      <c r="M352" s="1"/>
    </row>
    <row r="353" spans="1:13" x14ac:dyDescent="0.35">
      <c r="A353" s="13"/>
      <c r="B353" s="1"/>
      <c r="C353" s="1"/>
      <c r="D353" s="1"/>
      <c r="E353" s="5" t="str">
        <f>IF(D353="","",IFERROR(INDEX(ORCAMENTO!$I$5:$I$200,MATCH(D353,ORCAMENTO!$Q$5:$Q$200,0)),"chave inexistente"))</f>
        <v/>
      </c>
      <c r="F353" s="1"/>
      <c r="G353" s="35"/>
      <c r="H353" s="13"/>
      <c r="I353" s="13"/>
      <c r="J353" s="1"/>
      <c r="K353" s="1"/>
      <c r="L353" s="5" t="str">
        <f t="shared" si="5"/>
        <v/>
      </c>
      <c r="M353" s="1"/>
    </row>
    <row r="354" spans="1:13" x14ac:dyDescent="0.35">
      <c r="A354" s="13"/>
      <c r="B354" s="1"/>
      <c r="C354" s="1"/>
      <c r="D354" s="1"/>
      <c r="E354" s="5" t="str">
        <f>IF(D354="","",IFERROR(INDEX(ORCAMENTO!$I$5:$I$200,MATCH(D354,ORCAMENTO!$Q$5:$Q$200,0)),"chave inexistente"))</f>
        <v/>
      </c>
      <c r="F354" s="1"/>
      <c r="G354" s="35"/>
      <c r="H354" s="13"/>
      <c r="I354" s="13"/>
      <c r="J354" s="1"/>
      <c r="K354" s="1"/>
      <c r="L354" s="5" t="str">
        <f t="shared" si="5"/>
        <v/>
      </c>
      <c r="M354" s="1"/>
    </row>
    <row r="355" spans="1:13" x14ac:dyDescent="0.35">
      <c r="A355" s="13"/>
      <c r="B355" s="1"/>
      <c r="C355" s="1"/>
      <c r="D355" s="1"/>
      <c r="E355" s="5" t="str">
        <f>IF(D355="","",IFERROR(INDEX(ORCAMENTO!$I$5:$I$200,MATCH(D355,ORCAMENTO!$Q$5:$Q$200,0)),"chave inexistente"))</f>
        <v/>
      </c>
      <c r="F355" s="1"/>
      <c r="G355" s="35"/>
      <c r="H355" s="13"/>
      <c r="I355" s="13"/>
      <c r="J355" s="1"/>
      <c r="K355" s="1"/>
      <c r="L355" s="5" t="str">
        <f t="shared" si="5"/>
        <v/>
      </c>
      <c r="M355" s="1"/>
    </row>
    <row r="356" spans="1:13" x14ac:dyDescent="0.35">
      <c r="A356" s="13"/>
      <c r="B356" s="1"/>
      <c r="C356" s="1"/>
      <c r="D356" s="1"/>
      <c r="E356" s="5" t="str">
        <f>IF(D356="","",IFERROR(INDEX(ORCAMENTO!$I$5:$I$200,MATCH(D356,ORCAMENTO!$Q$5:$Q$200,0)),"chave inexistente"))</f>
        <v/>
      </c>
      <c r="F356" s="1"/>
      <c r="G356" s="35"/>
      <c r="H356" s="13"/>
      <c r="I356" s="13"/>
      <c r="J356" s="1"/>
      <c r="K356" s="1"/>
      <c r="L356" s="5" t="str">
        <f t="shared" si="5"/>
        <v/>
      </c>
      <c r="M356" s="1"/>
    </row>
    <row r="357" spans="1:13" x14ac:dyDescent="0.35">
      <c r="A357" s="13"/>
      <c r="B357" s="1"/>
      <c r="C357" s="1"/>
      <c r="D357" s="1"/>
      <c r="E357" s="5" t="str">
        <f>IF(D357="","",IFERROR(INDEX(ORCAMENTO!$I$5:$I$200,MATCH(D357,ORCAMENTO!$Q$5:$Q$200,0)),"chave inexistente"))</f>
        <v/>
      </c>
      <c r="F357" s="1"/>
      <c r="G357" s="35"/>
      <c r="H357" s="13"/>
      <c r="I357" s="13"/>
      <c r="J357" s="1"/>
      <c r="K357" s="1"/>
      <c r="L357" s="5" t="str">
        <f t="shared" si="5"/>
        <v/>
      </c>
      <c r="M357" s="1"/>
    </row>
    <row r="358" spans="1:13" x14ac:dyDescent="0.35">
      <c r="A358" s="13"/>
      <c r="B358" s="1"/>
      <c r="C358" s="1"/>
      <c r="D358" s="1"/>
      <c r="E358" s="5" t="str">
        <f>IF(D358="","",IFERROR(INDEX(ORCAMENTO!$I$5:$I$200,MATCH(D358,ORCAMENTO!$Q$5:$Q$200,0)),"chave inexistente"))</f>
        <v/>
      </c>
      <c r="F358" s="1"/>
      <c r="G358" s="35"/>
      <c r="H358" s="13"/>
      <c r="I358" s="13"/>
      <c r="J358" s="1"/>
      <c r="K358" s="1"/>
      <c r="L358" s="5" t="str">
        <f t="shared" si="5"/>
        <v/>
      </c>
      <c r="M358" s="1"/>
    </row>
    <row r="359" spans="1:13" x14ac:dyDescent="0.35">
      <c r="A359" s="13"/>
      <c r="B359" s="1"/>
      <c r="C359" s="1"/>
      <c r="D359" s="1"/>
      <c r="E359" s="5" t="str">
        <f>IF(D359="","",IFERROR(INDEX(ORCAMENTO!$I$5:$I$200,MATCH(D359,ORCAMENTO!$Q$5:$Q$200,0)),"chave inexistente"))</f>
        <v/>
      </c>
      <c r="F359" s="1"/>
      <c r="G359" s="35"/>
      <c r="H359" s="13"/>
      <c r="I359" s="13"/>
      <c r="J359" s="1"/>
      <c r="K359" s="1"/>
      <c r="L359" s="5" t="str">
        <f t="shared" si="5"/>
        <v/>
      </c>
      <c r="M359" s="1"/>
    </row>
    <row r="360" spans="1:13" x14ac:dyDescent="0.35">
      <c r="A360" s="13"/>
      <c r="B360" s="1"/>
      <c r="C360" s="1"/>
      <c r="D360" s="1"/>
      <c r="E360" s="5" t="str">
        <f>IF(D360="","",IFERROR(INDEX(ORCAMENTO!$I$5:$I$200,MATCH(D360,ORCAMENTO!$Q$5:$Q$200,0)),"chave inexistente"))</f>
        <v/>
      </c>
      <c r="F360" s="1"/>
      <c r="G360" s="35"/>
      <c r="H360" s="13"/>
      <c r="I360" s="13"/>
      <c r="J360" s="1"/>
      <c r="K360" s="1"/>
      <c r="L360" s="5" t="str">
        <f t="shared" si="5"/>
        <v/>
      </c>
      <c r="M360" s="1"/>
    </row>
    <row r="361" spans="1:13" x14ac:dyDescent="0.35">
      <c r="A361" s="13"/>
      <c r="B361" s="1"/>
      <c r="C361" s="1"/>
      <c r="D361" s="1"/>
      <c r="E361" s="5" t="str">
        <f>IF(D361="","",IFERROR(INDEX(ORCAMENTO!$I$5:$I$200,MATCH(D361,ORCAMENTO!$Q$5:$Q$200,0)),"chave inexistente"))</f>
        <v/>
      </c>
      <c r="F361" s="1"/>
      <c r="G361" s="35"/>
      <c r="H361" s="13"/>
      <c r="I361" s="13"/>
      <c r="J361" s="1"/>
      <c r="K361" s="1"/>
      <c r="L361" s="5" t="str">
        <f t="shared" si="5"/>
        <v/>
      </c>
      <c r="M361" s="1"/>
    </row>
    <row r="362" spans="1:13" x14ac:dyDescent="0.35">
      <c r="A362" s="13"/>
      <c r="B362" s="1"/>
      <c r="C362" s="1"/>
      <c r="D362" s="1"/>
      <c r="E362" s="5" t="str">
        <f>IF(D362="","",IFERROR(INDEX(ORCAMENTO!$I$5:$I$200,MATCH(D362,ORCAMENTO!$Q$5:$Q$200,0)),"chave inexistente"))</f>
        <v/>
      </c>
      <c r="F362" s="1"/>
      <c r="G362" s="35"/>
      <c r="H362" s="13"/>
      <c r="I362" s="13"/>
      <c r="J362" s="1"/>
      <c r="K362" s="1"/>
      <c r="L362" s="5" t="str">
        <f t="shared" si="5"/>
        <v/>
      </c>
      <c r="M362" s="1"/>
    </row>
    <row r="363" spans="1:13" x14ac:dyDescent="0.35">
      <c r="A363" s="13"/>
      <c r="B363" s="1"/>
      <c r="C363" s="1"/>
      <c r="D363" s="1"/>
      <c r="E363" s="5" t="str">
        <f>IF(D363="","",IFERROR(INDEX(ORCAMENTO!$I$5:$I$200,MATCH(D363,ORCAMENTO!$Q$5:$Q$200,0)),"chave inexistente"))</f>
        <v/>
      </c>
      <c r="F363" s="1"/>
      <c r="G363" s="35"/>
      <c r="H363" s="13"/>
      <c r="I363" s="13"/>
      <c r="J363" s="1"/>
      <c r="K363" s="1"/>
      <c r="L363" s="5" t="str">
        <f t="shared" si="5"/>
        <v/>
      </c>
      <c r="M363" s="1"/>
    </row>
    <row r="364" spans="1:13" x14ac:dyDescent="0.35">
      <c r="A364" s="13"/>
      <c r="B364" s="1"/>
      <c r="C364" s="1"/>
      <c r="D364" s="1"/>
      <c r="E364" s="5" t="str">
        <f>IF(D364="","",IFERROR(INDEX(ORCAMENTO!$I$5:$I$200,MATCH(D364,ORCAMENTO!$Q$5:$Q$200,0)),"chave inexistente"))</f>
        <v/>
      </c>
      <c r="F364" s="1"/>
      <c r="G364" s="35"/>
      <c r="H364" s="13"/>
      <c r="I364" s="13"/>
      <c r="J364" s="1"/>
      <c r="K364" s="1"/>
      <c r="L364" s="5" t="str">
        <f t="shared" si="5"/>
        <v/>
      </c>
      <c r="M364" s="1"/>
    </row>
    <row r="365" spans="1:13" x14ac:dyDescent="0.35">
      <c r="A365" s="13"/>
      <c r="B365" s="1"/>
      <c r="C365" s="1"/>
      <c r="D365" s="1"/>
      <c r="E365" s="5" t="str">
        <f>IF(D365="","",IFERROR(INDEX(ORCAMENTO!$I$5:$I$200,MATCH(D365,ORCAMENTO!$Q$5:$Q$200,0)),"chave inexistente"))</f>
        <v/>
      </c>
      <c r="F365" s="1"/>
      <c r="G365" s="35"/>
      <c r="H365" s="13"/>
      <c r="I365" s="13"/>
      <c r="J365" s="1"/>
      <c r="K365" s="1"/>
      <c r="L365" s="5" t="str">
        <f t="shared" si="5"/>
        <v/>
      </c>
      <c r="M365" s="1"/>
    </row>
    <row r="366" spans="1:13" x14ac:dyDescent="0.35">
      <c r="A366" s="13"/>
      <c r="B366" s="1"/>
      <c r="C366" s="1"/>
      <c r="D366" s="1"/>
      <c r="E366" s="5" t="str">
        <f>IF(D366="","",IFERROR(INDEX(ORCAMENTO!$I$5:$I$200,MATCH(D366,ORCAMENTO!$Q$5:$Q$200,0)),"chave inexistente"))</f>
        <v/>
      </c>
      <c r="F366" s="1"/>
      <c r="G366" s="35"/>
      <c r="H366" s="13"/>
      <c r="I366" s="13"/>
      <c r="J366" s="1"/>
      <c r="K366" s="1"/>
      <c r="L366" s="5" t="str">
        <f t="shared" si="5"/>
        <v/>
      </c>
      <c r="M366" s="1"/>
    </row>
    <row r="367" spans="1:13" x14ac:dyDescent="0.35">
      <c r="A367" s="13"/>
      <c r="B367" s="1"/>
      <c r="C367" s="1"/>
      <c r="D367" s="1"/>
      <c r="E367" s="5" t="str">
        <f>IF(D367="","",IFERROR(INDEX(ORCAMENTO!$I$5:$I$200,MATCH(D367,ORCAMENTO!$Q$5:$Q$200,0)),"chave inexistente"))</f>
        <v/>
      </c>
      <c r="F367" s="1"/>
      <c r="G367" s="35"/>
      <c r="H367" s="13"/>
      <c r="I367" s="13"/>
      <c r="J367" s="1"/>
      <c r="K367" s="1"/>
      <c r="L367" s="5" t="str">
        <f t="shared" si="5"/>
        <v/>
      </c>
      <c r="M367" s="1"/>
    </row>
    <row r="368" spans="1:13" x14ac:dyDescent="0.35">
      <c r="A368" s="13"/>
      <c r="B368" s="1"/>
      <c r="C368" s="1"/>
      <c r="D368" s="1"/>
      <c r="E368" s="5" t="str">
        <f>IF(D368="","",IFERROR(INDEX(ORCAMENTO!$I$5:$I$200,MATCH(D368,ORCAMENTO!$Q$5:$Q$200,0)),"chave inexistente"))</f>
        <v/>
      </c>
      <c r="F368" s="1"/>
      <c r="G368" s="35"/>
      <c r="H368" s="13"/>
      <c r="I368" s="13"/>
      <c r="J368" s="1"/>
      <c r="K368" s="1"/>
      <c r="L368" s="5" t="str">
        <f t="shared" si="5"/>
        <v/>
      </c>
      <c r="M368" s="1"/>
    </row>
    <row r="369" spans="1:13" x14ac:dyDescent="0.35">
      <c r="A369" s="13"/>
      <c r="B369" s="1"/>
      <c r="C369" s="1"/>
      <c r="D369" s="1"/>
      <c r="E369" s="5" t="str">
        <f>IF(D369="","",IFERROR(INDEX(ORCAMENTO!$I$5:$I$200,MATCH(D369,ORCAMENTO!$Q$5:$Q$200,0)),"chave inexistente"))</f>
        <v/>
      </c>
      <c r="F369" s="1"/>
      <c r="G369" s="35"/>
      <c r="H369" s="13"/>
      <c r="I369" s="13"/>
      <c r="J369" s="1"/>
      <c r="K369" s="1"/>
      <c r="L369" s="5" t="str">
        <f t="shared" si="5"/>
        <v/>
      </c>
      <c r="M369" s="1"/>
    </row>
    <row r="370" spans="1:13" x14ac:dyDescent="0.35">
      <c r="A370" s="13"/>
      <c r="B370" s="1"/>
      <c r="C370" s="1"/>
      <c r="D370" s="1"/>
      <c r="E370" s="5" t="str">
        <f>IF(D370="","",IFERROR(INDEX(ORCAMENTO!$I$5:$I$200,MATCH(D370,ORCAMENTO!$Q$5:$Q$200,0)),"chave inexistente"))</f>
        <v/>
      </c>
      <c r="F370" s="1"/>
      <c r="G370" s="35"/>
      <c r="H370" s="13"/>
      <c r="I370" s="13"/>
      <c r="J370" s="1"/>
      <c r="K370" s="1"/>
      <c r="L370" s="5" t="str">
        <f t="shared" si="5"/>
        <v/>
      </c>
      <c r="M370" s="1"/>
    </row>
    <row r="371" spans="1:13" x14ac:dyDescent="0.35">
      <c r="A371" s="13"/>
      <c r="B371" s="1"/>
      <c r="C371" s="1"/>
      <c r="D371" s="1"/>
      <c r="E371" s="5" t="str">
        <f>IF(D371="","",IFERROR(INDEX(ORCAMENTO!$I$5:$I$200,MATCH(D371,ORCAMENTO!$Q$5:$Q$200,0)),"chave inexistente"))</f>
        <v/>
      </c>
      <c r="F371" s="1"/>
      <c r="G371" s="35"/>
      <c r="H371" s="13"/>
      <c r="I371" s="13"/>
      <c r="J371" s="1"/>
      <c r="K371" s="1"/>
      <c r="L371" s="5" t="str">
        <f t="shared" si="5"/>
        <v/>
      </c>
      <c r="M371" s="1"/>
    </row>
    <row r="372" spans="1:13" x14ac:dyDescent="0.35">
      <c r="A372" s="13"/>
      <c r="B372" s="1"/>
      <c r="C372" s="1"/>
      <c r="D372" s="1"/>
      <c r="E372" s="5" t="str">
        <f>IF(D372="","",IFERROR(INDEX(ORCAMENTO!$I$5:$I$200,MATCH(D372,ORCAMENTO!$Q$5:$Q$200,0)),"chave inexistente"))</f>
        <v/>
      </c>
      <c r="F372" s="1"/>
      <c r="G372" s="35"/>
      <c r="H372" s="13"/>
      <c r="I372" s="13"/>
      <c r="J372" s="1"/>
      <c r="K372" s="1"/>
      <c r="L372" s="5" t="str">
        <f t="shared" si="5"/>
        <v/>
      </c>
      <c r="M372" s="1"/>
    </row>
    <row r="373" spans="1:13" x14ac:dyDescent="0.35">
      <c r="A373" s="13"/>
      <c r="B373" s="1"/>
      <c r="C373" s="1"/>
      <c r="D373" s="1"/>
      <c r="E373" s="5" t="str">
        <f>IF(D373="","",IFERROR(INDEX(ORCAMENTO!$I$5:$I$200,MATCH(D373,ORCAMENTO!$Q$5:$Q$200,0)),"chave inexistente"))</f>
        <v/>
      </c>
      <c r="F373" s="1"/>
      <c r="G373" s="35"/>
      <c r="H373" s="13"/>
      <c r="I373" s="13"/>
      <c r="J373" s="1"/>
      <c r="K373" s="1"/>
      <c r="L373" s="5" t="str">
        <f t="shared" si="5"/>
        <v/>
      </c>
      <c r="M373" s="1"/>
    </row>
    <row r="374" spans="1:13" x14ac:dyDescent="0.35">
      <c r="A374" s="13"/>
      <c r="B374" s="1"/>
      <c r="C374" s="1"/>
      <c r="D374" s="1"/>
      <c r="E374" s="5" t="str">
        <f>IF(D374="","",IFERROR(INDEX(ORCAMENTO!$I$5:$I$200,MATCH(D374,ORCAMENTO!$Q$5:$Q$200,0)),"chave inexistente"))</f>
        <v/>
      </c>
      <c r="F374" s="1"/>
      <c r="G374" s="35"/>
      <c r="H374" s="13"/>
      <c r="I374" s="13"/>
      <c r="J374" s="1"/>
      <c r="K374" s="1"/>
      <c r="L374" s="5" t="str">
        <f t="shared" si="5"/>
        <v/>
      </c>
      <c r="M374" s="1"/>
    </row>
    <row r="375" spans="1:13" x14ac:dyDescent="0.35">
      <c r="A375" s="13"/>
      <c r="B375" s="1"/>
      <c r="C375" s="1"/>
      <c r="D375" s="1"/>
      <c r="E375" s="5" t="str">
        <f>IF(D375="","",IFERROR(INDEX(ORCAMENTO!$I$5:$I$200,MATCH(D375,ORCAMENTO!$Q$5:$Q$200,0)),"chave inexistente"))</f>
        <v/>
      </c>
      <c r="F375" s="1"/>
      <c r="G375" s="35"/>
      <c r="H375" s="13"/>
      <c r="I375" s="13"/>
      <c r="J375" s="1"/>
      <c r="K375" s="1"/>
      <c r="L375" s="5" t="str">
        <f t="shared" si="5"/>
        <v/>
      </c>
      <c r="M375" s="1"/>
    </row>
    <row r="376" spans="1:13" x14ac:dyDescent="0.35">
      <c r="A376" s="13"/>
      <c r="B376" s="1"/>
      <c r="C376" s="1"/>
      <c r="D376" s="1"/>
      <c r="E376" s="5" t="str">
        <f>IF(D376="","",IFERROR(INDEX(ORCAMENTO!$I$5:$I$200,MATCH(D376,ORCAMENTO!$Q$5:$Q$200,0)),"chave inexistente"))</f>
        <v/>
      </c>
      <c r="F376" s="1"/>
      <c r="G376" s="35"/>
      <c r="H376" s="13"/>
      <c r="I376" s="13"/>
      <c r="J376" s="1"/>
      <c r="K376" s="1"/>
      <c r="L376" s="5" t="str">
        <f t="shared" si="5"/>
        <v/>
      </c>
      <c r="M376" s="1"/>
    </row>
    <row r="377" spans="1:13" x14ac:dyDescent="0.35">
      <c r="A377" s="13"/>
      <c r="B377" s="1"/>
      <c r="C377" s="1"/>
      <c r="D377" s="1"/>
      <c r="E377" s="5" t="str">
        <f>IF(D377="","",IFERROR(INDEX(ORCAMENTO!$I$5:$I$200,MATCH(D377,ORCAMENTO!$Q$5:$Q$200,0)),"chave inexistente"))</f>
        <v/>
      </c>
      <c r="F377" s="1"/>
      <c r="G377" s="35"/>
      <c r="H377" s="13"/>
      <c r="I377" s="13"/>
      <c r="J377" s="1"/>
      <c r="K377" s="1"/>
      <c r="L377" s="5" t="str">
        <f t="shared" si="5"/>
        <v/>
      </c>
      <c r="M377" s="1"/>
    </row>
    <row r="378" spans="1:13" x14ac:dyDescent="0.35">
      <c r="A378" s="13"/>
      <c r="B378" s="1"/>
      <c r="C378" s="1"/>
      <c r="D378" s="1"/>
      <c r="E378" s="5" t="str">
        <f>IF(D378="","",IFERROR(INDEX(ORCAMENTO!$I$5:$I$200,MATCH(D378,ORCAMENTO!$Q$5:$Q$200,0)),"chave inexistente"))</f>
        <v/>
      </c>
      <c r="F378" s="1"/>
      <c r="G378" s="35"/>
      <c r="H378" s="13"/>
      <c r="I378" s="13"/>
      <c r="J378" s="1"/>
      <c r="K378" s="1"/>
      <c r="L378" s="5" t="str">
        <f t="shared" si="5"/>
        <v/>
      </c>
      <c r="M378" s="1"/>
    </row>
    <row r="379" spans="1:13" x14ac:dyDescent="0.35">
      <c r="A379" s="13"/>
      <c r="B379" s="1"/>
      <c r="C379" s="1"/>
      <c r="D379" s="1"/>
      <c r="E379" s="5" t="str">
        <f>IF(D379="","",IFERROR(INDEX(ORCAMENTO!$I$5:$I$200,MATCH(D379,ORCAMENTO!$Q$5:$Q$200,0)),"chave inexistente"))</f>
        <v/>
      </c>
      <c r="F379" s="1"/>
      <c r="G379" s="35"/>
      <c r="H379" s="13"/>
      <c r="I379" s="13"/>
      <c r="J379" s="1"/>
      <c r="K379" s="1"/>
      <c r="L379" s="5" t="str">
        <f t="shared" si="5"/>
        <v/>
      </c>
      <c r="M379" s="1"/>
    </row>
    <row r="380" spans="1:13" x14ac:dyDescent="0.35">
      <c r="A380" s="13"/>
      <c r="B380" s="1"/>
      <c r="C380" s="1"/>
      <c r="D380" s="1"/>
      <c r="E380" s="5" t="str">
        <f>IF(D380="","",IFERROR(INDEX(ORCAMENTO!$I$5:$I$200,MATCH(D380,ORCAMENTO!$Q$5:$Q$200,0)),"chave inexistente"))</f>
        <v/>
      </c>
      <c r="F380" s="1"/>
      <c r="G380" s="35"/>
      <c r="H380" s="13"/>
      <c r="I380" s="13"/>
      <c r="J380" s="1"/>
      <c r="K380" s="1"/>
      <c r="L380" s="5" t="str">
        <f t="shared" si="5"/>
        <v/>
      </c>
      <c r="M380" s="1"/>
    </row>
    <row r="381" spans="1:13" x14ac:dyDescent="0.35">
      <c r="A381" s="13"/>
      <c r="B381" s="1"/>
      <c r="C381" s="1"/>
      <c r="D381" s="1"/>
      <c r="E381" s="5" t="str">
        <f>IF(D381="","",IFERROR(INDEX(ORCAMENTO!$I$5:$I$200,MATCH(D381,ORCAMENTO!$Q$5:$Q$200,0)),"chave inexistente"))</f>
        <v/>
      </c>
      <c r="F381" s="1"/>
      <c r="G381" s="35"/>
      <c r="H381" s="13"/>
      <c r="I381" s="13"/>
      <c r="J381" s="1"/>
      <c r="K381" s="1"/>
      <c r="L381" s="5" t="str">
        <f t="shared" si="5"/>
        <v/>
      </c>
      <c r="M381" s="1"/>
    </row>
    <row r="382" spans="1:13" x14ac:dyDescent="0.35">
      <c r="A382" s="13"/>
      <c r="B382" s="1"/>
      <c r="C382" s="1"/>
      <c r="D382" s="1"/>
      <c r="E382" s="5" t="str">
        <f>IF(D382="","",IFERROR(INDEX(ORCAMENTO!$I$5:$I$200,MATCH(D382,ORCAMENTO!$Q$5:$Q$200,0)),"chave inexistente"))</f>
        <v/>
      </c>
      <c r="F382" s="1"/>
      <c r="G382" s="35"/>
      <c r="H382" s="13"/>
      <c r="I382" s="13"/>
      <c r="J382" s="1"/>
      <c r="K382" s="1"/>
      <c r="L382" s="5" t="str">
        <f t="shared" si="5"/>
        <v/>
      </c>
      <c r="M382" s="1"/>
    </row>
    <row r="383" spans="1:13" x14ac:dyDescent="0.35">
      <c r="A383" s="13"/>
      <c r="B383" s="1"/>
      <c r="C383" s="1"/>
      <c r="D383" s="1"/>
      <c r="E383" s="5" t="str">
        <f>IF(D383="","",IFERROR(INDEX(ORCAMENTO!$I$5:$I$200,MATCH(D383,ORCAMENTO!$Q$5:$Q$200,0)),"chave inexistente"))</f>
        <v/>
      </c>
      <c r="F383" s="1"/>
      <c r="G383" s="35"/>
      <c r="H383" s="13"/>
      <c r="I383" s="13"/>
      <c r="J383" s="1"/>
      <c r="K383" s="1"/>
      <c r="L383" s="5" t="str">
        <f t="shared" si="5"/>
        <v/>
      </c>
      <c r="M383" s="1"/>
    </row>
    <row r="384" spans="1:13" x14ac:dyDescent="0.35">
      <c r="A384" s="13"/>
      <c r="B384" s="1"/>
      <c r="C384" s="1"/>
      <c r="D384" s="1"/>
      <c r="E384" s="5" t="str">
        <f>IF(D384="","",IFERROR(INDEX(ORCAMENTO!$I$5:$I$200,MATCH(D384,ORCAMENTO!$Q$5:$Q$200,0)),"chave inexistente"))</f>
        <v/>
      </c>
      <c r="F384" s="1"/>
      <c r="G384" s="35"/>
      <c r="H384" s="13"/>
      <c r="I384" s="13"/>
      <c r="J384" s="1"/>
      <c r="K384" s="1"/>
      <c r="L384" s="5" t="str">
        <f t="shared" si="5"/>
        <v/>
      </c>
      <c r="M384" s="1"/>
    </row>
    <row r="385" spans="1:13" x14ac:dyDescent="0.35">
      <c r="A385" s="13"/>
      <c r="B385" s="1"/>
      <c r="C385" s="1"/>
      <c r="D385" s="1"/>
      <c r="E385" s="5" t="str">
        <f>IF(D385="","",IFERROR(INDEX(ORCAMENTO!$I$5:$I$200,MATCH(D385,ORCAMENTO!$Q$5:$Q$200,0)),"chave inexistente"))</f>
        <v/>
      </c>
      <c r="F385" s="1"/>
      <c r="G385" s="35"/>
      <c r="H385" s="13"/>
      <c r="I385" s="13"/>
      <c r="J385" s="1"/>
      <c r="K385" s="1"/>
      <c r="L385" s="5" t="str">
        <f t="shared" si="5"/>
        <v/>
      </c>
      <c r="M385" s="1"/>
    </row>
    <row r="386" spans="1:13" x14ac:dyDescent="0.35">
      <c r="A386" s="13"/>
      <c r="B386" s="1"/>
      <c r="C386" s="1"/>
      <c r="D386" s="1"/>
      <c r="E386" s="5" t="str">
        <f>IF(D386="","",IFERROR(INDEX(ORCAMENTO!$I$5:$I$200,MATCH(D386,ORCAMENTO!$Q$5:$Q$200,0)),"chave inexistente"))</f>
        <v/>
      </c>
      <c r="F386" s="1"/>
      <c r="G386" s="35"/>
      <c r="H386" s="13"/>
      <c r="I386" s="13"/>
      <c r="J386" s="1"/>
      <c r="K386" s="1"/>
      <c r="L386" s="5" t="str">
        <f t="shared" si="5"/>
        <v/>
      </c>
      <c r="M386" s="1"/>
    </row>
    <row r="387" spans="1:13" x14ac:dyDescent="0.35">
      <c r="A387" s="13"/>
      <c r="B387" s="1"/>
      <c r="C387" s="1"/>
      <c r="D387" s="1"/>
      <c r="E387" s="5" t="str">
        <f>IF(D387="","",IFERROR(INDEX(ORCAMENTO!$I$5:$I$200,MATCH(D387,ORCAMENTO!$Q$5:$Q$200,0)),"chave inexistente"))</f>
        <v/>
      </c>
      <c r="F387" s="1"/>
      <c r="G387" s="35"/>
      <c r="H387" s="13"/>
      <c r="I387" s="13"/>
      <c r="J387" s="1"/>
      <c r="K387" s="1"/>
      <c r="L387" s="5" t="str">
        <f t="shared" si="5"/>
        <v/>
      </c>
      <c r="M387" s="1"/>
    </row>
    <row r="388" spans="1:13" x14ac:dyDescent="0.35">
      <c r="A388" s="13"/>
      <c r="B388" s="1"/>
      <c r="C388" s="1"/>
      <c r="D388" s="1"/>
      <c r="E388" s="5" t="str">
        <f>IF(D388="","",IFERROR(INDEX(ORCAMENTO!$I$5:$I$200,MATCH(D388,ORCAMENTO!$Q$5:$Q$200,0)),"chave inexistente"))</f>
        <v/>
      </c>
      <c r="F388" s="1"/>
      <c r="G388" s="35"/>
      <c r="H388" s="13"/>
      <c r="I388" s="13"/>
      <c r="J388" s="1"/>
      <c r="K388" s="1"/>
      <c r="L388" s="5" t="str">
        <f t="shared" si="5"/>
        <v/>
      </c>
      <c r="M388" s="1"/>
    </row>
    <row r="389" spans="1:13" x14ac:dyDescent="0.35">
      <c r="A389" s="13"/>
      <c r="B389" s="1"/>
      <c r="C389" s="1"/>
      <c r="D389" s="1"/>
      <c r="E389" s="5" t="str">
        <f>IF(D389="","",IFERROR(INDEX(ORCAMENTO!$I$5:$I$200,MATCH(D389,ORCAMENTO!$Q$5:$Q$200,0)),"chave inexistente"))</f>
        <v/>
      </c>
      <c r="F389" s="1"/>
      <c r="G389" s="35"/>
      <c r="H389" s="13"/>
      <c r="I389" s="13"/>
      <c r="J389" s="1"/>
      <c r="K389" s="1"/>
      <c r="L389" s="5" t="str">
        <f t="shared" si="5"/>
        <v/>
      </c>
      <c r="M389" s="1"/>
    </row>
    <row r="390" spans="1:13" x14ac:dyDescent="0.35">
      <c r="A390" s="13"/>
      <c r="B390" s="1"/>
      <c r="C390" s="1"/>
      <c r="D390" s="1"/>
      <c r="E390" s="5" t="str">
        <f>IF(D390="","",IFERROR(INDEX(ORCAMENTO!$I$5:$I$200,MATCH(D390,ORCAMENTO!$Q$5:$Q$200,0)),"chave inexistente"))</f>
        <v/>
      </c>
      <c r="F390" s="1"/>
      <c r="G390" s="35"/>
      <c r="H390" s="13"/>
      <c r="I390" s="13"/>
      <c r="J390" s="1"/>
      <c r="K390" s="1"/>
      <c r="L390" s="5" t="str">
        <f t="shared" ref="L390:L453" si="6">IF(A390="","",IF(J390="Entregue","Entregue",IF(J390="Cancelado","Cancelado",IF(AND(H390&lt;&gt;"",DataRef&gt;H390),"ATRASADA","No prazo"))))</f>
        <v/>
      </c>
      <c r="M390" s="1"/>
    </row>
    <row r="391" spans="1:13" x14ac:dyDescent="0.35">
      <c r="A391" s="13"/>
      <c r="B391" s="1"/>
      <c r="C391" s="1"/>
      <c r="D391" s="1"/>
      <c r="E391" s="5" t="str">
        <f>IF(D391="","",IFERROR(INDEX(ORCAMENTO!$I$5:$I$200,MATCH(D391,ORCAMENTO!$Q$5:$Q$200,0)),"chave inexistente"))</f>
        <v/>
      </c>
      <c r="F391" s="1"/>
      <c r="G391" s="35"/>
      <c r="H391" s="13"/>
      <c r="I391" s="13"/>
      <c r="J391" s="1"/>
      <c r="K391" s="1"/>
      <c r="L391" s="5" t="str">
        <f t="shared" si="6"/>
        <v/>
      </c>
      <c r="M391" s="1"/>
    </row>
    <row r="392" spans="1:13" x14ac:dyDescent="0.35">
      <c r="A392" s="13"/>
      <c r="B392" s="1"/>
      <c r="C392" s="1"/>
      <c r="D392" s="1"/>
      <c r="E392" s="5" t="str">
        <f>IF(D392="","",IFERROR(INDEX(ORCAMENTO!$I$5:$I$200,MATCH(D392,ORCAMENTO!$Q$5:$Q$200,0)),"chave inexistente"))</f>
        <v/>
      </c>
      <c r="F392" s="1"/>
      <c r="G392" s="35"/>
      <c r="H392" s="13"/>
      <c r="I392" s="13"/>
      <c r="J392" s="1"/>
      <c r="K392" s="1"/>
      <c r="L392" s="5" t="str">
        <f t="shared" si="6"/>
        <v/>
      </c>
      <c r="M392" s="1"/>
    </row>
    <row r="393" spans="1:13" x14ac:dyDescent="0.35">
      <c r="A393" s="13"/>
      <c r="B393" s="1"/>
      <c r="C393" s="1"/>
      <c r="D393" s="1"/>
      <c r="E393" s="5" t="str">
        <f>IF(D393="","",IFERROR(INDEX(ORCAMENTO!$I$5:$I$200,MATCH(D393,ORCAMENTO!$Q$5:$Q$200,0)),"chave inexistente"))</f>
        <v/>
      </c>
      <c r="F393" s="1"/>
      <c r="G393" s="35"/>
      <c r="H393" s="13"/>
      <c r="I393" s="13"/>
      <c r="J393" s="1"/>
      <c r="K393" s="1"/>
      <c r="L393" s="5" t="str">
        <f t="shared" si="6"/>
        <v/>
      </c>
      <c r="M393" s="1"/>
    </row>
    <row r="394" spans="1:13" x14ac:dyDescent="0.35">
      <c r="A394" s="13"/>
      <c r="B394" s="1"/>
      <c r="C394" s="1"/>
      <c r="D394" s="1"/>
      <c r="E394" s="5" t="str">
        <f>IF(D394="","",IFERROR(INDEX(ORCAMENTO!$I$5:$I$200,MATCH(D394,ORCAMENTO!$Q$5:$Q$200,0)),"chave inexistente"))</f>
        <v/>
      </c>
      <c r="F394" s="1"/>
      <c r="G394" s="35"/>
      <c r="H394" s="13"/>
      <c r="I394" s="13"/>
      <c r="J394" s="1"/>
      <c r="K394" s="1"/>
      <c r="L394" s="5" t="str">
        <f t="shared" si="6"/>
        <v/>
      </c>
      <c r="M394" s="1"/>
    </row>
    <row r="395" spans="1:13" x14ac:dyDescent="0.35">
      <c r="A395" s="13"/>
      <c r="B395" s="1"/>
      <c r="C395" s="1"/>
      <c r="D395" s="1"/>
      <c r="E395" s="5" t="str">
        <f>IF(D395="","",IFERROR(INDEX(ORCAMENTO!$I$5:$I$200,MATCH(D395,ORCAMENTO!$Q$5:$Q$200,0)),"chave inexistente"))</f>
        <v/>
      </c>
      <c r="F395" s="1"/>
      <c r="G395" s="35"/>
      <c r="H395" s="13"/>
      <c r="I395" s="13"/>
      <c r="J395" s="1"/>
      <c r="K395" s="1"/>
      <c r="L395" s="5" t="str">
        <f t="shared" si="6"/>
        <v/>
      </c>
      <c r="M395" s="1"/>
    </row>
    <row r="396" spans="1:13" x14ac:dyDescent="0.35">
      <c r="A396" s="13"/>
      <c r="B396" s="1"/>
      <c r="C396" s="1"/>
      <c r="D396" s="1"/>
      <c r="E396" s="5" t="str">
        <f>IF(D396="","",IFERROR(INDEX(ORCAMENTO!$I$5:$I$200,MATCH(D396,ORCAMENTO!$Q$5:$Q$200,0)),"chave inexistente"))</f>
        <v/>
      </c>
      <c r="F396" s="1"/>
      <c r="G396" s="35"/>
      <c r="H396" s="13"/>
      <c r="I396" s="13"/>
      <c r="J396" s="1"/>
      <c r="K396" s="1"/>
      <c r="L396" s="5" t="str">
        <f t="shared" si="6"/>
        <v/>
      </c>
      <c r="M396" s="1"/>
    </row>
    <row r="397" spans="1:13" x14ac:dyDescent="0.35">
      <c r="A397" s="13"/>
      <c r="B397" s="1"/>
      <c r="C397" s="1"/>
      <c r="D397" s="1"/>
      <c r="E397" s="5" t="str">
        <f>IF(D397="","",IFERROR(INDEX(ORCAMENTO!$I$5:$I$200,MATCH(D397,ORCAMENTO!$Q$5:$Q$200,0)),"chave inexistente"))</f>
        <v/>
      </c>
      <c r="F397" s="1"/>
      <c r="G397" s="35"/>
      <c r="H397" s="13"/>
      <c r="I397" s="13"/>
      <c r="J397" s="1"/>
      <c r="K397" s="1"/>
      <c r="L397" s="5" t="str">
        <f t="shared" si="6"/>
        <v/>
      </c>
      <c r="M397" s="1"/>
    </row>
    <row r="398" spans="1:13" x14ac:dyDescent="0.35">
      <c r="A398" s="13"/>
      <c r="B398" s="1"/>
      <c r="C398" s="1"/>
      <c r="D398" s="1"/>
      <c r="E398" s="5" t="str">
        <f>IF(D398="","",IFERROR(INDEX(ORCAMENTO!$I$5:$I$200,MATCH(D398,ORCAMENTO!$Q$5:$Q$200,0)),"chave inexistente"))</f>
        <v/>
      </c>
      <c r="F398" s="1"/>
      <c r="G398" s="35"/>
      <c r="H398" s="13"/>
      <c r="I398" s="13"/>
      <c r="J398" s="1"/>
      <c r="K398" s="1"/>
      <c r="L398" s="5" t="str">
        <f t="shared" si="6"/>
        <v/>
      </c>
      <c r="M398" s="1"/>
    </row>
    <row r="399" spans="1:13" x14ac:dyDescent="0.35">
      <c r="A399" s="13"/>
      <c r="B399" s="1"/>
      <c r="C399" s="1"/>
      <c r="D399" s="1"/>
      <c r="E399" s="5" t="str">
        <f>IF(D399="","",IFERROR(INDEX(ORCAMENTO!$I$5:$I$200,MATCH(D399,ORCAMENTO!$Q$5:$Q$200,0)),"chave inexistente"))</f>
        <v/>
      </c>
      <c r="F399" s="1"/>
      <c r="G399" s="35"/>
      <c r="H399" s="13"/>
      <c r="I399" s="13"/>
      <c r="J399" s="1"/>
      <c r="K399" s="1"/>
      <c r="L399" s="5" t="str">
        <f t="shared" si="6"/>
        <v/>
      </c>
      <c r="M399" s="1"/>
    </row>
    <row r="400" spans="1:13" x14ac:dyDescent="0.35">
      <c r="A400" s="13"/>
      <c r="B400" s="1"/>
      <c r="C400" s="1"/>
      <c r="D400" s="1"/>
      <c r="E400" s="5" t="str">
        <f>IF(D400="","",IFERROR(INDEX(ORCAMENTO!$I$5:$I$200,MATCH(D400,ORCAMENTO!$Q$5:$Q$200,0)),"chave inexistente"))</f>
        <v/>
      </c>
      <c r="F400" s="1"/>
      <c r="G400" s="35"/>
      <c r="H400" s="13"/>
      <c r="I400" s="13"/>
      <c r="J400" s="1"/>
      <c r="K400" s="1"/>
      <c r="L400" s="5" t="str">
        <f t="shared" si="6"/>
        <v/>
      </c>
      <c r="M400" s="1"/>
    </row>
    <row r="401" spans="1:13" x14ac:dyDescent="0.35">
      <c r="A401" s="13"/>
      <c r="B401" s="1"/>
      <c r="C401" s="1"/>
      <c r="D401" s="1"/>
      <c r="E401" s="5" t="str">
        <f>IF(D401="","",IFERROR(INDEX(ORCAMENTO!$I$5:$I$200,MATCH(D401,ORCAMENTO!$Q$5:$Q$200,0)),"chave inexistente"))</f>
        <v/>
      </c>
      <c r="F401" s="1"/>
      <c r="G401" s="35"/>
      <c r="H401" s="13"/>
      <c r="I401" s="13"/>
      <c r="J401" s="1"/>
      <c r="K401" s="1"/>
      <c r="L401" s="5" t="str">
        <f t="shared" si="6"/>
        <v/>
      </c>
      <c r="M401" s="1"/>
    </row>
    <row r="402" spans="1:13" x14ac:dyDescent="0.35">
      <c r="A402" s="13"/>
      <c r="B402" s="1"/>
      <c r="C402" s="1"/>
      <c r="D402" s="1"/>
      <c r="E402" s="5" t="str">
        <f>IF(D402="","",IFERROR(INDEX(ORCAMENTO!$I$5:$I$200,MATCH(D402,ORCAMENTO!$Q$5:$Q$200,0)),"chave inexistente"))</f>
        <v/>
      </c>
      <c r="F402" s="1"/>
      <c r="G402" s="35"/>
      <c r="H402" s="13"/>
      <c r="I402" s="13"/>
      <c r="J402" s="1"/>
      <c r="K402" s="1"/>
      <c r="L402" s="5" t="str">
        <f t="shared" si="6"/>
        <v/>
      </c>
      <c r="M402" s="1"/>
    </row>
    <row r="403" spans="1:13" x14ac:dyDescent="0.35">
      <c r="A403" s="13"/>
      <c r="B403" s="1"/>
      <c r="C403" s="1"/>
      <c r="D403" s="1"/>
      <c r="E403" s="5" t="str">
        <f>IF(D403="","",IFERROR(INDEX(ORCAMENTO!$I$5:$I$200,MATCH(D403,ORCAMENTO!$Q$5:$Q$200,0)),"chave inexistente"))</f>
        <v/>
      </c>
      <c r="F403" s="1"/>
      <c r="G403" s="35"/>
      <c r="H403" s="13"/>
      <c r="I403" s="13"/>
      <c r="J403" s="1"/>
      <c r="K403" s="1"/>
      <c r="L403" s="5" t="str">
        <f t="shared" si="6"/>
        <v/>
      </c>
      <c r="M403" s="1"/>
    </row>
    <row r="404" spans="1:13" x14ac:dyDescent="0.35">
      <c r="A404" s="13"/>
      <c r="B404" s="1"/>
      <c r="C404" s="1"/>
      <c r="D404" s="1"/>
      <c r="E404" s="5" t="str">
        <f>IF(D404="","",IFERROR(INDEX(ORCAMENTO!$I$5:$I$200,MATCH(D404,ORCAMENTO!$Q$5:$Q$200,0)),"chave inexistente"))</f>
        <v/>
      </c>
      <c r="F404" s="1"/>
      <c r="G404" s="35"/>
      <c r="H404" s="13"/>
      <c r="I404" s="13"/>
      <c r="J404" s="1"/>
      <c r="K404" s="1"/>
      <c r="L404" s="5" t="str">
        <f t="shared" si="6"/>
        <v/>
      </c>
      <c r="M404" s="1"/>
    </row>
    <row r="405" spans="1:13" x14ac:dyDescent="0.35">
      <c r="A405" s="13"/>
      <c r="B405" s="1"/>
      <c r="C405" s="1"/>
      <c r="D405" s="1"/>
      <c r="E405" s="5" t="str">
        <f>IF(D405="","",IFERROR(INDEX(ORCAMENTO!$I$5:$I$200,MATCH(D405,ORCAMENTO!$Q$5:$Q$200,0)),"chave inexistente"))</f>
        <v/>
      </c>
      <c r="F405" s="1"/>
      <c r="G405" s="35"/>
      <c r="H405" s="13"/>
      <c r="I405" s="13"/>
      <c r="J405" s="1"/>
      <c r="K405" s="1"/>
      <c r="L405" s="5" t="str">
        <f t="shared" si="6"/>
        <v/>
      </c>
      <c r="M405" s="1"/>
    </row>
    <row r="406" spans="1:13" x14ac:dyDescent="0.35">
      <c r="A406" s="13"/>
      <c r="B406" s="1"/>
      <c r="C406" s="1"/>
      <c r="D406" s="1"/>
      <c r="E406" s="5" t="str">
        <f>IF(D406="","",IFERROR(INDEX(ORCAMENTO!$I$5:$I$200,MATCH(D406,ORCAMENTO!$Q$5:$Q$200,0)),"chave inexistente"))</f>
        <v/>
      </c>
      <c r="F406" s="1"/>
      <c r="G406" s="35"/>
      <c r="H406" s="13"/>
      <c r="I406" s="13"/>
      <c r="J406" s="1"/>
      <c r="K406" s="1"/>
      <c r="L406" s="5" t="str">
        <f t="shared" si="6"/>
        <v/>
      </c>
      <c r="M406" s="1"/>
    </row>
    <row r="407" spans="1:13" x14ac:dyDescent="0.35">
      <c r="A407" s="13"/>
      <c r="B407" s="1"/>
      <c r="C407" s="1"/>
      <c r="D407" s="1"/>
      <c r="E407" s="5" t="str">
        <f>IF(D407="","",IFERROR(INDEX(ORCAMENTO!$I$5:$I$200,MATCH(D407,ORCAMENTO!$Q$5:$Q$200,0)),"chave inexistente"))</f>
        <v/>
      </c>
      <c r="F407" s="1"/>
      <c r="G407" s="35"/>
      <c r="H407" s="13"/>
      <c r="I407" s="13"/>
      <c r="J407" s="1"/>
      <c r="K407" s="1"/>
      <c r="L407" s="5" t="str">
        <f t="shared" si="6"/>
        <v/>
      </c>
      <c r="M407" s="1"/>
    </row>
    <row r="408" spans="1:13" x14ac:dyDescent="0.35">
      <c r="A408" s="13"/>
      <c r="B408" s="1"/>
      <c r="C408" s="1"/>
      <c r="D408" s="1"/>
      <c r="E408" s="5" t="str">
        <f>IF(D408="","",IFERROR(INDEX(ORCAMENTO!$I$5:$I$200,MATCH(D408,ORCAMENTO!$Q$5:$Q$200,0)),"chave inexistente"))</f>
        <v/>
      </c>
      <c r="F408" s="1"/>
      <c r="G408" s="35"/>
      <c r="H408" s="13"/>
      <c r="I408" s="13"/>
      <c r="J408" s="1"/>
      <c r="K408" s="1"/>
      <c r="L408" s="5" t="str">
        <f t="shared" si="6"/>
        <v/>
      </c>
      <c r="M408" s="1"/>
    </row>
    <row r="409" spans="1:13" x14ac:dyDescent="0.35">
      <c r="A409" s="13"/>
      <c r="B409" s="1"/>
      <c r="C409" s="1"/>
      <c r="D409" s="1"/>
      <c r="E409" s="5" t="str">
        <f>IF(D409="","",IFERROR(INDEX(ORCAMENTO!$I$5:$I$200,MATCH(D409,ORCAMENTO!$Q$5:$Q$200,0)),"chave inexistente"))</f>
        <v/>
      </c>
      <c r="F409" s="1"/>
      <c r="G409" s="35"/>
      <c r="H409" s="13"/>
      <c r="I409" s="13"/>
      <c r="J409" s="1"/>
      <c r="K409" s="1"/>
      <c r="L409" s="5" t="str">
        <f t="shared" si="6"/>
        <v/>
      </c>
      <c r="M409" s="1"/>
    </row>
    <row r="410" spans="1:13" x14ac:dyDescent="0.35">
      <c r="A410" s="13"/>
      <c r="B410" s="1"/>
      <c r="C410" s="1"/>
      <c r="D410" s="1"/>
      <c r="E410" s="5" t="str">
        <f>IF(D410="","",IFERROR(INDEX(ORCAMENTO!$I$5:$I$200,MATCH(D410,ORCAMENTO!$Q$5:$Q$200,0)),"chave inexistente"))</f>
        <v/>
      </c>
      <c r="F410" s="1"/>
      <c r="G410" s="35"/>
      <c r="H410" s="13"/>
      <c r="I410" s="13"/>
      <c r="J410" s="1"/>
      <c r="K410" s="1"/>
      <c r="L410" s="5" t="str">
        <f t="shared" si="6"/>
        <v/>
      </c>
      <c r="M410" s="1"/>
    </row>
    <row r="411" spans="1:13" x14ac:dyDescent="0.35">
      <c r="A411" s="13"/>
      <c r="B411" s="1"/>
      <c r="C411" s="1"/>
      <c r="D411" s="1"/>
      <c r="E411" s="5" t="str">
        <f>IF(D411="","",IFERROR(INDEX(ORCAMENTO!$I$5:$I$200,MATCH(D411,ORCAMENTO!$Q$5:$Q$200,0)),"chave inexistente"))</f>
        <v/>
      </c>
      <c r="F411" s="1"/>
      <c r="G411" s="35"/>
      <c r="H411" s="13"/>
      <c r="I411" s="13"/>
      <c r="J411" s="1"/>
      <c r="K411" s="1"/>
      <c r="L411" s="5" t="str">
        <f t="shared" si="6"/>
        <v/>
      </c>
      <c r="M411" s="1"/>
    </row>
    <row r="412" spans="1:13" x14ac:dyDescent="0.35">
      <c r="A412" s="13"/>
      <c r="B412" s="1"/>
      <c r="C412" s="1"/>
      <c r="D412" s="1"/>
      <c r="E412" s="5" t="str">
        <f>IF(D412="","",IFERROR(INDEX(ORCAMENTO!$I$5:$I$200,MATCH(D412,ORCAMENTO!$Q$5:$Q$200,0)),"chave inexistente"))</f>
        <v/>
      </c>
      <c r="F412" s="1"/>
      <c r="G412" s="35"/>
      <c r="H412" s="13"/>
      <c r="I412" s="13"/>
      <c r="J412" s="1"/>
      <c r="K412" s="1"/>
      <c r="L412" s="5" t="str">
        <f t="shared" si="6"/>
        <v/>
      </c>
      <c r="M412" s="1"/>
    </row>
    <row r="413" spans="1:13" x14ac:dyDescent="0.35">
      <c r="A413" s="13"/>
      <c r="B413" s="1"/>
      <c r="C413" s="1"/>
      <c r="D413" s="1"/>
      <c r="E413" s="5" t="str">
        <f>IF(D413="","",IFERROR(INDEX(ORCAMENTO!$I$5:$I$200,MATCH(D413,ORCAMENTO!$Q$5:$Q$200,0)),"chave inexistente"))</f>
        <v/>
      </c>
      <c r="F413" s="1"/>
      <c r="G413" s="35"/>
      <c r="H413" s="13"/>
      <c r="I413" s="13"/>
      <c r="J413" s="1"/>
      <c r="K413" s="1"/>
      <c r="L413" s="5" t="str">
        <f t="shared" si="6"/>
        <v/>
      </c>
      <c r="M413" s="1"/>
    </row>
    <row r="414" spans="1:13" x14ac:dyDescent="0.35">
      <c r="A414" s="13"/>
      <c r="B414" s="1"/>
      <c r="C414" s="1"/>
      <c r="D414" s="1"/>
      <c r="E414" s="5" t="str">
        <f>IF(D414="","",IFERROR(INDEX(ORCAMENTO!$I$5:$I$200,MATCH(D414,ORCAMENTO!$Q$5:$Q$200,0)),"chave inexistente"))</f>
        <v/>
      </c>
      <c r="F414" s="1"/>
      <c r="G414" s="35"/>
      <c r="H414" s="13"/>
      <c r="I414" s="13"/>
      <c r="J414" s="1"/>
      <c r="K414" s="1"/>
      <c r="L414" s="5" t="str">
        <f t="shared" si="6"/>
        <v/>
      </c>
      <c r="M414" s="1"/>
    </row>
    <row r="415" spans="1:13" x14ac:dyDescent="0.35">
      <c r="A415" s="13"/>
      <c r="B415" s="1"/>
      <c r="C415" s="1"/>
      <c r="D415" s="1"/>
      <c r="E415" s="5" t="str">
        <f>IF(D415="","",IFERROR(INDEX(ORCAMENTO!$I$5:$I$200,MATCH(D415,ORCAMENTO!$Q$5:$Q$200,0)),"chave inexistente"))</f>
        <v/>
      </c>
      <c r="F415" s="1"/>
      <c r="G415" s="35"/>
      <c r="H415" s="13"/>
      <c r="I415" s="13"/>
      <c r="J415" s="1"/>
      <c r="K415" s="1"/>
      <c r="L415" s="5" t="str">
        <f t="shared" si="6"/>
        <v/>
      </c>
      <c r="M415" s="1"/>
    </row>
    <row r="416" spans="1:13" x14ac:dyDescent="0.35">
      <c r="A416" s="13"/>
      <c r="B416" s="1"/>
      <c r="C416" s="1"/>
      <c r="D416" s="1"/>
      <c r="E416" s="5" t="str">
        <f>IF(D416="","",IFERROR(INDEX(ORCAMENTO!$I$5:$I$200,MATCH(D416,ORCAMENTO!$Q$5:$Q$200,0)),"chave inexistente"))</f>
        <v/>
      </c>
      <c r="F416" s="1"/>
      <c r="G416" s="35"/>
      <c r="H416" s="13"/>
      <c r="I416" s="13"/>
      <c r="J416" s="1"/>
      <c r="K416" s="1"/>
      <c r="L416" s="5" t="str">
        <f t="shared" si="6"/>
        <v/>
      </c>
      <c r="M416" s="1"/>
    </row>
    <row r="417" spans="1:13" x14ac:dyDescent="0.35">
      <c r="A417" s="13"/>
      <c r="B417" s="1"/>
      <c r="C417" s="1"/>
      <c r="D417" s="1"/>
      <c r="E417" s="5" t="str">
        <f>IF(D417="","",IFERROR(INDEX(ORCAMENTO!$I$5:$I$200,MATCH(D417,ORCAMENTO!$Q$5:$Q$200,0)),"chave inexistente"))</f>
        <v/>
      </c>
      <c r="F417" s="1"/>
      <c r="G417" s="35"/>
      <c r="H417" s="13"/>
      <c r="I417" s="13"/>
      <c r="J417" s="1"/>
      <c r="K417" s="1"/>
      <c r="L417" s="5" t="str">
        <f t="shared" si="6"/>
        <v/>
      </c>
      <c r="M417" s="1"/>
    </row>
    <row r="418" spans="1:13" x14ac:dyDescent="0.35">
      <c r="A418" s="13"/>
      <c r="B418" s="1"/>
      <c r="C418" s="1"/>
      <c r="D418" s="1"/>
      <c r="E418" s="5" t="str">
        <f>IF(D418="","",IFERROR(INDEX(ORCAMENTO!$I$5:$I$200,MATCH(D418,ORCAMENTO!$Q$5:$Q$200,0)),"chave inexistente"))</f>
        <v/>
      </c>
      <c r="F418" s="1"/>
      <c r="G418" s="35"/>
      <c r="H418" s="13"/>
      <c r="I418" s="13"/>
      <c r="J418" s="1"/>
      <c r="K418" s="1"/>
      <c r="L418" s="5" t="str">
        <f t="shared" si="6"/>
        <v/>
      </c>
      <c r="M418" s="1"/>
    </row>
    <row r="419" spans="1:13" x14ac:dyDescent="0.35">
      <c r="A419" s="13"/>
      <c r="B419" s="1"/>
      <c r="C419" s="1"/>
      <c r="D419" s="1"/>
      <c r="E419" s="5" t="str">
        <f>IF(D419="","",IFERROR(INDEX(ORCAMENTO!$I$5:$I$200,MATCH(D419,ORCAMENTO!$Q$5:$Q$200,0)),"chave inexistente"))</f>
        <v/>
      </c>
      <c r="F419" s="1"/>
      <c r="G419" s="35"/>
      <c r="H419" s="13"/>
      <c r="I419" s="13"/>
      <c r="J419" s="1"/>
      <c r="K419" s="1"/>
      <c r="L419" s="5" t="str">
        <f t="shared" si="6"/>
        <v/>
      </c>
      <c r="M419" s="1"/>
    </row>
    <row r="420" spans="1:13" x14ac:dyDescent="0.35">
      <c r="A420" s="13"/>
      <c r="B420" s="1"/>
      <c r="C420" s="1"/>
      <c r="D420" s="1"/>
      <c r="E420" s="5" t="str">
        <f>IF(D420="","",IFERROR(INDEX(ORCAMENTO!$I$5:$I$200,MATCH(D420,ORCAMENTO!$Q$5:$Q$200,0)),"chave inexistente"))</f>
        <v/>
      </c>
      <c r="F420" s="1"/>
      <c r="G420" s="35"/>
      <c r="H420" s="13"/>
      <c r="I420" s="13"/>
      <c r="J420" s="1"/>
      <c r="K420" s="1"/>
      <c r="L420" s="5" t="str">
        <f t="shared" si="6"/>
        <v/>
      </c>
      <c r="M420" s="1"/>
    </row>
    <row r="421" spans="1:13" x14ac:dyDescent="0.35">
      <c r="A421" s="13"/>
      <c r="B421" s="1"/>
      <c r="C421" s="1"/>
      <c r="D421" s="1"/>
      <c r="E421" s="5" t="str">
        <f>IF(D421="","",IFERROR(INDEX(ORCAMENTO!$I$5:$I$200,MATCH(D421,ORCAMENTO!$Q$5:$Q$200,0)),"chave inexistente"))</f>
        <v/>
      </c>
      <c r="F421" s="1"/>
      <c r="G421" s="35"/>
      <c r="H421" s="13"/>
      <c r="I421" s="13"/>
      <c r="J421" s="1"/>
      <c r="K421" s="1"/>
      <c r="L421" s="5" t="str">
        <f t="shared" si="6"/>
        <v/>
      </c>
      <c r="M421" s="1"/>
    </row>
    <row r="422" spans="1:13" x14ac:dyDescent="0.35">
      <c r="A422" s="13"/>
      <c r="B422" s="1"/>
      <c r="C422" s="1"/>
      <c r="D422" s="1"/>
      <c r="E422" s="5" t="str">
        <f>IF(D422="","",IFERROR(INDEX(ORCAMENTO!$I$5:$I$200,MATCH(D422,ORCAMENTO!$Q$5:$Q$200,0)),"chave inexistente"))</f>
        <v/>
      </c>
      <c r="F422" s="1"/>
      <c r="G422" s="35"/>
      <c r="H422" s="13"/>
      <c r="I422" s="13"/>
      <c r="J422" s="1"/>
      <c r="K422" s="1"/>
      <c r="L422" s="5" t="str">
        <f t="shared" si="6"/>
        <v/>
      </c>
      <c r="M422" s="1"/>
    </row>
    <row r="423" spans="1:13" x14ac:dyDescent="0.35">
      <c r="A423" s="13"/>
      <c r="B423" s="1"/>
      <c r="C423" s="1"/>
      <c r="D423" s="1"/>
      <c r="E423" s="5" t="str">
        <f>IF(D423="","",IFERROR(INDEX(ORCAMENTO!$I$5:$I$200,MATCH(D423,ORCAMENTO!$Q$5:$Q$200,0)),"chave inexistente"))</f>
        <v/>
      </c>
      <c r="F423" s="1"/>
      <c r="G423" s="35"/>
      <c r="H423" s="13"/>
      <c r="I423" s="13"/>
      <c r="J423" s="1"/>
      <c r="K423" s="1"/>
      <c r="L423" s="5" t="str">
        <f t="shared" si="6"/>
        <v/>
      </c>
      <c r="M423" s="1"/>
    </row>
    <row r="424" spans="1:13" x14ac:dyDescent="0.35">
      <c r="A424" s="13"/>
      <c r="B424" s="1"/>
      <c r="C424" s="1"/>
      <c r="D424" s="1"/>
      <c r="E424" s="5" t="str">
        <f>IF(D424="","",IFERROR(INDEX(ORCAMENTO!$I$5:$I$200,MATCH(D424,ORCAMENTO!$Q$5:$Q$200,0)),"chave inexistente"))</f>
        <v/>
      </c>
      <c r="F424" s="1"/>
      <c r="G424" s="35"/>
      <c r="H424" s="13"/>
      <c r="I424" s="13"/>
      <c r="J424" s="1"/>
      <c r="K424" s="1"/>
      <c r="L424" s="5" t="str">
        <f t="shared" si="6"/>
        <v/>
      </c>
      <c r="M424" s="1"/>
    </row>
    <row r="425" spans="1:13" x14ac:dyDescent="0.35">
      <c r="A425" s="13"/>
      <c r="B425" s="1"/>
      <c r="C425" s="1"/>
      <c r="D425" s="1"/>
      <c r="E425" s="5" t="str">
        <f>IF(D425="","",IFERROR(INDEX(ORCAMENTO!$I$5:$I$200,MATCH(D425,ORCAMENTO!$Q$5:$Q$200,0)),"chave inexistente"))</f>
        <v/>
      </c>
      <c r="F425" s="1"/>
      <c r="G425" s="35"/>
      <c r="H425" s="13"/>
      <c r="I425" s="13"/>
      <c r="J425" s="1"/>
      <c r="K425" s="1"/>
      <c r="L425" s="5" t="str">
        <f t="shared" si="6"/>
        <v/>
      </c>
      <c r="M425" s="1"/>
    </row>
    <row r="426" spans="1:13" x14ac:dyDescent="0.35">
      <c r="A426" s="13"/>
      <c r="B426" s="1"/>
      <c r="C426" s="1"/>
      <c r="D426" s="1"/>
      <c r="E426" s="5" t="str">
        <f>IF(D426="","",IFERROR(INDEX(ORCAMENTO!$I$5:$I$200,MATCH(D426,ORCAMENTO!$Q$5:$Q$200,0)),"chave inexistente"))</f>
        <v/>
      </c>
      <c r="F426" s="1"/>
      <c r="G426" s="35"/>
      <c r="H426" s="13"/>
      <c r="I426" s="13"/>
      <c r="J426" s="1"/>
      <c r="K426" s="1"/>
      <c r="L426" s="5" t="str">
        <f t="shared" si="6"/>
        <v/>
      </c>
      <c r="M426" s="1"/>
    </row>
    <row r="427" spans="1:13" x14ac:dyDescent="0.35">
      <c r="A427" s="13"/>
      <c r="B427" s="1"/>
      <c r="C427" s="1"/>
      <c r="D427" s="1"/>
      <c r="E427" s="5" t="str">
        <f>IF(D427="","",IFERROR(INDEX(ORCAMENTO!$I$5:$I$200,MATCH(D427,ORCAMENTO!$Q$5:$Q$200,0)),"chave inexistente"))</f>
        <v/>
      </c>
      <c r="F427" s="1"/>
      <c r="G427" s="35"/>
      <c r="H427" s="13"/>
      <c r="I427" s="13"/>
      <c r="J427" s="1"/>
      <c r="K427" s="1"/>
      <c r="L427" s="5" t="str">
        <f t="shared" si="6"/>
        <v/>
      </c>
      <c r="M427" s="1"/>
    </row>
    <row r="428" spans="1:13" x14ac:dyDescent="0.35">
      <c r="A428" s="13"/>
      <c r="B428" s="1"/>
      <c r="C428" s="1"/>
      <c r="D428" s="1"/>
      <c r="E428" s="5" t="str">
        <f>IF(D428="","",IFERROR(INDEX(ORCAMENTO!$I$5:$I$200,MATCH(D428,ORCAMENTO!$Q$5:$Q$200,0)),"chave inexistente"))</f>
        <v/>
      </c>
      <c r="F428" s="1"/>
      <c r="G428" s="35"/>
      <c r="H428" s="13"/>
      <c r="I428" s="13"/>
      <c r="J428" s="1"/>
      <c r="K428" s="1"/>
      <c r="L428" s="5" t="str">
        <f t="shared" si="6"/>
        <v/>
      </c>
      <c r="M428" s="1"/>
    </row>
    <row r="429" spans="1:13" x14ac:dyDescent="0.35">
      <c r="A429" s="13"/>
      <c r="B429" s="1"/>
      <c r="C429" s="1"/>
      <c r="D429" s="1"/>
      <c r="E429" s="5" t="str">
        <f>IF(D429="","",IFERROR(INDEX(ORCAMENTO!$I$5:$I$200,MATCH(D429,ORCAMENTO!$Q$5:$Q$200,0)),"chave inexistente"))</f>
        <v/>
      </c>
      <c r="F429" s="1"/>
      <c r="G429" s="35"/>
      <c r="H429" s="13"/>
      <c r="I429" s="13"/>
      <c r="J429" s="1"/>
      <c r="K429" s="1"/>
      <c r="L429" s="5" t="str">
        <f t="shared" si="6"/>
        <v/>
      </c>
      <c r="M429" s="1"/>
    </row>
    <row r="430" spans="1:13" x14ac:dyDescent="0.35">
      <c r="A430" s="13"/>
      <c r="B430" s="1"/>
      <c r="C430" s="1"/>
      <c r="D430" s="1"/>
      <c r="E430" s="5" t="str">
        <f>IF(D430="","",IFERROR(INDEX(ORCAMENTO!$I$5:$I$200,MATCH(D430,ORCAMENTO!$Q$5:$Q$200,0)),"chave inexistente"))</f>
        <v/>
      </c>
      <c r="F430" s="1"/>
      <c r="G430" s="35"/>
      <c r="H430" s="13"/>
      <c r="I430" s="13"/>
      <c r="J430" s="1"/>
      <c r="K430" s="1"/>
      <c r="L430" s="5" t="str">
        <f t="shared" si="6"/>
        <v/>
      </c>
      <c r="M430" s="1"/>
    </row>
    <row r="431" spans="1:13" x14ac:dyDescent="0.35">
      <c r="A431" s="13"/>
      <c r="B431" s="1"/>
      <c r="C431" s="1"/>
      <c r="D431" s="1"/>
      <c r="E431" s="5" t="str">
        <f>IF(D431="","",IFERROR(INDEX(ORCAMENTO!$I$5:$I$200,MATCH(D431,ORCAMENTO!$Q$5:$Q$200,0)),"chave inexistente"))</f>
        <v/>
      </c>
      <c r="F431" s="1"/>
      <c r="G431" s="35"/>
      <c r="H431" s="13"/>
      <c r="I431" s="13"/>
      <c r="J431" s="1"/>
      <c r="K431" s="1"/>
      <c r="L431" s="5" t="str">
        <f t="shared" si="6"/>
        <v/>
      </c>
      <c r="M431" s="1"/>
    </row>
    <row r="432" spans="1:13" x14ac:dyDescent="0.35">
      <c r="A432" s="13"/>
      <c r="B432" s="1"/>
      <c r="C432" s="1"/>
      <c r="D432" s="1"/>
      <c r="E432" s="5" t="str">
        <f>IF(D432="","",IFERROR(INDEX(ORCAMENTO!$I$5:$I$200,MATCH(D432,ORCAMENTO!$Q$5:$Q$200,0)),"chave inexistente"))</f>
        <v/>
      </c>
      <c r="F432" s="1"/>
      <c r="G432" s="35"/>
      <c r="H432" s="13"/>
      <c r="I432" s="13"/>
      <c r="J432" s="1"/>
      <c r="K432" s="1"/>
      <c r="L432" s="5" t="str">
        <f t="shared" si="6"/>
        <v/>
      </c>
      <c r="M432" s="1"/>
    </row>
    <row r="433" spans="1:13" x14ac:dyDescent="0.35">
      <c r="A433" s="13"/>
      <c r="B433" s="1"/>
      <c r="C433" s="1"/>
      <c r="D433" s="1"/>
      <c r="E433" s="5" t="str">
        <f>IF(D433="","",IFERROR(INDEX(ORCAMENTO!$I$5:$I$200,MATCH(D433,ORCAMENTO!$Q$5:$Q$200,0)),"chave inexistente"))</f>
        <v/>
      </c>
      <c r="F433" s="1"/>
      <c r="G433" s="35"/>
      <c r="H433" s="13"/>
      <c r="I433" s="13"/>
      <c r="J433" s="1"/>
      <c r="K433" s="1"/>
      <c r="L433" s="5" t="str">
        <f t="shared" si="6"/>
        <v/>
      </c>
      <c r="M433" s="1"/>
    </row>
    <row r="434" spans="1:13" x14ac:dyDescent="0.35">
      <c r="A434" s="13"/>
      <c r="B434" s="1"/>
      <c r="C434" s="1"/>
      <c r="D434" s="1"/>
      <c r="E434" s="5" t="str">
        <f>IF(D434="","",IFERROR(INDEX(ORCAMENTO!$I$5:$I$200,MATCH(D434,ORCAMENTO!$Q$5:$Q$200,0)),"chave inexistente"))</f>
        <v/>
      </c>
      <c r="F434" s="1"/>
      <c r="G434" s="35"/>
      <c r="H434" s="13"/>
      <c r="I434" s="13"/>
      <c r="J434" s="1"/>
      <c r="K434" s="1"/>
      <c r="L434" s="5" t="str">
        <f t="shared" si="6"/>
        <v/>
      </c>
      <c r="M434" s="1"/>
    </row>
    <row r="435" spans="1:13" x14ac:dyDescent="0.35">
      <c r="A435" s="13"/>
      <c r="B435" s="1"/>
      <c r="C435" s="1"/>
      <c r="D435" s="1"/>
      <c r="E435" s="5" t="str">
        <f>IF(D435="","",IFERROR(INDEX(ORCAMENTO!$I$5:$I$200,MATCH(D435,ORCAMENTO!$Q$5:$Q$200,0)),"chave inexistente"))</f>
        <v/>
      </c>
      <c r="F435" s="1"/>
      <c r="G435" s="35"/>
      <c r="H435" s="13"/>
      <c r="I435" s="13"/>
      <c r="J435" s="1"/>
      <c r="K435" s="1"/>
      <c r="L435" s="5" t="str">
        <f t="shared" si="6"/>
        <v/>
      </c>
      <c r="M435" s="1"/>
    </row>
    <row r="436" spans="1:13" x14ac:dyDescent="0.35">
      <c r="A436" s="13"/>
      <c r="B436" s="1"/>
      <c r="C436" s="1"/>
      <c r="D436" s="1"/>
      <c r="E436" s="5" t="str">
        <f>IF(D436="","",IFERROR(INDEX(ORCAMENTO!$I$5:$I$200,MATCH(D436,ORCAMENTO!$Q$5:$Q$200,0)),"chave inexistente"))</f>
        <v/>
      </c>
      <c r="F436" s="1"/>
      <c r="G436" s="35"/>
      <c r="H436" s="13"/>
      <c r="I436" s="13"/>
      <c r="J436" s="1"/>
      <c r="K436" s="1"/>
      <c r="L436" s="5" t="str">
        <f t="shared" si="6"/>
        <v/>
      </c>
      <c r="M436" s="1"/>
    </row>
    <row r="437" spans="1:13" x14ac:dyDescent="0.35">
      <c r="A437" s="13"/>
      <c r="B437" s="1"/>
      <c r="C437" s="1"/>
      <c r="D437" s="1"/>
      <c r="E437" s="5" t="str">
        <f>IF(D437="","",IFERROR(INDEX(ORCAMENTO!$I$5:$I$200,MATCH(D437,ORCAMENTO!$Q$5:$Q$200,0)),"chave inexistente"))</f>
        <v/>
      </c>
      <c r="F437" s="1"/>
      <c r="G437" s="35"/>
      <c r="H437" s="13"/>
      <c r="I437" s="13"/>
      <c r="J437" s="1"/>
      <c r="K437" s="1"/>
      <c r="L437" s="5" t="str">
        <f t="shared" si="6"/>
        <v/>
      </c>
      <c r="M437" s="1"/>
    </row>
    <row r="438" spans="1:13" x14ac:dyDescent="0.35">
      <c r="A438" s="13"/>
      <c r="B438" s="1"/>
      <c r="C438" s="1"/>
      <c r="D438" s="1"/>
      <c r="E438" s="5" t="str">
        <f>IF(D438="","",IFERROR(INDEX(ORCAMENTO!$I$5:$I$200,MATCH(D438,ORCAMENTO!$Q$5:$Q$200,0)),"chave inexistente"))</f>
        <v/>
      </c>
      <c r="F438" s="1"/>
      <c r="G438" s="35"/>
      <c r="H438" s="13"/>
      <c r="I438" s="13"/>
      <c r="J438" s="1"/>
      <c r="K438" s="1"/>
      <c r="L438" s="5" t="str">
        <f t="shared" si="6"/>
        <v/>
      </c>
      <c r="M438" s="1"/>
    </row>
    <row r="439" spans="1:13" x14ac:dyDescent="0.35">
      <c r="A439" s="13"/>
      <c r="B439" s="1"/>
      <c r="C439" s="1"/>
      <c r="D439" s="1"/>
      <c r="E439" s="5" t="str">
        <f>IF(D439="","",IFERROR(INDEX(ORCAMENTO!$I$5:$I$200,MATCH(D439,ORCAMENTO!$Q$5:$Q$200,0)),"chave inexistente"))</f>
        <v/>
      </c>
      <c r="F439" s="1"/>
      <c r="G439" s="35"/>
      <c r="H439" s="13"/>
      <c r="I439" s="13"/>
      <c r="J439" s="1"/>
      <c r="K439" s="1"/>
      <c r="L439" s="5" t="str">
        <f t="shared" si="6"/>
        <v/>
      </c>
      <c r="M439" s="1"/>
    </row>
    <row r="440" spans="1:13" x14ac:dyDescent="0.35">
      <c r="A440" s="13"/>
      <c r="B440" s="1"/>
      <c r="C440" s="1"/>
      <c r="D440" s="1"/>
      <c r="E440" s="5" t="str">
        <f>IF(D440="","",IFERROR(INDEX(ORCAMENTO!$I$5:$I$200,MATCH(D440,ORCAMENTO!$Q$5:$Q$200,0)),"chave inexistente"))</f>
        <v/>
      </c>
      <c r="F440" s="1"/>
      <c r="G440" s="35"/>
      <c r="H440" s="13"/>
      <c r="I440" s="13"/>
      <c r="J440" s="1"/>
      <c r="K440" s="1"/>
      <c r="L440" s="5" t="str">
        <f t="shared" si="6"/>
        <v/>
      </c>
      <c r="M440" s="1"/>
    </row>
    <row r="441" spans="1:13" x14ac:dyDescent="0.35">
      <c r="A441" s="13"/>
      <c r="B441" s="1"/>
      <c r="C441" s="1"/>
      <c r="D441" s="1"/>
      <c r="E441" s="5" t="str">
        <f>IF(D441="","",IFERROR(INDEX(ORCAMENTO!$I$5:$I$200,MATCH(D441,ORCAMENTO!$Q$5:$Q$200,0)),"chave inexistente"))</f>
        <v/>
      </c>
      <c r="F441" s="1"/>
      <c r="G441" s="35"/>
      <c r="H441" s="13"/>
      <c r="I441" s="13"/>
      <c r="J441" s="1"/>
      <c r="K441" s="1"/>
      <c r="L441" s="5" t="str">
        <f t="shared" si="6"/>
        <v/>
      </c>
      <c r="M441" s="1"/>
    </row>
    <row r="442" spans="1:13" x14ac:dyDescent="0.35">
      <c r="A442" s="13"/>
      <c r="B442" s="1"/>
      <c r="C442" s="1"/>
      <c r="D442" s="1"/>
      <c r="E442" s="5" t="str">
        <f>IF(D442="","",IFERROR(INDEX(ORCAMENTO!$I$5:$I$200,MATCH(D442,ORCAMENTO!$Q$5:$Q$200,0)),"chave inexistente"))</f>
        <v/>
      </c>
      <c r="F442" s="1"/>
      <c r="G442" s="35"/>
      <c r="H442" s="13"/>
      <c r="I442" s="13"/>
      <c r="J442" s="1"/>
      <c r="K442" s="1"/>
      <c r="L442" s="5" t="str">
        <f t="shared" si="6"/>
        <v/>
      </c>
      <c r="M442" s="1"/>
    </row>
    <row r="443" spans="1:13" x14ac:dyDescent="0.35">
      <c r="A443" s="13"/>
      <c r="B443" s="1"/>
      <c r="C443" s="1"/>
      <c r="D443" s="1"/>
      <c r="E443" s="5" t="str">
        <f>IF(D443="","",IFERROR(INDEX(ORCAMENTO!$I$5:$I$200,MATCH(D443,ORCAMENTO!$Q$5:$Q$200,0)),"chave inexistente"))</f>
        <v/>
      </c>
      <c r="F443" s="1"/>
      <c r="G443" s="35"/>
      <c r="H443" s="13"/>
      <c r="I443" s="13"/>
      <c r="J443" s="1"/>
      <c r="K443" s="1"/>
      <c r="L443" s="5" t="str">
        <f t="shared" si="6"/>
        <v/>
      </c>
      <c r="M443" s="1"/>
    </row>
    <row r="444" spans="1:13" x14ac:dyDescent="0.35">
      <c r="A444" s="13"/>
      <c r="B444" s="1"/>
      <c r="C444" s="1"/>
      <c r="D444" s="1"/>
      <c r="E444" s="5" t="str">
        <f>IF(D444="","",IFERROR(INDEX(ORCAMENTO!$I$5:$I$200,MATCH(D444,ORCAMENTO!$Q$5:$Q$200,0)),"chave inexistente"))</f>
        <v/>
      </c>
      <c r="F444" s="1"/>
      <c r="G444" s="35"/>
      <c r="H444" s="13"/>
      <c r="I444" s="13"/>
      <c r="J444" s="1"/>
      <c r="K444" s="1"/>
      <c r="L444" s="5" t="str">
        <f t="shared" si="6"/>
        <v/>
      </c>
      <c r="M444" s="1"/>
    </row>
    <row r="445" spans="1:13" x14ac:dyDescent="0.35">
      <c r="A445" s="13"/>
      <c r="B445" s="1"/>
      <c r="C445" s="1"/>
      <c r="D445" s="1"/>
      <c r="E445" s="5" t="str">
        <f>IF(D445="","",IFERROR(INDEX(ORCAMENTO!$I$5:$I$200,MATCH(D445,ORCAMENTO!$Q$5:$Q$200,0)),"chave inexistente"))</f>
        <v/>
      </c>
      <c r="F445" s="1"/>
      <c r="G445" s="35"/>
      <c r="H445" s="13"/>
      <c r="I445" s="13"/>
      <c r="J445" s="1"/>
      <c r="K445" s="1"/>
      <c r="L445" s="5" t="str">
        <f t="shared" si="6"/>
        <v/>
      </c>
      <c r="M445" s="1"/>
    </row>
    <row r="446" spans="1:13" x14ac:dyDescent="0.35">
      <c r="A446" s="13"/>
      <c r="B446" s="1"/>
      <c r="C446" s="1"/>
      <c r="D446" s="1"/>
      <c r="E446" s="5" t="str">
        <f>IF(D446="","",IFERROR(INDEX(ORCAMENTO!$I$5:$I$200,MATCH(D446,ORCAMENTO!$Q$5:$Q$200,0)),"chave inexistente"))</f>
        <v/>
      </c>
      <c r="F446" s="1"/>
      <c r="G446" s="35"/>
      <c r="H446" s="13"/>
      <c r="I446" s="13"/>
      <c r="J446" s="1"/>
      <c r="K446" s="1"/>
      <c r="L446" s="5" t="str">
        <f t="shared" si="6"/>
        <v/>
      </c>
      <c r="M446" s="1"/>
    </row>
    <row r="447" spans="1:13" x14ac:dyDescent="0.35">
      <c r="A447" s="13"/>
      <c r="B447" s="1"/>
      <c r="C447" s="1"/>
      <c r="D447" s="1"/>
      <c r="E447" s="5" t="str">
        <f>IF(D447="","",IFERROR(INDEX(ORCAMENTO!$I$5:$I$200,MATCH(D447,ORCAMENTO!$Q$5:$Q$200,0)),"chave inexistente"))</f>
        <v/>
      </c>
      <c r="F447" s="1"/>
      <c r="G447" s="35"/>
      <c r="H447" s="13"/>
      <c r="I447" s="13"/>
      <c r="J447" s="1"/>
      <c r="K447" s="1"/>
      <c r="L447" s="5" t="str">
        <f t="shared" si="6"/>
        <v/>
      </c>
      <c r="M447" s="1"/>
    </row>
    <row r="448" spans="1:13" x14ac:dyDescent="0.35">
      <c r="A448" s="13"/>
      <c r="B448" s="1"/>
      <c r="C448" s="1"/>
      <c r="D448" s="1"/>
      <c r="E448" s="5" t="str">
        <f>IF(D448="","",IFERROR(INDEX(ORCAMENTO!$I$5:$I$200,MATCH(D448,ORCAMENTO!$Q$5:$Q$200,0)),"chave inexistente"))</f>
        <v/>
      </c>
      <c r="F448" s="1"/>
      <c r="G448" s="35"/>
      <c r="H448" s="13"/>
      <c r="I448" s="13"/>
      <c r="J448" s="1"/>
      <c r="K448" s="1"/>
      <c r="L448" s="5" t="str">
        <f t="shared" si="6"/>
        <v/>
      </c>
      <c r="M448" s="1"/>
    </row>
    <row r="449" spans="1:13" x14ac:dyDescent="0.35">
      <c r="A449" s="13"/>
      <c r="B449" s="1"/>
      <c r="C449" s="1"/>
      <c r="D449" s="1"/>
      <c r="E449" s="5" t="str">
        <f>IF(D449="","",IFERROR(INDEX(ORCAMENTO!$I$5:$I$200,MATCH(D449,ORCAMENTO!$Q$5:$Q$200,0)),"chave inexistente"))</f>
        <v/>
      </c>
      <c r="F449" s="1"/>
      <c r="G449" s="35"/>
      <c r="H449" s="13"/>
      <c r="I449" s="13"/>
      <c r="J449" s="1"/>
      <c r="K449" s="1"/>
      <c r="L449" s="5" t="str">
        <f t="shared" si="6"/>
        <v/>
      </c>
      <c r="M449" s="1"/>
    </row>
    <row r="450" spans="1:13" x14ac:dyDescent="0.35">
      <c r="A450" s="13"/>
      <c r="B450" s="1"/>
      <c r="C450" s="1"/>
      <c r="D450" s="1"/>
      <c r="E450" s="5" t="str">
        <f>IF(D450="","",IFERROR(INDEX(ORCAMENTO!$I$5:$I$200,MATCH(D450,ORCAMENTO!$Q$5:$Q$200,0)),"chave inexistente"))</f>
        <v/>
      </c>
      <c r="F450" s="1"/>
      <c r="G450" s="35"/>
      <c r="H450" s="13"/>
      <c r="I450" s="13"/>
      <c r="J450" s="1"/>
      <c r="K450" s="1"/>
      <c r="L450" s="5" t="str">
        <f t="shared" si="6"/>
        <v/>
      </c>
      <c r="M450" s="1"/>
    </row>
    <row r="451" spans="1:13" x14ac:dyDescent="0.35">
      <c r="A451" s="13"/>
      <c r="B451" s="1"/>
      <c r="C451" s="1"/>
      <c r="D451" s="1"/>
      <c r="E451" s="5" t="str">
        <f>IF(D451="","",IFERROR(INDEX(ORCAMENTO!$I$5:$I$200,MATCH(D451,ORCAMENTO!$Q$5:$Q$200,0)),"chave inexistente"))</f>
        <v/>
      </c>
      <c r="F451" s="1"/>
      <c r="G451" s="35"/>
      <c r="H451" s="13"/>
      <c r="I451" s="13"/>
      <c r="J451" s="1"/>
      <c r="K451" s="1"/>
      <c r="L451" s="5" t="str">
        <f t="shared" si="6"/>
        <v/>
      </c>
      <c r="M451" s="1"/>
    </row>
    <row r="452" spans="1:13" x14ac:dyDescent="0.35">
      <c r="A452" s="13"/>
      <c r="B452" s="1"/>
      <c r="C452" s="1"/>
      <c r="D452" s="1"/>
      <c r="E452" s="5" t="str">
        <f>IF(D452="","",IFERROR(INDEX(ORCAMENTO!$I$5:$I$200,MATCH(D452,ORCAMENTO!$Q$5:$Q$200,0)),"chave inexistente"))</f>
        <v/>
      </c>
      <c r="F452" s="1"/>
      <c r="G452" s="35"/>
      <c r="H452" s="13"/>
      <c r="I452" s="13"/>
      <c r="J452" s="1"/>
      <c r="K452" s="1"/>
      <c r="L452" s="5" t="str">
        <f t="shared" si="6"/>
        <v/>
      </c>
      <c r="M452" s="1"/>
    </row>
    <row r="453" spans="1:13" x14ac:dyDescent="0.35">
      <c r="A453" s="13"/>
      <c r="B453" s="1"/>
      <c r="C453" s="1"/>
      <c r="D453" s="1"/>
      <c r="E453" s="5" t="str">
        <f>IF(D453="","",IFERROR(INDEX(ORCAMENTO!$I$5:$I$200,MATCH(D453,ORCAMENTO!$Q$5:$Q$200,0)),"chave inexistente"))</f>
        <v/>
      </c>
      <c r="F453" s="1"/>
      <c r="G453" s="35"/>
      <c r="H453" s="13"/>
      <c r="I453" s="13"/>
      <c r="J453" s="1"/>
      <c r="K453" s="1"/>
      <c r="L453" s="5" t="str">
        <f t="shared" si="6"/>
        <v/>
      </c>
      <c r="M453" s="1"/>
    </row>
    <row r="454" spans="1:13" x14ac:dyDescent="0.35">
      <c r="A454" s="13"/>
      <c r="B454" s="1"/>
      <c r="C454" s="1"/>
      <c r="D454" s="1"/>
      <c r="E454" s="5" t="str">
        <f>IF(D454="","",IFERROR(INDEX(ORCAMENTO!$I$5:$I$200,MATCH(D454,ORCAMENTO!$Q$5:$Q$200,0)),"chave inexistente"))</f>
        <v/>
      </c>
      <c r="F454" s="1"/>
      <c r="G454" s="35"/>
      <c r="H454" s="13"/>
      <c r="I454" s="13"/>
      <c r="J454" s="1"/>
      <c r="K454" s="1"/>
      <c r="L454" s="5" t="str">
        <f t="shared" ref="L454:L500" si="7">IF(A454="","",IF(J454="Entregue","Entregue",IF(J454="Cancelado","Cancelado",IF(AND(H454&lt;&gt;"",DataRef&gt;H454),"ATRASADA","No prazo"))))</f>
        <v/>
      </c>
      <c r="M454" s="1"/>
    </row>
    <row r="455" spans="1:13" x14ac:dyDescent="0.35">
      <c r="A455" s="13"/>
      <c r="B455" s="1"/>
      <c r="C455" s="1"/>
      <c r="D455" s="1"/>
      <c r="E455" s="5" t="str">
        <f>IF(D455="","",IFERROR(INDEX(ORCAMENTO!$I$5:$I$200,MATCH(D455,ORCAMENTO!$Q$5:$Q$200,0)),"chave inexistente"))</f>
        <v/>
      </c>
      <c r="F455" s="1"/>
      <c r="G455" s="35"/>
      <c r="H455" s="13"/>
      <c r="I455" s="13"/>
      <c r="J455" s="1"/>
      <c r="K455" s="1"/>
      <c r="L455" s="5" t="str">
        <f t="shared" si="7"/>
        <v/>
      </c>
      <c r="M455" s="1"/>
    </row>
    <row r="456" spans="1:13" x14ac:dyDescent="0.35">
      <c r="A456" s="13"/>
      <c r="B456" s="1"/>
      <c r="C456" s="1"/>
      <c r="D456" s="1"/>
      <c r="E456" s="5" t="str">
        <f>IF(D456="","",IFERROR(INDEX(ORCAMENTO!$I$5:$I$200,MATCH(D456,ORCAMENTO!$Q$5:$Q$200,0)),"chave inexistente"))</f>
        <v/>
      </c>
      <c r="F456" s="1"/>
      <c r="G456" s="35"/>
      <c r="H456" s="13"/>
      <c r="I456" s="13"/>
      <c r="J456" s="1"/>
      <c r="K456" s="1"/>
      <c r="L456" s="5" t="str">
        <f t="shared" si="7"/>
        <v/>
      </c>
      <c r="M456" s="1"/>
    </row>
    <row r="457" spans="1:13" x14ac:dyDescent="0.35">
      <c r="A457" s="13"/>
      <c r="B457" s="1"/>
      <c r="C457" s="1"/>
      <c r="D457" s="1"/>
      <c r="E457" s="5" t="str">
        <f>IF(D457="","",IFERROR(INDEX(ORCAMENTO!$I$5:$I$200,MATCH(D457,ORCAMENTO!$Q$5:$Q$200,0)),"chave inexistente"))</f>
        <v/>
      </c>
      <c r="F457" s="1"/>
      <c r="G457" s="35"/>
      <c r="H457" s="13"/>
      <c r="I457" s="13"/>
      <c r="J457" s="1"/>
      <c r="K457" s="1"/>
      <c r="L457" s="5" t="str">
        <f t="shared" si="7"/>
        <v/>
      </c>
      <c r="M457" s="1"/>
    </row>
    <row r="458" spans="1:13" x14ac:dyDescent="0.35">
      <c r="A458" s="13"/>
      <c r="B458" s="1"/>
      <c r="C458" s="1"/>
      <c r="D458" s="1"/>
      <c r="E458" s="5" t="str">
        <f>IF(D458="","",IFERROR(INDEX(ORCAMENTO!$I$5:$I$200,MATCH(D458,ORCAMENTO!$Q$5:$Q$200,0)),"chave inexistente"))</f>
        <v/>
      </c>
      <c r="F458" s="1"/>
      <c r="G458" s="35"/>
      <c r="H458" s="13"/>
      <c r="I458" s="13"/>
      <c r="J458" s="1"/>
      <c r="K458" s="1"/>
      <c r="L458" s="5" t="str">
        <f t="shared" si="7"/>
        <v/>
      </c>
      <c r="M458" s="1"/>
    </row>
    <row r="459" spans="1:13" x14ac:dyDescent="0.35">
      <c r="A459" s="13"/>
      <c r="B459" s="1"/>
      <c r="C459" s="1"/>
      <c r="D459" s="1"/>
      <c r="E459" s="5" t="str">
        <f>IF(D459="","",IFERROR(INDEX(ORCAMENTO!$I$5:$I$200,MATCH(D459,ORCAMENTO!$Q$5:$Q$200,0)),"chave inexistente"))</f>
        <v/>
      </c>
      <c r="F459" s="1"/>
      <c r="G459" s="35"/>
      <c r="H459" s="13"/>
      <c r="I459" s="13"/>
      <c r="J459" s="1"/>
      <c r="K459" s="1"/>
      <c r="L459" s="5" t="str">
        <f t="shared" si="7"/>
        <v/>
      </c>
      <c r="M459" s="1"/>
    </row>
    <row r="460" spans="1:13" x14ac:dyDescent="0.35">
      <c r="A460" s="13"/>
      <c r="B460" s="1"/>
      <c r="C460" s="1"/>
      <c r="D460" s="1"/>
      <c r="E460" s="5" t="str">
        <f>IF(D460="","",IFERROR(INDEX(ORCAMENTO!$I$5:$I$200,MATCH(D460,ORCAMENTO!$Q$5:$Q$200,0)),"chave inexistente"))</f>
        <v/>
      </c>
      <c r="F460" s="1"/>
      <c r="G460" s="35"/>
      <c r="H460" s="13"/>
      <c r="I460" s="13"/>
      <c r="J460" s="1"/>
      <c r="K460" s="1"/>
      <c r="L460" s="5" t="str">
        <f t="shared" si="7"/>
        <v/>
      </c>
      <c r="M460" s="1"/>
    </row>
    <row r="461" spans="1:13" x14ac:dyDescent="0.35">
      <c r="A461" s="13"/>
      <c r="B461" s="1"/>
      <c r="C461" s="1"/>
      <c r="D461" s="1"/>
      <c r="E461" s="5" t="str">
        <f>IF(D461="","",IFERROR(INDEX(ORCAMENTO!$I$5:$I$200,MATCH(D461,ORCAMENTO!$Q$5:$Q$200,0)),"chave inexistente"))</f>
        <v/>
      </c>
      <c r="F461" s="1"/>
      <c r="G461" s="35"/>
      <c r="H461" s="13"/>
      <c r="I461" s="13"/>
      <c r="J461" s="1"/>
      <c r="K461" s="1"/>
      <c r="L461" s="5" t="str">
        <f t="shared" si="7"/>
        <v/>
      </c>
      <c r="M461" s="1"/>
    </row>
    <row r="462" spans="1:13" x14ac:dyDescent="0.35">
      <c r="A462" s="13"/>
      <c r="B462" s="1"/>
      <c r="C462" s="1"/>
      <c r="D462" s="1"/>
      <c r="E462" s="5" t="str">
        <f>IF(D462="","",IFERROR(INDEX(ORCAMENTO!$I$5:$I$200,MATCH(D462,ORCAMENTO!$Q$5:$Q$200,0)),"chave inexistente"))</f>
        <v/>
      </c>
      <c r="F462" s="1"/>
      <c r="G462" s="35"/>
      <c r="H462" s="13"/>
      <c r="I462" s="13"/>
      <c r="J462" s="1"/>
      <c r="K462" s="1"/>
      <c r="L462" s="5" t="str">
        <f t="shared" si="7"/>
        <v/>
      </c>
      <c r="M462" s="1"/>
    </row>
    <row r="463" spans="1:13" x14ac:dyDescent="0.35">
      <c r="A463" s="13"/>
      <c r="B463" s="1"/>
      <c r="C463" s="1"/>
      <c r="D463" s="1"/>
      <c r="E463" s="5" t="str">
        <f>IF(D463="","",IFERROR(INDEX(ORCAMENTO!$I$5:$I$200,MATCH(D463,ORCAMENTO!$Q$5:$Q$200,0)),"chave inexistente"))</f>
        <v/>
      </c>
      <c r="F463" s="1"/>
      <c r="G463" s="35"/>
      <c r="H463" s="13"/>
      <c r="I463" s="13"/>
      <c r="J463" s="1"/>
      <c r="K463" s="1"/>
      <c r="L463" s="5" t="str">
        <f t="shared" si="7"/>
        <v/>
      </c>
      <c r="M463" s="1"/>
    </row>
    <row r="464" spans="1:13" x14ac:dyDescent="0.35">
      <c r="A464" s="13"/>
      <c r="B464" s="1"/>
      <c r="C464" s="1"/>
      <c r="D464" s="1"/>
      <c r="E464" s="5" t="str">
        <f>IF(D464="","",IFERROR(INDEX(ORCAMENTO!$I$5:$I$200,MATCH(D464,ORCAMENTO!$Q$5:$Q$200,0)),"chave inexistente"))</f>
        <v/>
      </c>
      <c r="F464" s="1"/>
      <c r="G464" s="35"/>
      <c r="H464" s="13"/>
      <c r="I464" s="13"/>
      <c r="J464" s="1"/>
      <c r="K464" s="1"/>
      <c r="L464" s="5" t="str">
        <f t="shared" si="7"/>
        <v/>
      </c>
      <c r="M464" s="1"/>
    </row>
    <row r="465" spans="1:13" x14ac:dyDescent="0.35">
      <c r="A465" s="13"/>
      <c r="B465" s="1"/>
      <c r="C465" s="1"/>
      <c r="D465" s="1"/>
      <c r="E465" s="5" t="str">
        <f>IF(D465="","",IFERROR(INDEX(ORCAMENTO!$I$5:$I$200,MATCH(D465,ORCAMENTO!$Q$5:$Q$200,0)),"chave inexistente"))</f>
        <v/>
      </c>
      <c r="F465" s="1"/>
      <c r="G465" s="35"/>
      <c r="H465" s="13"/>
      <c r="I465" s="13"/>
      <c r="J465" s="1"/>
      <c r="K465" s="1"/>
      <c r="L465" s="5" t="str">
        <f t="shared" si="7"/>
        <v/>
      </c>
      <c r="M465" s="1"/>
    </row>
    <row r="466" spans="1:13" x14ac:dyDescent="0.35">
      <c r="A466" s="13"/>
      <c r="B466" s="1"/>
      <c r="C466" s="1"/>
      <c r="D466" s="1"/>
      <c r="E466" s="5" t="str">
        <f>IF(D466="","",IFERROR(INDEX(ORCAMENTO!$I$5:$I$200,MATCH(D466,ORCAMENTO!$Q$5:$Q$200,0)),"chave inexistente"))</f>
        <v/>
      </c>
      <c r="F466" s="1"/>
      <c r="G466" s="35"/>
      <c r="H466" s="13"/>
      <c r="I466" s="13"/>
      <c r="J466" s="1"/>
      <c r="K466" s="1"/>
      <c r="L466" s="5" t="str">
        <f t="shared" si="7"/>
        <v/>
      </c>
      <c r="M466" s="1"/>
    </row>
    <row r="467" spans="1:13" x14ac:dyDescent="0.35">
      <c r="A467" s="13"/>
      <c r="B467" s="1"/>
      <c r="C467" s="1"/>
      <c r="D467" s="1"/>
      <c r="E467" s="5" t="str">
        <f>IF(D467="","",IFERROR(INDEX(ORCAMENTO!$I$5:$I$200,MATCH(D467,ORCAMENTO!$Q$5:$Q$200,0)),"chave inexistente"))</f>
        <v/>
      </c>
      <c r="F467" s="1"/>
      <c r="G467" s="35"/>
      <c r="H467" s="13"/>
      <c r="I467" s="13"/>
      <c r="J467" s="1"/>
      <c r="K467" s="1"/>
      <c r="L467" s="5" t="str">
        <f t="shared" si="7"/>
        <v/>
      </c>
      <c r="M467" s="1"/>
    </row>
    <row r="468" spans="1:13" x14ac:dyDescent="0.35">
      <c r="A468" s="13"/>
      <c r="B468" s="1"/>
      <c r="C468" s="1"/>
      <c r="D468" s="1"/>
      <c r="E468" s="5" t="str">
        <f>IF(D468="","",IFERROR(INDEX(ORCAMENTO!$I$5:$I$200,MATCH(D468,ORCAMENTO!$Q$5:$Q$200,0)),"chave inexistente"))</f>
        <v/>
      </c>
      <c r="F468" s="1"/>
      <c r="G468" s="35"/>
      <c r="H468" s="13"/>
      <c r="I468" s="13"/>
      <c r="J468" s="1"/>
      <c r="K468" s="1"/>
      <c r="L468" s="5" t="str">
        <f t="shared" si="7"/>
        <v/>
      </c>
      <c r="M468" s="1"/>
    </row>
    <row r="469" spans="1:13" x14ac:dyDescent="0.35">
      <c r="A469" s="13"/>
      <c r="B469" s="1"/>
      <c r="C469" s="1"/>
      <c r="D469" s="1"/>
      <c r="E469" s="5" t="str">
        <f>IF(D469="","",IFERROR(INDEX(ORCAMENTO!$I$5:$I$200,MATCH(D469,ORCAMENTO!$Q$5:$Q$200,0)),"chave inexistente"))</f>
        <v/>
      </c>
      <c r="F469" s="1"/>
      <c r="G469" s="35"/>
      <c r="H469" s="13"/>
      <c r="I469" s="13"/>
      <c r="J469" s="1"/>
      <c r="K469" s="1"/>
      <c r="L469" s="5" t="str">
        <f t="shared" si="7"/>
        <v/>
      </c>
      <c r="M469" s="1"/>
    </row>
    <row r="470" spans="1:13" x14ac:dyDescent="0.35">
      <c r="A470" s="13"/>
      <c r="B470" s="1"/>
      <c r="C470" s="1"/>
      <c r="D470" s="1"/>
      <c r="E470" s="5" t="str">
        <f>IF(D470="","",IFERROR(INDEX(ORCAMENTO!$I$5:$I$200,MATCH(D470,ORCAMENTO!$Q$5:$Q$200,0)),"chave inexistente"))</f>
        <v/>
      </c>
      <c r="F470" s="1"/>
      <c r="G470" s="35"/>
      <c r="H470" s="13"/>
      <c r="I470" s="13"/>
      <c r="J470" s="1"/>
      <c r="K470" s="1"/>
      <c r="L470" s="5" t="str">
        <f t="shared" si="7"/>
        <v/>
      </c>
      <c r="M470" s="1"/>
    </row>
    <row r="471" spans="1:13" x14ac:dyDescent="0.35">
      <c r="A471" s="13"/>
      <c r="B471" s="1"/>
      <c r="C471" s="1"/>
      <c r="D471" s="1"/>
      <c r="E471" s="5" t="str">
        <f>IF(D471="","",IFERROR(INDEX(ORCAMENTO!$I$5:$I$200,MATCH(D471,ORCAMENTO!$Q$5:$Q$200,0)),"chave inexistente"))</f>
        <v/>
      </c>
      <c r="F471" s="1"/>
      <c r="G471" s="35"/>
      <c r="H471" s="13"/>
      <c r="I471" s="13"/>
      <c r="J471" s="1"/>
      <c r="K471" s="1"/>
      <c r="L471" s="5" t="str">
        <f t="shared" si="7"/>
        <v/>
      </c>
      <c r="M471" s="1"/>
    </row>
    <row r="472" spans="1:13" x14ac:dyDescent="0.35">
      <c r="A472" s="13"/>
      <c r="B472" s="1"/>
      <c r="C472" s="1"/>
      <c r="D472" s="1"/>
      <c r="E472" s="5" t="str">
        <f>IF(D472="","",IFERROR(INDEX(ORCAMENTO!$I$5:$I$200,MATCH(D472,ORCAMENTO!$Q$5:$Q$200,0)),"chave inexistente"))</f>
        <v/>
      </c>
      <c r="F472" s="1"/>
      <c r="G472" s="35"/>
      <c r="H472" s="13"/>
      <c r="I472" s="13"/>
      <c r="J472" s="1"/>
      <c r="K472" s="1"/>
      <c r="L472" s="5" t="str">
        <f t="shared" si="7"/>
        <v/>
      </c>
      <c r="M472" s="1"/>
    </row>
    <row r="473" spans="1:13" x14ac:dyDescent="0.35">
      <c r="A473" s="13"/>
      <c r="B473" s="1"/>
      <c r="C473" s="1"/>
      <c r="D473" s="1"/>
      <c r="E473" s="5" t="str">
        <f>IF(D473="","",IFERROR(INDEX(ORCAMENTO!$I$5:$I$200,MATCH(D473,ORCAMENTO!$Q$5:$Q$200,0)),"chave inexistente"))</f>
        <v/>
      </c>
      <c r="F473" s="1"/>
      <c r="G473" s="35"/>
      <c r="H473" s="13"/>
      <c r="I473" s="13"/>
      <c r="J473" s="1"/>
      <c r="K473" s="1"/>
      <c r="L473" s="5" t="str">
        <f t="shared" si="7"/>
        <v/>
      </c>
      <c r="M473" s="1"/>
    </row>
    <row r="474" spans="1:13" x14ac:dyDescent="0.35">
      <c r="A474" s="13"/>
      <c r="B474" s="1"/>
      <c r="C474" s="1"/>
      <c r="D474" s="1"/>
      <c r="E474" s="5" t="str">
        <f>IF(D474="","",IFERROR(INDEX(ORCAMENTO!$I$5:$I$200,MATCH(D474,ORCAMENTO!$Q$5:$Q$200,0)),"chave inexistente"))</f>
        <v/>
      </c>
      <c r="F474" s="1"/>
      <c r="G474" s="35"/>
      <c r="H474" s="13"/>
      <c r="I474" s="13"/>
      <c r="J474" s="1"/>
      <c r="K474" s="1"/>
      <c r="L474" s="5" t="str">
        <f t="shared" si="7"/>
        <v/>
      </c>
      <c r="M474" s="1"/>
    </row>
    <row r="475" spans="1:13" x14ac:dyDescent="0.35">
      <c r="A475" s="13"/>
      <c r="B475" s="1"/>
      <c r="C475" s="1"/>
      <c r="D475" s="1"/>
      <c r="E475" s="5" t="str">
        <f>IF(D475="","",IFERROR(INDEX(ORCAMENTO!$I$5:$I$200,MATCH(D475,ORCAMENTO!$Q$5:$Q$200,0)),"chave inexistente"))</f>
        <v/>
      </c>
      <c r="F475" s="1"/>
      <c r="G475" s="35"/>
      <c r="H475" s="13"/>
      <c r="I475" s="13"/>
      <c r="J475" s="1"/>
      <c r="K475" s="1"/>
      <c r="L475" s="5" t="str">
        <f t="shared" si="7"/>
        <v/>
      </c>
      <c r="M475" s="1"/>
    </row>
    <row r="476" spans="1:13" x14ac:dyDescent="0.35">
      <c r="A476" s="13"/>
      <c r="B476" s="1"/>
      <c r="C476" s="1"/>
      <c r="D476" s="1"/>
      <c r="E476" s="5" t="str">
        <f>IF(D476="","",IFERROR(INDEX(ORCAMENTO!$I$5:$I$200,MATCH(D476,ORCAMENTO!$Q$5:$Q$200,0)),"chave inexistente"))</f>
        <v/>
      </c>
      <c r="F476" s="1"/>
      <c r="G476" s="35"/>
      <c r="H476" s="13"/>
      <c r="I476" s="13"/>
      <c r="J476" s="1"/>
      <c r="K476" s="1"/>
      <c r="L476" s="5" t="str">
        <f t="shared" si="7"/>
        <v/>
      </c>
      <c r="M476" s="1"/>
    </row>
    <row r="477" spans="1:13" x14ac:dyDescent="0.35">
      <c r="A477" s="13"/>
      <c r="B477" s="1"/>
      <c r="C477" s="1"/>
      <c r="D477" s="1"/>
      <c r="E477" s="5" t="str">
        <f>IF(D477="","",IFERROR(INDEX(ORCAMENTO!$I$5:$I$200,MATCH(D477,ORCAMENTO!$Q$5:$Q$200,0)),"chave inexistente"))</f>
        <v/>
      </c>
      <c r="F477" s="1"/>
      <c r="G477" s="35"/>
      <c r="H477" s="13"/>
      <c r="I477" s="13"/>
      <c r="J477" s="1"/>
      <c r="K477" s="1"/>
      <c r="L477" s="5" t="str">
        <f t="shared" si="7"/>
        <v/>
      </c>
      <c r="M477" s="1"/>
    </row>
    <row r="478" spans="1:13" x14ac:dyDescent="0.35">
      <c r="A478" s="13"/>
      <c r="B478" s="1"/>
      <c r="C478" s="1"/>
      <c r="D478" s="1"/>
      <c r="E478" s="5" t="str">
        <f>IF(D478="","",IFERROR(INDEX(ORCAMENTO!$I$5:$I$200,MATCH(D478,ORCAMENTO!$Q$5:$Q$200,0)),"chave inexistente"))</f>
        <v/>
      </c>
      <c r="F478" s="1"/>
      <c r="G478" s="35"/>
      <c r="H478" s="13"/>
      <c r="I478" s="13"/>
      <c r="J478" s="1"/>
      <c r="K478" s="1"/>
      <c r="L478" s="5" t="str">
        <f t="shared" si="7"/>
        <v/>
      </c>
      <c r="M478" s="1"/>
    </row>
    <row r="479" spans="1:13" x14ac:dyDescent="0.35">
      <c r="A479" s="13"/>
      <c r="B479" s="1"/>
      <c r="C479" s="1"/>
      <c r="D479" s="1"/>
      <c r="E479" s="5" t="str">
        <f>IF(D479="","",IFERROR(INDEX(ORCAMENTO!$I$5:$I$200,MATCH(D479,ORCAMENTO!$Q$5:$Q$200,0)),"chave inexistente"))</f>
        <v/>
      </c>
      <c r="F479" s="1"/>
      <c r="G479" s="35"/>
      <c r="H479" s="13"/>
      <c r="I479" s="13"/>
      <c r="J479" s="1"/>
      <c r="K479" s="1"/>
      <c r="L479" s="5" t="str">
        <f t="shared" si="7"/>
        <v/>
      </c>
      <c r="M479" s="1"/>
    </row>
    <row r="480" spans="1:13" x14ac:dyDescent="0.35">
      <c r="A480" s="13"/>
      <c r="B480" s="1"/>
      <c r="C480" s="1"/>
      <c r="D480" s="1"/>
      <c r="E480" s="5" t="str">
        <f>IF(D480="","",IFERROR(INDEX(ORCAMENTO!$I$5:$I$200,MATCH(D480,ORCAMENTO!$Q$5:$Q$200,0)),"chave inexistente"))</f>
        <v/>
      </c>
      <c r="F480" s="1"/>
      <c r="G480" s="35"/>
      <c r="H480" s="13"/>
      <c r="I480" s="13"/>
      <c r="J480" s="1"/>
      <c r="K480" s="1"/>
      <c r="L480" s="5" t="str">
        <f t="shared" si="7"/>
        <v/>
      </c>
      <c r="M480" s="1"/>
    </row>
    <row r="481" spans="1:13" x14ac:dyDescent="0.35">
      <c r="A481" s="13"/>
      <c r="B481" s="1"/>
      <c r="C481" s="1"/>
      <c r="D481" s="1"/>
      <c r="E481" s="5" t="str">
        <f>IF(D481="","",IFERROR(INDEX(ORCAMENTO!$I$5:$I$200,MATCH(D481,ORCAMENTO!$Q$5:$Q$200,0)),"chave inexistente"))</f>
        <v/>
      </c>
      <c r="F481" s="1"/>
      <c r="G481" s="35"/>
      <c r="H481" s="13"/>
      <c r="I481" s="13"/>
      <c r="J481" s="1"/>
      <c r="K481" s="1"/>
      <c r="L481" s="5" t="str">
        <f t="shared" si="7"/>
        <v/>
      </c>
      <c r="M481" s="1"/>
    </row>
    <row r="482" spans="1:13" x14ac:dyDescent="0.35">
      <c r="A482" s="13"/>
      <c r="B482" s="1"/>
      <c r="C482" s="1"/>
      <c r="D482" s="1"/>
      <c r="E482" s="5" t="str">
        <f>IF(D482="","",IFERROR(INDEX(ORCAMENTO!$I$5:$I$200,MATCH(D482,ORCAMENTO!$Q$5:$Q$200,0)),"chave inexistente"))</f>
        <v/>
      </c>
      <c r="F482" s="1"/>
      <c r="G482" s="35"/>
      <c r="H482" s="13"/>
      <c r="I482" s="13"/>
      <c r="J482" s="1"/>
      <c r="K482" s="1"/>
      <c r="L482" s="5" t="str">
        <f t="shared" si="7"/>
        <v/>
      </c>
      <c r="M482" s="1"/>
    </row>
    <row r="483" spans="1:13" x14ac:dyDescent="0.35">
      <c r="A483" s="13"/>
      <c r="B483" s="1"/>
      <c r="C483" s="1"/>
      <c r="D483" s="1"/>
      <c r="E483" s="5" t="str">
        <f>IF(D483="","",IFERROR(INDEX(ORCAMENTO!$I$5:$I$200,MATCH(D483,ORCAMENTO!$Q$5:$Q$200,0)),"chave inexistente"))</f>
        <v/>
      </c>
      <c r="F483" s="1"/>
      <c r="G483" s="35"/>
      <c r="H483" s="13"/>
      <c r="I483" s="13"/>
      <c r="J483" s="1"/>
      <c r="K483" s="1"/>
      <c r="L483" s="5" t="str">
        <f t="shared" si="7"/>
        <v/>
      </c>
      <c r="M483" s="1"/>
    </row>
    <row r="484" spans="1:13" x14ac:dyDescent="0.35">
      <c r="A484" s="13"/>
      <c r="B484" s="1"/>
      <c r="C484" s="1"/>
      <c r="D484" s="1"/>
      <c r="E484" s="5" t="str">
        <f>IF(D484="","",IFERROR(INDEX(ORCAMENTO!$I$5:$I$200,MATCH(D484,ORCAMENTO!$Q$5:$Q$200,0)),"chave inexistente"))</f>
        <v/>
      </c>
      <c r="F484" s="1"/>
      <c r="G484" s="35"/>
      <c r="H484" s="13"/>
      <c r="I484" s="13"/>
      <c r="J484" s="1"/>
      <c r="K484" s="1"/>
      <c r="L484" s="5" t="str">
        <f t="shared" si="7"/>
        <v/>
      </c>
      <c r="M484" s="1"/>
    </row>
    <row r="485" spans="1:13" x14ac:dyDescent="0.35">
      <c r="A485" s="13"/>
      <c r="B485" s="1"/>
      <c r="C485" s="1"/>
      <c r="D485" s="1"/>
      <c r="E485" s="5" t="str">
        <f>IF(D485="","",IFERROR(INDEX(ORCAMENTO!$I$5:$I$200,MATCH(D485,ORCAMENTO!$Q$5:$Q$200,0)),"chave inexistente"))</f>
        <v/>
      </c>
      <c r="F485" s="1"/>
      <c r="G485" s="35"/>
      <c r="H485" s="13"/>
      <c r="I485" s="13"/>
      <c r="J485" s="1"/>
      <c r="K485" s="1"/>
      <c r="L485" s="5" t="str">
        <f t="shared" si="7"/>
        <v/>
      </c>
      <c r="M485" s="1"/>
    </row>
    <row r="486" spans="1:13" x14ac:dyDescent="0.35">
      <c r="A486" s="13"/>
      <c r="B486" s="1"/>
      <c r="C486" s="1"/>
      <c r="D486" s="1"/>
      <c r="E486" s="5" t="str">
        <f>IF(D486="","",IFERROR(INDEX(ORCAMENTO!$I$5:$I$200,MATCH(D486,ORCAMENTO!$Q$5:$Q$200,0)),"chave inexistente"))</f>
        <v/>
      </c>
      <c r="F486" s="1"/>
      <c r="G486" s="35"/>
      <c r="H486" s="13"/>
      <c r="I486" s="13"/>
      <c r="J486" s="1"/>
      <c r="K486" s="1"/>
      <c r="L486" s="5" t="str">
        <f t="shared" si="7"/>
        <v/>
      </c>
      <c r="M486" s="1"/>
    </row>
    <row r="487" spans="1:13" x14ac:dyDescent="0.35">
      <c r="A487" s="13"/>
      <c r="B487" s="1"/>
      <c r="C487" s="1"/>
      <c r="D487" s="1"/>
      <c r="E487" s="5" t="str">
        <f>IF(D487="","",IFERROR(INDEX(ORCAMENTO!$I$5:$I$200,MATCH(D487,ORCAMENTO!$Q$5:$Q$200,0)),"chave inexistente"))</f>
        <v/>
      </c>
      <c r="F487" s="1"/>
      <c r="G487" s="35"/>
      <c r="H487" s="13"/>
      <c r="I487" s="13"/>
      <c r="J487" s="1"/>
      <c r="K487" s="1"/>
      <c r="L487" s="5" t="str">
        <f t="shared" si="7"/>
        <v/>
      </c>
      <c r="M487" s="1"/>
    </row>
    <row r="488" spans="1:13" x14ac:dyDescent="0.35">
      <c r="A488" s="13"/>
      <c r="B488" s="1"/>
      <c r="C488" s="1"/>
      <c r="D488" s="1"/>
      <c r="E488" s="5" t="str">
        <f>IF(D488="","",IFERROR(INDEX(ORCAMENTO!$I$5:$I$200,MATCH(D488,ORCAMENTO!$Q$5:$Q$200,0)),"chave inexistente"))</f>
        <v/>
      </c>
      <c r="F488" s="1"/>
      <c r="G488" s="35"/>
      <c r="H488" s="13"/>
      <c r="I488" s="13"/>
      <c r="J488" s="1"/>
      <c r="K488" s="1"/>
      <c r="L488" s="5" t="str">
        <f t="shared" si="7"/>
        <v/>
      </c>
      <c r="M488" s="1"/>
    </row>
    <row r="489" spans="1:13" x14ac:dyDescent="0.35">
      <c r="A489" s="13"/>
      <c r="B489" s="1"/>
      <c r="C489" s="1"/>
      <c r="D489" s="1"/>
      <c r="E489" s="5" t="str">
        <f>IF(D489="","",IFERROR(INDEX(ORCAMENTO!$I$5:$I$200,MATCH(D489,ORCAMENTO!$Q$5:$Q$200,0)),"chave inexistente"))</f>
        <v/>
      </c>
      <c r="F489" s="1"/>
      <c r="G489" s="35"/>
      <c r="H489" s="13"/>
      <c r="I489" s="13"/>
      <c r="J489" s="1"/>
      <c r="K489" s="1"/>
      <c r="L489" s="5" t="str">
        <f t="shared" si="7"/>
        <v/>
      </c>
      <c r="M489" s="1"/>
    </row>
    <row r="490" spans="1:13" x14ac:dyDescent="0.35">
      <c r="A490" s="13"/>
      <c r="B490" s="1"/>
      <c r="C490" s="1"/>
      <c r="D490" s="1"/>
      <c r="E490" s="5" t="str">
        <f>IF(D490="","",IFERROR(INDEX(ORCAMENTO!$I$5:$I$200,MATCH(D490,ORCAMENTO!$Q$5:$Q$200,0)),"chave inexistente"))</f>
        <v/>
      </c>
      <c r="F490" s="1"/>
      <c r="G490" s="35"/>
      <c r="H490" s="13"/>
      <c r="I490" s="13"/>
      <c r="J490" s="1"/>
      <c r="K490" s="1"/>
      <c r="L490" s="5" t="str">
        <f t="shared" si="7"/>
        <v/>
      </c>
      <c r="M490" s="1"/>
    </row>
    <row r="491" spans="1:13" x14ac:dyDescent="0.35">
      <c r="A491" s="13"/>
      <c r="B491" s="1"/>
      <c r="C491" s="1"/>
      <c r="D491" s="1"/>
      <c r="E491" s="5" t="str">
        <f>IF(D491="","",IFERROR(INDEX(ORCAMENTO!$I$5:$I$200,MATCH(D491,ORCAMENTO!$Q$5:$Q$200,0)),"chave inexistente"))</f>
        <v/>
      </c>
      <c r="F491" s="1"/>
      <c r="G491" s="35"/>
      <c r="H491" s="13"/>
      <c r="I491" s="13"/>
      <c r="J491" s="1"/>
      <c r="K491" s="1"/>
      <c r="L491" s="5" t="str">
        <f t="shared" si="7"/>
        <v/>
      </c>
      <c r="M491" s="1"/>
    </row>
    <row r="492" spans="1:13" x14ac:dyDescent="0.35">
      <c r="A492" s="13"/>
      <c r="B492" s="1"/>
      <c r="C492" s="1"/>
      <c r="D492" s="1"/>
      <c r="E492" s="5" t="str">
        <f>IF(D492="","",IFERROR(INDEX(ORCAMENTO!$I$5:$I$200,MATCH(D492,ORCAMENTO!$Q$5:$Q$200,0)),"chave inexistente"))</f>
        <v/>
      </c>
      <c r="F492" s="1"/>
      <c r="G492" s="35"/>
      <c r="H492" s="13"/>
      <c r="I492" s="13"/>
      <c r="J492" s="1"/>
      <c r="K492" s="1"/>
      <c r="L492" s="5" t="str">
        <f t="shared" si="7"/>
        <v/>
      </c>
      <c r="M492" s="1"/>
    </row>
    <row r="493" spans="1:13" x14ac:dyDescent="0.35">
      <c r="A493" s="13"/>
      <c r="B493" s="1"/>
      <c r="C493" s="1"/>
      <c r="D493" s="1"/>
      <c r="E493" s="5" t="str">
        <f>IF(D493="","",IFERROR(INDEX(ORCAMENTO!$I$5:$I$200,MATCH(D493,ORCAMENTO!$Q$5:$Q$200,0)),"chave inexistente"))</f>
        <v/>
      </c>
      <c r="F493" s="1"/>
      <c r="G493" s="35"/>
      <c r="H493" s="13"/>
      <c r="I493" s="13"/>
      <c r="J493" s="1"/>
      <c r="K493" s="1"/>
      <c r="L493" s="5" t="str">
        <f t="shared" si="7"/>
        <v/>
      </c>
      <c r="M493" s="1"/>
    </row>
    <row r="494" spans="1:13" x14ac:dyDescent="0.35">
      <c r="A494" s="13"/>
      <c r="B494" s="1"/>
      <c r="C494" s="1"/>
      <c r="D494" s="1"/>
      <c r="E494" s="5" t="str">
        <f>IF(D494="","",IFERROR(INDEX(ORCAMENTO!$I$5:$I$200,MATCH(D494,ORCAMENTO!$Q$5:$Q$200,0)),"chave inexistente"))</f>
        <v/>
      </c>
      <c r="F494" s="1"/>
      <c r="G494" s="35"/>
      <c r="H494" s="13"/>
      <c r="I494" s="13"/>
      <c r="J494" s="1"/>
      <c r="K494" s="1"/>
      <c r="L494" s="5" t="str">
        <f t="shared" si="7"/>
        <v/>
      </c>
      <c r="M494" s="1"/>
    </row>
    <row r="495" spans="1:13" x14ac:dyDescent="0.35">
      <c r="A495" s="13"/>
      <c r="B495" s="1"/>
      <c r="C495" s="1"/>
      <c r="D495" s="1"/>
      <c r="E495" s="5" t="str">
        <f>IF(D495="","",IFERROR(INDEX(ORCAMENTO!$I$5:$I$200,MATCH(D495,ORCAMENTO!$Q$5:$Q$200,0)),"chave inexistente"))</f>
        <v/>
      </c>
      <c r="F495" s="1"/>
      <c r="G495" s="35"/>
      <c r="H495" s="13"/>
      <c r="I495" s="13"/>
      <c r="J495" s="1"/>
      <c r="K495" s="1"/>
      <c r="L495" s="5" t="str">
        <f t="shared" si="7"/>
        <v/>
      </c>
      <c r="M495" s="1"/>
    </row>
    <row r="496" spans="1:13" x14ac:dyDescent="0.35">
      <c r="A496" s="13"/>
      <c r="B496" s="1"/>
      <c r="C496" s="1"/>
      <c r="D496" s="1"/>
      <c r="E496" s="5" t="str">
        <f>IF(D496="","",IFERROR(INDEX(ORCAMENTO!$I$5:$I$200,MATCH(D496,ORCAMENTO!$Q$5:$Q$200,0)),"chave inexistente"))</f>
        <v/>
      </c>
      <c r="F496" s="1"/>
      <c r="G496" s="35"/>
      <c r="H496" s="13"/>
      <c r="I496" s="13"/>
      <c r="J496" s="1"/>
      <c r="K496" s="1"/>
      <c r="L496" s="5" t="str">
        <f t="shared" si="7"/>
        <v/>
      </c>
      <c r="M496" s="1"/>
    </row>
    <row r="497" spans="1:13" x14ac:dyDescent="0.35">
      <c r="A497" s="13"/>
      <c r="B497" s="1"/>
      <c r="C497" s="1"/>
      <c r="D497" s="1"/>
      <c r="E497" s="5" t="str">
        <f>IF(D497="","",IFERROR(INDEX(ORCAMENTO!$I$5:$I$200,MATCH(D497,ORCAMENTO!$Q$5:$Q$200,0)),"chave inexistente"))</f>
        <v/>
      </c>
      <c r="F497" s="1"/>
      <c r="G497" s="35"/>
      <c r="H497" s="13"/>
      <c r="I497" s="13"/>
      <c r="J497" s="1"/>
      <c r="K497" s="1"/>
      <c r="L497" s="5" t="str">
        <f t="shared" si="7"/>
        <v/>
      </c>
      <c r="M497" s="1"/>
    </row>
    <row r="498" spans="1:13" x14ac:dyDescent="0.35">
      <c r="A498" s="13"/>
      <c r="B498" s="1"/>
      <c r="C498" s="1"/>
      <c r="D498" s="1"/>
      <c r="E498" s="5" t="str">
        <f>IF(D498="","",IFERROR(INDEX(ORCAMENTO!$I$5:$I$200,MATCH(D498,ORCAMENTO!$Q$5:$Q$200,0)),"chave inexistente"))</f>
        <v/>
      </c>
      <c r="F498" s="1"/>
      <c r="G498" s="35"/>
      <c r="H498" s="13"/>
      <c r="I498" s="13"/>
      <c r="J498" s="1"/>
      <c r="K498" s="1"/>
      <c r="L498" s="5" t="str">
        <f t="shared" si="7"/>
        <v/>
      </c>
      <c r="M498" s="1"/>
    </row>
    <row r="499" spans="1:13" x14ac:dyDescent="0.35">
      <c r="A499" s="13"/>
      <c r="B499" s="1"/>
      <c r="C499" s="1"/>
      <c r="D499" s="1"/>
      <c r="E499" s="5" t="str">
        <f>IF(D499="","",IFERROR(INDEX(ORCAMENTO!$I$5:$I$200,MATCH(D499,ORCAMENTO!$Q$5:$Q$200,0)),"chave inexistente"))</f>
        <v/>
      </c>
      <c r="F499" s="1"/>
      <c r="G499" s="35"/>
      <c r="H499" s="13"/>
      <c r="I499" s="13"/>
      <c r="J499" s="1"/>
      <c r="K499" s="1"/>
      <c r="L499" s="5" t="str">
        <f t="shared" si="7"/>
        <v/>
      </c>
      <c r="M499" s="1"/>
    </row>
    <row r="500" spans="1:13" x14ac:dyDescent="0.35">
      <c r="A500" s="13"/>
      <c r="B500" s="1"/>
      <c r="C500" s="1"/>
      <c r="D500" s="1"/>
      <c r="E500" s="5" t="str">
        <f>IF(D500="","",IFERROR(INDEX(ORCAMENTO!$I$5:$I$200,MATCH(D500,ORCAMENTO!$Q$5:$Q$200,0)),"chave inexistente"))</f>
        <v/>
      </c>
      <c r="F500" s="1"/>
      <c r="G500" s="35"/>
      <c r="H500" s="13"/>
      <c r="I500" s="13"/>
      <c r="J500" s="1"/>
      <c r="K500" s="1"/>
      <c r="L500" s="5" t="str">
        <f t="shared" si="7"/>
        <v/>
      </c>
      <c r="M500" s="1"/>
    </row>
  </sheetData>
  <autoFilter ref="A4:M500" xr:uid="{00000000-0009-0000-0000-000007000000}"/>
  <conditionalFormatting sqref="L6:L500">
    <cfRule type="cellIs" dxfId="6" priority="2" operator="equal">
      <formula>"ATRASADA"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0000000}">
          <x14:formula1>
            <xm:f>ORCAMENTO!$Q$5:$Q$200</xm:f>
          </x14:formula1>
          <x14:formula2>
            <xm:f>0</xm:f>
          </x14:formula2>
          <xm:sqref>D6:D500</xm:sqref>
        </x14:dataValidation>
        <x14:dataValidation type="list" allowBlank="1" xr:uid="{00000000-0002-0000-0700-000001000000}">
          <x14:formula1>
            <xm:f>LISTAS!$H$5:$H$8</xm:f>
          </x14:formula1>
          <x14:formula2>
            <xm:f>0</xm:f>
          </x14:formula2>
          <xm:sqref>J6:J500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0" customWidth="1"/>
    <col min="2" max="2" width="20" customWidth="1"/>
    <col min="3" max="3" width="6" customWidth="1"/>
    <col min="4" max="6" width="11" customWidth="1"/>
    <col min="7" max="7" width="12" customWidth="1"/>
    <col min="8" max="8" width="9" customWidth="1"/>
    <col min="9" max="10" width="14" customWidth="1"/>
    <col min="11" max="11" width="22" customWidth="1"/>
    <col min="12" max="12" width="26" customWidth="1"/>
  </cols>
  <sheetData>
    <row r="1" spans="1:12" ht="18" x14ac:dyDescent="0.4">
      <c r="A1" s="6" t="s">
        <v>530</v>
      </c>
    </row>
    <row r="2" spans="1:12" x14ac:dyDescent="0.35">
      <c r="A2" s="7" t="s">
        <v>531</v>
      </c>
    </row>
    <row r="4" spans="1:12" ht="31.5" customHeight="1" x14ac:dyDescent="0.35">
      <c r="A4" s="15" t="s">
        <v>532</v>
      </c>
      <c r="B4" s="15" t="s">
        <v>516</v>
      </c>
      <c r="C4" s="15" t="s">
        <v>206</v>
      </c>
      <c r="D4" s="15" t="s">
        <v>533</v>
      </c>
      <c r="E4" s="15" t="s">
        <v>110</v>
      </c>
      <c r="F4" s="15" t="s">
        <v>534</v>
      </c>
      <c r="G4" s="15" t="s">
        <v>535</v>
      </c>
      <c r="H4" s="15" t="s">
        <v>536</v>
      </c>
      <c r="I4" s="15" t="s">
        <v>537</v>
      </c>
      <c r="J4" s="15" t="s">
        <v>517</v>
      </c>
      <c r="K4" s="15" t="s">
        <v>119</v>
      </c>
      <c r="L4" s="15" t="s">
        <v>522</v>
      </c>
    </row>
    <row r="5" spans="1:12" x14ac:dyDescent="0.35">
      <c r="A5" s="11" t="s">
        <v>538</v>
      </c>
      <c r="B5" s="11" t="s">
        <v>539</v>
      </c>
      <c r="C5" s="11">
        <v>12</v>
      </c>
      <c r="D5" s="11" t="s">
        <v>527</v>
      </c>
      <c r="E5" s="11" t="s">
        <v>527</v>
      </c>
      <c r="F5" s="11"/>
      <c r="G5" s="11">
        <v>3.5</v>
      </c>
      <c r="H5" s="11">
        <v>30</v>
      </c>
      <c r="I5" s="11">
        <v>1260</v>
      </c>
      <c r="J5" s="11" t="s">
        <v>540</v>
      </c>
      <c r="K5" s="11" t="s">
        <v>541</v>
      </c>
      <c r="L5" s="11" t="s">
        <v>542</v>
      </c>
    </row>
    <row r="6" spans="1:12" x14ac:dyDescent="0.35">
      <c r="A6" s="1"/>
      <c r="B6" s="1"/>
      <c r="C6" s="1"/>
      <c r="D6" s="13"/>
      <c r="E6" s="13"/>
      <c r="F6" s="13"/>
      <c r="G6" s="35"/>
      <c r="H6" s="5" t="str">
        <f t="shared" ref="H6:H37" si="0">IF(D6="","",IF(F6&lt;&gt;"",F6,DataRef)-D6+1)</f>
        <v/>
      </c>
      <c r="I6" s="12" t="str">
        <f t="shared" ref="I6:I37" si="1">IF(D6="","",N(C6)*N(G6)*H6)</f>
        <v/>
      </c>
      <c r="J6" s="1"/>
      <c r="K6" s="5" t="str">
        <f t="shared" ref="K6:K37" si="2">IF(D6="","",IF(F6&lt;&gt;"","Devolvido",IF(AND(E6&lt;&gt;"",DataRef&gt;E6),"VENCIDA – renovar ou devolver","Ativa")))</f>
        <v/>
      </c>
      <c r="L6" s="1"/>
    </row>
    <row r="7" spans="1:12" x14ac:dyDescent="0.35">
      <c r="A7" s="1"/>
      <c r="B7" s="1"/>
      <c r="C7" s="1"/>
      <c r="D7" s="13"/>
      <c r="E7" s="13"/>
      <c r="F7" s="13"/>
      <c r="G7" s="35"/>
      <c r="H7" s="5" t="str">
        <f t="shared" si="0"/>
        <v/>
      </c>
      <c r="I7" s="12" t="str">
        <f t="shared" si="1"/>
        <v/>
      </c>
      <c r="J7" s="1"/>
      <c r="K7" s="5" t="str">
        <f t="shared" si="2"/>
        <v/>
      </c>
      <c r="L7" s="1"/>
    </row>
    <row r="8" spans="1:12" x14ac:dyDescent="0.35">
      <c r="A8" s="1"/>
      <c r="B8" s="1"/>
      <c r="C8" s="1"/>
      <c r="D8" s="13"/>
      <c r="E8" s="13"/>
      <c r="F8" s="13"/>
      <c r="G8" s="35"/>
      <c r="H8" s="5" t="str">
        <f t="shared" si="0"/>
        <v/>
      </c>
      <c r="I8" s="12" t="str">
        <f t="shared" si="1"/>
        <v/>
      </c>
      <c r="J8" s="1"/>
      <c r="K8" s="5" t="str">
        <f t="shared" si="2"/>
        <v/>
      </c>
      <c r="L8" s="1"/>
    </row>
    <row r="9" spans="1:12" x14ac:dyDescent="0.35">
      <c r="A9" s="1"/>
      <c r="B9" s="1"/>
      <c r="C9" s="1"/>
      <c r="D9" s="13"/>
      <c r="E9" s="13"/>
      <c r="F9" s="13"/>
      <c r="G9" s="35"/>
      <c r="H9" s="5" t="str">
        <f t="shared" si="0"/>
        <v/>
      </c>
      <c r="I9" s="12" t="str">
        <f t="shared" si="1"/>
        <v/>
      </c>
      <c r="J9" s="1"/>
      <c r="K9" s="5" t="str">
        <f t="shared" si="2"/>
        <v/>
      </c>
      <c r="L9" s="1"/>
    </row>
    <row r="10" spans="1:12" x14ac:dyDescent="0.35">
      <c r="A10" s="1"/>
      <c r="B10" s="1"/>
      <c r="C10" s="1"/>
      <c r="D10" s="13"/>
      <c r="E10" s="13"/>
      <c r="F10" s="13"/>
      <c r="G10" s="35"/>
      <c r="H10" s="5" t="str">
        <f t="shared" si="0"/>
        <v/>
      </c>
      <c r="I10" s="12" t="str">
        <f t="shared" si="1"/>
        <v/>
      </c>
      <c r="J10" s="1"/>
      <c r="K10" s="5" t="str">
        <f t="shared" si="2"/>
        <v/>
      </c>
      <c r="L10" s="1"/>
    </row>
    <row r="11" spans="1:12" x14ac:dyDescent="0.35">
      <c r="A11" s="1"/>
      <c r="B11" s="1"/>
      <c r="C11" s="1"/>
      <c r="D11" s="13"/>
      <c r="E11" s="13"/>
      <c r="F11" s="13"/>
      <c r="G11" s="35"/>
      <c r="H11" s="5" t="str">
        <f t="shared" si="0"/>
        <v/>
      </c>
      <c r="I11" s="12" t="str">
        <f t="shared" si="1"/>
        <v/>
      </c>
      <c r="J11" s="1"/>
      <c r="K11" s="5" t="str">
        <f t="shared" si="2"/>
        <v/>
      </c>
      <c r="L11" s="1"/>
    </row>
    <row r="12" spans="1:12" x14ac:dyDescent="0.35">
      <c r="A12" s="1"/>
      <c r="B12" s="1"/>
      <c r="C12" s="1"/>
      <c r="D12" s="13"/>
      <c r="E12" s="13"/>
      <c r="F12" s="13"/>
      <c r="G12" s="35"/>
      <c r="H12" s="5" t="str">
        <f t="shared" si="0"/>
        <v/>
      </c>
      <c r="I12" s="12" t="str">
        <f t="shared" si="1"/>
        <v/>
      </c>
      <c r="J12" s="1"/>
      <c r="K12" s="5" t="str">
        <f t="shared" si="2"/>
        <v/>
      </c>
      <c r="L12" s="1"/>
    </row>
    <row r="13" spans="1:12" x14ac:dyDescent="0.35">
      <c r="A13" s="1"/>
      <c r="B13" s="1"/>
      <c r="C13" s="1"/>
      <c r="D13" s="13"/>
      <c r="E13" s="13"/>
      <c r="F13" s="13"/>
      <c r="G13" s="35"/>
      <c r="H13" s="5" t="str">
        <f t="shared" si="0"/>
        <v/>
      </c>
      <c r="I13" s="12" t="str">
        <f t="shared" si="1"/>
        <v/>
      </c>
      <c r="J13" s="1"/>
      <c r="K13" s="5" t="str">
        <f t="shared" si="2"/>
        <v/>
      </c>
      <c r="L13" s="1"/>
    </row>
    <row r="14" spans="1:12" x14ac:dyDescent="0.35">
      <c r="A14" s="1"/>
      <c r="B14" s="1"/>
      <c r="C14" s="1"/>
      <c r="D14" s="13"/>
      <c r="E14" s="13"/>
      <c r="F14" s="13"/>
      <c r="G14" s="35"/>
      <c r="H14" s="5" t="str">
        <f t="shared" si="0"/>
        <v/>
      </c>
      <c r="I14" s="12" t="str">
        <f t="shared" si="1"/>
        <v/>
      </c>
      <c r="J14" s="1"/>
      <c r="K14" s="5" t="str">
        <f t="shared" si="2"/>
        <v/>
      </c>
      <c r="L14" s="1"/>
    </row>
    <row r="15" spans="1:12" x14ac:dyDescent="0.35">
      <c r="A15" s="1"/>
      <c r="B15" s="1"/>
      <c r="C15" s="1"/>
      <c r="D15" s="13"/>
      <c r="E15" s="13"/>
      <c r="F15" s="13"/>
      <c r="G15" s="35"/>
      <c r="H15" s="5" t="str">
        <f t="shared" si="0"/>
        <v/>
      </c>
      <c r="I15" s="12" t="str">
        <f t="shared" si="1"/>
        <v/>
      </c>
      <c r="J15" s="1"/>
      <c r="K15" s="5" t="str">
        <f t="shared" si="2"/>
        <v/>
      </c>
      <c r="L15" s="1"/>
    </row>
    <row r="16" spans="1:12" x14ac:dyDescent="0.35">
      <c r="A16" s="1"/>
      <c r="B16" s="1"/>
      <c r="C16" s="1"/>
      <c r="D16" s="13"/>
      <c r="E16" s="13"/>
      <c r="F16" s="13"/>
      <c r="G16" s="35"/>
      <c r="H16" s="5" t="str">
        <f t="shared" si="0"/>
        <v/>
      </c>
      <c r="I16" s="12" t="str">
        <f t="shared" si="1"/>
        <v/>
      </c>
      <c r="J16" s="1"/>
      <c r="K16" s="5" t="str">
        <f t="shared" si="2"/>
        <v/>
      </c>
      <c r="L16" s="1"/>
    </row>
    <row r="17" spans="1:12" x14ac:dyDescent="0.35">
      <c r="A17" s="1"/>
      <c r="B17" s="1"/>
      <c r="C17" s="1"/>
      <c r="D17" s="13"/>
      <c r="E17" s="13"/>
      <c r="F17" s="13"/>
      <c r="G17" s="35"/>
      <c r="H17" s="5" t="str">
        <f t="shared" si="0"/>
        <v/>
      </c>
      <c r="I17" s="12" t="str">
        <f t="shared" si="1"/>
        <v/>
      </c>
      <c r="J17" s="1"/>
      <c r="K17" s="5" t="str">
        <f t="shared" si="2"/>
        <v/>
      </c>
      <c r="L17" s="1"/>
    </row>
    <row r="18" spans="1:12" x14ac:dyDescent="0.35">
      <c r="A18" s="1"/>
      <c r="B18" s="1"/>
      <c r="C18" s="1"/>
      <c r="D18" s="13"/>
      <c r="E18" s="13"/>
      <c r="F18" s="13"/>
      <c r="G18" s="35"/>
      <c r="H18" s="5" t="str">
        <f t="shared" si="0"/>
        <v/>
      </c>
      <c r="I18" s="12" t="str">
        <f t="shared" si="1"/>
        <v/>
      </c>
      <c r="J18" s="1"/>
      <c r="K18" s="5" t="str">
        <f t="shared" si="2"/>
        <v/>
      </c>
      <c r="L18" s="1"/>
    </row>
    <row r="19" spans="1:12" x14ac:dyDescent="0.35">
      <c r="A19" s="1"/>
      <c r="B19" s="1"/>
      <c r="C19" s="1"/>
      <c r="D19" s="13"/>
      <c r="E19" s="13"/>
      <c r="F19" s="13"/>
      <c r="G19" s="35"/>
      <c r="H19" s="5" t="str">
        <f t="shared" si="0"/>
        <v/>
      </c>
      <c r="I19" s="12" t="str">
        <f t="shared" si="1"/>
        <v/>
      </c>
      <c r="J19" s="1"/>
      <c r="K19" s="5" t="str">
        <f t="shared" si="2"/>
        <v/>
      </c>
      <c r="L19" s="1"/>
    </row>
    <row r="20" spans="1:12" x14ac:dyDescent="0.35">
      <c r="A20" s="1"/>
      <c r="B20" s="1"/>
      <c r="C20" s="1"/>
      <c r="D20" s="13"/>
      <c r="E20" s="13"/>
      <c r="F20" s="13"/>
      <c r="G20" s="35"/>
      <c r="H20" s="5" t="str">
        <f t="shared" si="0"/>
        <v/>
      </c>
      <c r="I20" s="12" t="str">
        <f t="shared" si="1"/>
        <v/>
      </c>
      <c r="J20" s="1"/>
      <c r="K20" s="5" t="str">
        <f t="shared" si="2"/>
        <v/>
      </c>
      <c r="L20" s="1"/>
    </row>
    <row r="21" spans="1:12" x14ac:dyDescent="0.35">
      <c r="A21" s="1"/>
      <c r="B21" s="1"/>
      <c r="C21" s="1"/>
      <c r="D21" s="13"/>
      <c r="E21" s="13"/>
      <c r="F21" s="13"/>
      <c r="G21" s="35"/>
      <c r="H21" s="5" t="str">
        <f t="shared" si="0"/>
        <v/>
      </c>
      <c r="I21" s="12" t="str">
        <f t="shared" si="1"/>
        <v/>
      </c>
      <c r="J21" s="1"/>
      <c r="K21" s="5" t="str">
        <f t="shared" si="2"/>
        <v/>
      </c>
      <c r="L21" s="1"/>
    </row>
    <row r="22" spans="1:12" x14ac:dyDescent="0.35">
      <c r="A22" s="1"/>
      <c r="B22" s="1"/>
      <c r="C22" s="1"/>
      <c r="D22" s="13"/>
      <c r="E22" s="13"/>
      <c r="F22" s="13"/>
      <c r="G22" s="35"/>
      <c r="H22" s="5" t="str">
        <f t="shared" si="0"/>
        <v/>
      </c>
      <c r="I22" s="12" t="str">
        <f t="shared" si="1"/>
        <v/>
      </c>
      <c r="J22" s="1"/>
      <c r="K22" s="5" t="str">
        <f t="shared" si="2"/>
        <v/>
      </c>
      <c r="L22" s="1"/>
    </row>
    <row r="23" spans="1:12" x14ac:dyDescent="0.35">
      <c r="A23" s="1"/>
      <c r="B23" s="1"/>
      <c r="C23" s="1"/>
      <c r="D23" s="13"/>
      <c r="E23" s="13"/>
      <c r="F23" s="13"/>
      <c r="G23" s="35"/>
      <c r="H23" s="5" t="str">
        <f t="shared" si="0"/>
        <v/>
      </c>
      <c r="I23" s="12" t="str">
        <f t="shared" si="1"/>
        <v/>
      </c>
      <c r="J23" s="1"/>
      <c r="K23" s="5" t="str">
        <f t="shared" si="2"/>
        <v/>
      </c>
      <c r="L23" s="1"/>
    </row>
    <row r="24" spans="1:12" x14ac:dyDescent="0.35">
      <c r="A24" s="1"/>
      <c r="B24" s="1"/>
      <c r="C24" s="1"/>
      <c r="D24" s="13"/>
      <c r="E24" s="13"/>
      <c r="F24" s="13"/>
      <c r="G24" s="35"/>
      <c r="H24" s="5" t="str">
        <f t="shared" si="0"/>
        <v/>
      </c>
      <c r="I24" s="12" t="str">
        <f t="shared" si="1"/>
        <v/>
      </c>
      <c r="J24" s="1"/>
      <c r="K24" s="5" t="str">
        <f t="shared" si="2"/>
        <v/>
      </c>
      <c r="L24" s="1"/>
    </row>
    <row r="25" spans="1:12" x14ac:dyDescent="0.35">
      <c r="A25" s="1"/>
      <c r="B25" s="1"/>
      <c r="C25" s="1"/>
      <c r="D25" s="13"/>
      <c r="E25" s="13"/>
      <c r="F25" s="13"/>
      <c r="G25" s="35"/>
      <c r="H25" s="5" t="str">
        <f t="shared" si="0"/>
        <v/>
      </c>
      <c r="I25" s="12" t="str">
        <f t="shared" si="1"/>
        <v/>
      </c>
      <c r="J25" s="1"/>
      <c r="K25" s="5" t="str">
        <f t="shared" si="2"/>
        <v/>
      </c>
      <c r="L25" s="1"/>
    </row>
    <row r="26" spans="1:12" x14ac:dyDescent="0.35">
      <c r="A26" s="1"/>
      <c r="B26" s="1"/>
      <c r="C26" s="1"/>
      <c r="D26" s="13"/>
      <c r="E26" s="13"/>
      <c r="F26" s="13"/>
      <c r="G26" s="35"/>
      <c r="H26" s="5" t="str">
        <f t="shared" si="0"/>
        <v/>
      </c>
      <c r="I26" s="12" t="str">
        <f t="shared" si="1"/>
        <v/>
      </c>
      <c r="J26" s="1"/>
      <c r="K26" s="5" t="str">
        <f t="shared" si="2"/>
        <v/>
      </c>
      <c r="L26" s="1"/>
    </row>
    <row r="27" spans="1:12" x14ac:dyDescent="0.35">
      <c r="A27" s="1"/>
      <c r="B27" s="1"/>
      <c r="C27" s="1"/>
      <c r="D27" s="13"/>
      <c r="E27" s="13"/>
      <c r="F27" s="13"/>
      <c r="G27" s="35"/>
      <c r="H27" s="5" t="str">
        <f t="shared" si="0"/>
        <v/>
      </c>
      <c r="I27" s="12" t="str">
        <f t="shared" si="1"/>
        <v/>
      </c>
      <c r="J27" s="1"/>
      <c r="K27" s="5" t="str">
        <f t="shared" si="2"/>
        <v/>
      </c>
      <c r="L27" s="1"/>
    </row>
    <row r="28" spans="1:12" x14ac:dyDescent="0.35">
      <c r="A28" s="1"/>
      <c r="B28" s="1"/>
      <c r="C28" s="1"/>
      <c r="D28" s="13"/>
      <c r="E28" s="13"/>
      <c r="F28" s="13"/>
      <c r="G28" s="35"/>
      <c r="H28" s="5" t="str">
        <f t="shared" si="0"/>
        <v/>
      </c>
      <c r="I28" s="12" t="str">
        <f t="shared" si="1"/>
        <v/>
      </c>
      <c r="J28" s="1"/>
      <c r="K28" s="5" t="str">
        <f t="shared" si="2"/>
        <v/>
      </c>
      <c r="L28" s="1"/>
    </row>
    <row r="29" spans="1:12" x14ac:dyDescent="0.35">
      <c r="A29" s="1"/>
      <c r="B29" s="1"/>
      <c r="C29" s="1"/>
      <c r="D29" s="13"/>
      <c r="E29" s="13"/>
      <c r="F29" s="13"/>
      <c r="G29" s="35"/>
      <c r="H29" s="5" t="str">
        <f t="shared" si="0"/>
        <v/>
      </c>
      <c r="I29" s="12" t="str">
        <f t="shared" si="1"/>
        <v/>
      </c>
      <c r="J29" s="1"/>
      <c r="K29" s="5" t="str">
        <f t="shared" si="2"/>
        <v/>
      </c>
      <c r="L29" s="1"/>
    </row>
    <row r="30" spans="1:12" x14ac:dyDescent="0.35">
      <c r="A30" s="1"/>
      <c r="B30" s="1"/>
      <c r="C30" s="1"/>
      <c r="D30" s="13"/>
      <c r="E30" s="13"/>
      <c r="F30" s="13"/>
      <c r="G30" s="35"/>
      <c r="H30" s="5" t="str">
        <f t="shared" si="0"/>
        <v/>
      </c>
      <c r="I30" s="12" t="str">
        <f t="shared" si="1"/>
        <v/>
      </c>
      <c r="J30" s="1"/>
      <c r="K30" s="5" t="str">
        <f t="shared" si="2"/>
        <v/>
      </c>
      <c r="L30" s="1"/>
    </row>
    <row r="31" spans="1:12" x14ac:dyDescent="0.35">
      <c r="A31" s="1"/>
      <c r="B31" s="1"/>
      <c r="C31" s="1"/>
      <c r="D31" s="13"/>
      <c r="E31" s="13"/>
      <c r="F31" s="13"/>
      <c r="G31" s="35"/>
      <c r="H31" s="5" t="str">
        <f t="shared" si="0"/>
        <v/>
      </c>
      <c r="I31" s="12" t="str">
        <f t="shared" si="1"/>
        <v/>
      </c>
      <c r="J31" s="1"/>
      <c r="K31" s="5" t="str">
        <f t="shared" si="2"/>
        <v/>
      </c>
      <c r="L31" s="1"/>
    </row>
    <row r="32" spans="1:12" x14ac:dyDescent="0.35">
      <c r="A32" s="1"/>
      <c r="B32" s="1"/>
      <c r="C32" s="1"/>
      <c r="D32" s="13"/>
      <c r="E32" s="13"/>
      <c r="F32" s="13"/>
      <c r="G32" s="35"/>
      <c r="H32" s="5" t="str">
        <f t="shared" si="0"/>
        <v/>
      </c>
      <c r="I32" s="12" t="str">
        <f t="shared" si="1"/>
        <v/>
      </c>
      <c r="J32" s="1"/>
      <c r="K32" s="5" t="str">
        <f t="shared" si="2"/>
        <v/>
      </c>
      <c r="L32" s="1"/>
    </row>
    <row r="33" spans="1:12" x14ac:dyDescent="0.35">
      <c r="A33" s="1"/>
      <c r="B33" s="1"/>
      <c r="C33" s="1"/>
      <c r="D33" s="13"/>
      <c r="E33" s="13"/>
      <c r="F33" s="13"/>
      <c r="G33" s="35"/>
      <c r="H33" s="5" t="str">
        <f t="shared" si="0"/>
        <v/>
      </c>
      <c r="I33" s="12" t="str">
        <f t="shared" si="1"/>
        <v/>
      </c>
      <c r="J33" s="1"/>
      <c r="K33" s="5" t="str">
        <f t="shared" si="2"/>
        <v/>
      </c>
      <c r="L33" s="1"/>
    </row>
    <row r="34" spans="1:12" x14ac:dyDescent="0.35">
      <c r="A34" s="1"/>
      <c r="B34" s="1"/>
      <c r="C34" s="1"/>
      <c r="D34" s="13"/>
      <c r="E34" s="13"/>
      <c r="F34" s="13"/>
      <c r="G34" s="35"/>
      <c r="H34" s="5" t="str">
        <f t="shared" si="0"/>
        <v/>
      </c>
      <c r="I34" s="12" t="str">
        <f t="shared" si="1"/>
        <v/>
      </c>
      <c r="J34" s="1"/>
      <c r="K34" s="5" t="str">
        <f t="shared" si="2"/>
        <v/>
      </c>
      <c r="L34" s="1"/>
    </row>
    <row r="35" spans="1:12" x14ac:dyDescent="0.35">
      <c r="A35" s="1"/>
      <c r="B35" s="1"/>
      <c r="C35" s="1"/>
      <c r="D35" s="13"/>
      <c r="E35" s="13"/>
      <c r="F35" s="13"/>
      <c r="G35" s="35"/>
      <c r="H35" s="5" t="str">
        <f t="shared" si="0"/>
        <v/>
      </c>
      <c r="I35" s="12" t="str">
        <f t="shared" si="1"/>
        <v/>
      </c>
      <c r="J35" s="1"/>
      <c r="K35" s="5" t="str">
        <f t="shared" si="2"/>
        <v/>
      </c>
      <c r="L35" s="1"/>
    </row>
    <row r="36" spans="1:12" x14ac:dyDescent="0.35">
      <c r="A36" s="1"/>
      <c r="B36" s="1"/>
      <c r="C36" s="1"/>
      <c r="D36" s="13"/>
      <c r="E36" s="13"/>
      <c r="F36" s="13"/>
      <c r="G36" s="35"/>
      <c r="H36" s="5" t="str">
        <f t="shared" si="0"/>
        <v/>
      </c>
      <c r="I36" s="12" t="str">
        <f t="shared" si="1"/>
        <v/>
      </c>
      <c r="J36" s="1"/>
      <c r="K36" s="5" t="str">
        <f t="shared" si="2"/>
        <v/>
      </c>
      <c r="L36" s="1"/>
    </row>
    <row r="37" spans="1:12" x14ac:dyDescent="0.35">
      <c r="A37" s="1"/>
      <c r="B37" s="1"/>
      <c r="C37" s="1"/>
      <c r="D37" s="13"/>
      <c r="E37" s="13"/>
      <c r="F37" s="13"/>
      <c r="G37" s="35"/>
      <c r="H37" s="5" t="str">
        <f t="shared" si="0"/>
        <v/>
      </c>
      <c r="I37" s="12" t="str">
        <f t="shared" si="1"/>
        <v/>
      </c>
      <c r="J37" s="1"/>
      <c r="K37" s="5" t="str">
        <f t="shared" si="2"/>
        <v/>
      </c>
      <c r="L37" s="1"/>
    </row>
    <row r="38" spans="1:12" x14ac:dyDescent="0.35">
      <c r="A38" s="1"/>
      <c r="B38" s="1"/>
      <c r="C38" s="1"/>
      <c r="D38" s="13"/>
      <c r="E38" s="13"/>
      <c r="F38" s="13"/>
      <c r="G38" s="35"/>
      <c r="H38" s="5" t="str">
        <f t="shared" ref="H38:H69" si="3">IF(D38="","",IF(F38&lt;&gt;"",F38,DataRef)-D38+1)</f>
        <v/>
      </c>
      <c r="I38" s="12" t="str">
        <f t="shared" ref="I38:I69" si="4">IF(D38="","",N(C38)*N(G38)*H38)</f>
        <v/>
      </c>
      <c r="J38" s="1"/>
      <c r="K38" s="5" t="str">
        <f t="shared" ref="K38:K69" si="5">IF(D38="","",IF(F38&lt;&gt;"","Devolvido",IF(AND(E38&lt;&gt;"",DataRef&gt;E38),"VENCIDA – renovar ou devolver","Ativa")))</f>
        <v/>
      </c>
      <c r="L38" s="1"/>
    </row>
    <row r="39" spans="1:12" x14ac:dyDescent="0.35">
      <c r="A39" s="1"/>
      <c r="B39" s="1"/>
      <c r="C39" s="1"/>
      <c r="D39" s="13"/>
      <c r="E39" s="13"/>
      <c r="F39" s="13"/>
      <c r="G39" s="35"/>
      <c r="H39" s="5" t="str">
        <f t="shared" si="3"/>
        <v/>
      </c>
      <c r="I39" s="12" t="str">
        <f t="shared" si="4"/>
        <v/>
      </c>
      <c r="J39" s="1"/>
      <c r="K39" s="5" t="str">
        <f t="shared" si="5"/>
        <v/>
      </c>
      <c r="L39" s="1"/>
    </row>
    <row r="40" spans="1:12" x14ac:dyDescent="0.35">
      <c r="A40" s="1"/>
      <c r="B40" s="1"/>
      <c r="C40" s="1"/>
      <c r="D40" s="13"/>
      <c r="E40" s="13"/>
      <c r="F40" s="13"/>
      <c r="G40" s="35"/>
      <c r="H40" s="5" t="str">
        <f t="shared" si="3"/>
        <v/>
      </c>
      <c r="I40" s="12" t="str">
        <f t="shared" si="4"/>
        <v/>
      </c>
      <c r="J40" s="1"/>
      <c r="K40" s="5" t="str">
        <f t="shared" si="5"/>
        <v/>
      </c>
      <c r="L40" s="1"/>
    </row>
    <row r="41" spans="1:12" x14ac:dyDescent="0.35">
      <c r="A41" s="1"/>
      <c r="B41" s="1"/>
      <c r="C41" s="1"/>
      <c r="D41" s="13"/>
      <c r="E41" s="13"/>
      <c r="F41" s="13"/>
      <c r="G41" s="35"/>
      <c r="H41" s="5" t="str">
        <f t="shared" si="3"/>
        <v/>
      </c>
      <c r="I41" s="12" t="str">
        <f t="shared" si="4"/>
        <v/>
      </c>
      <c r="J41" s="1"/>
      <c r="K41" s="5" t="str">
        <f t="shared" si="5"/>
        <v/>
      </c>
      <c r="L41" s="1"/>
    </row>
    <row r="42" spans="1:12" x14ac:dyDescent="0.35">
      <c r="A42" s="1"/>
      <c r="B42" s="1"/>
      <c r="C42" s="1"/>
      <c r="D42" s="13"/>
      <c r="E42" s="13"/>
      <c r="F42" s="13"/>
      <c r="G42" s="35"/>
      <c r="H42" s="5" t="str">
        <f t="shared" si="3"/>
        <v/>
      </c>
      <c r="I42" s="12" t="str">
        <f t="shared" si="4"/>
        <v/>
      </c>
      <c r="J42" s="1"/>
      <c r="K42" s="5" t="str">
        <f t="shared" si="5"/>
        <v/>
      </c>
      <c r="L42" s="1"/>
    </row>
    <row r="43" spans="1:12" x14ac:dyDescent="0.35">
      <c r="A43" s="1"/>
      <c r="B43" s="1"/>
      <c r="C43" s="1"/>
      <c r="D43" s="13"/>
      <c r="E43" s="13"/>
      <c r="F43" s="13"/>
      <c r="G43" s="35"/>
      <c r="H43" s="5" t="str">
        <f t="shared" si="3"/>
        <v/>
      </c>
      <c r="I43" s="12" t="str">
        <f t="shared" si="4"/>
        <v/>
      </c>
      <c r="J43" s="1"/>
      <c r="K43" s="5" t="str">
        <f t="shared" si="5"/>
        <v/>
      </c>
      <c r="L43" s="1"/>
    </row>
    <row r="44" spans="1:12" x14ac:dyDescent="0.35">
      <c r="A44" s="1"/>
      <c r="B44" s="1"/>
      <c r="C44" s="1"/>
      <c r="D44" s="13"/>
      <c r="E44" s="13"/>
      <c r="F44" s="13"/>
      <c r="G44" s="35"/>
      <c r="H44" s="5" t="str">
        <f t="shared" si="3"/>
        <v/>
      </c>
      <c r="I44" s="12" t="str">
        <f t="shared" si="4"/>
        <v/>
      </c>
      <c r="J44" s="1"/>
      <c r="K44" s="5" t="str">
        <f t="shared" si="5"/>
        <v/>
      </c>
      <c r="L44" s="1"/>
    </row>
    <row r="45" spans="1:12" x14ac:dyDescent="0.35">
      <c r="A45" s="1"/>
      <c r="B45" s="1"/>
      <c r="C45" s="1"/>
      <c r="D45" s="13"/>
      <c r="E45" s="13"/>
      <c r="F45" s="13"/>
      <c r="G45" s="35"/>
      <c r="H45" s="5" t="str">
        <f t="shared" si="3"/>
        <v/>
      </c>
      <c r="I45" s="12" t="str">
        <f t="shared" si="4"/>
        <v/>
      </c>
      <c r="J45" s="1"/>
      <c r="K45" s="5" t="str">
        <f t="shared" si="5"/>
        <v/>
      </c>
      <c r="L45" s="1"/>
    </row>
    <row r="46" spans="1:12" x14ac:dyDescent="0.35">
      <c r="A46" s="1"/>
      <c r="B46" s="1"/>
      <c r="C46" s="1"/>
      <c r="D46" s="13"/>
      <c r="E46" s="13"/>
      <c r="F46" s="13"/>
      <c r="G46" s="35"/>
      <c r="H46" s="5" t="str">
        <f t="shared" si="3"/>
        <v/>
      </c>
      <c r="I46" s="12" t="str">
        <f t="shared" si="4"/>
        <v/>
      </c>
      <c r="J46" s="1"/>
      <c r="K46" s="5" t="str">
        <f t="shared" si="5"/>
        <v/>
      </c>
      <c r="L46" s="1"/>
    </row>
    <row r="47" spans="1:12" x14ac:dyDescent="0.35">
      <c r="A47" s="1"/>
      <c r="B47" s="1"/>
      <c r="C47" s="1"/>
      <c r="D47" s="13"/>
      <c r="E47" s="13"/>
      <c r="F47" s="13"/>
      <c r="G47" s="35"/>
      <c r="H47" s="5" t="str">
        <f t="shared" si="3"/>
        <v/>
      </c>
      <c r="I47" s="12" t="str">
        <f t="shared" si="4"/>
        <v/>
      </c>
      <c r="J47" s="1"/>
      <c r="K47" s="5" t="str">
        <f t="shared" si="5"/>
        <v/>
      </c>
      <c r="L47" s="1"/>
    </row>
    <row r="48" spans="1:12" x14ac:dyDescent="0.35">
      <c r="A48" s="1"/>
      <c r="B48" s="1"/>
      <c r="C48" s="1"/>
      <c r="D48" s="13"/>
      <c r="E48" s="13"/>
      <c r="F48" s="13"/>
      <c r="G48" s="35"/>
      <c r="H48" s="5" t="str">
        <f t="shared" si="3"/>
        <v/>
      </c>
      <c r="I48" s="12" t="str">
        <f t="shared" si="4"/>
        <v/>
      </c>
      <c r="J48" s="1"/>
      <c r="K48" s="5" t="str">
        <f t="shared" si="5"/>
        <v/>
      </c>
      <c r="L48" s="1"/>
    </row>
    <row r="49" spans="1:12" x14ac:dyDescent="0.35">
      <c r="A49" s="1"/>
      <c r="B49" s="1"/>
      <c r="C49" s="1"/>
      <c r="D49" s="13"/>
      <c r="E49" s="13"/>
      <c r="F49" s="13"/>
      <c r="G49" s="35"/>
      <c r="H49" s="5" t="str">
        <f t="shared" si="3"/>
        <v/>
      </c>
      <c r="I49" s="12" t="str">
        <f t="shared" si="4"/>
        <v/>
      </c>
      <c r="J49" s="1"/>
      <c r="K49" s="5" t="str">
        <f t="shared" si="5"/>
        <v/>
      </c>
      <c r="L49" s="1"/>
    </row>
    <row r="50" spans="1:12" x14ac:dyDescent="0.35">
      <c r="A50" s="1"/>
      <c r="B50" s="1"/>
      <c r="C50" s="1"/>
      <c r="D50" s="13"/>
      <c r="E50" s="13"/>
      <c r="F50" s="13"/>
      <c r="G50" s="35"/>
      <c r="H50" s="5" t="str">
        <f t="shared" si="3"/>
        <v/>
      </c>
      <c r="I50" s="12" t="str">
        <f t="shared" si="4"/>
        <v/>
      </c>
      <c r="J50" s="1"/>
      <c r="K50" s="5" t="str">
        <f t="shared" si="5"/>
        <v/>
      </c>
      <c r="L50" s="1"/>
    </row>
    <row r="51" spans="1:12" x14ac:dyDescent="0.35">
      <c r="A51" s="1"/>
      <c r="B51" s="1"/>
      <c r="C51" s="1"/>
      <c r="D51" s="13"/>
      <c r="E51" s="13"/>
      <c r="F51" s="13"/>
      <c r="G51" s="35"/>
      <c r="H51" s="5" t="str">
        <f t="shared" si="3"/>
        <v/>
      </c>
      <c r="I51" s="12" t="str">
        <f t="shared" si="4"/>
        <v/>
      </c>
      <c r="J51" s="1"/>
      <c r="K51" s="5" t="str">
        <f t="shared" si="5"/>
        <v/>
      </c>
      <c r="L51" s="1"/>
    </row>
    <row r="52" spans="1:12" x14ac:dyDescent="0.35">
      <c r="A52" s="1"/>
      <c r="B52" s="1"/>
      <c r="C52" s="1"/>
      <c r="D52" s="13"/>
      <c r="E52" s="13"/>
      <c r="F52" s="13"/>
      <c r="G52" s="35"/>
      <c r="H52" s="5" t="str">
        <f t="shared" si="3"/>
        <v/>
      </c>
      <c r="I52" s="12" t="str">
        <f t="shared" si="4"/>
        <v/>
      </c>
      <c r="J52" s="1"/>
      <c r="K52" s="5" t="str">
        <f t="shared" si="5"/>
        <v/>
      </c>
      <c r="L52" s="1"/>
    </row>
    <row r="53" spans="1:12" x14ac:dyDescent="0.35">
      <c r="A53" s="1"/>
      <c r="B53" s="1"/>
      <c r="C53" s="1"/>
      <c r="D53" s="13"/>
      <c r="E53" s="13"/>
      <c r="F53" s="13"/>
      <c r="G53" s="35"/>
      <c r="H53" s="5" t="str">
        <f t="shared" si="3"/>
        <v/>
      </c>
      <c r="I53" s="12" t="str">
        <f t="shared" si="4"/>
        <v/>
      </c>
      <c r="J53" s="1"/>
      <c r="K53" s="5" t="str">
        <f t="shared" si="5"/>
        <v/>
      </c>
      <c r="L53" s="1"/>
    </row>
    <row r="54" spans="1:12" x14ac:dyDescent="0.35">
      <c r="A54" s="1"/>
      <c r="B54" s="1"/>
      <c r="C54" s="1"/>
      <c r="D54" s="13"/>
      <c r="E54" s="13"/>
      <c r="F54" s="13"/>
      <c r="G54" s="35"/>
      <c r="H54" s="5" t="str">
        <f t="shared" si="3"/>
        <v/>
      </c>
      <c r="I54" s="12" t="str">
        <f t="shared" si="4"/>
        <v/>
      </c>
      <c r="J54" s="1"/>
      <c r="K54" s="5" t="str">
        <f t="shared" si="5"/>
        <v/>
      </c>
      <c r="L54" s="1"/>
    </row>
    <row r="55" spans="1:12" x14ac:dyDescent="0.35">
      <c r="A55" s="1"/>
      <c r="B55" s="1"/>
      <c r="C55" s="1"/>
      <c r="D55" s="13"/>
      <c r="E55" s="13"/>
      <c r="F55" s="13"/>
      <c r="G55" s="35"/>
      <c r="H55" s="5" t="str">
        <f t="shared" si="3"/>
        <v/>
      </c>
      <c r="I55" s="12" t="str">
        <f t="shared" si="4"/>
        <v/>
      </c>
      <c r="J55" s="1"/>
      <c r="K55" s="5" t="str">
        <f t="shared" si="5"/>
        <v/>
      </c>
      <c r="L55" s="1"/>
    </row>
    <row r="56" spans="1:12" x14ac:dyDescent="0.35">
      <c r="A56" s="1"/>
      <c r="B56" s="1"/>
      <c r="C56" s="1"/>
      <c r="D56" s="13"/>
      <c r="E56" s="13"/>
      <c r="F56" s="13"/>
      <c r="G56" s="35"/>
      <c r="H56" s="5" t="str">
        <f t="shared" si="3"/>
        <v/>
      </c>
      <c r="I56" s="12" t="str">
        <f t="shared" si="4"/>
        <v/>
      </c>
      <c r="J56" s="1"/>
      <c r="K56" s="5" t="str">
        <f t="shared" si="5"/>
        <v/>
      </c>
      <c r="L56" s="1"/>
    </row>
    <row r="57" spans="1:12" x14ac:dyDescent="0.35">
      <c r="A57" s="1"/>
      <c r="B57" s="1"/>
      <c r="C57" s="1"/>
      <c r="D57" s="13"/>
      <c r="E57" s="13"/>
      <c r="F57" s="13"/>
      <c r="G57" s="35"/>
      <c r="H57" s="5" t="str">
        <f t="shared" si="3"/>
        <v/>
      </c>
      <c r="I57" s="12" t="str">
        <f t="shared" si="4"/>
        <v/>
      </c>
      <c r="J57" s="1"/>
      <c r="K57" s="5" t="str">
        <f t="shared" si="5"/>
        <v/>
      </c>
      <c r="L57" s="1"/>
    </row>
    <row r="58" spans="1:12" x14ac:dyDescent="0.35">
      <c r="A58" s="1"/>
      <c r="B58" s="1"/>
      <c r="C58" s="1"/>
      <c r="D58" s="13"/>
      <c r="E58" s="13"/>
      <c r="F58" s="13"/>
      <c r="G58" s="35"/>
      <c r="H58" s="5" t="str">
        <f t="shared" si="3"/>
        <v/>
      </c>
      <c r="I58" s="12" t="str">
        <f t="shared" si="4"/>
        <v/>
      </c>
      <c r="J58" s="1"/>
      <c r="K58" s="5" t="str">
        <f t="shared" si="5"/>
        <v/>
      </c>
      <c r="L58" s="1"/>
    </row>
    <row r="59" spans="1:12" x14ac:dyDescent="0.35">
      <c r="A59" s="1"/>
      <c r="B59" s="1"/>
      <c r="C59" s="1"/>
      <c r="D59" s="13"/>
      <c r="E59" s="13"/>
      <c r="F59" s="13"/>
      <c r="G59" s="35"/>
      <c r="H59" s="5" t="str">
        <f t="shared" si="3"/>
        <v/>
      </c>
      <c r="I59" s="12" t="str">
        <f t="shared" si="4"/>
        <v/>
      </c>
      <c r="J59" s="1"/>
      <c r="K59" s="5" t="str">
        <f t="shared" si="5"/>
        <v/>
      </c>
      <c r="L59" s="1"/>
    </row>
    <row r="60" spans="1:12" x14ac:dyDescent="0.35">
      <c r="A60" s="1"/>
      <c r="B60" s="1"/>
      <c r="C60" s="1"/>
      <c r="D60" s="13"/>
      <c r="E60" s="13"/>
      <c r="F60" s="13"/>
      <c r="G60" s="35"/>
      <c r="H60" s="5" t="str">
        <f t="shared" si="3"/>
        <v/>
      </c>
      <c r="I60" s="12" t="str">
        <f t="shared" si="4"/>
        <v/>
      </c>
      <c r="J60" s="1"/>
      <c r="K60" s="5" t="str">
        <f t="shared" si="5"/>
        <v/>
      </c>
      <c r="L60" s="1"/>
    </row>
    <row r="61" spans="1:12" x14ac:dyDescent="0.35">
      <c r="A61" s="1"/>
      <c r="B61" s="1"/>
      <c r="C61" s="1"/>
      <c r="D61" s="13"/>
      <c r="E61" s="13"/>
      <c r="F61" s="13"/>
      <c r="G61" s="35"/>
      <c r="H61" s="5" t="str">
        <f t="shared" si="3"/>
        <v/>
      </c>
      <c r="I61" s="12" t="str">
        <f t="shared" si="4"/>
        <v/>
      </c>
      <c r="J61" s="1"/>
      <c r="K61" s="5" t="str">
        <f t="shared" si="5"/>
        <v/>
      </c>
      <c r="L61" s="1"/>
    </row>
    <row r="62" spans="1:12" x14ac:dyDescent="0.35">
      <c r="A62" s="1"/>
      <c r="B62" s="1"/>
      <c r="C62" s="1"/>
      <c r="D62" s="13"/>
      <c r="E62" s="13"/>
      <c r="F62" s="13"/>
      <c r="G62" s="35"/>
      <c r="H62" s="5" t="str">
        <f t="shared" si="3"/>
        <v/>
      </c>
      <c r="I62" s="12" t="str">
        <f t="shared" si="4"/>
        <v/>
      </c>
      <c r="J62" s="1"/>
      <c r="K62" s="5" t="str">
        <f t="shared" si="5"/>
        <v/>
      </c>
      <c r="L62" s="1"/>
    </row>
    <row r="63" spans="1:12" x14ac:dyDescent="0.35">
      <c r="A63" s="1"/>
      <c r="B63" s="1"/>
      <c r="C63" s="1"/>
      <c r="D63" s="13"/>
      <c r="E63" s="13"/>
      <c r="F63" s="13"/>
      <c r="G63" s="35"/>
      <c r="H63" s="5" t="str">
        <f t="shared" si="3"/>
        <v/>
      </c>
      <c r="I63" s="12" t="str">
        <f t="shared" si="4"/>
        <v/>
      </c>
      <c r="J63" s="1"/>
      <c r="K63" s="5" t="str">
        <f t="shared" si="5"/>
        <v/>
      </c>
      <c r="L63" s="1"/>
    </row>
    <row r="64" spans="1:12" x14ac:dyDescent="0.35">
      <c r="A64" s="1"/>
      <c r="B64" s="1"/>
      <c r="C64" s="1"/>
      <c r="D64" s="13"/>
      <c r="E64" s="13"/>
      <c r="F64" s="13"/>
      <c r="G64" s="35"/>
      <c r="H64" s="5" t="str">
        <f t="shared" si="3"/>
        <v/>
      </c>
      <c r="I64" s="12" t="str">
        <f t="shared" si="4"/>
        <v/>
      </c>
      <c r="J64" s="1"/>
      <c r="K64" s="5" t="str">
        <f t="shared" si="5"/>
        <v/>
      </c>
      <c r="L64" s="1"/>
    </row>
    <row r="65" spans="1:12" x14ac:dyDescent="0.35">
      <c r="A65" s="1"/>
      <c r="B65" s="1"/>
      <c r="C65" s="1"/>
      <c r="D65" s="13"/>
      <c r="E65" s="13"/>
      <c r="F65" s="13"/>
      <c r="G65" s="35"/>
      <c r="H65" s="5" t="str">
        <f t="shared" si="3"/>
        <v/>
      </c>
      <c r="I65" s="12" t="str">
        <f t="shared" si="4"/>
        <v/>
      </c>
      <c r="J65" s="1"/>
      <c r="K65" s="5" t="str">
        <f t="shared" si="5"/>
        <v/>
      </c>
      <c r="L65" s="1"/>
    </row>
    <row r="66" spans="1:12" x14ac:dyDescent="0.35">
      <c r="A66" s="1"/>
      <c r="B66" s="1"/>
      <c r="C66" s="1"/>
      <c r="D66" s="13"/>
      <c r="E66" s="13"/>
      <c r="F66" s="13"/>
      <c r="G66" s="35"/>
      <c r="H66" s="5" t="str">
        <f t="shared" si="3"/>
        <v/>
      </c>
      <c r="I66" s="12" t="str">
        <f t="shared" si="4"/>
        <v/>
      </c>
      <c r="J66" s="1"/>
      <c r="K66" s="5" t="str">
        <f t="shared" si="5"/>
        <v/>
      </c>
      <c r="L66" s="1"/>
    </row>
    <row r="67" spans="1:12" x14ac:dyDescent="0.35">
      <c r="A67" s="1"/>
      <c r="B67" s="1"/>
      <c r="C67" s="1"/>
      <c r="D67" s="13"/>
      <c r="E67" s="13"/>
      <c r="F67" s="13"/>
      <c r="G67" s="35"/>
      <c r="H67" s="5" t="str">
        <f t="shared" si="3"/>
        <v/>
      </c>
      <c r="I67" s="12" t="str">
        <f t="shared" si="4"/>
        <v/>
      </c>
      <c r="J67" s="1"/>
      <c r="K67" s="5" t="str">
        <f t="shared" si="5"/>
        <v/>
      </c>
      <c r="L67" s="1"/>
    </row>
    <row r="68" spans="1:12" x14ac:dyDescent="0.35">
      <c r="A68" s="1"/>
      <c r="B68" s="1"/>
      <c r="C68" s="1"/>
      <c r="D68" s="13"/>
      <c r="E68" s="13"/>
      <c r="F68" s="13"/>
      <c r="G68" s="35"/>
      <c r="H68" s="5" t="str">
        <f t="shared" si="3"/>
        <v/>
      </c>
      <c r="I68" s="12" t="str">
        <f t="shared" si="4"/>
        <v/>
      </c>
      <c r="J68" s="1"/>
      <c r="K68" s="5" t="str">
        <f t="shared" si="5"/>
        <v/>
      </c>
      <c r="L68" s="1"/>
    </row>
    <row r="69" spans="1:12" x14ac:dyDescent="0.35">
      <c r="A69" s="1"/>
      <c r="B69" s="1"/>
      <c r="C69" s="1"/>
      <c r="D69" s="13"/>
      <c r="E69" s="13"/>
      <c r="F69" s="13"/>
      <c r="G69" s="35"/>
      <c r="H69" s="5" t="str">
        <f t="shared" si="3"/>
        <v/>
      </c>
      <c r="I69" s="12" t="str">
        <f t="shared" si="4"/>
        <v/>
      </c>
      <c r="J69" s="1"/>
      <c r="K69" s="5" t="str">
        <f t="shared" si="5"/>
        <v/>
      </c>
      <c r="L69" s="1"/>
    </row>
    <row r="70" spans="1:12" x14ac:dyDescent="0.35">
      <c r="A70" s="1"/>
      <c r="B70" s="1"/>
      <c r="C70" s="1"/>
      <c r="D70" s="13"/>
      <c r="E70" s="13"/>
      <c r="F70" s="13"/>
      <c r="G70" s="35"/>
      <c r="H70" s="5" t="str">
        <f t="shared" ref="H70:H101" si="6">IF(D70="","",IF(F70&lt;&gt;"",F70,DataRef)-D70+1)</f>
        <v/>
      </c>
      <c r="I70" s="12" t="str">
        <f t="shared" ref="I70:I101" si="7">IF(D70="","",N(C70)*N(G70)*H70)</f>
        <v/>
      </c>
      <c r="J70" s="1"/>
      <c r="K70" s="5" t="str">
        <f t="shared" ref="K70:K101" si="8">IF(D70="","",IF(F70&lt;&gt;"","Devolvido",IF(AND(E70&lt;&gt;"",DataRef&gt;E70),"VENCIDA – renovar ou devolver","Ativa")))</f>
        <v/>
      </c>
      <c r="L70" s="1"/>
    </row>
    <row r="71" spans="1:12" x14ac:dyDescent="0.35">
      <c r="A71" s="1"/>
      <c r="B71" s="1"/>
      <c r="C71" s="1"/>
      <c r="D71" s="13"/>
      <c r="E71" s="13"/>
      <c r="F71" s="13"/>
      <c r="G71" s="35"/>
      <c r="H71" s="5" t="str">
        <f t="shared" si="6"/>
        <v/>
      </c>
      <c r="I71" s="12" t="str">
        <f t="shared" si="7"/>
        <v/>
      </c>
      <c r="J71" s="1"/>
      <c r="K71" s="5" t="str">
        <f t="shared" si="8"/>
        <v/>
      </c>
      <c r="L71" s="1"/>
    </row>
    <row r="72" spans="1:12" x14ac:dyDescent="0.35">
      <c r="A72" s="1"/>
      <c r="B72" s="1"/>
      <c r="C72" s="1"/>
      <c r="D72" s="13"/>
      <c r="E72" s="13"/>
      <c r="F72" s="13"/>
      <c r="G72" s="35"/>
      <c r="H72" s="5" t="str">
        <f t="shared" si="6"/>
        <v/>
      </c>
      <c r="I72" s="12" t="str">
        <f t="shared" si="7"/>
        <v/>
      </c>
      <c r="J72" s="1"/>
      <c r="K72" s="5" t="str">
        <f t="shared" si="8"/>
        <v/>
      </c>
      <c r="L72" s="1"/>
    </row>
    <row r="73" spans="1:12" x14ac:dyDescent="0.35">
      <c r="A73" s="1"/>
      <c r="B73" s="1"/>
      <c r="C73" s="1"/>
      <c r="D73" s="13"/>
      <c r="E73" s="13"/>
      <c r="F73" s="13"/>
      <c r="G73" s="35"/>
      <c r="H73" s="5" t="str">
        <f t="shared" si="6"/>
        <v/>
      </c>
      <c r="I73" s="12" t="str">
        <f t="shared" si="7"/>
        <v/>
      </c>
      <c r="J73" s="1"/>
      <c r="K73" s="5" t="str">
        <f t="shared" si="8"/>
        <v/>
      </c>
      <c r="L73" s="1"/>
    </row>
    <row r="74" spans="1:12" x14ac:dyDescent="0.35">
      <c r="A74" s="1"/>
      <c r="B74" s="1"/>
      <c r="C74" s="1"/>
      <c r="D74" s="13"/>
      <c r="E74" s="13"/>
      <c r="F74" s="13"/>
      <c r="G74" s="35"/>
      <c r="H74" s="5" t="str">
        <f t="shared" si="6"/>
        <v/>
      </c>
      <c r="I74" s="12" t="str">
        <f t="shared" si="7"/>
        <v/>
      </c>
      <c r="J74" s="1"/>
      <c r="K74" s="5" t="str">
        <f t="shared" si="8"/>
        <v/>
      </c>
      <c r="L74" s="1"/>
    </row>
    <row r="75" spans="1:12" x14ac:dyDescent="0.35">
      <c r="A75" s="1"/>
      <c r="B75" s="1"/>
      <c r="C75" s="1"/>
      <c r="D75" s="13"/>
      <c r="E75" s="13"/>
      <c r="F75" s="13"/>
      <c r="G75" s="35"/>
      <c r="H75" s="5" t="str">
        <f t="shared" si="6"/>
        <v/>
      </c>
      <c r="I75" s="12" t="str">
        <f t="shared" si="7"/>
        <v/>
      </c>
      <c r="J75" s="1"/>
      <c r="K75" s="5" t="str">
        <f t="shared" si="8"/>
        <v/>
      </c>
      <c r="L75" s="1"/>
    </row>
    <row r="76" spans="1:12" x14ac:dyDescent="0.35">
      <c r="A76" s="1"/>
      <c r="B76" s="1"/>
      <c r="C76" s="1"/>
      <c r="D76" s="13"/>
      <c r="E76" s="13"/>
      <c r="F76" s="13"/>
      <c r="G76" s="35"/>
      <c r="H76" s="5" t="str">
        <f t="shared" si="6"/>
        <v/>
      </c>
      <c r="I76" s="12" t="str">
        <f t="shared" si="7"/>
        <v/>
      </c>
      <c r="J76" s="1"/>
      <c r="K76" s="5" t="str">
        <f t="shared" si="8"/>
        <v/>
      </c>
      <c r="L76" s="1"/>
    </row>
    <row r="77" spans="1:12" x14ac:dyDescent="0.35">
      <c r="A77" s="1"/>
      <c r="B77" s="1"/>
      <c r="C77" s="1"/>
      <c r="D77" s="13"/>
      <c r="E77" s="13"/>
      <c r="F77" s="13"/>
      <c r="G77" s="35"/>
      <c r="H77" s="5" t="str">
        <f t="shared" si="6"/>
        <v/>
      </c>
      <c r="I77" s="12" t="str">
        <f t="shared" si="7"/>
        <v/>
      </c>
      <c r="J77" s="1"/>
      <c r="K77" s="5" t="str">
        <f t="shared" si="8"/>
        <v/>
      </c>
      <c r="L77" s="1"/>
    </row>
    <row r="78" spans="1:12" x14ac:dyDescent="0.35">
      <c r="A78" s="1"/>
      <c r="B78" s="1"/>
      <c r="C78" s="1"/>
      <c r="D78" s="13"/>
      <c r="E78" s="13"/>
      <c r="F78" s="13"/>
      <c r="G78" s="35"/>
      <c r="H78" s="5" t="str">
        <f t="shared" si="6"/>
        <v/>
      </c>
      <c r="I78" s="12" t="str">
        <f t="shared" si="7"/>
        <v/>
      </c>
      <c r="J78" s="1"/>
      <c r="K78" s="5" t="str">
        <f t="shared" si="8"/>
        <v/>
      </c>
      <c r="L78" s="1"/>
    </row>
    <row r="79" spans="1:12" x14ac:dyDescent="0.35">
      <c r="A79" s="1"/>
      <c r="B79" s="1"/>
      <c r="C79" s="1"/>
      <c r="D79" s="13"/>
      <c r="E79" s="13"/>
      <c r="F79" s="13"/>
      <c r="G79" s="35"/>
      <c r="H79" s="5" t="str">
        <f t="shared" si="6"/>
        <v/>
      </c>
      <c r="I79" s="12" t="str">
        <f t="shared" si="7"/>
        <v/>
      </c>
      <c r="J79" s="1"/>
      <c r="K79" s="5" t="str">
        <f t="shared" si="8"/>
        <v/>
      </c>
      <c r="L79" s="1"/>
    </row>
    <row r="80" spans="1:12" x14ac:dyDescent="0.35">
      <c r="A80" s="1"/>
      <c r="B80" s="1"/>
      <c r="C80" s="1"/>
      <c r="D80" s="13"/>
      <c r="E80" s="13"/>
      <c r="F80" s="13"/>
      <c r="G80" s="35"/>
      <c r="H80" s="5" t="str">
        <f t="shared" si="6"/>
        <v/>
      </c>
      <c r="I80" s="12" t="str">
        <f t="shared" si="7"/>
        <v/>
      </c>
      <c r="J80" s="1"/>
      <c r="K80" s="5" t="str">
        <f t="shared" si="8"/>
        <v/>
      </c>
      <c r="L80" s="1"/>
    </row>
    <row r="81" spans="1:12" x14ac:dyDescent="0.35">
      <c r="A81" s="1"/>
      <c r="B81" s="1"/>
      <c r="C81" s="1"/>
      <c r="D81" s="13"/>
      <c r="E81" s="13"/>
      <c r="F81" s="13"/>
      <c r="G81" s="35"/>
      <c r="H81" s="5" t="str">
        <f t="shared" si="6"/>
        <v/>
      </c>
      <c r="I81" s="12" t="str">
        <f t="shared" si="7"/>
        <v/>
      </c>
      <c r="J81" s="1"/>
      <c r="K81" s="5" t="str">
        <f t="shared" si="8"/>
        <v/>
      </c>
      <c r="L81" s="1"/>
    </row>
    <row r="82" spans="1:12" x14ac:dyDescent="0.35">
      <c r="A82" s="1"/>
      <c r="B82" s="1"/>
      <c r="C82" s="1"/>
      <c r="D82" s="13"/>
      <c r="E82" s="13"/>
      <c r="F82" s="13"/>
      <c r="G82" s="35"/>
      <c r="H82" s="5" t="str">
        <f t="shared" si="6"/>
        <v/>
      </c>
      <c r="I82" s="12" t="str">
        <f t="shared" si="7"/>
        <v/>
      </c>
      <c r="J82" s="1"/>
      <c r="K82" s="5" t="str">
        <f t="shared" si="8"/>
        <v/>
      </c>
      <c r="L82" s="1"/>
    </row>
    <row r="83" spans="1:12" x14ac:dyDescent="0.35">
      <c r="A83" s="1"/>
      <c r="B83" s="1"/>
      <c r="C83" s="1"/>
      <c r="D83" s="13"/>
      <c r="E83" s="13"/>
      <c r="F83" s="13"/>
      <c r="G83" s="35"/>
      <c r="H83" s="5" t="str">
        <f t="shared" si="6"/>
        <v/>
      </c>
      <c r="I83" s="12" t="str">
        <f t="shared" si="7"/>
        <v/>
      </c>
      <c r="J83" s="1"/>
      <c r="K83" s="5" t="str">
        <f t="shared" si="8"/>
        <v/>
      </c>
      <c r="L83" s="1"/>
    </row>
    <row r="84" spans="1:12" x14ac:dyDescent="0.35">
      <c r="A84" s="1"/>
      <c r="B84" s="1"/>
      <c r="C84" s="1"/>
      <c r="D84" s="13"/>
      <c r="E84" s="13"/>
      <c r="F84" s="13"/>
      <c r="G84" s="35"/>
      <c r="H84" s="5" t="str">
        <f t="shared" si="6"/>
        <v/>
      </c>
      <c r="I84" s="12" t="str">
        <f t="shared" si="7"/>
        <v/>
      </c>
      <c r="J84" s="1"/>
      <c r="K84" s="5" t="str">
        <f t="shared" si="8"/>
        <v/>
      </c>
      <c r="L84" s="1"/>
    </row>
    <row r="85" spans="1:12" x14ac:dyDescent="0.35">
      <c r="A85" s="1"/>
      <c r="B85" s="1"/>
      <c r="C85" s="1"/>
      <c r="D85" s="13"/>
      <c r="E85" s="13"/>
      <c r="F85" s="13"/>
      <c r="G85" s="35"/>
      <c r="H85" s="5" t="str">
        <f t="shared" si="6"/>
        <v/>
      </c>
      <c r="I85" s="12" t="str">
        <f t="shared" si="7"/>
        <v/>
      </c>
      <c r="J85" s="1"/>
      <c r="K85" s="5" t="str">
        <f t="shared" si="8"/>
        <v/>
      </c>
      <c r="L85" s="1"/>
    </row>
    <row r="86" spans="1:12" x14ac:dyDescent="0.35">
      <c r="A86" s="1"/>
      <c r="B86" s="1"/>
      <c r="C86" s="1"/>
      <c r="D86" s="13"/>
      <c r="E86" s="13"/>
      <c r="F86" s="13"/>
      <c r="G86" s="35"/>
      <c r="H86" s="5" t="str">
        <f t="shared" si="6"/>
        <v/>
      </c>
      <c r="I86" s="12" t="str">
        <f t="shared" si="7"/>
        <v/>
      </c>
      <c r="J86" s="1"/>
      <c r="K86" s="5" t="str">
        <f t="shared" si="8"/>
        <v/>
      </c>
      <c r="L86" s="1"/>
    </row>
    <row r="87" spans="1:12" x14ac:dyDescent="0.35">
      <c r="A87" s="1"/>
      <c r="B87" s="1"/>
      <c r="C87" s="1"/>
      <c r="D87" s="13"/>
      <c r="E87" s="13"/>
      <c r="F87" s="13"/>
      <c r="G87" s="35"/>
      <c r="H87" s="5" t="str">
        <f t="shared" si="6"/>
        <v/>
      </c>
      <c r="I87" s="12" t="str">
        <f t="shared" si="7"/>
        <v/>
      </c>
      <c r="J87" s="1"/>
      <c r="K87" s="5" t="str">
        <f t="shared" si="8"/>
        <v/>
      </c>
      <c r="L87" s="1"/>
    </row>
    <row r="88" spans="1:12" x14ac:dyDescent="0.35">
      <c r="A88" s="1"/>
      <c r="B88" s="1"/>
      <c r="C88" s="1"/>
      <c r="D88" s="13"/>
      <c r="E88" s="13"/>
      <c r="F88" s="13"/>
      <c r="G88" s="35"/>
      <c r="H88" s="5" t="str">
        <f t="shared" si="6"/>
        <v/>
      </c>
      <c r="I88" s="12" t="str">
        <f t="shared" si="7"/>
        <v/>
      </c>
      <c r="J88" s="1"/>
      <c r="K88" s="5" t="str">
        <f t="shared" si="8"/>
        <v/>
      </c>
      <c r="L88" s="1"/>
    </row>
    <row r="89" spans="1:12" x14ac:dyDescent="0.35">
      <c r="A89" s="1"/>
      <c r="B89" s="1"/>
      <c r="C89" s="1"/>
      <c r="D89" s="13"/>
      <c r="E89" s="13"/>
      <c r="F89" s="13"/>
      <c r="G89" s="35"/>
      <c r="H89" s="5" t="str">
        <f t="shared" si="6"/>
        <v/>
      </c>
      <c r="I89" s="12" t="str">
        <f t="shared" si="7"/>
        <v/>
      </c>
      <c r="J89" s="1"/>
      <c r="K89" s="5" t="str">
        <f t="shared" si="8"/>
        <v/>
      </c>
      <c r="L89" s="1"/>
    </row>
    <row r="90" spans="1:12" x14ac:dyDescent="0.35">
      <c r="A90" s="1"/>
      <c r="B90" s="1"/>
      <c r="C90" s="1"/>
      <c r="D90" s="13"/>
      <c r="E90" s="13"/>
      <c r="F90" s="13"/>
      <c r="G90" s="35"/>
      <c r="H90" s="5" t="str">
        <f t="shared" si="6"/>
        <v/>
      </c>
      <c r="I90" s="12" t="str">
        <f t="shared" si="7"/>
        <v/>
      </c>
      <c r="J90" s="1"/>
      <c r="K90" s="5" t="str">
        <f t="shared" si="8"/>
        <v/>
      </c>
      <c r="L90" s="1"/>
    </row>
    <row r="91" spans="1:12" x14ac:dyDescent="0.35">
      <c r="A91" s="1"/>
      <c r="B91" s="1"/>
      <c r="C91" s="1"/>
      <c r="D91" s="13"/>
      <c r="E91" s="13"/>
      <c r="F91" s="13"/>
      <c r="G91" s="35"/>
      <c r="H91" s="5" t="str">
        <f t="shared" si="6"/>
        <v/>
      </c>
      <c r="I91" s="12" t="str">
        <f t="shared" si="7"/>
        <v/>
      </c>
      <c r="J91" s="1"/>
      <c r="K91" s="5" t="str">
        <f t="shared" si="8"/>
        <v/>
      </c>
      <c r="L91" s="1"/>
    </row>
    <row r="92" spans="1:12" x14ac:dyDescent="0.35">
      <c r="A92" s="1"/>
      <c r="B92" s="1"/>
      <c r="C92" s="1"/>
      <c r="D92" s="13"/>
      <c r="E92" s="13"/>
      <c r="F92" s="13"/>
      <c r="G92" s="35"/>
      <c r="H92" s="5" t="str">
        <f t="shared" si="6"/>
        <v/>
      </c>
      <c r="I92" s="12" t="str">
        <f t="shared" si="7"/>
        <v/>
      </c>
      <c r="J92" s="1"/>
      <c r="K92" s="5" t="str">
        <f t="shared" si="8"/>
        <v/>
      </c>
      <c r="L92" s="1"/>
    </row>
    <row r="93" spans="1:12" x14ac:dyDescent="0.35">
      <c r="A93" s="1"/>
      <c r="B93" s="1"/>
      <c r="C93" s="1"/>
      <c r="D93" s="13"/>
      <c r="E93" s="13"/>
      <c r="F93" s="13"/>
      <c r="G93" s="35"/>
      <c r="H93" s="5" t="str">
        <f t="shared" si="6"/>
        <v/>
      </c>
      <c r="I93" s="12" t="str">
        <f t="shared" si="7"/>
        <v/>
      </c>
      <c r="J93" s="1"/>
      <c r="K93" s="5" t="str">
        <f t="shared" si="8"/>
        <v/>
      </c>
      <c r="L93" s="1"/>
    </row>
    <row r="94" spans="1:12" x14ac:dyDescent="0.35">
      <c r="A94" s="1"/>
      <c r="B94" s="1"/>
      <c r="C94" s="1"/>
      <c r="D94" s="13"/>
      <c r="E94" s="13"/>
      <c r="F94" s="13"/>
      <c r="G94" s="35"/>
      <c r="H94" s="5" t="str">
        <f t="shared" si="6"/>
        <v/>
      </c>
      <c r="I94" s="12" t="str">
        <f t="shared" si="7"/>
        <v/>
      </c>
      <c r="J94" s="1"/>
      <c r="K94" s="5" t="str">
        <f t="shared" si="8"/>
        <v/>
      </c>
      <c r="L94" s="1"/>
    </row>
    <row r="95" spans="1:12" x14ac:dyDescent="0.35">
      <c r="A95" s="1"/>
      <c r="B95" s="1"/>
      <c r="C95" s="1"/>
      <c r="D95" s="13"/>
      <c r="E95" s="13"/>
      <c r="F95" s="13"/>
      <c r="G95" s="35"/>
      <c r="H95" s="5" t="str">
        <f t="shared" si="6"/>
        <v/>
      </c>
      <c r="I95" s="12" t="str">
        <f t="shared" si="7"/>
        <v/>
      </c>
      <c r="J95" s="1"/>
      <c r="K95" s="5" t="str">
        <f t="shared" si="8"/>
        <v/>
      </c>
      <c r="L95" s="1"/>
    </row>
    <row r="96" spans="1:12" x14ac:dyDescent="0.35">
      <c r="A96" s="1"/>
      <c r="B96" s="1"/>
      <c r="C96" s="1"/>
      <c r="D96" s="13"/>
      <c r="E96" s="13"/>
      <c r="F96" s="13"/>
      <c r="G96" s="35"/>
      <c r="H96" s="5" t="str">
        <f t="shared" si="6"/>
        <v/>
      </c>
      <c r="I96" s="12" t="str">
        <f t="shared" si="7"/>
        <v/>
      </c>
      <c r="J96" s="1"/>
      <c r="K96" s="5" t="str">
        <f t="shared" si="8"/>
        <v/>
      </c>
      <c r="L96" s="1"/>
    </row>
    <row r="97" spans="1:12" x14ac:dyDescent="0.35">
      <c r="A97" s="1"/>
      <c r="B97" s="1"/>
      <c r="C97" s="1"/>
      <c r="D97" s="13"/>
      <c r="E97" s="13"/>
      <c r="F97" s="13"/>
      <c r="G97" s="35"/>
      <c r="H97" s="5" t="str">
        <f t="shared" si="6"/>
        <v/>
      </c>
      <c r="I97" s="12" t="str">
        <f t="shared" si="7"/>
        <v/>
      </c>
      <c r="J97" s="1"/>
      <c r="K97" s="5" t="str">
        <f t="shared" si="8"/>
        <v/>
      </c>
      <c r="L97" s="1"/>
    </row>
    <row r="98" spans="1:12" x14ac:dyDescent="0.35">
      <c r="A98" s="1"/>
      <c r="B98" s="1"/>
      <c r="C98" s="1"/>
      <c r="D98" s="13"/>
      <c r="E98" s="13"/>
      <c r="F98" s="13"/>
      <c r="G98" s="35"/>
      <c r="H98" s="5" t="str">
        <f t="shared" si="6"/>
        <v/>
      </c>
      <c r="I98" s="12" t="str">
        <f t="shared" si="7"/>
        <v/>
      </c>
      <c r="J98" s="1"/>
      <c r="K98" s="5" t="str">
        <f t="shared" si="8"/>
        <v/>
      </c>
      <c r="L98" s="1"/>
    </row>
    <row r="99" spans="1:12" x14ac:dyDescent="0.35">
      <c r="A99" s="1"/>
      <c r="B99" s="1"/>
      <c r="C99" s="1"/>
      <c r="D99" s="13"/>
      <c r="E99" s="13"/>
      <c r="F99" s="13"/>
      <c r="G99" s="35"/>
      <c r="H99" s="5" t="str">
        <f t="shared" si="6"/>
        <v/>
      </c>
      <c r="I99" s="12" t="str">
        <f t="shared" si="7"/>
        <v/>
      </c>
      <c r="J99" s="1"/>
      <c r="K99" s="5" t="str">
        <f t="shared" si="8"/>
        <v/>
      </c>
      <c r="L99" s="1"/>
    </row>
    <row r="100" spans="1:12" x14ac:dyDescent="0.35">
      <c r="A100" s="1"/>
      <c r="B100" s="1"/>
      <c r="C100" s="1"/>
      <c r="D100" s="13"/>
      <c r="E100" s="13"/>
      <c r="F100" s="13"/>
      <c r="G100" s="35"/>
      <c r="H100" s="5" t="str">
        <f t="shared" si="6"/>
        <v/>
      </c>
      <c r="I100" s="12" t="str">
        <f t="shared" si="7"/>
        <v/>
      </c>
      <c r="J100" s="1"/>
      <c r="K100" s="5" t="str">
        <f t="shared" si="8"/>
        <v/>
      </c>
      <c r="L100" s="1"/>
    </row>
    <row r="101" spans="1:12" x14ac:dyDescent="0.35">
      <c r="A101" s="1"/>
      <c r="B101" s="1"/>
      <c r="C101" s="1"/>
      <c r="D101" s="13"/>
      <c r="E101" s="13"/>
      <c r="F101" s="13"/>
      <c r="G101" s="35"/>
      <c r="H101" s="5" t="str">
        <f t="shared" si="6"/>
        <v/>
      </c>
      <c r="I101" s="12" t="str">
        <f t="shared" si="7"/>
        <v/>
      </c>
      <c r="J101" s="1"/>
      <c r="K101" s="5" t="str">
        <f t="shared" si="8"/>
        <v/>
      </c>
      <c r="L101" s="1"/>
    </row>
    <row r="102" spans="1:12" x14ac:dyDescent="0.35">
      <c r="A102" s="1"/>
      <c r="B102" s="1"/>
      <c r="C102" s="1"/>
      <c r="D102" s="13"/>
      <c r="E102" s="13"/>
      <c r="F102" s="13"/>
      <c r="G102" s="35"/>
      <c r="H102" s="5" t="str">
        <f t="shared" ref="H102:H133" si="9">IF(D102="","",IF(F102&lt;&gt;"",F102,DataRef)-D102+1)</f>
        <v/>
      </c>
      <c r="I102" s="12" t="str">
        <f t="shared" ref="I102:I133" si="10">IF(D102="","",N(C102)*N(G102)*H102)</f>
        <v/>
      </c>
      <c r="J102" s="1"/>
      <c r="K102" s="5" t="str">
        <f t="shared" ref="K102:K133" si="11">IF(D102="","",IF(F102&lt;&gt;"","Devolvido",IF(AND(E102&lt;&gt;"",DataRef&gt;E102),"VENCIDA – renovar ou devolver","Ativa")))</f>
        <v/>
      </c>
      <c r="L102" s="1"/>
    </row>
    <row r="103" spans="1:12" x14ac:dyDescent="0.35">
      <c r="A103" s="1"/>
      <c r="B103" s="1"/>
      <c r="C103" s="1"/>
      <c r="D103" s="13"/>
      <c r="E103" s="13"/>
      <c r="F103" s="13"/>
      <c r="G103" s="35"/>
      <c r="H103" s="5" t="str">
        <f t="shared" si="9"/>
        <v/>
      </c>
      <c r="I103" s="12" t="str">
        <f t="shared" si="10"/>
        <v/>
      </c>
      <c r="J103" s="1"/>
      <c r="K103" s="5" t="str">
        <f t="shared" si="11"/>
        <v/>
      </c>
      <c r="L103" s="1"/>
    </row>
    <row r="104" spans="1:12" x14ac:dyDescent="0.35">
      <c r="A104" s="1"/>
      <c r="B104" s="1"/>
      <c r="C104" s="1"/>
      <c r="D104" s="13"/>
      <c r="E104" s="13"/>
      <c r="F104" s="13"/>
      <c r="G104" s="35"/>
      <c r="H104" s="5" t="str">
        <f t="shared" si="9"/>
        <v/>
      </c>
      <c r="I104" s="12" t="str">
        <f t="shared" si="10"/>
        <v/>
      </c>
      <c r="J104" s="1"/>
      <c r="K104" s="5" t="str">
        <f t="shared" si="11"/>
        <v/>
      </c>
      <c r="L104" s="1"/>
    </row>
    <row r="105" spans="1:12" x14ac:dyDescent="0.35">
      <c r="A105" s="1"/>
      <c r="B105" s="1"/>
      <c r="C105" s="1"/>
      <c r="D105" s="13"/>
      <c r="E105" s="13"/>
      <c r="F105" s="13"/>
      <c r="G105" s="35"/>
      <c r="H105" s="5" t="str">
        <f t="shared" si="9"/>
        <v/>
      </c>
      <c r="I105" s="12" t="str">
        <f t="shared" si="10"/>
        <v/>
      </c>
      <c r="J105" s="1"/>
      <c r="K105" s="5" t="str">
        <f t="shared" si="11"/>
        <v/>
      </c>
      <c r="L105" s="1"/>
    </row>
    <row r="106" spans="1:12" x14ac:dyDescent="0.35">
      <c r="A106" s="1"/>
      <c r="B106" s="1"/>
      <c r="C106" s="1"/>
      <c r="D106" s="13"/>
      <c r="E106" s="13"/>
      <c r="F106" s="13"/>
      <c r="G106" s="35"/>
      <c r="H106" s="5" t="str">
        <f t="shared" si="9"/>
        <v/>
      </c>
      <c r="I106" s="12" t="str">
        <f t="shared" si="10"/>
        <v/>
      </c>
      <c r="J106" s="1"/>
      <c r="K106" s="5" t="str">
        <f t="shared" si="11"/>
        <v/>
      </c>
      <c r="L106" s="1"/>
    </row>
    <row r="107" spans="1:12" x14ac:dyDescent="0.35">
      <c r="A107" s="1"/>
      <c r="B107" s="1"/>
      <c r="C107" s="1"/>
      <c r="D107" s="13"/>
      <c r="E107" s="13"/>
      <c r="F107" s="13"/>
      <c r="G107" s="35"/>
      <c r="H107" s="5" t="str">
        <f t="shared" si="9"/>
        <v/>
      </c>
      <c r="I107" s="12" t="str">
        <f t="shared" si="10"/>
        <v/>
      </c>
      <c r="J107" s="1"/>
      <c r="K107" s="5" t="str">
        <f t="shared" si="11"/>
        <v/>
      </c>
      <c r="L107" s="1"/>
    </row>
    <row r="108" spans="1:12" x14ac:dyDescent="0.35">
      <c r="A108" s="1"/>
      <c r="B108" s="1"/>
      <c r="C108" s="1"/>
      <c r="D108" s="13"/>
      <c r="E108" s="13"/>
      <c r="F108" s="13"/>
      <c r="G108" s="35"/>
      <c r="H108" s="5" t="str">
        <f t="shared" si="9"/>
        <v/>
      </c>
      <c r="I108" s="12" t="str">
        <f t="shared" si="10"/>
        <v/>
      </c>
      <c r="J108" s="1"/>
      <c r="K108" s="5" t="str">
        <f t="shared" si="11"/>
        <v/>
      </c>
      <c r="L108" s="1"/>
    </row>
    <row r="109" spans="1:12" x14ac:dyDescent="0.35">
      <c r="A109" s="1"/>
      <c r="B109" s="1"/>
      <c r="C109" s="1"/>
      <c r="D109" s="13"/>
      <c r="E109" s="13"/>
      <c r="F109" s="13"/>
      <c r="G109" s="35"/>
      <c r="H109" s="5" t="str">
        <f t="shared" si="9"/>
        <v/>
      </c>
      <c r="I109" s="12" t="str">
        <f t="shared" si="10"/>
        <v/>
      </c>
      <c r="J109" s="1"/>
      <c r="K109" s="5" t="str">
        <f t="shared" si="11"/>
        <v/>
      </c>
      <c r="L109" s="1"/>
    </row>
    <row r="110" spans="1:12" x14ac:dyDescent="0.35">
      <c r="A110" s="1"/>
      <c r="B110" s="1"/>
      <c r="C110" s="1"/>
      <c r="D110" s="13"/>
      <c r="E110" s="13"/>
      <c r="F110" s="13"/>
      <c r="G110" s="35"/>
      <c r="H110" s="5" t="str">
        <f t="shared" si="9"/>
        <v/>
      </c>
      <c r="I110" s="12" t="str">
        <f t="shared" si="10"/>
        <v/>
      </c>
      <c r="J110" s="1"/>
      <c r="K110" s="5" t="str">
        <f t="shared" si="11"/>
        <v/>
      </c>
      <c r="L110" s="1"/>
    </row>
    <row r="111" spans="1:12" x14ac:dyDescent="0.35">
      <c r="A111" s="1"/>
      <c r="B111" s="1"/>
      <c r="C111" s="1"/>
      <c r="D111" s="13"/>
      <c r="E111" s="13"/>
      <c r="F111" s="13"/>
      <c r="G111" s="35"/>
      <c r="H111" s="5" t="str">
        <f t="shared" si="9"/>
        <v/>
      </c>
      <c r="I111" s="12" t="str">
        <f t="shared" si="10"/>
        <v/>
      </c>
      <c r="J111" s="1"/>
      <c r="K111" s="5" t="str">
        <f t="shared" si="11"/>
        <v/>
      </c>
      <c r="L111" s="1"/>
    </row>
    <row r="112" spans="1:12" x14ac:dyDescent="0.35">
      <c r="A112" s="1"/>
      <c r="B112" s="1"/>
      <c r="C112" s="1"/>
      <c r="D112" s="13"/>
      <c r="E112" s="13"/>
      <c r="F112" s="13"/>
      <c r="G112" s="35"/>
      <c r="H112" s="5" t="str">
        <f t="shared" si="9"/>
        <v/>
      </c>
      <c r="I112" s="12" t="str">
        <f t="shared" si="10"/>
        <v/>
      </c>
      <c r="J112" s="1"/>
      <c r="K112" s="5" t="str">
        <f t="shared" si="11"/>
        <v/>
      </c>
      <c r="L112" s="1"/>
    </row>
    <row r="113" spans="1:12" x14ac:dyDescent="0.35">
      <c r="A113" s="1"/>
      <c r="B113" s="1"/>
      <c r="C113" s="1"/>
      <c r="D113" s="13"/>
      <c r="E113" s="13"/>
      <c r="F113" s="13"/>
      <c r="G113" s="35"/>
      <c r="H113" s="5" t="str">
        <f t="shared" si="9"/>
        <v/>
      </c>
      <c r="I113" s="12" t="str">
        <f t="shared" si="10"/>
        <v/>
      </c>
      <c r="J113" s="1"/>
      <c r="K113" s="5" t="str">
        <f t="shared" si="11"/>
        <v/>
      </c>
      <c r="L113" s="1"/>
    </row>
    <row r="114" spans="1:12" x14ac:dyDescent="0.35">
      <c r="A114" s="1"/>
      <c r="B114" s="1"/>
      <c r="C114" s="1"/>
      <c r="D114" s="13"/>
      <c r="E114" s="13"/>
      <c r="F114" s="13"/>
      <c r="G114" s="35"/>
      <c r="H114" s="5" t="str">
        <f t="shared" si="9"/>
        <v/>
      </c>
      <c r="I114" s="12" t="str">
        <f t="shared" si="10"/>
        <v/>
      </c>
      <c r="J114" s="1"/>
      <c r="K114" s="5" t="str">
        <f t="shared" si="11"/>
        <v/>
      </c>
      <c r="L114" s="1"/>
    </row>
    <row r="115" spans="1:12" x14ac:dyDescent="0.35">
      <c r="A115" s="1"/>
      <c r="B115" s="1"/>
      <c r="C115" s="1"/>
      <c r="D115" s="13"/>
      <c r="E115" s="13"/>
      <c r="F115" s="13"/>
      <c r="G115" s="35"/>
      <c r="H115" s="5" t="str">
        <f t="shared" si="9"/>
        <v/>
      </c>
      <c r="I115" s="12" t="str">
        <f t="shared" si="10"/>
        <v/>
      </c>
      <c r="J115" s="1"/>
      <c r="K115" s="5" t="str">
        <f t="shared" si="11"/>
        <v/>
      </c>
      <c r="L115" s="1"/>
    </row>
    <row r="116" spans="1:12" x14ac:dyDescent="0.35">
      <c r="A116" s="1"/>
      <c r="B116" s="1"/>
      <c r="C116" s="1"/>
      <c r="D116" s="13"/>
      <c r="E116" s="13"/>
      <c r="F116" s="13"/>
      <c r="G116" s="35"/>
      <c r="H116" s="5" t="str">
        <f t="shared" si="9"/>
        <v/>
      </c>
      <c r="I116" s="12" t="str">
        <f t="shared" si="10"/>
        <v/>
      </c>
      <c r="J116" s="1"/>
      <c r="K116" s="5" t="str">
        <f t="shared" si="11"/>
        <v/>
      </c>
      <c r="L116" s="1"/>
    </row>
    <row r="117" spans="1:12" x14ac:dyDescent="0.35">
      <c r="A117" s="1"/>
      <c r="B117" s="1"/>
      <c r="C117" s="1"/>
      <c r="D117" s="13"/>
      <c r="E117" s="13"/>
      <c r="F117" s="13"/>
      <c r="G117" s="35"/>
      <c r="H117" s="5" t="str">
        <f t="shared" si="9"/>
        <v/>
      </c>
      <c r="I117" s="12" t="str">
        <f t="shared" si="10"/>
        <v/>
      </c>
      <c r="J117" s="1"/>
      <c r="K117" s="5" t="str">
        <f t="shared" si="11"/>
        <v/>
      </c>
      <c r="L117" s="1"/>
    </row>
    <row r="118" spans="1:12" x14ac:dyDescent="0.35">
      <c r="A118" s="1"/>
      <c r="B118" s="1"/>
      <c r="C118" s="1"/>
      <c r="D118" s="13"/>
      <c r="E118" s="13"/>
      <c r="F118" s="13"/>
      <c r="G118" s="35"/>
      <c r="H118" s="5" t="str">
        <f t="shared" si="9"/>
        <v/>
      </c>
      <c r="I118" s="12" t="str">
        <f t="shared" si="10"/>
        <v/>
      </c>
      <c r="J118" s="1"/>
      <c r="K118" s="5" t="str">
        <f t="shared" si="11"/>
        <v/>
      </c>
      <c r="L118" s="1"/>
    </row>
    <row r="119" spans="1:12" x14ac:dyDescent="0.35">
      <c r="A119" s="1"/>
      <c r="B119" s="1"/>
      <c r="C119" s="1"/>
      <c r="D119" s="13"/>
      <c r="E119" s="13"/>
      <c r="F119" s="13"/>
      <c r="G119" s="35"/>
      <c r="H119" s="5" t="str">
        <f t="shared" si="9"/>
        <v/>
      </c>
      <c r="I119" s="12" t="str">
        <f t="shared" si="10"/>
        <v/>
      </c>
      <c r="J119" s="1"/>
      <c r="K119" s="5" t="str">
        <f t="shared" si="11"/>
        <v/>
      </c>
      <c r="L119" s="1"/>
    </row>
    <row r="120" spans="1:12" x14ac:dyDescent="0.35">
      <c r="A120" s="1"/>
      <c r="B120" s="1"/>
      <c r="C120" s="1"/>
      <c r="D120" s="13"/>
      <c r="E120" s="13"/>
      <c r="F120" s="13"/>
      <c r="G120" s="35"/>
      <c r="H120" s="5" t="str">
        <f t="shared" si="9"/>
        <v/>
      </c>
      <c r="I120" s="12" t="str">
        <f t="shared" si="10"/>
        <v/>
      </c>
      <c r="J120" s="1"/>
      <c r="K120" s="5" t="str">
        <f t="shared" si="11"/>
        <v/>
      </c>
      <c r="L120" s="1"/>
    </row>
    <row r="121" spans="1:12" x14ac:dyDescent="0.35">
      <c r="A121" s="1"/>
      <c r="B121" s="1"/>
      <c r="C121" s="1"/>
      <c r="D121" s="13"/>
      <c r="E121" s="13"/>
      <c r="F121" s="13"/>
      <c r="G121" s="35"/>
      <c r="H121" s="5" t="str">
        <f t="shared" si="9"/>
        <v/>
      </c>
      <c r="I121" s="12" t="str">
        <f t="shared" si="10"/>
        <v/>
      </c>
      <c r="J121" s="1"/>
      <c r="K121" s="5" t="str">
        <f t="shared" si="11"/>
        <v/>
      </c>
      <c r="L121" s="1"/>
    </row>
    <row r="122" spans="1:12" x14ac:dyDescent="0.35">
      <c r="A122" s="1"/>
      <c r="B122" s="1"/>
      <c r="C122" s="1"/>
      <c r="D122" s="13"/>
      <c r="E122" s="13"/>
      <c r="F122" s="13"/>
      <c r="G122" s="35"/>
      <c r="H122" s="5" t="str">
        <f t="shared" si="9"/>
        <v/>
      </c>
      <c r="I122" s="12" t="str">
        <f t="shared" si="10"/>
        <v/>
      </c>
      <c r="J122" s="1"/>
      <c r="K122" s="5" t="str">
        <f t="shared" si="11"/>
        <v/>
      </c>
      <c r="L122" s="1"/>
    </row>
    <row r="123" spans="1:12" x14ac:dyDescent="0.35">
      <c r="A123" s="1"/>
      <c r="B123" s="1"/>
      <c r="C123" s="1"/>
      <c r="D123" s="13"/>
      <c r="E123" s="13"/>
      <c r="F123" s="13"/>
      <c r="G123" s="35"/>
      <c r="H123" s="5" t="str">
        <f t="shared" si="9"/>
        <v/>
      </c>
      <c r="I123" s="12" t="str">
        <f t="shared" si="10"/>
        <v/>
      </c>
      <c r="J123" s="1"/>
      <c r="K123" s="5" t="str">
        <f t="shared" si="11"/>
        <v/>
      </c>
      <c r="L123" s="1"/>
    </row>
    <row r="124" spans="1:12" x14ac:dyDescent="0.35">
      <c r="A124" s="1"/>
      <c r="B124" s="1"/>
      <c r="C124" s="1"/>
      <c r="D124" s="13"/>
      <c r="E124" s="13"/>
      <c r="F124" s="13"/>
      <c r="G124" s="35"/>
      <c r="H124" s="5" t="str">
        <f t="shared" si="9"/>
        <v/>
      </c>
      <c r="I124" s="12" t="str">
        <f t="shared" si="10"/>
        <v/>
      </c>
      <c r="J124" s="1"/>
      <c r="K124" s="5" t="str">
        <f t="shared" si="11"/>
        <v/>
      </c>
      <c r="L124" s="1"/>
    </row>
    <row r="125" spans="1:12" x14ac:dyDescent="0.35">
      <c r="A125" s="1"/>
      <c r="B125" s="1"/>
      <c r="C125" s="1"/>
      <c r="D125" s="13"/>
      <c r="E125" s="13"/>
      <c r="F125" s="13"/>
      <c r="G125" s="35"/>
      <c r="H125" s="5" t="str">
        <f t="shared" si="9"/>
        <v/>
      </c>
      <c r="I125" s="12" t="str">
        <f t="shared" si="10"/>
        <v/>
      </c>
      <c r="J125" s="1"/>
      <c r="K125" s="5" t="str">
        <f t="shared" si="11"/>
        <v/>
      </c>
      <c r="L125" s="1"/>
    </row>
    <row r="126" spans="1:12" x14ac:dyDescent="0.35">
      <c r="A126" s="1"/>
      <c r="B126" s="1"/>
      <c r="C126" s="1"/>
      <c r="D126" s="13"/>
      <c r="E126" s="13"/>
      <c r="F126" s="13"/>
      <c r="G126" s="35"/>
      <c r="H126" s="5" t="str">
        <f t="shared" si="9"/>
        <v/>
      </c>
      <c r="I126" s="12" t="str">
        <f t="shared" si="10"/>
        <v/>
      </c>
      <c r="J126" s="1"/>
      <c r="K126" s="5" t="str">
        <f t="shared" si="11"/>
        <v/>
      </c>
      <c r="L126" s="1"/>
    </row>
    <row r="127" spans="1:12" x14ac:dyDescent="0.35">
      <c r="A127" s="1"/>
      <c r="B127" s="1"/>
      <c r="C127" s="1"/>
      <c r="D127" s="13"/>
      <c r="E127" s="13"/>
      <c r="F127" s="13"/>
      <c r="G127" s="35"/>
      <c r="H127" s="5" t="str">
        <f t="shared" si="9"/>
        <v/>
      </c>
      <c r="I127" s="12" t="str">
        <f t="shared" si="10"/>
        <v/>
      </c>
      <c r="J127" s="1"/>
      <c r="K127" s="5" t="str">
        <f t="shared" si="11"/>
        <v/>
      </c>
      <c r="L127" s="1"/>
    </row>
    <row r="128" spans="1:12" x14ac:dyDescent="0.35">
      <c r="A128" s="1"/>
      <c r="B128" s="1"/>
      <c r="C128" s="1"/>
      <c r="D128" s="13"/>
      <c r="E128" s="13"/>
      <c r="F128" s="13"/>
      <c r="G128" s="35"/>
      <c r="H128" s="5" t="str">
        <f t="shared" si="9"/>
        <v/>
      </c>
      <c r="I128" s="12" t="str">
        <f t="shared" si="10"/>
        <v/>
      </c>
      <c r="J128" s="1"/>
      <c r="K128" s="5" t="str">
        <f t="shared" si="11"/>
        <v/>
      </c>
      <c r="L128" s="1"/>
    </row>
    <row r="129" spans="1:12" x14ac:dyDescent="0.35">
      <c r="A129" s="1"/>
      <c r="B129" s="1"/>
      <c r="C129" s="1"/>
      <c r="D129" s="13"/>
      <c r="E129" s="13"/>
      <c r="F129" s="13"/>
      <c r="G129" s="35"/>
      <c r="H129" s="5" t="str">
        <f t="shared" si="9"/>
        <v/>
      </c>
      <c r="I129" s="12" t="str">
        <f t="shared" si="10"/>
        <v/>
      </c>
      <c r="J129" s="1"/>
      <c r="K129" s="5" t="str">
        <f t="shared" si="11"/>
        <v/>
      </c>
      <c r="L129" s="1"/>
    </row>
    <row r="130" spans="1:12" x14ac:dyDescent="0.35">
      <c r="A130" s="1"/>
      <c r="B130" s="1"/>
      <c r="C130" s="1"/>
      <c r="D130" s="13"/>
      <c r="E130" s="13"/>
      <c r="F130" s="13"/>
      <c r="G130" s="35"/>
      <c r="H130" s="5" t="str">
        <f t="shared" si="9"/>
        <v/>
      </c>
      <c r="I130" s="12" t="str">
        <f t="shared" si="10"/>
        <v/>
      </c>
      <c r="J130" s="1"/>
      <c r="K130" s="5" t="str">
        <f t="shared" si="11"/>
        <v/>
      </c>
      <c r="L130" s="1"/>
    </row>
    <row r="131" spans="1:12" x14ac:dyDescent="0.35">
      <c r="A131" s="1"/>
      <c r="B131" s="1"/>
      <c r="C131" s="1"/>
      <c r="D131" s="13"/>
      <c r="E131" s="13"/>
      <c r="F131" s="13"/>
      <c r="G131" s="35"/>
      <c r="H131" s="5" t="str">
        <f t="shared" si="9"/>
        <v/>
      </c>
      <c r="I131" s="12" t="str">
        <f t="shared" si="10"/>
        <v/>
      </c>
      <c r="J131" s="1"/>
      <c r="K131" s="5" t="str">
        <f t="shared" si="11"/>
        <v/>
      </c>
      <c r="L131" s="1"/>
    </row>
    <row r="132" spans="1:12" x14ac:dyDescent="0.35">
      <c r="A132" s="1"/>
      <c r="B132" s="1"/>
      <c r="C132" s="1"/>
      <c r="D132" s="13"/>
      <c r="E132" s="13"/>
      <c r="F132" s="13"/>
      <c r="G132" s="35"/>
      <c r="H132" s="5" t="str">
        <f t="shared" si="9"/>
        <v/>
      </c>
      <c r="I132" s="12" t="str">
        <f t="shared" si="10"/>
        <v/>
      </c>
      <c r="J132" s="1"/>
      <c r="K132" s="5" t="str">
        <f t="shared" si="11"/>
        <v/>
      </c>
      <c r="L132" s="1"/>
    </row>
    <row r="133" spans="1:12" x14ac:dyDescent="0.35">
      <c r="A133" s="1"/>
      <c r="B133" s="1"/>
      <c r="C133" s="1"/>
      <c r="D133" s="13"/>
      <c r="E133" s="13"/>
      <c r="F133" s="13"/>
      <c r="G133" s="35"/>
      <c r="H133" s="5" t="str">
        <f t="shared" si="9"/>
        <v/>
      </c>
      <c r="I133" s="12" t="str">
        <f t="shared" si="10"/>
        <v/>
      </c>
      <c r="J133" s="1"/>
      <c r="K133" s="5" t="str">
        <f t="shared" si="11"/>
        <v/>
      </c>
      <c r="L133" s="1"/>
    </row>
    <row r="134" spans="1:12" x14ac:dyDescent="0.35">
      <c r="A134" s="1"/>
      <c r="B134" s="1"/>
      <c r="C134" s="1"/>
      <c r="D134" s="13"/>
      <c r="E134" s="13"/>
      <c r="F134" s="13"/>
      <c r="G134" s="35"/>
      <c r="H134" s="5" t="str">
        <f t="shared" ref="H134:H165" si="12">IF(D134="","",IF(F134&lt;&gt;"",F134,DataRef)-D134+1)</f>
        <v/>
      </c>
      <c r="I134" s="12" t="str">
        <f t="shared" ref="I134:I165" si="13">IF(D134="","",N(C134)*N(G134)*H134)</f>
        <v/>
      </c>
      <c r="J134" s="1"/>
      <c r="K134" s="5" t="str">
        <f t="shared" ref="K134:K165" si="14">IF(D134="","",IF(F134&lt;&gt;"","Devolvido",IF(AND(E134&lt;&gt;"",DataRef&gt;E134),"VENCIDA – renovar ou devolver","Ativa")))</f>
        <v/>
      </c>
      <c r="L134" s="1"/>
    </row>
    <row r="135" spans="1:12" x14ac:dyDescent="0.35">
      <c r="A135" s="1"/>
      <c r="B135" s="1"/>
      <c r="C135" s="1"/>
      <c r="D135" s="13"/>
      <c r="E135" s="13"/>
      <c r="F135" s="13"/>
      <c r="G135" s="35"/>
      <c r="H135" s="5" t="str">
        <f t="shared" si="12"/>
        <v/>
      </c>
      <c r="I135" s="12" t="str">
        <f t="shared" si="13"/>
        <v/>
      </c>
      <c r="J135" s="1"/>
      <c r="K135" s="5" t="str">
        <f t="shared" si="14"/>
        <v/>
      </c>
      <c r="L135" s="1"/>
    </row>
    <row r="136" spans="1:12" x14ac:dyDescent="0.35">
      <c r="A136" s="1"/>
      <c r="B136" s="1"/>
      <c r="C136" s="1"/>
      <c r="D136" s="13"/>
      <c r="E136" s="13"/>
      <c r="F136" s="13"/>
      <c r="G136" s="35"/>
      <c r="H136" s="5" t="str">
        <f t="shared" si="12"/>
        <v/>
      </c>
      <c r="I136" s="12" t="str">
        <f t="shared" si="13"/>
        <v/>
      </c>
      <c r="J136" s="1"/>
      <c r="K136" s="5" t="str">
        <f t="shared" si="14"/>
        <v/>
      </c>
      <c r="L136" s="1"/>
    </row>
    <row r="137" spans="1:12" x14ac:dyDescent="0.35">
      <c r="A137" s="1"/>
      <c r="B137" s="1"/>
      <c r="C137" s="1"/>
      <c r="D137" s="13"/>
      <c r="E137" s="13"/>
      <c r="F137" s="13"/>
      <c r="G137" s="35"/>
      <c r="H137" s="5" t="str">
        <f t="shared" si="12"/>
        <v/>
      </c>
      <c r="I137" s="12" t="str">
        <f t="shared" si="13"/>
        <v/>
      </c>
      <c r="J137" s="1"/>
      <c r="K137" s="5" t="str">
        <f t="shared" si="14"/>
        <v/>
      </c>
      <c r="L137" s="1"/>
    </row>
    <row r="138" spans="1:12" x14ac:dyDescent="0.35">
      <c r="A138" s="1"/>
      <c r="B138" s="1"/>
      <c r="C138" s="1"/>
      <c r="D138" s="13"/>
      <c r="E138" s="13"/>
      <c r="F138" s="13"/>
      <c r="G138" s="35"/>
      <c r="H138" s="5" t="str">
        <f t="shared" si="12"/>
        <v/>
      </c>
      <c r="I138" s="12" t="str">
        <f t="shared" si="13"/>
        <v/>
      </c>
      <c r="J138" s="1"/>
      <c r="K138" s="5" t="str">
        <f t="shared" si="14"/>
        <v/>
      </c>
      <c r="L138" s="1"/>
    </row>
    <row r="139" spans="1:12" x14ac:dyDescent="0.35">
      <c r="A139" s="1"/>
      <c r="B139" s="1"/>
      <c r="C139" s="1"/>
      <c r="D139" s="13"/>
      <c r="E139" s="13"/>
      <c r="F139" s="13"/>
      <c r="G139" s="35"/>
      <c r="H139" s="5" t="str">
        <f t="shared" si="12"/>
        <v/>
      </c>
      <c r="I139" s="12" t="str">
        <f t="shared" si="13"/>
        <v/>
      </c>
      <c r="J139" s="1"/>
      <c r="K139" s="5" t="str">
        <f t="shared" si="14"/>
        <v/>
      </c>
      <c r="L139" s="1"/>
    </row>
    <row r="140" spans="1:12" x14ac:dyDescent="0.35">
      <c r="A140" s="1"/>
      <c r="B140" s="1"/>
      <c r="C140" s="1"/>
      <c r="D140" s="13"/>
      <c r="E140" s="13"/>
      <c r="F140" s="13"/>
      <c r="G140" s="35"/>
      <c r="H140" s="5" t="str">
        <f t="shared" si="12"/>
        <v/>
      </c>
      <c r="I140" s="12" t="str">
        <f t="shared" si="13"/>
        <v/>
      </c>
      <c r="J140" s="1"/>
      <c r="K140" s="5" t="str">
        <f t="shared" si="14"/>
        <v/>
      </c>
      <c r="L140" s="1"/>
    </row>
    <row r="141" spans="1:12" x14ac:dyDescent="0.35">
      <c r="A141" s="1"/>
      <c r="B141" s="1"/>
      <c r="C141" s="1"/>
      <c r="D141" s="13"/>
      <c r="E141" s="13"/>
      <c r="F141" s="13"/>
      <c r="G141" s="35"/>
      <c r="H141" s="5" t="str">
        <f t="shared" si="12"/>
        <v/>
      </c>
      <c r="I141" s="12" t="str">
        <f t="shared" si="13"/>
        <v/>
      </c>
      <c r="J141" s="1"/>
      <c r="K141" s="5" t="str">
        <f t="shared" si="14"/>
        <v/>
      </c>
      <c r="L141" s="1"/>
    </row>
    <row r="142" spans="1:12" x14ac:dyDescent="0.35">
      <c r="A142" s="1"/>
      <c r="B142" s="1"/>
      <c r="C142" s="1"/>
      <c r="D142" s="13"/>
      <c r="E142" s="13"/>
      <c r="F142" s="13"/>
      <c r="G142" s="35"/>
      <c r="H142" s="5" t="str">
        <f t="shared" si="12"/>
        <v/>
      </c>
      <c r="I142" s="12" t="str">
        <f t="shared" si="13"/>
        <v/>
      </c>
      <c r="J142" s="1"/>
      <c r="K142" s="5" t="str">
        <f t="shared" si="14"/>
        <v/>
      </c>
      <c r="L142" s="1"/>
    </row>
    <row r="143" spans="1:12" x14ac:dyDescent="0.35">
      <c r="A143" s="1"/>
      <c r="B143" s="1"/>
      <c r="C143" s="1"/>
      <c r="D143" s="13"/>
      <c r="E143" s="13"/>
      <c r="F143" s="13"/>
      <c r="G143" s="35"/>
      <c r="H143" s="5" t="str">
        <f t="shared" si="12"/>
        <v/>
      </c>
      <c r="I143" s="12" t="str">
        <f t="shared" si="13"/>
        <v/>
      </c>
      <c r="J143" s="1"/>
      <c r="K143" s="5" t="str">
        <f t="shared" si="14"/>
        <v/>
      </c>
      <c r="L143" s="1"/>
    </row>
    <row r="144" spans="1:12" x14ac:dyDescent="0.35">
      <c r="A144" s="1"/>
      <c r="B144" s="1"/>
      <c r="C144" s="1"/>
      <c r="D144" s="13"/>
      <c r="E144" s="13"/>
      <c r="F144" s="13"/>
      <c r="G144" s="35"/>
      <c r="H144" s="5" t="str">
        <f t="shared" si="12"/>
        <v/>
      </c>
      <c r="I144" s="12" t="str">
        <f t="shared" si="13"/>
        <v/>
      </c>
      <c r="J144" s="1"/>
      <c r="K144" s="5" t="str">
        <f t="shared" si="14"/>
        <v/>
      </c>
      <c r="L144" s="1"/>
    </row>
    <row r="145" spans="1:12" x14ac:dyDescent="0.35">
      <c r="A145" s="1"/>
      <c r="B145" s="1"/>
      <c r="C145" s="1"/>
      <c r="D145" s="13"/>
      <c r="E145" s="13"/>
      <c r="F145" s="13"/>
      <c r="G145" s="35"/>
      <c r="H145" s="5" t="str">
        <f t="shared" si="12"/>
        <v/>
      </c>
      <c r="I145" s="12" t="str">
        <f t="shared" si="13"/>
        <v/>
      </c>
      <c r="J145" s="1"/>
      <c r="K145" s="5" t="str">
        <f t="shared" si="14"/>
        <v/>
      </c>
      <c r="L145" s="1"/>
    </row>
    <row r="146" spans="1:12" x14ac:dyDescent="0.35">
      <c r="A146" s="1"/>
      <c r="B146" s="1"/>
      <c r="C146" s="1"/>
      <c r="D146" s="13"/>
      <c r="E146" s="13"/>
      <c r="F146" s="13"/>
      <c r="G146" s="35"/>
      <c r="H146" s="5" t="str">
        <f t="shared" si="12"/>
        <v/>
      </c>
      <c r="I146" s="12" t="str">
        <f t="shared" si="13"/>
        <v/>
      </c>
      <c r="J146" s="1"/>
      <c r="K146" s="5" t="str">
        <f t="shared" si="14"/>
        <v/>
      </c>
      <c r="L146" s="1"/>
    </row>
    <row r="147" spans="1:12" x14ac:dyDescent="0.35">
      <c r="A147" s="1"/>
      <c r="B147" s="1"/>
      <c r="C147" s="1"/>
      <c r="D147" s="13"/>
      <c r="E147" s="13"/>
      <c r="F147" s="13"/>
      <c r="G147" s="35"/>
      <c r="H147" s="5" t="str">
        <f t="shared" si="12"/>
        <v/>
      </c>
      <c r="I147" s="12" t="str">
        <f t="shared" si="13"/>
        <v/>
      </c>
      <c r="J147" s="1"/>
      <c r="K147" s="5" t="str">
        <f t="shared" si="14"/>
        <v/>
      </c>
      <c r="L147" s="1"/>
    </row>
    <row r="148" spans="1:12" x14ac:dyDescent="0.35">
      <c r="A148" s="1"/>
      <c r="B148" s="1"/>
      <c r="C148" s="1"/>
      <c r="D148" s="13"/>
      <c r="E148" s="13"/>
      <c r="F148" s="13"/>
      <c r="G148" s="35"/>
      <c r="H148" s="5" t="str">
        <f t="shared" si="12"/>
        <v/>
      </c>
      <c r="I148" s="12" t="str">
        <f t="shared" si="13"/>
        <v/>
      </c>
      <c r="J148" s="1"/>
      <c r="K148" s="5" t="str">
        <f t="shared" si="14"/>
        <v/>
      </c>
      <c r="L148" s="1"/>
    </row>
    <row r="149" spans="1:12" x14ac:dyDescent="0.35">
      <c r="A149" s="1"/>
      <c r="B149" s="1"/>
      <c r="C149" s="1"/>
      <c r="D149" s="13"/>
      <c r="E149" s="13"/>
      <c r="F149" s="13"/>
      <c r="G149" s="35"/>
      <c r="H149" s="5" t="str">
        <f t="shared" si="12"/>
        <v/>
      </c>
      <c r="I149" s="12" t="str">
        <f t="shared" si="13"/>
        <v/>
      </c>
      <c r="J149" s="1"/>
      <c r="K149" s="5" t="str">
        <f t="shared" si="14"/>
        <v/>
      </c>
      <c r="L149" s="1"/>
    </row>
    <row r="150" spans="1:12" x14ac:dyDescent="0.35">
      <c r="A150" s="1"/>
      <c r="B150" s="1"/>
      <c r="C150" s="1"/>
      <c r="D150" s="13"/>
      <c r="E150" s="13"/>
      <c r="F150" s="13"/>
      <c r="G150" s="35"/>
      <c r="H150" s="5" t="str">
        <f t="shared" si="12"/>
        <v/>
      </c>
      <c r="I150" s="12" t="str">
        <f t="shared" si="13"/>
        <v/>
      </c>
      <c r="J150" s="1"/>
      <c r="K150" s="5" t="str">
        <f t="shared" si="14"/>
        <v/>
      </c>
      <c r="L150" s="1"/>
    </row>
    <row r="151" spans="1:12" x14ac:dyDescent="0.35">
      <c r="A151" s="1"/>
      <c r="B151" s="1"/>
      <c r="C151" s="1"/>
      <c r="D151" s="13"/>
      <c r="E151" s="13"/>
      <c r="F151" s="13"/>
      <c r="G151" s="35"/>
      <c r="H151" s="5" t="str">
        <f t="shared" si="12"/>
        <v/>
      </c>
      <c r="I151" s="12" t="str">
        <f t="shared" si="13"/>
        <v/>
      </c>
      <c r="J151" s="1"/>
      <c r="K151" s="5" t="str">
        <f t="shared" si="14"/>
        <v/>
      </c>
      <c r="L151" s="1"/>
    </row>
    <row r="152" spans="1:12" x14ac:dyDescent="0.35">
      <c r="A152" s="1"/>
      <c r="B152" s="1"/>
      <c r="C152" s="1"/>
      <c r="D152" s="13"/>
      <c r="E152" s="13"/>
      <c r="F152" s="13"/>
      <c r="G152" s="35"/>
      <c r="H152" s="5" t="str">
        <f t="shared" si="12"/>
        <v/>
      </c>
      <c r="I152" s="12" t="str">
        <f t="shared" si="13"/>
        <v/>
      </c>
      <c r="J152" s="1"/>
      <c r="K152" s="5" t="str">
        <f t="shared" si="14"/>
        <v/>
      </c>
      <c r="L152" s="1"/>
    </row>
    <row r="153" spans="1:12" x14ac:dyDescent="0.35">
      <c r="A153" s="1"/>
      <c r="B153" s="1"/>
      <c r="C153" s="1"/>
      <c r="D153" s="13"/>
      <c r="E153" s="13"/>
      <c r="F153" s="13"/>
      <c r="G153" s="35"/>
      <c r="H153" s="5" t="str">
        <f t="shared" si="12"/>
        <v/>
      </c>
      <c r="I153" s="12" t="str">
        <f t="shared" si="13"/>
        <v/>
      </c>
      <c r="J153" s="1"/>
      <c r="K153" s="5" t="str">
        <f t="shared" si="14"/>
        <v/>
      </c>
      <c r="L153" s="1"/>
    </row>
    <row r="154" spans="1:12" x14ac:dyDescent="0.35">
      <c r="A154" s="1"/>
      <c r="B154" s="1"/>
      <c r="C154" s="1"/>
      <c r="D154" s="13"/>
      <c r="E154" s="13"/>
      <c r="F154" s="13"/>
      <c r="G154" s="35"/>
      <c r="H154" s="5" t="str">
        <f t="shared" si="12"/>
        <v/>
      </c>
      <c r="I154" s="12" t="str">
        <f t="shared" si="13"/>
        <v/>
      </c>
      <c r="J154" s="1"/>
      <c r="K154" s="5" t="str">
        <f t="shared" si="14"/>
        <v/>
      </c>
      <c r="L154" s="1"/>
    </row>
    <row r="155" spans="1:12" x14ac:dyDescent="0.35">
      <c r="A155" s="1"/>
      <c r="B155" s="1"/>
      <c r="C155" s="1"/>
      <c r="D155" s="13"/>
      <c r="E155" s="13"/>
      <c r="F155" s="13"/>
      <c r="G155" s="35"/>
      <c r="H155" s="5" t="str">
        <f t="shared" si="12"/>
        <v/>
      </c>
      <c r="I155" s="12" t="str">
        <f t="shared" si="13"/>
        <v/>
      </c>
      <c r="J155" s="1"/>
      <c r="K155" s="5" t="str">
        <f t="shared" si="14"/>
        <v/>
      </c>
      <c r="L155" s="1"/>
    </row>
    <row r="156" spans="1:12" x14ac:dyDescent="0.35">
      <c r="A156" s="1"/>
      <c r="B156" s="1"/>
      <c r="C156" s="1"/>
      <c r="D156" s="13"/>
      <c r="E156" s="13"/>
      <c r="F156" s="13"/>
      <c r="G156" s="35"/>
      <c r="H156" s="5" t="str">
        <f t="shared" si="12"/>
        <v/>
      </c>
      <c r="I156" s="12" t="str">
        <f t="shared" si="13"/>
        <v/>
      </c>
      <c r="J156" s="1"/>
      <c r="K156" s="5" t="str">
        <f t="shared" si="14"/>
        <v/>
      </c>
      <c r="L156" s="1"/>
    </row>
    <row r="157" spans="1:12" x14ac:dyDescent="0.35">
      <c r="A157" s="1"/>
      <c r="B157" s="1"/>
      <c r="C157" s="1"/>
      <c r="D157" s="13"/>
      <c r="E157" s="13"/>
      <c r="F157" s="13"/>
      <c r="G157" s="35"/>
      <c r="H157" s="5" t="str">
        <f t="shared" si="12"/>
        <v/>
      </c>
      <c r="I157" s="12" t="str">
        <f t="shared" si="13"/>
        <v/>
      </c>
      <c r="J157" s="1"/>
      <c r="K157" s="5" t="str">
        <f t="shared" si="14"/>
        <v/>
      </c>
      <c r="L157" s="1"/>
    </row>
    <row r="158" spans="1:12" x14ac:dyDescent="0.35">
      <c r="A158" s="1"/>
      <c r="B158" s="1"/>
      <c r="C158" s="1"/>
      <c r="D158" s="13"/>
      <c r="E158" s="13"/>
      <c r="F158" s="13"/>
      <c r="G158" s="35"/>
      <c r="H158" s="5" t="str">
        <f t="shared" si="12"/>
        <v/>
      </c>
      <c r="I158" s="12" t="str">
        <f t="shared" si="13"/>
        <v/>
      </c>
      <c r="J158" s="1"/>
      <c r="K158" s="5" t="str">
        <f t="shared" si="14"/>
        <v/>
      </c>
      <c r="L158" s="1"/>
    </row>
    <row r="159" spans="1:12" x14ac:dyDescent="0.35">
      <c r="A159" s="1"/>
      <c r="B159" s="1"/>
      <c r="C159" s="1"/>
      <c r="D159" s="13"/>
      <c r="E159" s="13"/>
      <c r="F159" s="13"/>
      <c r="G159" s="35"/>
      <c r="H159" s="5" t="str">
        <f t="shared" si="12"/>
        <v/>
      </c>
      <c r="I159" s="12" t="str">
        <f t="shared" si="13"/>
        <v/>
      </c>
      <c r="J159" s="1"/>
      <c r="K159" s="5" t="str">
        <f t="shared" si="14"/>
        <v/>
      </c>
      <c r="L159" s="1"/>
    </row>
    <row r="160" spans="1:12" x14ac:dyDescent="0.35">
      <c r="A160" s="1"/>
      <c r="B160" s="1"/>
      <c r="C160" s="1"/>
      <c r="D160" s="13"/>
      <c r="E160" s="13"/>
      <c r="F160" s="13"/>
      <c r="G160" s="35"/>
      <c r="H160" s="5" t="str">
        <f t="shared" si="12"/>
        <v/>
      </c>
      <c r="I160" s="12" t="str">
        <f t="shared" si="13"/>
        <v/>
      </c>
      <c r="J160" s="1"/>
      <c r="K160" s="5" t="str">
        <f t="shared" si="14"/>
        <v/>
      </c>
      <c r="L160" s="1"/>
    </row>
    <row r="161" spans="1:12" x14ac:dyDescent="0.35">
      <c r="A161" s="1"/>
      <c r="B161" s="1"/>
      <c r="C161" s="1"/>
      <c r="D161" s="13"/>
      <c r="E161" s="13"/>
      <c r="F161" s="13"/>
      <c r="G161" s="35"/>
      <c r="H161" s="5" t="str">
        <f t="shared" si="12"/>
        <v/>
      </c>
      <c r="I161" s="12" t="str">
        <f t="shared" si="13"/>
        <v/>
      </c>
      <c r="J161" s="1"/>
      <c r="K161" s="5" t="str">
        <f t="shared" si="14"/>
        <v/>
      </c>
      <c r="L161" s="1"/>
    </row>
    <row r="162" spans="1:12" x14ac:dyDescent="0.35">
      <c r="A162" s="1"/>
      <c r="B162" s="1"/>
      <c r="C162" s="1"/>
      <c r="D162" s="13"/>
      <c r="E162" s="13"/>
      <c r="F162" s="13"/>
      <c r="G162" s="35"/>
      <c r="H162" s="5" t="str">
        <f t="shared" si="12"/>
        <v/>
      </c>
      <c r="I162" s="12" t="str">
        <f t="shared" si="13"/>
        <v/>
      </c>
      <c r="J162" s="1"/>
      <c r="K162" s="5" t="str">
        <f t="shared" si="14"/>
        <v/>
      </c>
      <c r="L162" s="1"/>
    </row>
    <row r="163" spans="1:12" x14ac:dyDescent="0.35">
      <c r="A163" s="1"/>
      <c r="B163" s="1"/>
      <c r="C163" s="1"/>
      <c r="D163" s="13"/>
      <c r="E163" s="13"/>
      <c r="F163" s="13"/>
      <c r="G163" s="35"/>
      <c r="H163" s="5" t="str">
        <f t="shared" si="12"/>
        <v/>
      </c>
      <c r="I163" s="12" t="str">
        <f t="shared" si="13"/>
        <v/>
      </c>
      <c r="J163" s="1"/>
      <c r="K163" s="5" t="str">
        <f t="shared" si="14"/>
        <v/>
      </c>
      <c r="L163" s="1"/>
    </row>
    <row r="164" spans="1:12" x14ac:dyDescent="0.35">
      <c r="A164" s="1"/>
      <c r="B164" s="1"/>
      <c r="C164" s="1"/>
      <c r="D164" s="13"/>
      <c r="E164" s="13"/>
      <c r="F164" s="13"/>
      <c r="G164" s="35"/>
      <c r="H164" s="5" t="str">
        <f t="shared" si="12"/>
        <v/>
      </c>
      <c r="I164" s="12" t="str">
        <f t="shared" si="13"/>
        <v/>
      </c>
      <c r="J164" s="1"/>
      <c r="K164" s="5" t="str">
        <f t="shared" si="14"/>
        <v/>
      </c>
      <c r="L164" s="1"/>
    </row>
    <row r="165" spans="1:12" x14ac:dyDescent="0.35">
      <c r="A165" s="1"/>
      <c r="B165" s="1"/>
      <c r="C165" s="1"/>
      <c r="D165" s="13"/>
      <c r="E165" s="13"/>
      <c r="F165" s="13"/>
      <c r="G165" s="35"/>
      <c r="H165" s="5" t="str">
        <f t="shared" si="12"/>
        <v/>
      </c>
      <c r="I165" s="12" t="str">
        <f t="shared" si="13"/>
        <v/>
      </c>
      <c r="J165" s="1"/>
      <c r="K165" s="5" t="str">
        <f t="shared" si="14"/>
        <v/>
      </c>
      <c r="L165" s="1"/>
    </row>
    <row r="166" spans="1:12" x14ac:dyDescent="0.35">
      <c r="A166" s="1"/>
      <c r="B166" s="1"/>
      <c r="C166" s="1"/>
      <c r="D166" s="13"/>
      <c r="E166" s="13"/>
      <c r="F166" s="13"/>
      <c r="G166" s="35"/>
      <c r="H166" s="5" t="str">
        <f t="shared" ref="H166:H200" si="15">IF(D166="","",IF(F166&lt;&gt;"",F166,DataRef)-D166+1)</f>
        <v/>
      </c>
      <c r="I166" s="12" t="str">
        <f t="shared" ref="I166:I197" si="16">IF(D166="","",N(C166)*N(G166)*H166)</f>
        <v/>
      </c>
      <c r="J166" s="1"/>
      <c r="K166" s="5" t="str">
        <f t="shared" ref="K166:K200" si="17">IF(D166="","",IF(F166&lt;&gt;"","Devolvido",IF(AND(E166&lt;&gt;"",DataRef&gt;E166),"VENCIDA – renovar ou devolver","Ativa")))</f>
        <v/>
      </c>
      <c r="L166" s="1"/>
    </row>
    <row r="167" spans="1:12" x14ac:dyDescent="0.35">
      <c r="A167" s="1"/>
      <c r="B167" s="1"/>
      <c r="C167" s="1"/>
      <c r="D167" s="13"/>
      <c r="E167" s="13"/>
      <c r="F167" s="13"/>
      <c r="G167" s="35"/>
      <c r="H167" s="5" t="str">
        <f t="shared" si="15"/>
        <v/>
      </c>
      <c r="I167" s="12" t="str">
        <f t="shared" si="16"/>
        <v/>
      </c>
      <c r="J167" s="1"/>
      <c r="K167" s="5" t="str">
        <f t="shared" si="17"/>
        <v/>
      </c>
      <c r="L167" s="1"/>
    </row>
    <row r="168" spans="1:12" x14ac:dyDescent="0.35">
      <c r="A168" s="1"/>
      <c r="B168" s="1"/>
      <c r="C168" s="1"/>
      <c r="D168" s="13"/>
      <c r="E168" s="13"/>
      <c r="F168" s="13"/>
      <c r="G168" s="35"/>
      <c r="H168" s="5" t="str">
        <f t="shared" si="15"/>
        <v/>
      </c>
      <c r="I168" s="12" t="str">
        <f t="shared" si="16"/>
        <v/>
      </c>
      <c r="J168" s="1"/>
      <c r="K168" s="5" t="str">
        <f t="shared" si="17"/>
        <v/>
      </c>
      <c r="L168" s="1"/>
    </row>
    <row r="169" spans="1:12" x14ac:dyDescent="0.35">
      <c r="A169" s="1"/>
      <c r="B169" s="1"/>
      <c r="C169" s="1"/>
      <c r="D169" s="13"/>
      <c r="E169" s="13"/>
      <c r="F169" s="13"/>
      <c r="G169" s="35"/>
      <c r="H169" s="5" t="str">
        <f t="shared" si="15"/>
        <v/>
      </c>
      <c r="I169" s="12" t="str">
        <f t="shared" si="16"/>
        <v/>
      </c>
      <c r="J169" s="1"/>
      <c r="K169" s="5" t="str">
        <f t="shared" si="17"/>
        <v/>
      </c>
      <c r="L169" s="1"/>
    </row>
    <row r="170" spans="1:12" x14ac:dyDescent="0.35">
      <c r="A170" s="1"/>
      <c r="B170" s="1"/>
      <c r="C170" s="1"/>
      <c r="D170" s="13"/>
      <c r="E170" s="13"/>
      <c r="F170" s="13"/>
      <c r="G170" s="35"/>
      <c r="H170" s="5" t="str">
        <f t="shared" si="15"/>
        <v/>
      </c>
      <c r="I170" s="12" t="str">
        <f t="shared" si="16"/>
        <v/>
      </c>
      <c r="J170" s="1"/>
      <c r="K170" s="5" t="str">
        <f t="shared" si="17"/>
        <v/>
      </c>
      <c r="L170" s="1"/>
    </row>
    <row r="171" spans="1:12" x14ac:dyDescent="0.35">
      <c r="A171" s="1"/>
      <c r="B171" s="1"/>
      <c r="C171" s="1"/>
      <c r="D171" s="13"/>
      <c r="E171" s="13"/>
      <c r="F171" s="13"/>
      <c r="G171" s="35"/>
      <c r="H171" s="5" t="str">
        <f t="shared" si="15"/>
        <v/>
      </c>
      <c r="I171" s="12" t="str">
        <f t="shared" si="16"/>
        <v/>
      </c>
      <c r="J171" s="1"/>
      <c r="K171" s="5" t="str">
        <f t="shared" si="17"/>
        <v/>
      </c>
      <c r="L171" s="1"/>
    </row>
    <row r="172" spans="1:12" x14ac:dyDescent="0.35">
      <c r="A172" s="1"/>
      <c r="B172" s="1"/>
      <c r="C172" s="1"/>
      <c r="D172" s="13"/>
      <c r="E172" s="13"/>
      <c r="F172" s="13"/>
      <c r="G172" s="35"/>
      <c r="H172" s="5" t="str">
        <f t="shared" si="15"/>
        <v/>
      </c>
      <c r="I172" s="12" t="str">
        <f t="shared" si="16"/>
        <v/>
      </c>
      <c r="J172" s="1"/>
      <c r="K172" s="5" t="str">
        <f t="shared" si="17"/>
        <v/>
      </c>
      <c r="L172" s="1"/>
    </row>
    <row r="173" spans="1:12" x14ac:dyDescent="0.35">
      <c r="A173" s="1"/>
      <c r="B173" s="1"/>
      <c r="C173" s="1"/>
      <c r="D173" s="13"/>
      <c r="E173" s="13"/>
      <c r="F173" s="13"/>
      <c r="G173" s="35"/>
      <c r="H173" s="5" t="str">
        <f t="shared" si="15"/>
        <v/>
      </c>
      <c r="I173" s="12" t="str">
        <f t="shared" si="16"/>
        <v/>
      </c>
      <c r="J173" s="1"/>
      <c r="K173" s="5" t="str">
        <f t="shared" si="17"/>
        <v/>
      </c>
      <c r="L173" s="1"/>
    </row>
    <row r="174" spans="1:12" x14ac:dyDescent="0.35">
      <c r="A174" s="1"/>
      <c r="B174" s="1"/>
      <c r="C174" s="1"/>
      <c r="D174" s="13"/>
      <c r="E174" s="13"/>
      <c r="F174" s="13"/>
      <c r="G174" s="35"/>
      <c r="H174" s="5" t="str">
        <f t="shared" si="15"/>
        <v/>
      </c>
      <c r="I174" s="12" t="str">
        <f t="shared" si="16"/>
        <v/>
      </c>
      <c r="J174" s="1"/>
      <c r="K174" s="5" t="str">
        <f t="shared" si="17"/>
        <v/>
      </c>
      <c r="L174" s="1"/>
    </row>
    <row r="175" spans="1:12" x14ac:dyDescent="0.35">
      <c r="A175" s="1"/>
      <c r="B175" s="1"/>
      <c r="C175" s="1"/>
      <c r="D175" s="13"/>
      <c r="E175" s="13"/>
      <c r="F175" s="13"/>
      <c r="G175" s="35"/>
      <c r="H175" s="5" t="str">
        <f t="shared" si="15"/>
        <v/>
      </c>
      <c r="I175" s="12" t="str">
        <f t="shared" si="16"/>
        <v/>
      </c>
      <c r="J175" s="1"/>
      <c r="K175" s="5" t="str">
        <f t="shared" si="17"/>
        <v/>
      </c>
      <c r="L175" s="1"/>
    </row>
    <row r="176" spans="1:12" x14ac:dyDescent="0.35">
      <c r="A176" s="1"/>
      <c r="B176" s="1"/>
      <c r="C176" s="1"/>
      <c r="D176" s="13"/>
      <c r="E176" s="13"/>
      <c r="F176" s="13"/>
      <c r="G176" s="35"/>
      <c r="H176" s="5" t="str">
        <f t="shared" si="15"/>
        <v/>
      </c>
      <c r="I176" s="12" t="str">
        <f t="shared" si="16"/>
        <v/>
      </c>
      <c r="J176" s="1"/>
      <c r="K176" s="5" t="str">
        <f t="shared" si="17"/>
        <v/>
      </c>
      <c r="L176" s="1"/>
    </row>
    <row r="177" spans="1:12" x14ac:dyDescent="0.35">
      <c r="A177" s="1"/>
      <c r="B177" s="1"/>
      <c r="C177" s="1"/>
      <c r="D177" s="13"/>
      <c r="E177" s="13"/>
      <c r="F177" s="13"/>
      <c r="G177" s="35"/>
      <c r="H177" s="5" t="str">
        <f t="shared" si="15"/>
        <v/>
      </c>
      <c r="I177" s="12" t="str">
        <f t="shared" si="16"/>
        <v/>
      </c>
      <c r="J177" s="1"/>
      <c r="K177" s="5" t="str">
        <f t="shared" si="17"/>
        <v/>
      </c>
      <c r="L177" s="1"/>
    </row>
    <row r="178" spans="1:12" x14ac:dyDescent="0.35">
      <c r="A178" s="1"/>
      <c r="B178" s="1"/>
      <c r="C178" s="1"/>
      <c r="D178" s="13"/>
      <c r="E178" s="13"/>
      <c r="F178" s="13"/>
      <c r="G178" s="35"/>
      <c r="H178" s="5" t="str">
        <f t="shared" si="15"/>
        <v/>
      </c>
      <c r="I178" s="12" t="str">
        <f t="shared" si="16"/>
        <v/>
      </c>
      <c r="J178" s="1"/>
      <c r="K178" s="5" t="str">
        <f t="shared" si="17"/>
        <v/>
      </c>
      <c r="L178" s="1"/>
    </row>
    <row r="179" spans="1:12" x14ac:dyDescent="0.35">
      <c r="A179" s="1"/>
      <c r="B179" s="1"/>
      <c r="C179" s="1"/>
      <c r="D179" s="13"/>
      <c r="E179" s="13"/>
      <c r="F179" s="13"/>
      <c r="G179" s="35"/>
      <c r="H179" s="5" t="str">
        <f t="shared" si="15"/>
        <v/>
      </c>
      <c r="I179" s="12" t="str">
        <f t="shared" si="16"/>
        <v/>
      </c>
      <c r="J179" s="1"/>
      <c r="K179" s="5" t="str">
        <f t="shared" si="17"/>
        <v/>
      </c>
      <c r="L179" s="1"/>
    </row>
    <row r="180" spans="1:12" x14ac:dyDescent="0.35">
      <c r="A180" s="1"/>
      <c r="B180" s="1"/>
      <c r="C180" s="1"/>
      <c r="D180" s="13"/>
      <c r="E180" s="13"/>
      <c r="F180" s="13"/>
      <c r="G180" s="35"/>
      <c r="H180" s="5" t="str">
        <f t="shared" si="15"/>
        <v/>
      </c>
      <c r="I180" s="12" t="str">
        <f t="shared" si="16"/>
        <v/>
      </c>
      <c r="J180" s="1"/>
      <c r="K180" s="5" t="str">
        <f t="shared" si="17"/>
        <v/>
      </c>
      <c r="L180" s="1"/>
    </row>
    <row r="181" spans="1:12" x14ac:dyDescent="0.35">
      <c r="A181" s="1"/>
      <c r="B181" s="1"/>
      <c r="C181" s="1"/>
      <c r="D181" s="13"/>
      <c r="E181" s="13"/>
      <c r="F181" s="13"/>
      <c r="G181" s="35"/>
      <c r="H181" s="5" t="str">
        <f t="shared" si="15"/>
        <v/>
      </c>
      <c r="I181" s="12" t="str">
        <f t="shared" si="16"/>
        <v/>
      </c>
      <c r="J181" s="1"/>
      <c r="K181" s="5" t="str">
        <f t="shared" si="17"/>
        <v/>
      </c>
      <c r="L181" s="1"/>
    </row>
    <row r="182" spans="1:12" x14ac:dyDescent="0.35">
      <c r="A182" s="1"/>
      <c r="B182" s="1"/>
      <c r="C182" s="1"/>
      <c r="D182" s="13"/>
      <c r="E182" s="13"/>
      <c r="F182" s="13"/>
      <c r="G182" s="35"/>
      <c r="H182" s="5" t="str">
        <f t="shared" si="15"/>
        <v/>
      </c>
      <c r="I182" s="12" t="str">
        <f t="shared" si="16"/>
        <v/>
      </c>
      <c r="J182" s="1"/>
      <c r="K182" s="5" t="str">
        <f t="shared" si="17"/>
        <v/>
      </c>
      <c r="L182" s="1"/>
    </row>
    <row r="183" spans="1:12" x14ac:dyDescent="0.35">
      <c r="A183" s="1"/>
      <c r="B183" s="1"/>
      <c r="C183" s="1"/>
      <c r="D183" s="13"/>
      <c r="E183" s="13"/>
      <c r="F183" s="13"/>
      <c r="G183" s="35"/>
      <c r="H183" s="5" t="str">
        <f t="shared" si="15"/>
        <v/>
      </c>
      <c r="I183" s="12" t="str">
        <f t="shared" si="16"/>
        <v/>
      </c>
      <c r="J183" s="1"/>
      <c r="K183" s="5" t="str">
        <f t="shared" si="17"/>
        <v/>
      </c>
      <c r="L183" s="1"/>
    </row>
    <row r="184" spans="1:12" x14ac:dyDescent="0.35">
      <c r="A184" s="1"/>
      <c r="B184" s="1"/>
      <c r="C184" s="1"/>
      <c r="D184" s="13"/>
      <c r="E184" s="13"/>
      <c r="F184" s="13"/>
      <c r="G184" s="35"/>
      <c r="H184" s="5" t="str">
        <f t="shared" si="15"/>
        <v/>
      </c>
      <c r="I184" s="12" t="str">
        <f t="shared" si="16"/>
        <v/>
      </c>
      <c r="J184" s="1"/>
      <c r="K184" s="5" t="str">
        <f t="shared" si="17"/>
        <v/>
      </c>
      <c r="L184" s="1"/>
    </row>
    <row r="185" spans="1:12" x14ac:dyDescent="0.35">
      <c r="A185" s="1"/>
      <c r="B185" s="1"/>
      <c r="C185" s="1"/>
      <c r="D185" s="13"/>
      <c r="E185" s="13"/>
      <c r="F185" s="13"/>
      <c r="G185" s="35"/>
      <c r="H185" s="5" t="str">
        <f t="shared" si="15"/>
        <v/>
      </c>
      <c r="I185" s="12" t="str">
        <f t="shared" si="16"/>
        <v/>
      </c>
      <c r="J185" s="1"/>
      <c r="K185" s="5" t="str">
        <f t="shared" si="17"/>
        <v/>
      </c>
      <c r="L185" s="1"/>
    </row>
    <row r="186" spans="1:12" x14ac:dyDescent="0.35">
      <c r="A186" s="1"/>
      <c r="B186" s="1"/>
      <c r="C186" s="1"/>
      <c r="D186" s="13"/>
      <c r="E186" s="13"/>
      <c r="F186" s="13"/>
      <c r="G186" s="35"/>
      <c r="H186" s="5" t="str">
        <f t="shared" si="15"/>
        <v/>
      </c>
      <c r="I186" s="12" t="str">
        <f t="shared" si="16"/>
        <v/>
      </c>
      <c r="J186" s="1"/>
      <c r="K186" s="5" t="str">
        <f t="shared" si="17"/>
        <v/>
      </c>
      <c r="L186" s="1"/>
    </row>
    <row r="187" spans="1:12" x14ac:dyDescent="0.35">
      <c r="A187" s="1"/>
      <c r="B187" s="1"/>
      <c r="C187" s="1"/>
      <c r="D187" s="13"/>
      <c r="E187" s="13"/>
      <c r="F187" s="13"/>
      <c r="G187" s="35"/>
      <c r="H187" s="5" t="str">
        <f t="shared" si="15"/>
        <v/>
      </c>
      <c r="I187" s="12" t="str">
        <f t="shared" si="16"/>
        <v/>
      </c>
      <c r="J187" s="1"/>
      <c r="K187" s="5" t="str">
        <f t="shared" si="17"/>
        <v/>
      </c>
      <c r="L187" s="1"/>
    </row>
    <row r="188" spans="1:12" x14ac:dyDescent="0.35">
      <c r="A188" s="1"/>
      <c r="B188" s="1"/>
      <c r="C188" s="1"/>
      <c r="D188" s="13"/>
      <c r="E188" s="13"/>
      <c r="F188" s="13"/>
      <c r="G188" s="35"/>
      <c r="H188" s="5" t="str">
        <f t="shared" si="15"/>
        <v/>
      </c>
      <c r="I188" s="12" t="str">
        <f t="shared" si="16"/>
        <v/>
      </c>
      <c r="J188" s="1"/>
      <c r="K188" s="5" t="str">
        <f t="shared" si="17"/>
        <v/>
      </c>
      <c r="L188" s="1"/>
    </row>
    <row r="189" spans="1:12" x14ac:dyDescent="0.35">
      <c r="A189" s="1"/>
      <c r="B189" s="1"/>
      <c r="C189" s="1"/>
      <c r="D189" s="13"/>
      <c r="E189" s="13"/>
      <c r="F189" s="13"/>
      <c r="G189" s="35"/>
      <c r="H189" s="5" t="str">
        <f t="shared" si="15"/>
        <v/>
      </c>
      <c r="I189" s="12" t="str">
        <f t="shared" si="16"/>
        <v/>
      </c>
      <c r="J189" s="1"/>
      <c r="K189" s="5" t="str">
        <f t="shared" si="17"/>
        <v/>
      </c>
      <c r="L189" s="1"/>
    </row>
    <row r="190" spans="1:12" x14ac:dyDescent="0.35">
      <c r="A190" s="1"/>
      <c r="B190" s="1"/>
      <c r="C190" s="1"/>
      <c r="D190" s="13"/>
      <c r="E190" s="13"/>
      <c r="F190" s="13"/>
      <c r="G190" s="35"/>
      <c r="H190" s="5" t="str">
        <f t="shared" si="15"/>
        <v/>
      </c>
      <c r="I190" s="12" t="str">
        <f t="shared" si="16"/>
        <v/>
      </c>
      <c r="J190" s="1"/>
      <c r="K190" s="5" t="str">
        <f t="shared" si="17"/>
        <v/>
      </c>
      <c r="L190" s="1"/>
    </row>
    <row r="191" spans="1:12" x14ac:dyDescent="0.35">
      <c r="A191" s="1"/>
      <c r="B191" s="1"/>
      <c r="C191" s="1"/>
      <c r="D191" s="13"/>
      <c r="E191" s="13"/>
      <c r="F191" s="13"/>
      <c r="G191" s="35"/>
      <c r="H191" s="5" t="str">
        <f t="shared" si="15"/>
        <v/>
      </c>
      <c r="I191" s="12" t="str">
        <f t="shared" si="16"/>
        <v/>
      </c>
      <c r="J191" s="1"/>
      <c r="K191" s="5" t="str">
        <f t="shared" si="17"/>
        <v/>
      </c>
      <c r="L191" s="1"/>
    </row>
    <row r="192" spans="1:12" x14ac:dyDescent="0.35">
      <c r="A192" s="1"/>
      <c r="B192" s="1"/>
      <c r="C192" s="1"/>
      <c r="D192" s="13"/>
      <c r="E192" s="13"/>
      <c r="F192" s="13"/>
      <c r="G192" s="35"/>
      <c r="H192" s="5" t="str">
        <f t="shared" si="15"/>
        <v/>
      </c>
      <c r="I192" s="12" t="str">
        <f t="shared" si="16"/>
        <v/>
      </c>
      <c r="J192" s="1"/>
      <c r="K192" s="5" t="str">
        <f t="shared" si="17"/>
        <v/>
      </c>
      <c r="L192" s="1"/>
    </row>
    <row r="193" spans="1:12" x14ac:dyDescent="0.35">
      <c r="A193" s="1"/>
      <c r="B193" s="1"/>
      <c r="C193" s="1"/>
      <c r="D193" s="13"/>
      <c r="E193" s="13"/>
      <c r="F193" s="13"/>
      <c r="G193" s="35"/>
      <c r="H193" s="5" t="str">
        <f t="shared" si="15"/>
        <v/>
      </c>
      <c r="I193" s="12" t="str">
        <f t="shared" si="16"/>
        <v/>
      </c>
      <c r="J193" s="1"/>
      <c r="K193" s="5" t="str">
        <f t="shared" si="17"/>
        <v/>
      </c>
      <c r="L193" s="1"/>
    </row>
    <row r="194" spans="1:12" x14ac:dyDescent="0.35">
      <c r="A194" s="1"/>
      <c r="B194" s="1"/>
      <c r="C194" s="1"/>
      <c r="D194" s="13"/>
      <c r="E194" s="13"/>
      <c r="F194" s="13"/>
      <c r="G194" s="35"/>
      <c r="H194" s="5" t="str">
        <f t="shared" si="15"/>
        <v/>
      </c>
      <c r="I194" s="12" t="str">
        <f t="shared" si="16"/>
        <v/>
      </c>
      <c r="J194" s="1"/>
      <c r="K194" s="5" t="str">
        <f t="shared" si="17"/>
        <v/>
      </c>
      <c r="L194" s="1"/>
    </row>
    <row r="195" spans="1:12" x14ac:dyDescent="0.35">
      <c r="A195" s="1"/>
      <c r="B195" s="1"/>
      <c r="C195" s="1"/>
      <c r="D195" s="13"/>
      <c r="E195" s="13"/>
      <c r="F195" s="13"/>
      <c r="G195" s="35"/>
      <c r="H195" s="5" t="str">
        <f t="shared" si="15"/>
        <v/>
      </c>
      <c r="I195" s="12" t="str">
        <f t="shared" si="16"/>
        <v/>
      </c>
      <c r="J195" s="1"/>
      <c r="K195" s="5" t="str">
        <f t="shared" si="17"/>
        <v/>
      </c>
      <c r="L195" s="1"/>
    </row>
    <row r="196" spans="1:12" x14ac:dyDescent="0.35">
      <c r="A196" s="1"/>
      <c r="B196" s="1"/>
      <c r="C196" s="1"/>
      <c r="D196" s="13"/>
      <c r="E196" s="13"/>
      <c r="F196" s="13"/>
      <c r="G196" s="35"/>
      <c r="H196" s="5" t="str">
        <f t="shared" si="15"/>
        <v/>
      </c>
      <c r="I196" s="12" t="str">
        <f t="shared" si="16"/>
        <v/>
      </c>
      <c r="J196" s="1"/>
      <c r="K196" s="5" t="str">
        <f t="shared" si="17"/>
        <v/>
      </c>
      <c r="L196" s="1"/>
    </row>
    <row r="197" spans="1:12" x14ac:dyDescent="0.35">
      <c r="A197" s="1"/>
      <c r="B197" s="1"/>
      <c r="C197" s="1"/>
      <c r="D197" s="13"/>
      <c r="E197" s="13"/>
      <c r="F197" s="13"/>
      <c r="G197" s="35"/>
      <c r="H197" s="5" t="str">
        <f t="shared" si="15"/>
        <v/>
      </c>
      <c r="I197" s="12" t="str">
        <f t="shared" si="16"/>
        <v/>
      </c>
      <c r="J197" s="1"/>
      <c r="K197" s="5" t="str">
        <f t="shared" si="17"/>
        <v/>
      </c>
      <c r="L197" s="1"/>
    </row>
    <row r="198" spans="1:12" x14ac:dyDescent="0.35">
      <c r="A198" s="1"/>
      <c r="B198" s="1"/>
      <c r="C198" s="1"/>
      <c r="D198" s="13"/>
      <c r="E198" s="13"/>
      <c r="F198" s="13"/>
      <c r="G198" s="35"/>
      <c r="H198" s="5" t="str">
        <f t="shared" si="15"/>
        <v/>
      </c>
      <c r="I198" s="12" t="str">
        <f t="shared" ref="I198:I200" si="18">IF(D198="","",N(C198)*N(G198)*H198)</f>
        <v/>
      </c>
      <c r="J198" s="1"/>
      <c r="K198" s="5" t="str">
        <f t="shared" si="17"/>
        <v/>
      </c>
      <c r="L198" s="1"/>
    </row>
    <row r="199" spans="1:12" x14ac:dyDescent="0.35">
      <c r="A199" s="1"/>
      <c r="B199" s="1"/>
      <c r="C199" s="1"/>
      <c r="D199" s="13"/>
      <c r="E199" s="13"/>
      <c r="F199" s="13"/>
      <c r="G199" s="35"/>
      <c r="H199" s="5" t="str">
        <f t="shared" si="15"/>
        <v/>
      </c>
      <c r="I199" s="12" t="str">
        <f t="shared" si="18"/>
        <v/>
      </c>
      <c r="J199" s="1"/>
      <c r="K199" s="5" t="str">
        <f t="shared" si="17"/>
        <v/>
      </c>
      <c r="L199" s="1"/>
    </row>
    <row r="200" spans="1:12" x14ac:dyDescent="0.35">
      <c r="A200" s="1"/>
      <c r="B200" s="1"/>
      <c r="C200" s="1"/>
      <c r="D200" s="13"/>
      <c r="E200" s="13"/>
      <c r="F200" s="13"/>
      <c r="G200" s="35"/>
      <c r="H200" s="5" t="str">
        <f t="shared" si="15"/>
        <v/>
      </c>
      <c r="I200" s="12" t="str">
        <f t="shared" si="18"/>
        <v/>
      </c>
      <c r="J200" s="1"/>
      <c r="K200" s="5" t="str">
        <f t="shared" si="17"/>
        <v/>
      </c>
      <c r="L200" s="1"/>
    </row>
  </sheetData>
  <conditionalFormatting sqref="K6:K200">
    <cfRule type="expression" dxfId="5" priority="2">
      <formula>LEFT(K6,7)="VENCIDA"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ORCAMENTO!$Q$5:$Q$200</xm:f>
          </x14:formula1>
          <x14:formula2>
            <xm:f>0</xm:f>
          </x14:formula2>
          <xm:sqref>J6:J200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0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6" customWidth="1"/>
    <col min="2" max="2" width="18" customWidth="1"/>
    <col min="3" max="4" width="11" customWidth="1"/>
    <col min="5" max="5" width="14" customWidth="1"/>
    <col min="6" max="6" width="11" customWidth="1"/>
    <col min="7" max="7" width="18" customWidth="1"/>
    <col min="8" max="8" width="11" customWidth="1"/>
    <col min="9" max="9" width="14" customWidth="1"/>
    <col min="10" max="10" width="10" customWidth="1"/>
    <col min="11" max="11" width="11" customWidth="1"/>
    <col min="12" max="12" width="14" customWidth="1"/>
    <col min="13" max="13" width="12" customWidth="1"/>
    <col min="14" max="14" width="22" customWidth="1"/>
    <col min="15" max="15" width="10" customWidth="1"/>
  </cols>
  <sheetData>
    <row r="1" spans="1:15" ht="18" x14ac:dyDescent="0.4">
      <c r="A1" s="6" t="s">
        <v>543</v>
      </c>
    </row>
    <row r="2" spans="1:15" x14ac:dyDescent="0.35">
      <c r="A2" s="7" t="s">
        <v>544</v>
      </c>
    </row>
    <row r="4" spans="1:15" ht="31.5" customHeight="1" x14ac:dyDescent="0.35">
      <c r="A4" s="15" t="s">
        <v>100</v>
      </c>
      <c r="B4" s="15" t="s">
        <v>545</v>
      </c>
      <c r="C4" s="15" t="s">
        <v>546</v>
      </c>
      <c r="D4" s="15" t="s">
        <v>547</v>
      </c>
      <c r="E4" s="15" t="s">
        <v>548</v>
      </c>
      <c r="F4" s="15" t="s">
        <v>549</v>
      </c>
      <c r="G4" s="15" t="s">
        <v>550</v>
      </c>
      <c r="H4" s="15" t="s">
        <v>551</v>
      </c>
      <c r="I4" s="15" t="s">
        <v>552</v>
      </c>
      <c r="J4" s="15" t="s">
        <v>553</v>
      </c>
      <c r="K4" s="15" t="s">
        <v>554</v>
      </c>
      <c r="L4" s="15" t="s">
        <v>555</v>
      </c>
      <c r="M4" s="15" t="s">
        <v>556</v>
      </c>
      <c r="N4" s="15" t="s">
        <v>119</v>
      </c>
      <c r="O4" s="15" t="s">
        <v>557</v>
      </c>
    </row>
    <row r="5" spans="1:15" x14ac:dyDescent="0.35">
      <c r="A5" s="11" t="s">
        <v>558</v>
      </c>
      <c r="B5" s="11" t="s">
        <v>216</v>
      </c>
      <c r="C5" s="11" t="s">
        <v>527</v>
      </c>
      <c r="D5" s="11" t="s">
        <v>527</v>
      </c>
      <c r="E5" s="11">
        <v>25000</v>
      </c>
      <c r="F5" s="11" t="s">
        <v>527</v>
      </c>
      <c r="G5" s="11" t="s">
        <v>559</v>
      </c>
      <c r="H5" s="11"/>
      <c r="I5" s="11"/>
      <c r="J5" s="11"/>
      <c r="K5" s="11"/>
      <c r="L5" s="11"/>
      <c r="M5" s="11"/>
      <c r="N5" s="11" t="s">
        <v>560</v>
      </c>
      <c r="O5" s="11">
        <v>4</v>
      </c>
    </row>
    <row r="6" spans="1:15" x14ac:dyDescent="0.35">
      <c r="A6" s="1"/>
      <c r="B6" s="1"/>
      <c r="C6" s="13"/>
      <c r="D6" s="13"/>
      <c r="E6" s="35"/>
      <c r="F6" s="13"/>
      <c r="G6" s="1"/>
      <c r="H6" s="13"/>
      <c r="I6" s="1"/>
      <c r="J6" s="1"/>
      <c r="K6" s="13"/>
      <c r="L6" s="35"/>
      <c r="M6" s="13"/>
      <c r="N6" s="5" t="str">
        <f t="shared" ref="N6:N37" si="0">IF(A6="","",IF(M6&lt;&gt;"","Recebida",IF(K6&lt;&gt;"","Faturada – a receber",IF(H6&lt;&gt;"","Aprovada – faturar",IF(F6&lt;&gt;"","Em aprovação","Em preparação")))))</f>
        <v/>
      </c>
      <c r="O6" s="5" t="str">
        <f t="shared" ref="O6:O37" si="1">IF(AND(F6&lt;&gt;"",H6=""),DataRef-F6,"")</f>
        <v/>
      </c>
    </row>
    <row r="7" spans="1:15" x14ac:dyDescent="0.35">
      <c r="A7" s="1"/>
      <c r="B7" s="1"/>
      <c r="C7" s="13"/>
      <c r="D7" s="13"/>
      <c r="E7" s="35"/>
      <c r="F7" s="13"/>
      <c r="G7" s="1"/>
      <c r="H7" s="13"/>
      <c r="I7" s="1"/>
      <c r="J7" s="1"/>
      <c r="K7" s="13"/>
      <c r="L7" s="35"/>
      <c r="M7" s="13"/>
      <c r="N7" s="5" t="str">
        <f t="shared" si="0"/>
        <v/>
      </c>
      <c r="O7" s="5" t="str">
        <f t="shared" si="1"/>
        <v/>
      </c>
    </row>
    <row r="8" spans="1:15" x14ac:dyDescent="0.35">
      <c r="A8" s="1"/>
      <c r="B8" s="1"/>
      <c r="C8" s="13"/>
      <c r="D8" s="13"/>
      <c r="E8" s="35"/>
      <c r="F8" s="13"/>
      <c r="G8" s="1"/>
      <c r="H8" s="13"/>
      <c r="I8" s="1"/>
      <c r="J8" s="1"/>
      <c r="K8" s="13"/>
      <c r="L8" s="35"/>
      <c r="M8" s="13"/>
      <c r="N8" s="5" t="str">
        <f t="shared" si="0"/>
        <v/>
      </c>
      <c r="O8" s="5" t="str">
        <f t="shared" si="1"/>
        <v/>
      </c>
    </row>
    <row r="9" spans="1:15" x14ac:dyDescent="0.35">
      <c r="A9" s="1"/>
      <c r="B9" s="1"/>
      <c r="C9" s="13"/>
      <c r="D9" s="13"/>
      <c r="E9" s="35"/>
      <c r="F9" s="13"/>
      <c r="G9" s="1"/>
      <c r="H9" s="13"/>
      <c r="I9" s="1"/>
      <c r="J9" s="1"/>
      <c r="K9" s="13"/>
      <c r="L9" s="35"/>
      <c r="M9" s="13"/>
      <c r="N9" s="5" t="str">
        <f t="shared" si="0"/>
        <v/>
      </c>
      <c r="O9" s="5" t="str">
        <f t="shared" si="1"/>
        <v/>
      </c>
    </row>
    <row r="10" spans="1:15" x14ac:dyDescent="0.35">
      <c r="A10" s="1"/>
      <c r="B10" s="1"/>
      <c r="C10" s="13"/>
      <c r="D10" s="13"/>
      <c r="E10" s="35"/>
      <c r="F10" s="13"/>
      <c r="G10" s="1"/>
      <c r="H10" s="13"/>
      <c r="I10" s="1"/>
      <c r="J10" s="1"/>
      <c r="K10" s="13"/>
      <c r="L10" s="35"/>
      <c r="M10" s="13"/>
      <c r="N10" s="5" t="str">
        <f t="shared" si="0"/>
        <v/>
      </c>
      <c r="O10" s="5" t="str">
        <f t="shared" si="1"/>
        <v/>
      </c>
    </row>
    <row r="11" spans="1:15" x14ac:dyDescent="0.35">
      <c r="A11" s="1"/>
      <c r="B11" s="1"/>
      <c r="C11" s="13"/>
      <c r="D11" s="13"/>
      <c r="E11" s="35"/>
      <c r="F11" s="13"/>
      <c r="G11" s="1"/>
      <c r="H11" s="13"/>
      <c r="I11" s="1"/>
      <c r="J11" s="1"/>
      <c r="K11" s="13"/>
      <c r="L11" s="35"/>
      <c r="M11" s="13"/>
      <c r="N11" s="5" t="str">
        <f t="shared" si="0"/>
        <v/>
      </c>
      <c r="O11" s="5" t="str">
        <f t="shared" si="1"/>
        <v/>
      </c>
    </row>
    <row r="12" spans="1:15" x14ac:dyDescent="0.35">
      <c r="A12" s="1"/>
      <c r="B12" s="1"/>
      <c r="C12" s="13"/>
      <c r="D12" s="13"/>
      <c r="E12" s="35"/>
      <c r="F12" s="13"/>
      <c r="G12" s="1"/>
      <c r="H12" s="13"/>
      <c r="I12" s="1"/>
      <c r="J12" s="1"/>
      <c r="K12" s="13"/>
      <c r="L12" s="35"/>
      <c r="M12" s="13"/>
      <c r="N12" s="5" t="str">
        <f t="shared" si="0"/>
        <v/>
      </c>
      <c r="O12" s="5" t="str">
        <f t="shared" si="1"/>
        <v/>
      </c>
    </row>
    <row r="13" spans="1:15" x14ac:dyDescent="0.35">
      <c r="A13" s="1"/>
      <c r="B13" s="1"/>
      <c r="C13" s="13"/>
      <c r="D13" s="13"/>
      <c r="E13" s="35"/>
      <c r="F13" s="13"/>
      <c r="G13" s="1"/>
      <c r="H13" s="13"/>
      <c r="I13" s="1"/>
      <c r="J13" s="1"/>
      <c r="K13" s="13"/>
      <c r="L13" s="35"/>
      <c r="M13" s="13"/>
      <c r="N13" s="5" t="str">
        <f t="shared" si="0"/>
        <v/>
      </c>
      <c r="O13" s="5" t="str">
        <f t="shared" si="1"/>
        <v/>
      </c>
    </row>
    <row r="14" spans="1:15" x14ac:dyDescent="0.35">
      <c r="A14" s="1"/>
      <c r="B14" s="1"/>
      <c r="C14" s="13"/>
      <c r="D14" s="13"/>
      <c r="E14" s="35"/>
      <c r="F14" s="13"/>
      <c r="G14" s="1"/>
      <c r="H14" s="13"/>
      <c r="I14" s="1"/>
      <c r="J14" s="1"/>
      <c r="K14" s="13"/>
      <c r="L14" s="35"/>
      <c r="M14" s="13"/>
      <c r="N14" s="5" t="str">
        <f t="shared" si="0"/>
        <v/>
      </c>
      <c r="O14" s="5" t="str">
        <f t="shared" si="1"/>
        <v/>
      </c>
    </row>
    <row r="15" spans="1:15" x14ac:dyDescent="0.35">
      <c r="A15" s="1"/>
      <c r="B15" s="1"/>
      <c r="C15" s="13"/>
      <c r="D15" s="13"/>
      <c r="E15" s="35"/>
      <c r="F15" s="13"/>
      <c r="G15" s="1"/>
      <c r="H15" s="13"/>
      <c r="I15" s="1"/>
      <c r="J15" s="1"/>
      <c r="K15" s="13"/>
      <c r="L15" s="35"/>
      <c r="M15" s="13"/>
      <c r="N15" s="5" t="str">
        <f t="shared" si="0"/>
        <v/>
      </c>
      <c r="O15" s="5" t="str">
        <f t="shared" si="1"/>
        <v/>
      </c>
    </row>
    <row r="16" spans="1:15" x14ac:dyDescent="0.35">
      <c r="A16" s="1"/>
      <c r="B16" s="1"/>
      <c r="C16" s="13"/>
      <c r="D16" s="13"/>
      <c r="E16" s="35"/>
      <c r="F16" s="13"/>
      <c r="G16" s="1"/>
      <c r="H16" s="13"/>
      <c r="I16" s="1"/>
      <c r="J16" s="1"/>
      <c r="K16" s="13"/>
      <c r="L16" s="35"/>
      <c r="M16" s="13"/>
      <c r="N16" s="5" t="str">
        <f t="shared" si="0"/>
        <v/>
      </c>
      <c r="O16" s="5" t="str">
        <f t="shared" si="1"/>
        <v/>
      </c>
    </row>
    <row r="17" spans="1:15" x14ac:dyDescent="0.35">
      <c r="A17" s="1"/>
      <c r="B17" s="1"/>
      <c r="C17" s="13"/>
      <c r="D17" s="13"/>
      <c r="E17" s="35"/>
      <c r="F17" s="13"/>
      <c r="G17" s="1"/>
      <c r="H17" s="13"/>
      <c r="I17" s="1"/>
      <c r="J17" s="1"/>
      <c r="K17" s="13"/>
      <c r="L17" s="35"/>
      <c r="M17" s="13"/>
      <c r="N17" s="5" t="str">
        <f t="shared" si="0"/>
        <v/>
      </c>
      <c r="O17" s="5" t="str">
        <f t="shared" si="1"/>
        <v/>
      </c>
    </row>
    <row r="18" spans="1:15" x14ac:dyDescent="0.35">
      <c r="A18" s="1"/>
      <c r="B18" s="1"/>
      <c r="C18" s="13"/>
      <c r="D18" s="13"/>
      <c r="E18" s="35"/>
      <c r="F18" s="13"/>
      <c r="G18" s="1"/>
      <c r="H18" s="13"/>
      <c r="I18" s="1"/>
      <c r="J18" s="1"/>
      <c r="K18" s="13"/>
      <c r="L18" s="35"/>
      <c r="M18" s="13"/>
      <c r="N18" s="5" t="str">
        <f t="shared" si="0"/>
        <v/>
      </c>
      <c r="O18" s="5" t="str">
        <f t="shared" si="1"/>
        <v/>
      </c>
    </row>
    <row r="19" spans="1:15" x14ac:dyDescent="0.35">
      <c r="A19" s="1"/>
      <c r="B19" s="1"/>
      <c r="C19" s="13"/>
      <c r="D19" s="13"/>
      <c r="E19" s="35"/>
      <c r="F19" s="13"/>
      <c r="G19" s="1"/>
      <c r="H19" s="13"/>
      <c r="I19" s="1"/>
      <c r="J19" s="1"/>
      <c r="K19" s="13"/>
      <c r="L19" s="35"/>
      <c r="M19" s="13"/>
      <c r="N19" s="5" t="str">
        <f t="shared" si="0"/>
        <v/>
      </c>
      <c r="O19" s="5" t="str">
        <f t="shared" si="1"/>
        <v/>
      </c>
    </row>
    <row r="20" spans="1:15" x14ac:dyDescent="0.35">
      <c r="A20" s="1"/>
      <c r="B20" s="1"/>
      <c r="C20" s="13"/>
      <c r="D20" s="13"/>
      <c r="E20" s="35"/>
      <c r="F20" s="13"/>
      <c r="G20" s="1"/>
      <c r="H20" s="13"/>
      <c r="I20" s="1"/>
      <c r="J20" s="1"/>
      <c r="K20" s="13"/>
      <c r="L20" s="35"/>
      <c r="M20" s="13"/>
      <c r="N20" s="5" t="str">
        <f t="shared" si="0"/>
        <v/>
      </c>
      <c r="O20" s="5" t="str">
        <f t="shared" si="1"/>
        <v/>
      </c>
    </row>
    <row r="21" spans="1:15" x14ac:dyDescent="0.35">
      <c r="A21" s="1"/>
      <c r="B21" s="1"/>
      <c r="C21" s="13"/>
      <c r="D21" s="13"/>
      <c r="E21" s="35"/>
      <c r="F21" s="13"/>
      <c r="G21" s="1"/>
      <c r="H21" s="13"/>
      <c r="I21" s="1"/>
      <c r="J21" s="1"/>
      <c r="K21" s="13"/>
      <c r="L21" s="35"/>
      <c r="M21" s="13"/>
      <c r="N21" s="5" t="str">
        <f t="shared" si="0"/>
        <v/>
      </c>
      <c r="O21" s="5" t="str">
        <f t="shared" si="1"/>
        <v/>
      </c>
    </row>
    <row r="22" spans="1:15" x14ac:dyDescent="0.35">
      <c r="A22" s="1"/>
      <c r="B22" s="1"/>
      <c r="C22" s="13"/>
      <c r="D22" s="13"/>
      <c r="E22" s="35"/>
      <c r="F22" s="13"/>
      <c r="G22" s="1"/>
      <c r="H22" s="13"/>
      <c r="I22" s="1"/>
      <c r="J22" s="1"/>
      <c r="K22" s="13"/>
      <c r="L22" s="35"/>
      <c r="M22" s="13"/>
      <c r="N22" s="5" t="str">
        <f t="shared" si="0"/>
        <v/>
      </c>
      <c r="O22" s="5" t="str">
        <f t="shared" si="1"/>
        <v/>
      </c>
    </row>
    <row r="23" spans="1:15" x14ac:dyDescent="0.35">
      <c r="A23" s="1"/>
      <c r="B23" s="1"/>
      <c r="C23" s="13"/>
      <c r="D23" s="13"/>
      <c r="E23" s="35"/>
      <c r="F23" s="13"/>
      <c r="G23" s="1"/>
      <c r="H23" s="13"/>
      <c r="I23" s="1"/>
      <c r="J23" s="1"/>
      <c r="K23" s="13"/>
      <c r="L23" s="35"/>
      <c r="M23" s="13"/>
      <c r="N23" s="5" t="str">
        <f t="shared" si="0"/>
        <v/>
      </c>
      <c r="O23" s="5" t="str">
        <f t="shared" si="1"/>
        <v/>
      </c>
    </row>
    <row r="24" spans="1:15" x14ac:dyDescent="0.35">
      <c r="A24" s="1"/>
      <c r="B24" s="1"/>
      <c r="C24" s="13"/>
      <c r="D24" s="13"/>
      <c r="E24" s="35"/>
      <c r="F24" s="13"/>
      <c r="G24" s="1"/>
      <c r="H24" s="13"/>
      <c r="I24" s="1"/>
      <c r="J24" s="1"/>
      <c r="K24" s="13"/>
      <c r="L24" s="35"/>
      <c r="M24" s="13"/>
      <c r="N24" s="5" t="str">
        <f t="shared" si="0"/>
        <v/>
      </c>
      <c r="O24" s="5" t="str">
        <f t="shared" si="1"/>
        <v/>
      </c>
    </row>
    <row r="25" spans="1:15" x14ac:dyDescent="0.35">
      <c r="A25" s="1"/>
      <c r="B25" s="1"/>
      <c r="C25" s="13"/>
      <c r="D25" s="13"/>
      <c r="E25" s="35"/>
      <c r="F25" s="13"/>
      <c r="G25" s="1"/>
      <c r="H25" s="13"/>
      <c r="I25" s="1"/>
      <c r="J25" s="1"/>
      <c r="K25" s="13"/>
      <c r="L25" s="35"/>
      <c r="M25" s="13"/>
      <c r="N25" s="5" t="str">
        <f t="shared" si="0"/>
        <v/>
      </c>
      <c r="O25" s="5" t="str">
        <f t="shared" si="1"/>
        <v/>
      </c>
    </row>
    <row r="26" spans="1:15" x14ac:dyDescent="0.35">
      <c r="A26" s="1"/>
      <c r="B26" s="1"/>
      <c r="C26" s="13"/>
      <c r="D26" s="13"/>
      <c r="E26" s="35"/>
      <c r="F26" s="13"/>
      <c r="G26" s="1"/>
      <c r="H26" s="13"/>
      <c r="I26" s="1"/>
      <c r="J26" s="1"/>
      <c r="K26" s="13"/>
      <c r="L26" s="35"/>
      <c r="M26" s="13"/>
      <c r="N26" s="5" t="str">
        <f t="shared" si="0"/>
        <v/>
      </c>
      <c r="O26" s="5" t="str">
        <f t="shared" si="1"/>
        <v/>
      </c>
    </row>
    <row r="27" spans="1:15" x14ac:dyDescent="0.35">
      <c r="A27" s="1"/>
      <c r="B27" s="1"/>
      <c r="C27" s="13"/>
      <c r="D27" s="13"/>
      <c r="E27" s="35"/>
      <c r="F27" s="13"/>
      <c r="G27" s="1"/>
      <c r="H27" s="13"/>
      <c r="I27" s="1"/>
      <c r="J27" s="1"/>
      <c r="K27" s="13"/>
      <c r="L27" s="35"/>
      <c r="M27" s="13"/>
      <c r="N27" s="5" t="str">
        <f t="shared" si="0"/>
        <v/>
      </c>
      <c r="O27" s="5" t="str">
        <f t="shared" si="1"/>
        <v/>
      </c>
    </row>
    <row r="28" spans="1:15" x14ac:dyDescent="0.35">
      <c r="A28" s="1"/>
      <c r="B28" s="1"/>
      <c r="C28" s="13"/>
      <c r="D28" s="13"/>
      <c r="E28" s="35"/>
      <c r="F28" s="13"/>
      <c r="G28" s="1"/>
      <c r="H28" s="13"/>
      <c r="I28" s="1"/>
      <c r="J28" s="1"/>
      <c r="K28" s="13"/>
      <c r="L28" s="35"/>
      <c r="M28" s="13"/>
      <c r="N28" s="5" t="str">
        <f t="shared" si="0"/>
        <v/>
      </c>
      <c r="O28" s="5" t="str">
        <f t="shared" si="1"/>
        <v/>
      </c>
    </row>
    <row r="29" spans="1:15" x14ac:dyDescent="0.35">
      <c r="A29" s="1"/>
      <c r="B29" s="1"/>
      <c r="C29" s="13"/>
      <c r="D29" s="13"/>
      <c r="E29" s="35"/>
      <c r="F29" s="13"/>
      <c r="G29" s="1"/>
      <c r="H29" s="13"/>
      <c r="I29" s="1"/>
      <c r="J29" s="1"/>
      <c r="K29" s="13"/>
      <c r="L29" s="35"/>
      <c r="M29" s="13"/>
      <c r="N29" s="5" t="str">
        <f t="shared" si="0"/>
        <v/>
      </c>
      <c r="O29" s="5" t="str">
        <f t="shared" si="1"/>
        <v/>
      </c>
    </row>
    <row r="30" spans="1:15" x14ac:dyDescent="0.35">
      <c r="A30" s="1"/>
      <c r="B30" s="1"/>
      <c r="C30" s="13"/>
      <c r="D30" s="13"/>
      <c r="E30" s="35"/>
      <c r="F30" s="13"/>
      <c r="G30" s="1"/>
      <c r="H30" s="13"/>
      <c r="I30" s="1"/>
      <c r="J30" s="1"/>
      <c r="K30" s="13"/>
      <c r="L30" s="35"/>
      <c r="M30" s="13"/>
      <c r="N30" s="5" t="str">
        <f t="shared" si="0"/>
        <v/>
      </c>
      <c r="O30" s="5" t="str">
        <f t="shared" si="1"/>
        <v/>
      </c>
    </row>
    <row r="31" spans="1:15" x14ac:dyDescent="0.35">
      <c r="A31" s="1"/>
      <c r="B31" s="1"/>
      <c r="C31" s="13"/>
      <c r="D31" s="13"/>
      <c r="E31" s="35"/>
      <c r="F31" s="13"/>
      <c r="G31" s="1"/>
      <c r="H31" s="13"/>
      <c r="I31" s="1"/>
      <c r="J31" s="1"/>
      <c r="K31" s="13"/>
      <c r="L31" s="35"/>
      <c r="M31" s="13"/>
      <c r="N31" s="5" t="str">
        <f t="shared" si="0"/>
        <v/>
      </c>
      <c r="O31" s="5" t="str">
        <f t="shared" si="1"/>
        <v/>
      </c>
    </row>
    <row r="32" spans="1:15" x14ac:dyDescent="0.35">
      <c r="A32" s="1"/>
      <c r="B32" s="1"/>
      <c r="C32" s="13"/>
      <c r="D32" s="13"/>
      <c r="E32" s="35"/>
      <c r="F32" s="13"/>
      <c r="G32" s="1"/>
      <c r="H32" s="13"/>
      <c r="I32" s="1"/>
      <c r="J32" s="1"/>
      <c r="K32" s="13"/>
      <c r="L32" s="35"/>
      <c r="M32" s="13"/>
      <c r="N32" s="5" t="str">
        <f t="shared" si="0"/>
        <v/>
      </c>
      <c r="O32" s="5" t="str">
        <f t="shared" si="1"/>
        <v/>
      </c>
    </row>
    <row r="33" spans="1:15" x14ac:dyDescent="0.35">
      <c r="A33" s="1"/>
      <c r="B33" s="1"/>
      <c r="C33" s="13"/>
      <c r="D33" s="13"/>
      <c r="E33" s="35"/>
      <c r="F33" s="13"/>
      <c r="G33" s="1"/>
      <c r="H33" s="13"/>
      <c r="I33" s="1"/>
      <c r="J33" s="1"/>
      <c r="K33" s="13"/>
      <c r="L33" s="35"/>
      <c r="M33" s="13"/>
      <c r="N33" s="5" t="str">
        <f t="shared" si="0"/>
        <v/>
      </c>
      <c r="O33" s="5" t="str">
        <f t="shared" si="1"/>
        <v/>
      </c>
    </row>
    <row r="34" spans="1:15" x14ac:dyDescent="0.35">
      <c r="A34" s="1"/>
      <c r="B34" s="1"/>
      <c r="C34" s="13"/>
      <c r="D34" s="13"/>
      <c r="E34" s="35"/>
      <c r="F34" s="13"/>
      <c r="G34" s="1"/>
      <c r="H34" s="13"/>
      <c r="I34" s="1"/>
      <c r="J34" s="1"/>
      <c r="K34" s="13"/>
      <c r="L34" s="35"/>
      <c r="M34" s="13"/>
      <c r="N34" s="5" t="str">
        <f t="shared" si="0"/>
        <v/>
      </c>
      <c r="O34" s="5" t="str">
        <f t="shared" si="1"/>
        <v/>
      </c>
    </row>
    <row r="35" spans="1:15" x14ac:dyDescent="0.35">
      <c r="A35" s="1"/>
      <c r="B35" s="1"/>
      <c r="C35" s="13"/>
      <c r="D35" s="13"/>
      <c r="E35" s="35"/>
      <c r="F35" s="13"/>
      <c r="G35" s="1"/>
      <c r="H35" s="13"/>
      <c r="I35" s="1"/>
      <c r="J35" s="1"/>
      <c r="K35" s="13"/>
      <c r="L35" s="35"/>
      <c r="M35" s="13"/>
      <c r="N35" s="5" t="str">
        <f t="shared" si="0"/>
        <v/>
      </c>
      <c r="O35" s="5" t="str">
        <f t="shared" si="1"/>
        <v/>
      </c>
    </row>
    <row r="36" spans="1:15" x14ac:dyDescent="0.35">
      <c r="A36" s="1"/>
      <c r="B36" s="1"/>
      <c r="C36" s="13"/>
      <c r="D36" s="13"/>
      <c r="E36" s="35"/>
      <c r="F36" s="13"/>
      <c r="G36" s="1"/>
      <c r="H36" s="13"/>
      <c r="I36" s="1"/>
      <c r="J36" s="1"/>
      <c r="K36" s="13"/>
      <c r="L36" s="35"/>
      <c r="M36" s="13"/>
      <c r="N36" s="5" t="str">
        <f t="shared" si="0"/>
        <v/>
      </c>
      <c r="O36" s="5" t="str">
        <f t="shared" si="1"/>
        <v/>
      </c>
    </row>
    <row r="37" spans="1:15" x14ac:dyDescent="0.35">
      <c r="A37" s="1"/>
      <c r="B37" s="1"/>
      <c r="C37" s="13"/>
      <c r="D37" s="13"/>
      <c r="E37" s="35"/>
      <c r="F37" s="13"/>
      <c r="G37" s="1"/>
      <c r="H37" s="13"/>
      <c r="I37" s="1"/>
      <c r="J37" s="1"/>
      <c r="K37" s="13"/>
      <c r="L37" s="35"/>
      <c r="M37" s="13"/>
      <c r="N37" s="5" t="str">
        <f t="shared" si="0"/>
        <v/>
      </c>
      <c r="O37" s="5" t="str">
        <f t="shared" si="1"/>
        <v/>
      </c>
    </row>
    <row r="38" spans="1:15" x14ac:dyDescent="0.35">
      <c r="A38" s="1"/>
      <c r="B38" s="1"/>
      <c r="C38" s="13"/>
      <c r="D38" s="13"/>
      <c r="E38" s="35"/>
      <c r="F38" s="13"/>
      <c r="G38" s="1"/>
      <c r="H38" s="13"/>
      <c r="I38" s="1"/>
      <c r="J38" s="1"/>
      <c r="K38" s="13"/>
      <c r="L38" s="35"/>
      <c r="M38" s="13"/>
      <c r="N38" s="5" t="str">
        <f t="shared" ref="N38:N69" si="2">IF(A38="","",IF(M38&lt;&gt;"","Recebida",IF(K38&lt;&gt;"","Faturada – a receber",IF(H38&lt;&gt;"","Aprovada – faturar",IF(F38&lt;&gt;"","Em aprovação","Em preparação")))))</f>
        <v/>
      </c>
      <c r="O38" s="5" t="str">
        <f t="shared" ref="O38:O69" si="3">IF(AND(F38&lt;&gt;"",H38=""),DataRef-F38,"")</f>
        <v/>
      </c>
    </row>
    <row r="39" spans="1:15" x14ac:dyDescent="0.35">
      <c r="A39" s="1"/>
      <c r="B39" s="1"/>
      <c r="C39" s="13"/>
      <c r="D39" s="13"/>
      <c r="E39" s="35"/>
      <c r="F39" s="13"/>
      <c r="G39" s="1"/>
      <c r="H39" s="13"/>
      <c r="I39" s="1"/>
      <c r="J39" s="1"/>
      <c r="K39" s="13"/>
      <c r="L39" s="35"/>
      <c r="M39" s="13"/>
      <c r="N39" s="5" t="str">
        <f t="shared" si="2"/>
        <v/>
      </c>
      <c r="O39" s="5" t="str">
        <f t="shared" si="3"/>
        <v/>
      </c>
    </row>
    <row r="40" spans="1:15" x14ac:dyDescent="0.35">
      <c r="A40" s="1"/>
      <c r="B40" s="1"/>
      <c r="C40" s="13"/>
      <c r="D40" s="13"/>
      <c r="E40" s="35"/>
      <c r="F40" s="13"/>
      <c r="G40" s="1"/>
      <c r="H40" s="13"/>
      <c r="I40" s="1"/>
      <c r="J40" s="1"/>
      <c r="K40" s="13"/>
      <c r="L40" s="35"/>
      <c r="M40" s="13"/>
      <c r="N40" s="5" t="str">
        <f t="shared" si="2"/>
        <v/>
      </c>
      <c r="O40" s="5" t="str">
        <f t="shared" si="3"/>
        <v/>
      </c>
    </row>
    <row r="41" spans="1:15" x14ac:dyDescent="0.35">
      <c r="A41" s="1"/>
      <c r="B41" s="1"/>
      <c r="C41" s="13"/>
      <c r="D41" s="13"/>
      <c r="E41" s="35"/>
      <c r="F41" s="13"/>
      <c r="G41" s="1"/>
      <c r="H41" s="13"/>
      <c r="I41" s="1"/>
      <c r="J41" s="1"/>
      <c r="K41" s="13"/>
      <c r="L41" s="35"/>
      <c r="M41" s="13"/>
      <c r="N41" s="5" t="str">
        <f t="shared" si="2"/>
        <v/>
      </c>
      <c r="O41" s="5" t="str">
        <f t="shared" si="3"/>
        <v/>
      </c>
    </row>
    <row r="42" spans="1:15" x14ac:dyDescent="0.35">
      <c r="A42" s="1"/>
      <c r="B42" s="1"/>
      <c r="C42" s="13"/>
      <c r="D42" s="13"/>
      <c r="E42" s="35"/>
      <c r="F42" s="13"/>
      <c r="G42" s="1"/>
      <c r="H42" s="13"/>
      <c r="I42" s="1"/>
      <c r="J42" s="1"/>
      <c r="K42" s="13"/>
      <c r="L42" s="35"/>
      <c r="M42" s="13"/>
      <c r="N42" s="5" t="str">
        <f t="shared" si="2"/>
        <v/>
      </c>
      <c r="O42" s="5" t="str">
        <f t="shared" si="3"/>
        <v/>
      </c>
    </row>
    <row r="43" spans="1:15" x14ac:dyDescent="0.35">
      <c r="A43" s="1"/>
      <c r="B43" s="1"/>
      <c r="C43" s="13"/>
      <c r="D43" s="13"/>
      <c r="E43" s="35"/>
      <c r="F43" s="13"/>
      <c r="G43" s="1"/>
      <c r="H43" s="13"/>
      <c r="I43" s="1"/>
      <c r="J43" s="1"/>
      <c r="K43" s="13"/>
      <c r="L43" s="35"/>
      <c r="M43" s="13"/>
      <c r="N43" s="5" t="str">
        <f t="shared" si="2"/>
        <v/>
      </c>
      <c r="O43" s="5" t="str">
        <f t="shared" si="3"/>
        <v/>
      </c>
    </row>
    <row r="44" spans="1:15" x14ac:dyDescent="0.35">
      <c r="A44" s="1"/>
      <c r="B44" s="1"/>
      <c r="C44" s="13"/>
      <c r="D44" s="13"/>
      <c r="E44" s="35"/>
      <c r="F44" s="13"/>
      <c r="G44" s="1"/>
      <c r="H44" s="13"/>
      <c r="I44" s="1"/>
      <c r="J44" s="1"/>
      <c r="K44" s="13"/>
      <c r="L44" s="35"/>
      <c r="M44" s="13"/>
      <c r="N44" s="5" t="str">
        <f t="shared" si="2"/>
        <v/>
      </c>
      <c r="O44" s="5" t="str">
        <f t="shared" si="3"/>
        <v/>
      </c>
    </row>
    <row r="45" spans="1:15" x14ac:dyDescent="0.35">
      <c r="A45" s="1"/>
      <c r="B45" s="1"/>
      <c r="C45" s="13"/>
      <c r="D45" s="13"/>
      <c r="E45" s="35"/>
      <c r="F45" s="13"/>
      <c r="G45" s="1"/>
      <c r="H45" s="13"/>
      <c r="I45" s="1"/>
      <c r="J45" s="1"/>
      <c r="K45" s="13"/>
      <c r="L45" s="35"/>
      <c r="M45" s="13"/>
      <c r="N45" s="5" t="str">
        <f t="shared" si="2"/>
        <v/>
      </c>
      <c r="O45" s="5" t="str">
        <f t="shared" si="3"/>
        <v/>
      </c>
    </row>
    <row r="46" spans="1:15" x14ac:dyDescent="0.35">
      <c r="A46" s="1"/>
      <c r="B46" s="1"/>
      <c r="C46" s="13"/>
      <c r="D46" s="13"/>
      <c r="E46" s="35"/>
      <c r="F46" s="13"/>
      <c r="G46" s="1"/>
      <c r="H46" s="13"/>
      <c r="I46" s="1"/>
      <c r="J46" s="1"/>
      <c r="K46" s="13"/>
      <c r="L46" s="35"/>
      <c r="M46" s="13"/>
      <c r="N46" s="5" t="str">
        <f t="shared" si="2"/>
        <v/>
      </c>
      <c r="O46" s="5" t="str">
        <f t="shared" si="3"/>
        <v/>
      </c>
    </row>
    <row r="47" spans="1:15" x14ac:dyDescent="0.35">
      <c r="A47" s="1"/>
      <c r="B47" s="1"/>
      <c r="C47" s="13"/>
      <c r="D47" s="13"/>
      <c r="E47" s="35"/>
      <c r="F47" s="13"/>
      <c r="G47" s="1"/>
      <c r="H47" s="13"/>
      <c r="I47" s="1"/>
      <c r="J47" s="1"/>
      <c r="K47" s="13"/>
      <c r="L47" s="35"/>
      <c r="M47" s="13"/>
      <c r="N47" s="5" t="str">
        <f t="shared" si="2"/>
        <v/>
      </c>
      <c r="O47" s="5" t="str">
        <f t="shared" si="3"/>
        <v/>
      </c>
    </row>
    <row r="48" spans="1:15" x14ac:dyDescent="0.35">
      <c r="A48" s="1"/>
      <c r="B48" s="1"/>
      <c r="C48" s="13"/>
      <c r="D48" s="13"/>
      <c r="E48" s="35"/>
      <c r="F48" s="13"/>
      <c r="G48" s="1"/>
      <c r="H48" s="13"/>
      <c r="I48" s="1"/>
      <c r="J48" s="1"/>
      <c r="K48" s="13"/>
      <c r="L48" s="35"/>
      <c r="M48" s="13"/>
      <c r="N48" s="5" t="str">
        <f t="shared" si="2"/>
        <v/>
      </c>
      <c r="O48" s="5" t="str">
        <f t="shared" si="3"/>
        <v/>
      </c>
    </row>
    <row r="49" spans="1:15" x14ac:dyDescent="0.35">
      <c r="A49" s="1"/>
      <c r="B49" s="1"/>
      <c r="C49" s="13"/>
      <c r="D49" s="13"/>
      <c r="E49" s="35"/>
      <c r="F49" s="13"/>
      <c r="G49" s="1"/>
      <c r="H49" s="13"/>
      <c r="I49" s="1"/>
      <c r="J49" s="1"/>
      <c r="K49" s="13"/>
      <c r="L49" s="35"/>
      <c r="M49" s="13"/>
      <c r="N49" s="5" t="str">
        <f t="shared" si="2"/>
        <v/>
      </c>
      <c r="O49" s="5" t="str">
        <f t="shared" si="3"/>
        <v/>
      </c>
    </row>
    <row r="50" spans="1:15" x14ac:dyDescent="0.35">
      <c r="A50" s="1"/>
      <c r="B50" s="1"/>
      <c r="C50" s="13"/>
      <c r="D50" s="13"/>
      <c r="E50" s="35"/>
      <c r="F50" s="13"/>
      <c r="G50" s="1"/>
      <c r="H50" s="13"/>
      <c r="I50" s="1"/>
      <c r="J50" s="1"/>
      <c r="K50" s="13"/>
      <c r="L50" s="35"/>
      <c r="M50" s="13"/>
      <c r="N50" s="5" t="str">
        <f t="shared" si="2"/>
        <v/>
      </c>
      <c r="O50" s="5" t="str">
        <f t="shared" si="3"/>
        <v/>
      </c>
    </row>
    <row r="51" spans="1:15" x14ac:dyDescent="0.35">
      <c r="A51" s="1"/>
      <c r="B51" s="1"/>
      <c r="C51" s="13"/>
      <c r="D51" s="13"/>
      <c r="E51" s="35"/>
      <c r="F51" s="13"/>
      <c r="G51" s="1"/>
      <c r="H51" s="13"/>
      <c r="I51" s="1"/>
      <c r="J51" s="1"/>
      <c r="K51" s="13"/>
      <c r="L51" s="35"/>
      <c r="M51" s="13"/>
      <c r="N51" s="5" t="str">
        <f t="shared" si="2"/>
        <v/>
      </c>
      <c r="O51" s="5" t="str">
        <f t="shared" si="3"/>
        <v/>
      </c>
    </row>
    <row r="52" spans="1:15" x14ac:dyDescent="0.35">
      <c r="A52" s="1"/>
      <c r="B52" s="1"/>
      <c r="C52" s="13"/>
      <c r="D52" s="13"/>
      <c r="E52" s="35"/>
      <c r="F52" s="13"/>
      <c r="G52" s="1"/>
      <c r="H52" s="13"/>
      <c r="I52" s="1"/>
      <c r="J52" s="1"/>
      <c r="K52" s="13"/>
      <c r="L52" s="35"/>
      <c r="M52" s="13"/>
      <c r="N52" s="5" t="str">
        <f t="shared" si="2"/>
        <v/>
      </c>
      <c r="O52" s="5" t="str">
        <f t="shared" si="3"/>
        <v/>
      </c>
    </row>
    <row r="53" spans="1:15" x14ac:dyDescent="0.35">
      <c r="A53" s="1"/>
      <c r="B53" s="1"/>
      <c r="C53" s="13"/>
      <c r="D53" s="13"/>
      <c r="E53" s="35"/>
      <c r="F53" s="13"/>
      <c r="G53" s="1"/>
      <c r="H53" s="13"/>
      <c r="I53" s="1"/>
      <c r="J53" s="1"/>
      <c r="K53" s="13"/>
      <c r="L53" s="35"/>
      <c r="M53" s="13"/>
      <c r="N53" s="5" t="str">
        <f t="shared" si="2"/>
        <v/>
      </c>
      <c r="O53" s="5" t="str">
        <f t="shared" si="3"/>
        <v/>
      </c>
    </row>
    <row r="54" spans="1:15" x14ac:dyDescent="0.35">
      <c r="A54" s="1"/>
      <c r="B54" s="1"/>
      <c r="C54" s="13"/>
      <c r="D54" s="13"/>
      <c r="E54" s="35"/>
      <c r="F54" s="13"/>
      <c r="G54" s="1"/>
      <c r="H54" s="13"/>
      <c r="I54" s="1"/>
      <c r="J54" s="1"/>
      <c r="K54" s="13"/>
      <c r="L54" s="35"/>
      <c r="M54" s="13"/>
      <c r="N54" s="5" t="str">
        <f t="shared" si="2"/>
        <v/>
      </c>
      <c r="O54" s="5" t="str">
        <f t="shared" si="3"/>
        <v/>
      </c>
    </row>
    <row r="55" spans="1:15" x14ac:dyDescent="0.35">
      <c r="A55" s="1"/>
      <c r="B55" s="1"/>
      <c r="C55" s="13"/>
      <c r="D55" s="13"/>
      <c r="E55" s="35"/>
      <c r="F55" s="13"/>
      <c r="G55" s="1"/>
      <c r="H55" s="13"/>
      <c r="I55" s="1"/>
      <c r="J55" s="1"/>
      <c r="K55" s="13"/>
      <c r="L55" s="35"/>
      <c r="M55" s="13"/>
      <c r="N55" s="5" t="str">
        <f t="shared" si="2"/>
        <v/>
      </c>
      <c r="O55" s="5" t="str">
        <f t="shared" si="3"/>
        <v/>
      </c>
    </row>
    <row r="56" spans="1:15" x14ac:dyDescent="0.35">
      <c r="A56" s="1"/>
      <c r="B56" s="1"/>
      <c r="C56" s="13"/>
      <c r="D56" s="13"/>
      <c r="E56" s="35"/>
      <c r="F56" s="13"/>
      <c r="G56" s="1"/>
      <c r="H56" s="13"/>
      <c r="I56" s="1"/>
      <c r="J56" s="1"/>
      <c r="K56" s="13"/>
      <c r="L56" s="35"/>
      <c r="M56" s="13"/>
      <c r="N56" s="5" t="str">
        <f t="shared" si="2"/>
        <v/>
      </c>
      <c r="O56" s="5" t="str">
        <f t="shared" si="3"/>
        <v/>
      </c>
    </row>
    <row r="57" spans="1:15" x14ac:dyDescent="0.35">
      <c r="A57" s="1"/>
      <c r="B57" s="1"/>
      <c r="C57" s="13"/>
      <c r="D57" s="13"/>
      <c r="E57" s="35"/>
      <c r="F57" s="13"/>
      <c r="G57" s="1"/>
      <c r="H57" s="13"/>
      <c r="I57" s="1"/>
      <c r="J57" s="1"/>
      <c r="K57" s="13"/>
      <c r="L57" s="35"/>
      <c r="M57" s="13"/>
      <c r="N57" s="5" t="str">
        <f t="shared" si="2"/>
        <v/>
      </c>
      <c r="O57" s="5" t="str">
        <f t="shared" si="3"/>
        <v/>
      </c>
    </row>
    <row r="58" spans="1:15" x14ac:dyDescent="0.35">
      <c r="A58" s="1"/>
      <c r="B58" s="1"/>
      <c r="C58" s="13"/>
      <c r="D58" s="13"/>
      <c r="E58" s="35"/>
      <c r="F58" s="13"/>
      <c r="G58" s="1"/>
      <c r="H58" s="13"/>
      <c r="I58" s="1"/>
      <c r="J58" s="1"/>
      <c r="K58" s="13"/>
      <c r="L58" s="35"/>
      <c r="M58" s="13"/>
      <c r="N58" s="5" t="str">
        <f t="shared" si="2"/>
        <v/>
      </c>
      <c r="O58" s="5" t="str">
        <f t="shared" si="3"/>
        <v/>
      </c>
    </row>
    <row r="59" spans="1:15" x14ac:dyDescent="0.35">
      <c r="A59" s="1"/>
      <c r="B59" s="1"/>
      <c r="C59" s="13"/>
      <c r="D59" s="13"/>
      <c r="E59" s="35"/>
      <c r="F59" s="13"/>
      <c r="G59" s="1"/>
      <c r="H59" s="13"/>
      <c r="I59" s="1"/>
      <c r="J59" s="1"/>
      <c r="K59" s="13"/>
      <c r="L59" s="35"/>
      <c r="M59" s="13"/>
      <c r="N59" s="5" t="str">
        <f t="shared" si="2"/>
        <v/>
      </c>
      <c r="O59" s="5" t="str">
        <f t="shared" si="3"/>
        <v/>
      </c>
    </row>
    <row r="60" spans="1:15" x14ac:dyDescent="0.35">
      <c r="A60" s="1"/>
      <c r="B60" s="1"/>
      <c r="C60" s="13"/>
      <c r="D60" s="13"/>
      <c r="E60" s="35"/>
      <c r="F60" s="13"/>
      <c r="G60" s="1"/>
      <c r="H60" s="13"/>
      <c r="I60" s="1"/>
      <c r="J60" s="1"/>
      <c r="K60" s="13"/>
      <c r="L60" s="35"/>
      <c r="M60" s="13"/>
      <c r="N60" s="5" t="str">
        <f t="shared" si="2"/>
        <v/>
      </c>
      <c r="O60" s="5" t="str">
        <f t="shared" si="3"/>
        <v/>
      </c>
    </row>
    <row r="61" spans="1:15" x14ac:dyDescent="0.35">
      <c r="A61" s="1"/>
      <c r="B61" s="1"/>
      <c r="C61" s="13"/>
      <c r="D61" s="13"/>
      <c r="E61" s="35"/>
      <c r="F61" s="13"/>
      <c r="G61" s="1"/>
      <c r="H61" s="13"/>
      <c r="I61" s="1"/>
      <c r="J61" s="1"/>
      <c r="K61" s="13"/>
      <c r="L61" s="35"/>
      <c r="M61" s="13"/>
      <c r="N61" s="5" t="str">
        <f t="shared" si="2"/>
        <v/>
      </c>
      <c r="O61" s="5" t="str">
        <f t="shared" si="3"/>
        <v/>
      </c>
    </row>
    <row r="62" spans="1:15" x14ac:dyDescent="0.35">
      <c r="A62" s="1"/>
      <c r="B62" s="1"/>
      <c r="C62" s="13"/>
      <c r="D62" s="13"/>
      <c r="E62" s="35"/>
      <c r="F62" s="13"/>
      <c r="G62" s="1"/>
      <c r="H62" s="13"/>
      <c r="I62" s="1"/>
      <c r="J62" s="1"/>
      <c r="K62" s="13"/>
      <c r="L62" s="35"/>
      <c r="M62" s="13"/>
      <c r="N62" s="5" t="str">
        <f t="shared" si="2"/>
        <v/>
      </c>
      <c r="O62" s="5" t="str">
        <f t="shared" si="3"/>
        <v/>
      </c>
    </row>
    <row r="63" spans="1:15" x14ac:dyDescent="0.35">
      <c r="A63" s="1"/>
      <c r="B63" s="1"/>
      <c r="C63" s="13"/>
      <c r="D63" s="13"/>
      <c r="E63" s="35"/>
      <c r="F63" s="13"/>
      <c r="G63" s="1"/>
      <c r="H63" s="13"/>
      <c r="I63" s="1"/>
      <c r="J63" s="1"/>
      <c r="K63" s="13"/>
      <c r="L63" s="35"/>
      <c r="M63" s="13"/>
      <c r="N63" s="5" t="str">
        <f t="shared" si="2"/>
        <v/>
      </c>
      <c r="O63" s="5" t="str">
        <f t="shared" si="3"/>
        <v/>
      </c>
    </row>
    <row r="64" spans="1:15" x14ac:dyDescent="0.35">
      <c r="A64" s="1"/>
      <c r="B64" s="1"/>
      <c r="C64" s="13"/>
      <c r="D64" s="13"/>
      <c r="E64" s="35"/>
      <c r="F64" s="13"/>
      <c r="G64" s="1"/>
      <c r="H64" s="13"/>
      <c r="I64" s="1"/>
      <c r="J64" s="1"/>
      <c r="K64" s="13"/>
      <c r="L64" s="35"/>
      <c r="M64" s="13"/>
      <c r="N64" s="5" t="str">
        <f t="shared" si="2"/>
        <v/>
      </c>
      <c r="O64" s="5" t="str">
        <f t="shared" si="3"/>
        <v/>
      </c>
    </row>
    <row r="65" spans="1:15" x14ac:dyDescent="0.35">
      <c r="A65" s="1"/>
      <c r="B65" s="1"/>
      <c r="C65" s="13"/>
      <c r="D65" s="13"/>
      <c r="E65" s="35"/>
      <c r="F65" s="13"/>
      <c r="G65" s="1"/>
      <c r="H65" s="13"/>
      <c r="I65" s="1"/>
      <c r="J65" s="1"/>
      <c r="K65" s="13"/>
      <c r="L65" s="35"/>
      <c r="M65" s="13"/>
      <c r="N65" s="5" t="str">
        <f t="shared" si="2"/>
        <v/>
      </c>
      <c r="O65" s="5" t="str">
        <f t="shared" si="3"/>
        <v/>
      </c>
    </row>
    <row r="66" spans="1:15" x14ac:dyDescent="0.35">
      <c r="A66" s="1"/>
      <c r="B66" s="1"/>
      <c r="C66" s="13"/>
      <c r="D66" s="13"/>
      <c r="E66" s="35"/>
      <c r="F66" s="13"/>
      <c r="G66" s="1"/>
      <c r="H66" s="13"/>
      <c r="I66" s="1"/>
      <c r="J66" s="1"/>
      <c r="K66" s="13"/>
      <c r="L66" s="35"/>
      <c r="M66" s="13"/>
      <c r="N66" s="5" t="str">
        <f t="shared" si="2"/>
        <v/>
      </c>
      <c r="O66" s="5" t="str">
        <f t="shared" si="3"/>
        <v/>
      </c>
    </row>
    <row r="67" spans="1:15" x14ac:dyDescent="0.35">
      <c r="A67" s="1"/>
      <c r="B67" s="1"/>
      <c r="C67" s="13"/>
      <c r="D67" s="13"/>
      <c r="E67" s="35"/>
      <c r="F67" s="13"/>
      <c r="G67" s="1"/>
      <c r="H67" s="13"/>
      <c r="I67" s="1"/>
      <c r="J67" s="1"/>
      <c r="K67" s="13"/>
      <c r="L67" s="35"/>
      <c r="M67" s="13"/>
      <c r="N67" s="5" t="str">
        <f t="shared" si="2"/>
        <v/>
      </c>
      <c r="O67" s="5" t="str">
        <f t="shared" si="3"/>
        <v/>
      </c>
    </row>
    <row r="68" spans="1:15" x14ac:dyDescent="0.35">
      <c r="A68" s="1"/>
      <c r="B68" s="1"/>
      <c r="C68" s="13"/>
      <c r="D68" s="13"/>
      <c r="E68" s="35"/>
      <c r="F68" s="13"/>
      <c r="G68" s="1"/>
      <c r="H68" s="13"/>
      <c r="I68" s="1"/>
      <c r="J68" s="1"/>
      <c r="K68" s="13"/>
      <c r="L68" s="35"/>
      <c r="M68" s="13"/>
      <c r="N68" s="5" t="str">
        <f t="shared" si="2"/>
        <v/>
      </c>
      <c r="O68" s="5" t="str">
        <f t="shared" si="3"/>
        <v/>
      </c>
    </row>
    <row r="69" spans="1:15" x14ac:dyDescent="0.35">
      <c r="A69" s="1"/>
      <c r="B69" s="1"/>
      <c r="C69" s="13"/>
      <c r="D69" s="13"/>
      <c r="E69" s="35"/>
      <c r="F69" s="13"/>
      <c r="G69" s="1"/>
      <c r="H69" s="13"/>
      <c r="I69" s="1"/>
      <c r="J69" s="1"/>
      <c r="K69" s="13"/>
      <c r="L69" s="35"/>
      <c r="M69" s="13"/>
      <c r="N69" s="5" t="str">
        <f t="shared" si="2"/>
        <v/>
      </c>
      <c r="O69" s="5" t="str">
        <f t="shared" si="3"/>
        <v/>
      </c>
    </row>
    <row r="70" spans="1:15" x14ac:dyDescent="0.35">
      <c r="A70" s="1"/>
      <c r="B70" s="1"/>
      <c r="C70" s="13"/>
      <c r="D70" s="13"/>
      <c r="E70" s="35"/>
      <c r="F70" s="13"/>
      <c r="G70" s="1"/>
      <c r="H70" s="13"/>
      <c r="I70" s="1"/>
      <c r="J70" s="1"/>
      <c r="K70" s="13"/>
      <c r="L70" s="35"/>
      <c r="M70" s="13"/>
      <c r="N70" s="5" t="str">
        <f t="shared" ref="N70:N101" si="4">IF(A70="","",IF(M70&lt;&gt;"","Recebida",IF(K70&lt;&gt;"","Faturada – a receber",IF(H70&lt;&gt;"","Aprovada – faturar",IF(F70&lt;&gt;"","Em aprovação","Em preparação")))))</f>
        <v/>
      </c>
      <c r="O70" s="5" t="str">
        <f t="shared" ref="O70:O101" si="5">IF(AND(F70&lt;&gt;"",H70=""),DataRef-F70,"")</f>
        <v/>
      </c>
    </row>
    <row r="71" spans="1:15" x14ac:dyDescent="0.35">
      <c r="A71" s="1"/>
      <c r="B71" s="1"/>
      <c r="C71" s="13"/>
      <c r="D71" s="13"/>
      <c r="E71" s="35"/>
      <c r="F71" s="13"/>
      <c r="G71" s="1"/>
      <c r="H71" s="13"/>
      <c r="I71" s="1"/>
      <c r="J71" s="1"/>
      <c r="K71" s="13"/>
      <c r="L71" s="35"/>
      <c r="M71" s="13"/>
      <c r="N71" s="5" t="str">
        <f t="shared" si="4"/>
        <v/>
      </c>
      <c r="O71" s="5" t="str">
        <f t="shared" si="5"/>
        <v/>
      </c>
    </row>
    <row r="72" spans="1:15" x14ac:dyDescent="0.35">
      <c r="A72" s="1"/>
      <c r="B72" s="1"/>
      <c r="C72" s="13"/>
      <c r="D72" s="13"/>
      <c r="E72" s="35"/>
      <c r="F72" s="13"/>
      <c r="G72" s="1"/>
      <c r="H72" s="13"/>
      <c r="I72" s="1"/>
      <c r="J72" s="1"/>
      <c r="K72" s="13"/>
      <c r="L72" s="35"/>
      <c r="M72" s="13"/>
      <c r="N72" s="5" t="str">
        <f t="shared" si="4"/>
        <v/>
      </c>
      <c r="O72" s="5" t="str">
        <f t="shared" si="5"/>
        <v/>
      </c>
    </row>
    <row r="73" spans="1:15" x14ac:dyDescent="0.35">
      <c r="A73" s="1"/>
      <c r="B73" s="1"/>
      <c r="C73" s="13"/>
      <c r="D73" s="13"/>
      <c r="E73" s="35"/>
      <c r="F73" s="13"/>
      <c r="G73" s="1"/>
      <c r="H73" s="13"/>
      <c r="I73" s="1"/>
      <c r="J73" s="1"/>
      <c r="K73" s="13"/>
      <c r="L73" s="35"/>
      <c r="M73" s="13"/>
      <c r="N73" s="5" t="str">
        <f t="shared" si="4"/>
        <v/>
      </c>
      <c r="O73" s="5" t="str">
        <f t="shared" si="5"/>
        <v/>
      </c>
    </row>
    <row r="74" spans="1:15" x14ac:dyDescent="0.35">
      <c r="A74" s="1"/>
      <c r="B74" s="1"/>
      <c r="C74" s="13"/>
      <c r="D74" s="13"/>
      <c r="E74" s="35"/>
      <c r="F74" s="13"/>
      <c r="G74" s="1"/>
      <c r="H74" s="13"/>
      <c r="I74" s="1"/>
      <c r="J74" s="1"/>
      <c r="K74" s="13"/>
      <c r="L74" s="35"/>
      <c r="M74" s="13"/>
      <c r="N74" s="5" t="str">
        <f t="shared" si="4"/>
        <v/>
      </c>
      <c r="O74" s="5" t="str">
        <f t="shared" si="5"/>
        <v/>
      </c>
    </row>
    <row r="75" spans="1:15" x14ac:dyDescent="0.35">
      <c r="A75" s="1"/>
      <c r="B75" s="1"/>
      <c r="C75" s="13"/>
      <c r="D75" s="13"/>
      <c r="E75" s="35"/>
      <c r="F75" s="13"/>
      <c r="G75" s="1"/>
      <c r="H75" s="13"/>
      <c r="I75" s="1"/>
      <c r="J75" s="1"/>
      <c r="K75" s="13"/>
      <c r="L75" s="35"/>
      <c r="M75" s="13"/>
      <c r="N75" s="5" t="str">
        <f t="shared" si="4"/>
        <v/>
      </c>
      <c r="O75" s="5" t="str">
        <f t="shared" si="5"/>
        <v/>
      </c>
    </row>
    <row r="76" spans="1:15" x14ac:dyDescent="0.35">
      <c r="A76" s="1"/>
      <c r="B76" s="1"/>
      <c r="C76" s="13"/>
      <c r="D76" s="13"/>
      <c r="E76" s="35"/>
      <c r="F76" s="13"/>
      <c r="G76" s="1"/>
      <c r="H76" s="13"/>
      <c r="I76" s="1"/>
      <c r="J76" s="1"/>
      <c r="K76" s="13"/>
      <c r="L76" s="35"/>
      <c r="M76" s="13"/>
      <c r="N76" s="5" t="str">
        <f t="shared" si="4"/>
        <v/>
      </c>
      <c r="O76" s="5" t="str">
        <f t="shared" si="5"/>
        <v/>
      </c>
    </row>
    <row r="77" spans="1:15" x14ac:dyDescent="0.35">
      <c r="A77" s="1"/>
      <c r="B77" s="1"/>
      <c r="C77" s="13"/>
      <c r="D77" s="13"/>
      <c r="E77" s="35"/>
      <c r="F77" s="13"/>
      <c r="G77" s="1"/>
      <c r="H77" s="13"/>
      <c r="I77" s="1"/>
      <c r="J77" s="1"/>
      <c r="K77" s="13"/>
      <c r="L77" s="35"/>
      <c r="M77" s="13"/>
      <c r="N77" s="5" t="str">
        <f t="shared" si="4"/>
        <v/>
      </c>
      <c r="O77" s="5" t="str">
        <f t="shared" si="5"/>
        <v/>
      </c>
    </row>
    <row r="78" spans="1:15" x14ac:dyDescent="0.35">
      <c r="A78" s="1"/>
      <c r="B78" s="1"/>
      <c r="C78" s="13"/>
      <c r="D78" s="13"/>
      <c r="E78" s="35"/>
      <c r="F78" s="13"/>
      <c r="G78" s="1"/>
      <c r="H78" s="13"/>
      <c r="I78" s="1"/>
      <c r="J78" s="1"/>
      <c r="K78" s="13"/>
      <c r="L78" s="35"/>
      <c r="M78" s="13"/>
      <c r="N78" s="5" t="str">
        <f t="shared" si="4"/>
        <v/>
      </c>
      <c r="O78" s="5" t="str">
        <f t="shared" si="5"/>
        <v/>
      </c>
    </row>
    <row r="79" spans="1:15" x14ac:dyDescent="0.35">
      <c r="A79" s="1"/>
      <c r="B79" s="1"/>
      <c r="C79" s="13"/>
      <c r="D79" s="13"/>
      <c r="E79" s="35"/>
      <c r="F79" s="13"/>
      <c r="G79" s="1"/>
      <c r="H79" s="13"/>
      <c r="I79" s="1"/>
      <c r="J79" s="1"/>
      <c r="K79" s="13"/>
      <c r="L79" s="35"/>
      <c r="M79" s="13"/>
      <c r="N79" s="5" t="str">
        <f t="shared" si="4"/>
        <v/>
      </c>
      <c r="O79" s="5" t="str">
        <f t="shared" si="5"/>
        <v/>
      </c>
    </row>
    <row r="80" spans="1:15" x14ac:dyDescent="0.35">
      <c r="A80" s="1"/>
      <c r="B80" s="1"/>
      <c r="C80" s="13"/>
      <c r="D80" s="13"/>
      <c r="E80" s="35"/>
      <c r="F80" s="13"/>
      <c r="G80" s="1"/>
      <c r="H80" s="13"/>
      <c r="I80" s="1"/>
      <c r="J80" s="1"/>
      <c r="K80" s="13"/>
      <c r="L80" s="35"/>
      <c r="M80" s="13"/>
      <c r="N80" s="5" t="str">
        <f t="shared" si="4"/>
        <v/>
      </c>
      <c r="O80" s="5" t="str">
        <f t="shared" si="5"/>
        <v/>
      </c>
    </row>
    <row r="81" spans="1:15" x14ac:dyDescent="0.35">
      <c r="A81" s="1"/>
      <c r="B81" s="1"/>
      <c r="C81" s="13"/>
      <c r="D81" s="13"/>
      <c r="E81" s="35"/>
      <c r="F81" s="13"/>
      <c r="G81" s="1"/>
      <c r="H81" s="13"/>
      <c r="I81" s="1"/>
      <c r="J81" s="1"/>
      <c r="K81" s="13"/>
      <c r="L81" s="35"/>
      <c r="M81" s="13"/>
      <c r="N81" s="5" t="str">
        <f t="shared" si="4"/>
        <v/>
      </c>
      <c r="O81" s="5" t="str">
        <f t="shared" si="5"/>
        <v/>
      </c>
    </row>
    <row r="82" spans="1:15" x14ac:dyDescent="0.35">
      <c r="A82" s="1"/>
      <c r="B82" s="1"/>
      <c r="C82" s="13"/>
      <c r="D82" s="13"/>
      <c r="E82" s="35"/>
      <c r="F82" s="13"/>
      <c r="G82" s="1"/>
      <c r="H82" s="13"/>
      <c r="I82" s="1"/>
      <c r="J82" s="1"/>
      <c r="K82" s="13"/>
      <c r="L82" s="35"/>
      <c r="M82" s="13"/>
      <c r="N82" s="5" t="str">
        <f t="shared" si="4"/>
        <v/>
      </c>
      <c r="O82" s="5" t="str">
        <f t="shared" si="5"/>
        <v/>
      </c>
    </row>
    <row r="83" spans="1:15" x14ac:dyDescent="0.35">
      <c r="A83" s="1"/>
      <c r="B83" s="1"/>
      <c r="C83" s="13"/>
      <c r="D83" s="13"/>
      <c r="E83" s="35"/>
      <c r="F83" s="13"/>
      <c r="G83" s="1"/>
      <c r="H83" s="13"/>
      <c r="I83" s="1"/>
      <c r="J83" s="1"/>
      <c r="K83" s="13"/>
      <c r="L83" s="35"/>
      <c r="M83" s="13"/>
      <c r="N83" s="5" t="str">
        <f t="shared" si="4"/>
        <v/>
      </c>
      <c r="O83" s="5" t="str">
        <f t="shared" si="5"/>
        <v/>
      </c>
    </row>
    <row r="84" spans="1:15" x14ac:dyDescent="0.35">
      <c r="A84" s="1"/>
      <c r="B84" s="1"/>
      <c r="C84" s="13"/>
      <c r="D84" s="13"/>
      <c r="E84" s="35"/>
      <c r="F84" s="13"/>
      <c r="G84" s="1"/>
      <c r="H84" s="13"/>
      <c r="I84" s="1"/>
      <c r="J84" s="1"/>
      <c r="K84" s="13"/>
      <c r="L84" s="35"/>
      <c r="M84" s="13"/>
      <c r="N84" s="5" t="str">
        <f t="shared" si="4"/>
        <v/>
      </c>
      <c r="O84" s="5" t="str">
        <f t="shared" si="5"/>
        <v/>
      </c>
    </row>
    <row r="85" spans="1:15" x14ac:dyDescent="0.35">
      <c r="A85" s="1"/>
      <c r="B85" s="1"/>
      <c r="C85" s="13"/>
      <c r="D85" s="13"/>
      <c r="E85" s="35"/>
      <c r="F85" s="13"/>
      <c r="G85" s="1"/>
      <c r="H85" s="13"/>
      <c r="I85" s="1"/>
      <c r="J85" s="1"/>
      <c r="K85" s="13"/>
      <c r="L85" s="35"/>
      <c r="M85" s="13"/>
      <c r="N85" s="5" t="str">
        <f t="shared" si="4"/>
        <v/>
      </c>
      <c r="O85" s="5" t="str">
        <f t="shared" si="5"/>
        <v/>
      </c>
    </row>
    <row r="86" spans="1:15" x14ac:dyDescent="0.35">
      <c r="A86" s="1"/>
      <c r="B86" s="1"/>
      <c r="C86" s="13"/>
      <c r="D86" s="13"/>
      <c r="E86" s="35"/>
      <c r="F86" s="13"/>
      <c r="G86" s="1"/>
      <c r="H86" s="13"/>
      <c r="I86" s="1"/>
      <c r="J86" s="1"/>
      <c r="K86" s="13"/>
      <c r="L86" s="35"/>
      <c r="M86" s="13"/>
      <c r="N86" s="5" t="str">
        <f t="shared" si="4"/>
        <v/>
      </c>
      <c r="O86" s="5" t="str">
        <f t="shared" si="5"/>
        <v/>
      </c>
    </row>
    <row r="87" spans="1:15" x14ac:dyDescent="0.35">
      <c r="A87" s="1"/>
      <c r="B87" s="1"/>
      <c r="C87" s="13"/>
      <c r="D87" s="13"/>
      <c r="E87" s="35"/>
      <c r="F87" s="13"/>
      <c r="G87" s="1"/>
      <c r="H87" s="13"/>
      <c r="I87" s="1"/>
      <c r="J87" s="1"/>
      <c r="K87" s="13"/>
      <c r="L87" s="35"/>
      <c r="M87" s="13"/>
      <c r="N87" s="5" t="str">
        <f t="shared" si="4"/>
        <v/>
      </c>
      <c r="O87" s="5" t="str">
        <f t="shared" si="5"/>
        <v/>
      </c>
    </row>
    <row r="88" spans="1:15" x14ac:dyDescent="0.35">
      <c r="A88" s="1"/>
      <c r="B88" s="1"/>
      <c r="C88" s="13"/>
      <c r="D88" s="13"/>
      <c r="E88" s="35"/>
      <c r="F88" s="13"/>
      <c r="G88" s="1"/>
      <c r="H88" s="13"/>
      <c r="I88" s="1"/>
      <c r="J88" s="1"/>
      <c r="K88" s="13"/>
      <c r="L88" s="35"/>
      <c r="M88" s="13"/>
      <c r="N88" s="5" t="str">
        <f t="shared" si="4"/>
        <v/>
      </c>
      <c r="O88" s="5" t="str">
        <f t="shared" si="5"/>
        <v/>
      </c>
    </row>
    <row r="89" spans="1:15" x14ac:dyDescent="0.35">
      <c r="A89" s="1"/>
      <c r="B89" s="1"/>
      <c r="C89" s="13"/>
      <c r="D89" s="13"/>
      <c r="E89" s="35"/>
      <c r="F89" s="13"/>
      <c r="G89" s="1"/>
      <c r="H89" s="13"/>
      <c r="I89" s="1"/>
      <c r="J89" s="1"/>
      <c r="K89" s="13"/>
      <c r="L89" s="35"/>
      <c r="M89" s="13"/>
      <c r="N89" s="5" t="str">
        <f t="shared" si="4"/>
        <v/>
      </c>
      <c r="O89" s="5" t="str">
        <f t="shared" si="5"/>
        <v/>
      </c>
    </row>
    <row r="90" spans="1:15" x14ac:dyDescent="0.35">
      <c r="A90" s="1"/>
      <c r="B90" s="1"/>
      <c r="C90" s="13"/>
      <c r="D90" s="13"/>
      <c r="E90" s="35"/>
      <c r="F90" s="13"/>
      <c r="G90" s="1"/>
      <c r="H90" s="13"/>
      <c r="I90" s="1"/>
      <c r="J90" s="1"/>
      <c r="K90" s="13"/>
      <c r="L90" s="35"/>
      <c r="M90" s="13"/>
      <c r="N90" s="5" t="str">
        <f t="shared" si="4"/>
        <v/>
      </c>
      <c r="O90" s="5" t="str">
        <f t="shared" si="5"/>
        <v/>
      </c>
    </row>
    <row r="91" spans="1:15" x14ac:dyDescent="0.35">
      <c r="A91" s="1"/>
      <c r="B91" s="1"/>
      <c r="C91" s="13"/>
      <c r="D91" s="13"/>
      <c r="E91" s="35"/>
      <c r="F91" s="13"/>
      <c r="G91" s="1"/>
      <c r="H91" s="13"/>
      <c r="I91" s="1"/>
      <c r="J91" s="1"/>
      <c r="K91" s="13"/>
      <c r="L91" s="35"/>
      <c r="M91" s="13"/>
      <c r="N91" s="5" t="str">
        <f t="shared" si="4"/>
        <v/>
      </c>
      <c r="O91" s="5" t="str">
        <f t="shared" si="5"/>
        <v/>
      </c>
    </row>
    <row r="92" spans="1:15" x14ac:dyDescent="0.35">
      <c r="A92" s="1"/>
      <c r="B92" s="1"/>
      <c r="C92" s="13"/>
      <c r="D92" s="13"/>
      <c r="E92" s="35"/>
      <c r="F92" s="13"/>
      <c r="G92" s="1"/>
      <c r="H92" s="13"/>
      <c r="I92" s="1"/>
      <c r="J92" s="1"/>
      <c r="K92" s="13"/>
      <c r="L92" s="35"/>
      <c r="M92" s="13"/>
      <c r="N92" s="5" t="str">
        <f t="shared" si="4"/>
        <v/>
      </c>
      <c r="O92" s="5" t="str">
        <f t="shared" si="5"/>
        <v/>
      </c>
    </row>
    <row r="93" spans="1:15" x14ac:dyDescent="0.35">
      <c r="A93" s="1"/>
      <c r="B93" s="1"/>
      <c r="C93" s="13"/>
      <c r="D93" s="13"/>
      <c r="E93" s="35"/>
      <c r="F93" s="13"/>
      <c r="G93" s="1"/>
      <c r="H93" s="13"/>
      <c r="I93" s="1"/>
      <c r="J93" s="1"/>
      <c r="K93" s="13"/>
      <c r="L93" s="35"/>
      <c r="M93" s="13"/>
      <c r="N93" s="5" t="str">
        <f t="shared" si="4"/>
        <v/>
      </c>
      <c r="O93" s="5" t="str">
        <f t="shared" si="5"/>
        <v/>
      </c>
    </row>
    <row r="94" spans="1:15" x14ac:dyDescent="0.35">
      <c r="A94" s="1"/>
      <c r="B94" s="1"/>
      <c r="C94" s="13"/>
      <c r="D94" s="13"/>
      <c r="E94" s="35"/>
      <c r="F94" s="13"/>
      <c r="G94" s="1"/>
      <c r="H94" s="13"/>
      <c r="I94" s="1"/>
      <c r="J94" s="1"/>
      <c r="K94" s="13"/>
      <c r="L94" s="35"/>
      <c r="M94" s="13"/>
      <c r="N94" s="5" t="str">
        <f t="shared" si="4"/>
        <v/>
      </c>
      <c r="O94" s="5" t="str">
        <f t="shared" si="5"/>
        <v/>
      </c>
    </row>
    <row r="95" spans="1:15" x14ac:dyDescent="0.35">
      <c r="A95" s="1"/>
      <c r="B95" s="1"/>
      <c r="C95" s="13"/>
      <c r="D95" s="13"/>
      <c r="E95" s="35"/>
      <c r="F95" s="13"/>
      <c r="G95" s="1"/>
      <c r="H95" s="13"/>
      <c r="I95" s="1"/>
      <c r="J95" s="1"/>
      <c r="K95" s="13"/>
      <c r="L95" s="35"/>
      <c r="M95" s="13"/>
      <c r="N95" s="5" t="str">
        <f t="shared" si="4"/>
        <v/>
      </c>
      <c r="O95" s="5" t="str">
        <f t="shared" si="5"/>
        <v/>
      </c>
    </row>
    <row r="96" spans="1:15" x14ac:dyDescent="0.35">
      <c r="A96" s="1"/>
      <c r="B96" s="1"/>
      <c r="C96" s="13"/>
      <c r="D96" s="13"/>
      <c r="E96" s="35"/>
      <c r="F96" s="13"/>
      <c r="G96" s="1"/>
      <c r="H96" s="13"/>
      <c r="I96" s="1"/>
      <c r="J96" s="1"/>
      <c r="K96" s="13"/>
      <c r="L96" s="35"/>
      <c r="M96" s="13"/>
      <c r="N96" s="5" t="str">
        <f t="shared" si="4"/>
        <v/>
      </c>
      <c r="O96" s="5" t="str">
        <f t="shared" si="5"/>
        <v/>
      </c>
    </row>
    <row r="97" spans="1:15" x14ac:dyDescent="0.35">
      <c r="A97" s="1"/>
      <c r="B97" s="1"/>
      <c r="C97" s="13"/>
      <c r="D97" s="13"/>
      <c r="E97" s="35"/>
      <c r="F97" s="13"/>
      <c r="G97" s="1"/>
      <c r="H97" s="13"/>
      <c r="I97" s="1"/>
      <c r="J97" s="1"/>
      <c r="K97" s="13"/>
      <c r="L97" s="35"/>
      <c r="M97" s="13"/>
      <c r="N97" s="5" t="str">
        <f t="shared" si="4"/>
        <v/>
      </c>
      <c r="O97" s="5" t="str">
        <f t="shared" si="5"/>
        <v/>
      </c>
    </row>
    <row r="98" spans="1:15" x14ac:dyDescent="0.35">
      <c r="A98" s="1"/>
      <c r="B98" s="1"/>
      <c r="C98" s="13"/>
      <c r="D98" s="13"/>
      <c r="E98" s="35"/>
      <c r="F98" s="13"/>
      <c r="G98" s="1"/>
      <c r="H98" s="13"/>
      <c r="I98" s="1"/>
      <c r="J98" s="1"/>
      <c r="K98" s="13"/>
      <c r="L98" s="35"/>
      <c r="M98" s="13"/>
      <c r="N98" s="5" t="str">
        <f t="shared" si="4"/>
        <v/>
      </c>
      <c r="O98" s="5" t="str">
        <f t="shared" si="5"/>
        <v/>
      </c>
    </row>
    <row r="99" spans="1:15" x14ac:dyDescent="0.35">
      <c r="A99" s="1"/>
      <c r="B99" s="1"/>
      <c r="C99" s="13"/>
      <c r="D99" s="13"/>
      <c r="E99" s="35"/>
      <c r="F99" s="13"/>
      <c r="G99" s="1"/>
      <c r="H99" s="13"/>
      <c r="I99" s="1"/>
      <c r="J99" s="1"/>
      <c r="K99" s="13"/>
      <c r="L99" s="35"/>
      <c r="M99" s="13"/>
      <c r="N99" s="5" t="str">
        <f t="shared" si="4"/>
        <v/>
      </c>
      <c r="O99" s="5" t="str">
        <f t="shared" si="5"/>
        <v/>
      </c>
    </row>
    <row r="100" spans="1:15" x14ac:dyDescent="0.35">
      <c r="A100" s="1"/>
      <c r="B100" s="1"/>
      <c r="C100" s="13"/>
      <c r="D100" s="13"/>
      <c r="E100" s="35"/>
      <c r="F100" s="13"/>
      <c r="G100" s="1"/>
      <c r="H100" s="13"/>
      <c r="I100" s="1"/>
      <c r="J100" s="1"/>
      <c r="K100" s="13"/>
      <c r="L100" s="35"/>
      <c r="M100" s="13"/>
      <c r="N100" s="5" t="str">
        <f t="shared" si="4"/>
        <v/>
      </c>
      <c r="O100" s="5" t="str">
        <f t="shared" si="5"/>
        <v/>
      </c>
    </row>
    <row r="101" spans="1:15" x14ac:dyDescent="0.35">
      <c r="A101" s="1"/>
      <c r="B101" s="1"/>
      <c r="C101" s="13"/>
      <c r="D101" s="13"/>
      <c r="E101" s="35"/>
      <c r="F101" s="13"/>
      <c r="G101" s="1"/>
      <c r="H101" s="13"/>
      <c r="I101" s="1"/>
      <c r="J101" s="1"/>
      <c r="K101" s="13"/>
      <c r="L101" s="35"/>
      <c r="M101" s="13"/>
      <c r="N101" s="5" t="str">
        <f t="shared" si="4"/>
        <v/>
      </c>
      <c r="O101" s="5" t="str">
        <f t="shared" si="5"/>
        <v/>
      </c>
    </row>
    <row r="102" spans="1:15" x14ac:dyDescent="0.35">
      <c r="A102" s="1"/>
      <c r="B102" s="1"/>
      <c r="C102" s="13"/>
      <c r="D102" s="13"/>
      <c r="E102" s="35"/>
      <c r="F102" s="13"/>
      <c r="G102" s="1"/>
      <c r="H102" s="13"/>
      <c r="I102" s="1"/>
      <c r="J102" s="1"/>
      <c r="K102" s="13"/>
      <c r="L102" s="35"/>
      <c r="M102" s="13"/>
      <c r="N102" s="5" t="str">
        <f t="shared" ref="N102:N133" si="6">IF(A102="","",IF(M102&lt;&gt;"","Recebida",IF(K102&lt;&gt;"","Faturada – a receber",IF(H102&lt;&gt;"","Aprovada – faturar",IF(F102&lt;&gt;"","Em aprovação","Em preparação")))))</f>
        <v/>
      </c>
      <c r="O102" s="5" t="str">
        <f t="shared" ref="O102:O133" si="7">IF(AND(F102&lt;&gt;"",H102=""),DataRef-F102,"")</f>
        <v/>
      </c>
    </row>
    <row r="103" spans="1:15" x14ac:dyDescent="0.35">
      <c r="A103" s="1"/>
      <c r="B103" s="1"/>
      <c r="C103" s="13"/>
      <c r="D103" s="13"/>
      <c r="E103" s="35"/>
      <c r="F103" s="13"/>
      <c r="G103" s="1"/>
      <c r="H103" s="13"/>
      <c r="I103" s="1"/>
      <c r="J103" s="1"/>
      <c r="K103" s="13"/>
      <c r="L103" s="35"/>
      <c r="M103" s="13"/>
      <c r="N103" s="5" t="str">
        <f t="shared" si="6"/>
        <v/>
      </c>
      <c r="O103" s="5" t="str">
        <f t="shared" si="7"/>
        <v/>
      </c>
    </row>
    <row r="104" spans="1:15" x14ac:dyDescent="0.35">
      <c r="A104" s="1"/>
      <c r="B104" s="1"/>
      <c r="C104" s="13"/>
      <c r="D104" s="13"/>
      <c r="E104" s="35"/>
      <c r="F104" s="13"/>
      <c r="G104" s="1"/>
      <c r="H104" s="13"/>
      <c r="I104" s="1"/>
      <c r="J104" s="1"/>
      <c r="K104" s="13"/>
      <c r="L104" s="35"/>
      <c r="M104" s="13"/>
      <c r="N104" s="5" t="str">
        <f t="shared" si="6"/>
        <v/>
      </c>
      <c r="O104" s="5" t="str">
        <f t="shared" si="7"/>
        <v/>
      </c>
    </row>
    <row r="105" spans="1:15" x14ac:dyDescent="0.35">
      <c r="A105" s="1"/>
      <c r="B105" s="1"/>
      <c r="C105" s="13"/>
      <c r="D105" s="13"/>
      <c r="E105" s="35"/>
      <c r="F105" s="13"/>
      <c r="G105" s="1"/>
      <c r="H105" s="13"/>
      <c r="I105" s="1"/>
      <c r="J105" s="1"/>
      <c r="K105" s="13"/>
      <c r="L105" s="35"/>
      <c r="M105" s="13"/>
      <c r="N105" s="5" t="str">
        <f t="shared" si="6"/>
        <v/>
      </c>
      <c r="O105" s="5" t="str">
        <f t="shared" si="7"/>
        <v/>
      </c>
    </row>
    <row r="106" spans="1:15" x14ac:dyDescent="0.35">
      <c r="A106" s="1"/>
      <c r="B106" s="1"/>
      <c r="C106" s="13"/>
      <c r="D106" s="13"/>
      <c r="E106" s="35"/>
      <c r="F106" s="13"/>
      <c r="G106" s="1"/>
      <c r="H106" s="13"/>
      <c r="I106" s="1"/>
      <c r="J106" s="1"/>
      <c r="K106" s="13"/>
      <c r="L106" s="35"/>
      <c r="M106" s="13"/>
      <c r="N106" s="5" t="str">
        <f t="shared" si="6"/>
        <v/>
      </c>
      <c r="O106" s="5" t="str">
        <f t="shared" si="7"/>
        <v/>
      </c>
    </row>
    <row r="107" spans="1:15" x14ac:dyDescent="0.35">
      <c r="A107" s="1"/>
      <c r="B107" s="1"/>
      <c r="C107" s="13"/>
      <c r="D107" s="13"/>
      <c r="E107" s="35"/>
      <c r="F107" s="13"/>
      <c r="G107" s="1"/>
      <c r="H107" s="13"/>
      <c r="I107" s="1"/>
      <c r="J107" s="1"/>
      <c r="K107" s="13"/>
      <c r="L107" s="35"/>
      <c r="M107" s="13"/>
      <c r="N107" s="5" t="str">
        <f t="shared" si="6"/>
        <v/>
      </c>
      <c r="O107" s="5" t="str">
        <f t="shared" si="7"/>
        <v/>
      </c>
    </row>
    <row r="108" spans="1:15" x14ac:dyDescent="0.35">
      <c r="A108" s="1"/>
      <c r="B108" s="1"/>
      <c r="C108" s="13"/>
      <c r="D108" s="13"/>
      <c r="E108" s="35"/>
      <c r="F108" s="13"/>
      <c r="G108" s="1"/>
      <c r="H108" s="13"/>
      <c r="I108" s="1"/>
      <c r="J108" s="1"/>
      <c r="K108" s="13"/>
      <c r="L108" s="35"/>
      <c r="M108" s="13"/>
      <c r="N108" s="5" t="str">
        <f t="shared" si="6"/>
        <v/>
      </c>
      <c r="O108" s="5" t="str">
        <f t="shared" si="7"/>
        <v/>
      </c>
    </row>
    <row r="109" spans="1:15" x14ac:dyDescent="0.35">
      <c r="A109" s="1"/>
      <c r="B109" s="1"/>
      <c r="C109" s="13"/>
      <c r="D109" s="13"/>
      <c r="E109" s="35"/>
      <c r="F109" s="13"/>
      <c r="G109" s="1"/>
      <c r="H109" s="13"/>
      <c r="I109" s="1"/>
      <c r="J109" s="1"/>
      <c r="K109" s="13"/>
      <c r="L109" s="35"/>
      <c r="M109" s="13"/>
      <c r="N109" s="5" t="str">
        <f t="shared" si="6"/>
        <v/>
      </c>
      <c r="O109" s="5" t="str">
        <f t="shared" si="7"/>
        <v/>
      </c>
    </row>
    <row r="110" spans="1:15" x14ac:dyDescent="0.35">
      <c r="A110" s="1"/>
      <c r="B110" s="1"/>
      <c r="C110" s="13"/>
      <c r="D110" s="13"/>
      <c r="E110" s="35"/>
      <c r="F110" s="13"/>
      <c r="G110" s="1"/>
      <c r="H110" s="13"/>
      <c r="I110" s="1"/>
      <c r="J110" s="1"/>
      <c r="K110" s="13"/>
      <c r="L110" s="35"/>
      <c r="M110" s="13"/>
      <c r="N110" s="5" t="str">
        <f t="shared" si="6"/>
        <v/>
      </c>
      <c r="O110" s="5" t="str">
        <f t="shared" si="7"/>
        <v/>
      </c>
    </row>
    <row r="111" spans="1:15" x14ac:dyDescent="0.35">
      <c r="A111" s="1"/>
      <c r="B111" s="1"/>
      <c r="C111" s="13"/>
      <c r="D111" s="13"/>
      <c r="E111" s="35"/>
      <c r="F111" s="13"/>
      <c r="G111" s="1"/>
      <c r="H111" s="13"/>
      <c r="I111" s="1"/>
      <c r="J111" s="1"/>
      <c r="K111" s="13"/>
      <c r="L111" s="35"/>
      <c r="M111" s="13"/>
      <c r="N111" s="5" t="str">
        <f t="shared" si="6"/>
        <v/>
      </c>
      <c r="O111" s="5" t="str">
        <f t="shared" si="7"/>
        <v/>
      </c>
    </row>
    <row r="112" spans="1:15" x14ac:dyDescent="0.35">
      <c r="A112" s="1"/>
      <c r="B112" s="1"/>
      <c r="C112" s="13"/>
      <c r="D112" s="13"/>
      <c r="E112" s="35"/>
      <c r="F112" s="13"/>
      <c r="G112" s="1"/>
      <c r="H112" s="13"/>
      <c r="I112" s="1"/>
      <c r="J112" s="1"/>
      <c r="K112" s="13"/>
      <c r="L112" s="35"/>
      <c r="M112" s="13"/>
      <c r="N112" s="5" t="str">
        <f t="shared" si="6"/>
        <v/>
      </c>
      <c r="O112" s="5" t="str">
        <f t="shared" si="7"/>
        <v/>
      </c>
    </row>
    <row r="113" spans="1:15" x14ac:dyDescent="0.35">
      <c r="A113" s="1"/>
      <c r="B113" s="1"/>
      <c r="C113" s="13"/>
      <c r="D113" s="13"/>
      <c r="E113" s="35"/>
      <c r="F113" s="13"/>
      <c r="G113" s="1"/>
      <c r="H113" s="13"/>
      <c r="I113" s="1"/>
      <c r="J113" s="1"/>
      <c r="K113" s="13"/>
      <c r="L113" s="35"/>
      <c r="M113" s="13"/>
      <c r="N113" s="5" t="str">
        <f t="shared" si="6"/>
        <v/>
      </c>
      <c r="O113" s="5" t="str">
        <f t="shared" si="7"/>
        <v/>
      </c>
    </row>
    <row r="114" spans="1:15" x14ac:dyDescent="0.35">
      <c r="A114" s="1"/>
      <c r="B114" s="1"/>
      <c r="C114" s="13"/>
      <c r="D114" s="13"/>
      <c r="E114" s="35"/>
      <c r="F114" s="13"/>
      <c r="G114" s="1"/>
      <c r="H114" s="13"/>
      <c r="I114" s="1"/>
      <c r="J114" s="1"/>
      <c r="K114" s="13"/>
      <c r="L114" s="35"/>
      <c r="M114" s="13"/>
      <c r="N114" s="5" t="str">
        <f t="shared" si="6"/>
        <v/>
      </c>
      <c r="O114" s="5" t="str">
        <f t="shared" si="7"/>
        <v/>
      </c>
    </row>
    <row r="115" spans="1:15" x14ac:dyDescent="0.35">
      <c r="A115" s="1"/>
      <c r="B115" s="1"/>
      <c r="C115" s="13"/>
      <c r="D115" s="13"/>
      <c r="E115" s="35"/>
      <c r="F115" s="13"/>
      <c r="G115" s="1"/>
      <c r="H115" s="13"/>
      <c r="I115" s="1"/>
      <c r="J115" s="1"/>
      <c r="K115" s="13"/>
      <c r="L115" s="35"/>
      <c r="M115" s="13"/>
      <c r="N115" s="5" t="str">
        <f t="shared" si="6"/>
        <v/>
      </c>
      <c r="O115" s="5" t="str">
        <f t="shared" si="7"/>
        <v/>
      </c>
    </row>
    <row r="116" spans="1:15" x14ac:dyDescent="0.35">
      <c r="A116" s="1"/>
      <c r="B116" s="1"/>
      <c r="C116" s="13"/>
      <c r="D116" s="13"/>
      <c r="E116" s="35"/>
      <c r="F116" s="13"/>
      <c r="G116" s="1"/>
      <c r="H116" s="13"/>
      <c r="I116" s="1"/>
      <c r="J116" s="1"/>
      <c r="K116" s="13"/>
      <c r="L116" s="35"/>
      <c r="M116" s="13"/>
      <c r="N116" s="5" t="str">
        <f t="shared" si="6"/>
        <v/>
      </c>
      <c r="O116" s="5" t="str">
        <f t="shared" si="7"/>
        <v/>
      </c>
    </row>
    <row r="117" spans="1:15" x14ac:dyDescent="0.35">
      <c r="A117" s="1"/>
      <c r="B117" s="1"/>
      <c r="C117" s="13"/>
      <c r="D117" s="13"/>
      <c r="E117" s="35"/>
      <c r="F117" s="13"/>
      <c r="G117" s="1"/>
      <c r="H117" s="13"/>
      <c r="I117" s="1"/>
      <c r="J117" s="1"/>
      <c r="K117" s="13"/>
      <c r="L117" s="35"/>
      <c r="M117" s="13"/>
      <c r="N117" s="5" t="str">
        <f t="shared" si="6"/>
        <v/>
      </c>
      <c r="O117" s="5" t="str">
        <f t="shared" si="7"/>
        <v/>
      </c>
    </row>
    <row r="118" spans="1:15" x14ac:dyDescent="0.35">
      <c r="A118" s="1"/>
      <c r="B118" s="1"/>
      <c r="C118" s="13"/>
      <c r="D118" s="13"/>
      <c r="E118" s="35"/>
      <c r="F118" s="13"/>
      <c r="G118" s="1"/>
      <c r="H118" s="13"/>
      <c r="I118" s="1"/>
      <c r="J118" s="1"/>
      <c r="K118" s="13"/>
      <c r="L118" s="35"/>
      <c r="M118" s="13"/>
      <c r="N118" s="5" t="str">
        <f t="shared" si="6"/>
        <v/>
      </c>
      <c r="O118" s="5" t="str">
        <f t="shared" si="7"/>
        <v/>
      </c>
    </row>
    <row r="119" spans="1:15" x14ac:dyDescent="0.35">
      <c r="A119" s="1"/>
      <c r="B119" s="1"/>
      <c r="C119" s="13"/>
      <c r="D119" s="13"/>
      <c r="E119" s="35"/>
      <c r="F119" s="13"/>
      <c r="G119" s="1"/>
      <c r="H119" s="13"/>
      <c r="I119" s="1"/>
      <c r="J119" s="1"/>
      <c r="K119" s="13"/>
      <c r="L119" s="35"/>
      <c r="M119" s="13"/>
      <c r="N119" s="5" t="str">
        <f t="shared" si="6"/>
        <v/>
      </c>
      <c r="O119" s="5" t="str">
        <f t="shared" si="7"/>
        <v/>
      </c>
    </row>
    <row r="120" spans="1:15" x14ac:dyDescent="0.35">
      <c r="A120" s="1"/>
      <c r="B120" s="1"/>
      <c r="C120" s="13"/>
      <c r="D120" s="13"/>
      <c r="E120" s="35"/>
      <c r="F120" s="13"/>
      <c r="G120" s="1"/>
      <c r="H120" s="13"/>
      <c r="I120" s="1"/>
      <c r="J120" s="1"/>
      <c r="K120" s="13"/>
      <c r="L120" s="35"/>
      <c r="M120" s="13"/>
      <c r="N120" s="5" t="str">
        <f t="shared" si="6"/>
        <v/>
      </c>
      <c r="O120" s="5" t="str">
        <f t="shared" si="7"/>
        <v/>
      </c>
    </row>
    <row r="121" spans="1:15" x14ac:dyDescent="0.35">
      <c r="A121" s="1"/>
      <c r="B121" s="1"/>
      <c r="C121" s="13"/>
      <c r="D121" s="13"/>
      <c r="E121" s="35"/>
      <c r="F121" s="13"/>
      <c r="G121" s="1"/>
      <c r="H121" s="13"/>
      <c r="I121" s="1"/>
      <c r="J121" s="1"/>
      <c r="K121" s="13"/>
      <c r="L121" s="35"/>
      <c r="M121" s="13"/>
      <c r="N121" s="5" t="str">
        <f t="shared" si="6"/>
        <v/>
      </c>
      <c r="O121" s="5" t="str">
        <f t="shared" si="7"/>
        <v/>
      </c>
    </row>
    <row r="122" spans="1:15" x14ac:dyDescent="0.35">
      <c r="A122" s="1"/>
      <c r="B122" s="1"/>
      <c r="C122" s="13"/>
      <c r="D122" s="13"/>
      <c r="E122" s="35"/>
      <c r="F122" s="13"/>
      <c r="G122" s="1"/>
      <c r="H122" s="13"/>
      <c r="I122" s="1"/>
      <c r="J122" s="1"/>
      <c r="K122" s="13"/>
      <c r="L122" s="35"/>
      <c r="M122" s="13"/>
      <c r="N122" s="5" t="str">
        <f t="shared" si="6"/>
        <v/>
      </c>
      <c r="O122" s="5" t="str">
        <f t="shared" si="7"/>
        <v/>
      </c>
    </row>
    <row r="123" spans="1:15" x14ac:dyDescent="0.35">
      <c r="A123" s="1"/>
      <c r="B123" s="1"/>
      <c r="C123" s="13"/>
      <c r="D123" s="13"/>
      <c r="E123" s="35"/>
      <c r="F123" s="13"/>
      <c r="G123" s="1"/>
      <c r="H123" s="13"/>
      <c r="I123" s="1"/>
      <c r="J123" s="1"/>
      <c r="K123" s="13"/>
      <c r="L123" s="35"/>
      <c r="M123" s="13"/>
      <c r="N123" s="5" t="str">
        <f t="shared" si="6"/>
        <v/>
      </c>
      <c r="O123" s="5" t="str">
        <f t="shared" si="7"/>
        <v/>
      </c>
    </row>
    <row r="124" spans="1:15" x14ac:dyDescent="0.35">
      <c r="A124" s="1"/>
      <c r="B124" s="1"/>
      <c r="C124" s="13"/>
      <c r="D124" s="13"/>
      <c r="E124" s="35"/>
      <c r="F124" s="13"/>
      <c r="G124" s="1"/>
      <c r="H124" s="13"/>
      <c r="I124" s="1"/>
      <c r="J124" s="1"/>
      <c r="K124" s="13"/>
      <c r="L124" s="35"/>
      <c r="M124" s="13"/>
      <c r="N124" s="5" t="str">
        <f t="shared" si="6"/>
        <v/>
      </c>
      <c r="O124" s="5" t="str">
        <f t="shared" si="7"/>
        <v/>
      </c>
    </row>
    <row r="125" spans="1:15" x14ac:dyDescent="0.35">
      <c r="A125" s="1"/>
      <c r="B125" s="1"/>
      <c r="C125" s="13"/>
      <c r="D125" s="13"/>
      <c r="E125" s="35"/>
      <c r="F125" s="13"/>
      <c r="G125" s="1"/>
      <c r="H125" s="13"/>
      <c r="I125" s="1"/>
      <c r="J125" s="1"/>
      <c r="K125" s="13"/>
      <c r="L125" s="35"/>
      <c r="M125" s="13"/>
      <c r="N125" s="5" t="str">
        <f t="shared" si="6"/>
        <v/>
      </c>
      <c r="O125" s="5" t="str">
        <f t="shared" si="7"/>
        <v/>
      </c>
    </row>
    <row r="126" spans="1:15" x14ac:dyDescent="0.35">
      <c r="A126" s="1"/>
      <c r="B126" s="1"/>
      <c r="C126" s="13"/>
      <c r="D126" s="13"/>
      <c r="E126" s="35"/>
      <c r="F126" s="13"/>
      <c r="G126" s="1"/>
      <c r="H126" s="13"/>
      <c r="I126" s="1"/>
      <c r="J126" s="1"/>
      <c r="K126" s="13"/>
      <c r="L126" s="35"/>
      <c r="M126" s="13"/>
      <c r="N126" s="5" t="str">
        <f t="shared" si="6"/>
        <v/>
      </c>
      <c r="O126" s="5" t="str">
        <f t="shared" si="7"/>
        <v/>
      </c>
    </row>
    <row r="127" spans="1:15" x14ac:dyDescent="0.35">
      <c r="A127" s="1"/>
      <c r="B127" s="1"/>
      <c r="C127" s="13"/>
      <c r="D127" s="13"/>
      <c r="E127" s="35"/>
      <c r="F127" s="13"/>
      <c r="G127" s="1"/>
      <c r="H127" s="13"/>
      <c r="I127" s="1"/>
      <c r="J127" s="1"/>
      <c r="K127" s="13"/>
      <c r="L127" s="35"/>
      <c r="M127" s="13"/>
      <c r="N127" s="5" t="str">
        <f t="shared" si="6"/>
        <v/>
      </c>
      <c r="O127" s="5" t="str">
        <f t="shared" si="7"/>
        <v/>
      </c>
    </row>
    <row r="128" spans="1:15" x14ac:dyDescent="0.35">
      <c r="A128" s="1"/>
      <c r="B128" s="1"/>
      <c r="C128" s="13"/>
      <c r="D128" s="13"/>
      <c r="E128" s="35"/>
      <c r="F128" s="13"/>
      <c r="G128" s="1"/>
      <c r="H128" s="13"/>
      <c r="I128" s="1"/>
      <c r="J128" s="1"/>
      <c r="K128" s="13"/>
      <c r="L128" s="35"/>
      <c r="M128" s="13"/>
      <c r="N128" s="5" t="str">
        <f t="shared" si="6"/>
        <v/>
      </c>
      <c r="O128" s="5" t="str">
        <f t="shared" si="7"/>
        <v/>
      </c>
    </row>
    <row r="129" spans="1:15" x14ac:dyDescent="0.35">
      <c r="A129" s="1"/>
      <c r="B129" s="1"/>
      <c r="C129" s="13"/>
      <c r="D129" s="13"/>
      <c r="E129" s="35"/>
      <c r="F129" s="13"/>
      <c r="G129" s="1"/>
      <c r="H129" s="13"/>
      <c r="I129" s="1"/>
      <c r="J129" s="1"/>
      <c r="K129" s="13"/>
      <c r="L129" s="35"/>
      <c r="M129" s="13"/>
      <c r="N129" s="5" t="str">
        <f t="shared" si="6"/>
        <v/>
      </c>
      <c r="O129" s="5" t="str">
        <f t="shared" si="7"/>
        <v/>
      </c>
    </row>
    <row r="130" spans="1:15" x14ac:dyDescent="0.35">
      <c r="A130" s="1"/>
      <c r="B130" s="1"/>
      <c r="C130" s="13"/>
      <c r="D130" s="13"/>
      <c r="E130" s="35"/>
      <c r="F130" s="13"/>
      <c r="G130" s="1"/>
      <c r="H130" s="13"/>
      <c r="I130" s="1"/>
      <c r="J130" s="1"/>
      <c r="K130" s="13"/>
      <c r="L130" s="35"/>
      <c r="M130" s="13"/>
      <c r="N130" s="5" t="str">
        <f t="shared" si="6"/>
        <v/>
      </c>
      <c r="O130" s="5" t="str">
        <f t="shared" si="7"/>
        <v/>
      </c>
    </row>
    <row r="131" spans="1:15" x14ac:dyDescent="0.35">
      <c r="A131" s="1"/>
      <c r="B131" s="1"/>
      <c r="C131" s="13"/>
      <c r="D131" s="13"/>
      <c r="E131" s="35"/>
      <c r="F131" s="13"/>
      <c r="G131" s="1"/>
      <c r="H131" s="13"/>
      <c r="I131" s="1"/>
      <c r="J131" s="1"/>
      <c r="K131" s="13"/>
      <c r="L131" s="35"/>
      <c r="M131" s="13"/>
      <c r="N131" s="5" t="str">
        <f t="shared" si="6"/>
        <v/>
      </c>
      <c r="O131" s="5" t="str">
        <f t="shared" si="7"/>
        <v/>
      </c>
    </row>
    <row r="132" spans="1:15" x14ac:dyDescent="0.35">
      <c r="A132" s="1"/>
      <c r="B132" s="1"/>
      <c r="C132" s="13"/>
      <c r="D132" s="13"/>
      <c r="E132" s="35"/>
      <c r="F132" s="13"/>
      <c r="G132" s="1"/>
      <c r="H132" s="13"/>
      <c r="I132" s="1"/>
      <c r="J132" s="1"/>
      <c r="K132" s="13"/>
      <c r="L132" s="35"/>
      <c r="M132" s="13"/>
      <c r="N132" s="5" t="str">
        <f t="shared" si="6"/>
        <v/>
      </c>
      <c r="O132" s="5" t="str">
        <f t="shared" si="7"/>
        <v/>
      </c>
    </row>
    <row r="133" spans="1:15" x14ac:dyDescent="0.35">
      <c r="A133" s="1"/>
      <c r="B133" s="1"/>
      <c r="C133" s="13"/>
      <c r="D133" s="13"/>
      <c r="E133" s="35"/>
      <c r="F133" s="13"/>
      <c r="G133" s="1"/>
      <c r="H133" s="13"/>
      <c r="I133" s="1"/>
      <c r="J133" s="1"/>
      <c r="K133" s="13"/>
      <c r="L133" s="35"/>
      <c r="M133" s="13"/>
      <c r="N133" s="5" t="str">
        <f t="shared" si="6"/>
        <v/>
      </c>
      <c r="O133" s="5" t="str">
        <f t="shared" si="7"/>
        <v/>
      </c>
    </row>
    <row r="134" spans="1:15" x14ac:dyDescent="0.35">
      <c r="A134" s="1"/>
      <c r="B134" s="1"/>
      <c r="C134" s="13"/>
      <c r="D134" s="13"/>
      <c r="E134" s="35"/>
      <c r="F134" s="13"/>
      <c r="G134" s="1"/>
      <c r="H134" s="13"/>
      <c r="I134" s="1"/>
      <c r="J134" s="1"/>
      <c r="K134" s="13"/>
      <c r="L134" s="35"/>
      <c r="M134" s="13"/>
      <c r="N134" s="5" t="str">
        <f t="shared" ref="N134:N165" si="8">IF(A134="","",IF(M134&lt;&gt;"","Recebida",IF(K134&lt;&gt;"","Faturada – a receber",IF(H134&lt;&gt;"","Aprovada – faturar",IF(F134&lt;&gt;"","Em aprovação","Em preparação")))))</f>
        <v/>
      </c>
      <c r="O134" s="5" t="str">
        <f t="shared" ref="O134:O165" si="9">IF(AND(F134&lt;&gt;"",H134=""),DataRef-F134,"")</f>
        <v/>
      </c>
    </row>
    <row r="135" spans="1:15" x14ac:dyDescent="0.35">
      <c r="A135" s="1"/>
      <c r="B135" s="1"/>
      <c r="C135" s="13"/>
      <c r="D135" s="13"/>
      <c r="E135" s="35"/>
      <c r="F135" s="13"/>
      <c r="G135" s="1"/>
      <c r="H135" s="13"/>
      <c r="I135" s="1"/>
      <c r="J135" s="1"/>
      <c r="K135" s="13"/>
      <c r="L135" s="35"/>
      <c r="M135" s="13"/>
      <c r="N135" s="5" t="str">
        <f t="shared" si="8"/>
        <v/>
      </c>
      <c r="O135" s="5" t="str">
        <f t="shared" si="9"/>
        <v/>
      </c>
    </row>
    <row r="136" spans="1:15" x14ac:dyDescent="0.35">
      <c r="A136" s="1"/>
      <c r="B136" s="1"/>
      <c r="C136" s="13"/>
      <c r="D136" s="13"/>
      <c r="E136" s="35"/>
      <c r="F136" s="13"/>
      <c r="G136" s="1"/>
      <c r="H136" s="13"/>
      <c r="I136" s="1"/>
      <c r="J136" s="1"/>
      <c r="K136" s="13"/>
      <c r="L136" s="35"/>
      <c r="M136" s="13"/>
      <c r="N136" s="5" t="str">
        <f t="shared" si="8"/>
        <v/>
      </c>
      <c r="O136" s="5" t="str">
        <f t="shared" si="9"/>
        <v/>
      </c>
    </row>
    <row r="137" spans="1:15" x14ac:dyDescent="0.35">
      <c r="A137" s="1"/>
      <c r="B137" s="1"/>
      <c r="C137" s="13"/>
      <c r="D137" s="13"/>
      <c r="E137" s="35"/>
      <c r="F137" s="13"/>
      <c r="G137" s="1"/>
      <c r="H137" s="13"/>
      <c r="I137" s="1"/>
      <c r="J137" s="1"/>
      <c r="K137" s="13"/>
      <c r="L137" s="35"/>
      <c r="M137" s="13"/>
      <c r="N137" s="5" t="str">
        <f t="shared" si="8"/>
        <v/>
      </c>
      <c r="O137" s="5" t="str">
        <f t="shared" si="9"/>
        <v/>
      </c>
    </row>
    <row r="138" spans="1:15" x14ac:dyDescent="0.35">
      <c r="A138" s="1"/>
      <c r="B138" s="1"/>
      <c r="C138" s="13"/>
      <c r="D138" s="13"/>
      <c r="E138" s="35"/>
      <c r="F138" s="13"/>
      <c r="G138" s="1"/>
      <c r="H138" s="13"/>
      <c r="I138" s="1"/>
      <c r="J138" s="1"/>
      <c r="K138" s="13"/>
      <c r="L138" s="35"/>
      <c r="M138" s="13"/>
      <c r="N138" s="5" t="str">
        <f t="shared" si="8"/>
        <v/>
      </c>
      <c r="O138" s="5" t="str">
        <f t="shared" si="9"/>
        <v/>
      </c>
    </row>
    <row r="139" spans="1:15" x14ac:dyDescent="0.35">
      <c r="A139" s="1"/>
      <c r="B139" s="1"/>
      <c r="C139" s="13"/>
      <c r="D139" s="13"/>
      <c r="E139" s="35"/>
      <c r="F139" s="13"/>
      <c r="G139" s="1"/>
      <c r="H139" s="13"/>
      <c r="I139" s="1"/>
      <c r="J139" s="1"/>
      <c r="K139" s="13"/>
      <c r="L139" s="35"/>
      <c r="M139" s="13"/>
      <c r="N139" s="5" t="str">
        <f t="shared" si="8"/>
        <v/>
      </c>
      <c r="O139" s="5" t="str">
        <f t="shared" si="9"/>
        <v/>
      </c>
    </row>
    <row r="140" spans="1:15" x14ac:dyDescent="0.35">
      <c r="A140" s="1"/>
      <c r="B140" s="1"/>
      <c r="C140" s="13"/>
      <c r="D140" s="13"/>
      <c r="E140" s="35"/>
      <c r="F140" s="13"/>
      <c r="G140" s="1"/>
      <c r="H140" s="13"/>
      <c r="I140" s="1"/>
      <c r="J140" s="1"/>
      <c r="K140" s="13"/>
      <c r="L140" s="35"/>
      <c r="M140" s="13"/>
      <c r="N140" s="5" t="str">
        <f t="shared" si="8"/>
        <v/>
      </c>
      <c r="O140" s="5" t="str">
        <f t="shared" si="9"/>
        <v/>
      </c>
    </row>
    <row r="141" spans="1:15" x14ac:dyDescent="0.35">
      <c r="A141" s="1"/>
      <c r="B141" s="1"/>
      <c r="C141" s="13"/>
      <c r="D141" s="13"/>
      <c r="E141" s="35"/>
      <c r="F141" s="13"/>
      <c r="G141" s="1"/>
      <c r="H141" s="13"/>
      <c r="I141" s="1"/>
      <c r="J141" s="1"/>
      <c r="K141" s="13"/>
      <c r="L141" s="35"/>
      <c r="M141" s="13"/>
      <c r="N141" s="5" t="str">
        <f t="shared" si="8"/>
        <v/>
      </c>
      <c r="O141" s="5" t="str">
        <f t="shared" si="9"/>
        <v/>
      </c>
    </row>
    <row r="142" spans="1:15" x14ac:dyDescent="0.35">
      <c r="A142" s="1"/>
      <c r="B142" s="1"/>
      <c r="C142" s="13"/>
      <c r="D142" s="13"/>
      <c r="E142" s="35"/>
      <c r="F142" s="13"/>
      <c r="G142" s="1"/>
      <c r="H142" s="13"/>
      <c r="I142" s="1"/>
      <c r="J142" s="1"/>
      <c r="K142" s="13"/>
      <c r="L142" s="35"/>
      <c r="M142" s="13"/>
      <c r="N142" s="5" t="str">
        <f t="shared" si="8"/>
        <v/>
      </c>
      <c r="O142" s="5" t="str">
        <f t="shared" si="9"/>
        <v/>
      </c>
    </row>
    <row r="143" spans="1:15" x14ac:dyDescent="0.35">
      <c r="A143" s="1"/>
      <c r="B143" s="1"/>
      <c r="C143" s="13"/>
      <c r="D143" s="13"/>
      <c r="E143" s="35"/>
      <c r="F143" s="13"/>
      <c r="G143" s="1"/>
      <c r="H143" s="13"/>
      <c r="I143" s="1"/>
      <c r="J143" s="1"/>
      <c r="K143" s="13"/>
      <c r="L143" s="35"/>
      <c r="M143" s="13"/>
      <c r="N143" s="5" t="str">
        <f t="shared" si="8"/>
        <v/>
      </c>
      <c r="O143" s="5" t="str">
        <f t="shared" si="9"/>
        <v/>
      </c>
    </row>
    <row r="144" spans="1:15" x14ac:dyDescent="0.35">
      <c r="A144" s="1"/>
      <c r="B144" s="1"/>
      <c r="C144" s="13"/>
      <c r="D144" s="13"/>
      <c r="E144" s="35"/>
      <c r="F144" s="13"/>
      <c r="G144" s="1"/>
      <c r="H144" s="13"/>
      <c r="I144" s="1"/>
      <c r="J144" s="1"/>
      <c r="K144" s="13"/>
      <c r="L144" s="35"/>
      <c r="M144" s="13"/>
      <c r="N144" s="5" t="str">
        <f t="shared" si="8"/>
        <v/>
      </c>
      <c r="O144" s="5" t="str">
        <f t="shared" si="9"/>
        <v/>
      </c>
    </row>
    <row r="145" spans="1:15" x14ac:dyDescent="0.35">
      <c r="A145" s="1"/>
      <c r="B145" s="1"/>
      <c r="C145" s="13"/>
      <c r="D145" s="13"/>
      <c r="E145" s="35"/>
      <c r="F145" s="13"/>
      <c r="G145" s="1"/>
      <c r="H145" s="13"/>
      <c r="I145" s="1"/>
      <c r="J145" s="1"/>
      <c r="K145" s="13"/>
      <c r="L145" s="35"/>
      <c r="M145" s="13"/>
      <c r="N145" s="5" t="str">
        <f t="shared" si="8"/>
        <v/>
      </c>
      <c r="O145" s="5" t="str">
        <f t="shared" si="9"/>
        <v/>
      </c>
    </row>
    <row r="146" spans="1:15" x14ac:dyDescent="0.35">
      <c r="A146" s="1"/>
      <c r="B146" s="1"/>
      <c r="C146" s="13"/>
      <c r="D146" s="13"/>
      <c r="E146" s="35"/>
      <c r="F146" s="13"/>
      <c r="G146" s="1"/>
      <c r="H146" s="13"/>
      <c r="I146" s="1"/>
      <c r="J146" s="1"/>
      <c r="K146" s="13"/>
      <c r="L146" s="35"/>
      <c r="M146" s="13"/>
      <c r="N146" s="5" t="str">
        <f t="shared" si="8"/>
        <v/>
      </c>
      <c r="O146" s="5" t="str">
        <f t="shared" si="9"/>
        <v/>
      </c>
    </row>
    <row r="147" spans="1:15" x14ac:dyDescent="0.35">
      <c r="A147" s="1"/>
      <c r="B147" s="1"/>
      <c r="C147" s="13"/>
      <c r="D147" s="13"/>
      <c r="E147" s="35"/>
      <c r="F147" s="13"/>
      <c r="G147" s="1"/>
      <c r="H147" s="13"/>
      <c r="I147" s="1"/>
      <c r="J147" s="1"/>
      <c r="K147" s="13"/>
      <c r="L147" s="35"/>
      <c r="M147" s="13"/>
      <c r="N147" s="5" t="str">
        <f t="shared" si="8"/>
        <v/>
      </c>
      <c r="O147" s="5" t="str">
        <f t="shared" si="9"/>
        <v/>
      </c>
    </row>
    <row r="148" spans="1:15" x14ac:dyDescent="0.35">
      <c r="A148" s="1"/>
      <c r="B148" s="1"/>
      <c r="C148" s="13"/>
      <c r="D148" s="13"/>
      <c r="E148" s="35"/>
      <c r="F148" s="13"/>
      <c r="G148" s="1"/>
      <c r="H148" s="13"/>
      <c r="I148" s="1"/>
      <c r="J148" s="1"/>
      <c r="K148" s="13"/>
      <c r="L148" s="35"/>
      <c r="M148" s="13"/>
      <c r="N148" s="5" t="str">
        <f t="shared" si="8"/>
        <v/>
      </c>
      <c r="O148" s="5" t="str">
        <f t="shared" si="9"/>
        <v/>
      </c>
    </row>
    <row r="149" spans="1:15" x14ac:dyDescent="0.35">
      <c r="A149" s="1"/>
      <c r="B149" s="1"/>
      <c r="C149" s="13"/>
      <c r="D149" s="13"/>
      <c r="E149" s="35"/>
      <c r="F149" s="13"/>
      <c r="G149" s="1"/>
      <c r="H149" s="13"/>
      <c r="I149" s="1"/>
      <c r="J149" s="1"/>
      <c r="K149" s="13"/>
      <c r="L149" s="35"/>
      <c r="M149" s="13"/>
      <c r="N149" s="5" t="str">
        <f t="shared" si="8"/>
        <v/>
      </c>
      <c r="O149" s="5" t="str">
        <f t="shared" si="9"/>
        <v/>
      </c>
    </row>
    <row r="150" spans="1:15" x14ac:dyDescent="0.35">
      <c r="A150" s="1"/>
      <c r="B150" s="1"/>
      <c r="C150" s="13"/>
      <c r="D150" s="13"/>
      <c r="E150" s="35"/>
      <c r="F150" s="13"/>
      <c r="G150" s="1"/>
      <c r="H150" s="13"/>
      <c r="I150" s="1"/>
      <c r="J150" s="1"/>
      <c r="K150" s="13"/>
      <c r="L150" s="35"/>
      <c r="M150" s="13"/>
      <c r="N150" s="5" t="str">
        <f t="shared" si="8"/>
        <v/>
      </c>
      <c r="O150" s="5" t="str">
        <f t="shared" si="9"/>
        <v/>
      </c>
    </row>
    <row r="151" spans="1:15" x14ac:dyDescent="0.35">
      <c r="A151" s="1"/>
      <c r="B151" s="1"/>
      <c r="C151" s="13"/>
      <c r="D151" s="13"/>
      <c r="E151" s="35"/>
      <c r="F151" s="13"/>
      <c r="G151" s="1"/>
      <c r="H151" s="13"/>
      <c r="I151" s="1"/>
      <c r="J151" s="1"/>
      <c r="K151" s="13"/>
      <c r="L151" s="35"/>
      <c r="M151" s="13"/>
      <c r="N151" s="5" t="str">
        <f t="shared" si="8"/>
        <v/>
      </c>
      <c r="O151" s="5" t="str">
        <f t="shared" si="9"/>
        <v/>
      </c>
    </row>
    <row r="152" spans="1:15" x14ac:dyDescent="0.35">
      <c r="A152" s="1"/>
      <c r="B152" s="1"/>
      <c r="C152" s="13"/>
      <c r="D152" s="13"/>
      <c r="E152" s="35"/>
      <c r="F152" s="13"/>
      <c r="G152" s="1"/>
      <c r="H152" s="13"/>
      <c r="I152" s="1"/>
      <c r="J152" s="1"/>
      <c r="K152" s="13"/>
      <c r="L152" s="35"/>
      <c r="M152" s="13"/>
      <c r="N152" s="5" t="str">
        <f t="shared" si="8"/>
        <v/>
      </c>
      <c r="O152" s="5" t="str">
        <f t="shared" si="9"/>
        <v/>
      </c>
    </row>
    <row r="153" spans="1:15" x14ac:dyDescent="0.35">
      <c r="A153" s="1"/>
      <c r="B153" s="1"/>
      <c r="C153" s="13"/>
      <c r="D153" s="13"/>
      <c r="E153" s="35"/>
      <c r="F153" s="13"/>
      <c r="G153" s="1"/>
      <c r="H153" s="13"/>
      <c r="I153" s="1"/>
      <c r="J153" s="1"/>
      <c r="K153" s="13"/>
      <c r="L153" s="35"/>
      <c r="M153" s="13"/>
      <c r="N153" s="5" t="str">
        <f t="shared" si="8"/>
        <v/>
      </c>
      <c r="O153" s="5" t="str">
        <f t="shared" si="9"/>
        <v/>
      </c>
    </row>
    <row r="154" spans="1:15" x14ac:dyDescent="0.35">
      <c r="A154" s="1"/>
      <c r="B154" s="1"/>
      <c r="C154" s="13"/>
      <c r="D154" s="13"/>
      <c r="E154" s="35"/>
      <c r="F154" s="13"/>
      <c r="G154" s="1"/>
      <c r="H154" s="13"/>
      <c r="I154" s="1"/>
      <c r="J154" s="1"/>
      <c r="K154" s="13"/>
      <c r="L154" s="35"/>
      <c r="M154" s="13"/>
      <c r="N154" s="5" t="str">
        <f t="shared" si="8"/>
        <v/>
      </c>
      <c r="O154" s="5" t="str">
        <f t="shared" si="9"/>
        <v/>
      </c>
    </row>
    <row r="155" spans="1:15" x14ac:dyDescent="0.35">
      <c r="A155" s="1"/>
      <c r="B155" s="1"/>
      <c r="C155" s="13"/>
      <c r="D155" s="13"/>
      <c r="E155" s="35"/>
      <c r="F155" s="13"/>
      <c r="G155" s="1"/>
      <c r="H155" s="13"/>
      <c r="I155" s="1"/>
      <c r="J155" s="1"/>
      <c r="K155" s="13"/>
      <c r="L155" s="35"/>
      <c r="M155" s="13"/>
      <c r="N155" s="5" t="str">
        <f t="shared" si="8"/>
        <v/>
      </c>
      <c r="O155" s="5" t="str">
        <f t="shared" si="9"/>
        <v/>
      </c>
    </row>
    <row r="156" spans="1:15" x14ac:dyDescent="0.35">
      <c r="A156" s="1"/>
      <c r="B156" s="1"/>
      <c r="C156" s="13"/>
      <c r="D156" s="13"/>
      <c r="E156" s="35"/>
      <c r="F156" s="13"/>
      <c r="G156" s="1"/>
      <c r="H156" s="13"/>
      <c r="I156" s="1"/>
      <c r="J156" s="1"/>
      <c r="K156" s="13"/>
      <c r="L156" s="35"/>
      <c r="M156" s="13"/>
      <c r="N156" s="5" t="str">
        <f t="shared" si="8"/>
        <v/>
      </c>
      <c r="O156" s="5" t="str">
        <f t="shared" si="9"/>
        <v/>
      </c>
    </row>
    <row r="157" spans="1:15" x14ac:dyDescent="0.35">
      <c r="A157" s="1"/>
      <c r="B157" s="1"/>
      <c r="C157" s="13"/>
      <c r="D157" s="13"/>
      <c r="E157" s="35"/>
      <c r="F157" s="13"/>
      <c r="G157" s="1"/>
      <c r="H157" s="13"/>
      <c r="I157" s="1"/>
      <c r="J157" s="1"/>
      <c r="K157" s="13"/>
      <c r="L157" s="35"/>
      <c r="M157" s="13"/>
      <c r="N157" s="5" t="str">
        <f t="shared" si="8"/>
        <v/>
      </c>
      <c r="O157" s="5" t="str">
        <f t="shared" si="9"/>
        <v/>
      </c>
    </row>
    <row r="158" spans="1:15" x14ac:dyDescent="0.35">
      <c r="A158" s="1"/>
      <c r="B158" s="1"/>
      <c r="C158" s="13"/>
      <c r="D158" s="13"/>
      <c r="E158" s="35"/>
      <c r="F158" s="13"/>
      <c r="G158" s="1"/>
      <c r="H158" s="13"/>
      <c r="I158" s="1"/>
      <c r="J158" s="1"/>
      <c r="K158" s="13"/>
      <c r="L158" s="35"/>
      <c r="M158" s="13"/>
      <c r="N158" s="5" t="str">
        <f t="shared" si="8"/>
        <v/>
      </c>
      <c r="O158" s="5" t="str">
        <f t="shared" si="9"/>
        <v/>
      </c>
    </row>
    <row r="159" spans="1:15" x14ac:dyDescent="0.35">
      <c r="A159" s="1"/>
      <c r="B159" s="1"/>
      <c r="C159" s="13"/>
      <c r="D159" s="13"/>
      <c r="E159" s="35"/>
      <c r="F159" s="13"/>
      <c r="G159" s="1"/>
      <c r="H159" s="13"/>
      <c r="I159" s="1"/>
      <c r="J159" s="1"/>
      <c r="K159" s="13"/>
      <c r="L159" s="35"/>
      <c r="M159" s="13"/>
      <c r="N159" s="5" t="str">
        <f t="shared" si="8"/>
        <v/>
      </c>
      <c r="O159" s="5" t="str">
        <f t="shared" si="9"/>
        <v/>
      </c>
    </row>
    <row r="160" spans="1:15" x14ac:dyDescent="0.35">
      <c r="A160" s="1"/>
      <c r="B160" s="1"/>
      <c r="C160" s="13"/>
      <c r="D160" s="13"/>
      <c r="E160" s="35"/>
      <c r="F160" s="13"/>
      <c r="G160" s="1"/>
      <c r="H160" s="13"/>
      <c r="I160" s="1"/>
      <c r="J160" s="1"/>
      <c r="K160" s="13"/>
      <c r="L160" s="35"/>
      <c r="M160" s="13"/>
      <c r="N160" s="5" t="str">
        <f t="shared" si="8"/>
        <v/>
      </c>
      <c r="O160" s="5" t="str">
        <f t="shared" si="9"/>
        <v/>
      </c>
    </row>
    <row r="161" spans="1:15" x14ac:dyDescent="0.35">
      <c r="A161" s="1"/>
      <c r="B161" s="1"/>
      <c r="C161" s="13"/>
      <c r="D161" s="13"/>
      <c r="E161" s="35"/>
      <c r="F161" s="13"/>
      <c r="G161" s="1"/>
      <c r="H161" s="13"/>
      <c r="I161" s="1"/>
      <c r="J161" s="1"/>
      <c r="K161" s="13"/>
      <c r="L161" s="35"/>
      <c r="M161" s="13"/>
      <c r="N161" s="5" t="str">
        <f t="shared" si="8"/>
        <v/>
      </c>
      <c r="O161" s="5" t="str">
        <f t="shared" si="9"/>
        <v/>
      </c>
    </row>
    <row r="162" spans="1:15" x14ac:dyDescent="0.35">
      <c r="A162" s="1"/>
      <c r="B162" s="1"/>
      <c r="C162" s="13"/>
      <c r="D162" s="13"/>
      <c r="E162" s="35"/>
      <c r="F162" s="13"/>
      <c r="G162" s="1"/>
      <c r="H162" s="13"/>
      <c r="I162" s="1"/>
      <c r="J162" s="1"/>
      <c r="K162" s="13"/>
      <c r="L162" s="35"/>
      <c r="M162" s="13"/>
      <c r="N162" s="5" t="str">
        <f t="shared" si="8"/>
        <v/>
      </c>
      <c r="O162" s="5" t="str">
        <f t="shared" si="9"/>
        <v/>
      </c>
    </row>
    <row r="163" spans="1:15" x14ac:dyDescent="0.35">
      <c r="A163" s="1"/>
      <c r="B163" s="1"/>
      <c r="C163" s="13"/>
      <c r="D163" s="13"/>
      <c r="E163" s="35"/>
      <c r="F163" s="13"/>
      <c r="G163" s="1"/>
      <c r="H163" s="13"/>
      <c r="I163" s="1"/>
      <c r="J163" s="1"/>
      <c r="K163" s="13"/>
      <c r="L163" s="35"/>
      <c r="M163" s="13"/>
      <c r="N163" s="5" t="str">
        <f t="shared" si="8"/>
        <v/>
      </c>
      <c r="O163" s="5" t="str">
        <f t="shared" si="9"/>
        <v/>
      </c>
    </row>
    <row r="164" spans="1:15" x14ac:dyDescent="0.35">
      <c r="A164" s="1"/>
      <c r="B164" s="1"/>
      <c r="C164" s="13"/>
      <c r="D164" s="13"/>
      <c r="E164" s="35"/>
      <c r="F164" s="13"/>
      <c r="G164" s="1"/>
      <c r="H164" s="13"/>
      <c r="I164" s="1"/>
      <c r="J164" s="1"/>
      <c r="K164" s="13"/>
      <c r="L164" s="35"/>
      <c r="M164" s="13"/>
      <c r="N164" s="5" t="str">
        <f t="shared" si="8"/>
        <v/>
      </c>
      <c r="O164" s="5" t="str">
        <f t="shared" si="9"/>
        <v/>
      </c>
    </row>
    <row r="165" spans="1:15" x14ac:dyDescent="0.35">
      <c r="A165" s="1"/>
      <c r="B165" s="1"/>
      <c r="C165" s="13"/>
      <c r="D165" s="13"/>
      <c r="E165" s="35"/>
      <c r="F165" s="13"/>
      <c r="G165" s="1"/>
      <c r="H165" s="13"/>
      <c r="I165" s="1"/>
      <c r="J165" s="1"/>
      <c r="K165" s="13"/>
      <c r="L165" s="35"/>
      <c r="M165" s="13"/>
      <c r="N165" s="5" t="str">
        <f t="shared" si="8"/>
        <v/>
      </c>
      <c r="O165" s="5" t="str">
        <f t="shared" si="9"/>
        <v/>
      </c>
    </row>
    <row r="166" spans="1:15" x14ac:dyDescent="0.35">
      <c r="A166" s="1"/>
      <c r="B166" s="1"/>
      <c r="C166" s="13"/>
      <c r="D166" s="13"/>
      <c r="E166" s="35"/>
      <c r="F166" s="13"/>
      <c r="G166" s="1"/>
      <c r="H166" s="13"/>
      <c r="I166" s="1"/>
      <c r="J166" s="1"/>
      <c r="K166" s="13"/>
      <c r="L166" s="35"/>
      <c r="M166" s="13"/>
      <c r="N166" s="5" t="str">
        <f t="shared" ref="N166:N197" si="10">IF(A166="","",IF(M166&lt;&gt;"","Recebida",IF(K166&lt;&gt;"","Faturada – a receber",IF(H166&lt;&gt;"","Aprovada – faturar",IF(F166&lt;&gt;"","Em aprovação","Em preparação")))))</f>
        <v/>
      </c>
      <c r="O166" s="5" t="str">
        <f t="shared" ref="O166:O200" si="11">IF(AND(F166&lt;&gt;"",H166=""),DataRef-F166,"")</f>
        <v/>
      </c>
    </row>
    <row r="167" spans="1:15" x14ac:dyDescent="0.35">
      <c r="A167" s="1"/>
      <c r="B167" s="1"/>
      <c r="C167" s="13"/>
      <c r="D167" s="13"/>
      <c r="E167" s="35"/>
      <c r="F167" s="13"/>
      <c r="G167" s="1"/>
      <c r="H167" s="13"/>
      <c r="I167" s="1"/>
      <c r="J167" s="1"/>
      <c r="K167" s="13"/>
      <c r="L167" s="35"/>
      <c r="M167" s="13"/>
      <c r="N167" s="5" t="str">
        <f t="shared" si="10"/>
        <v/>
      </c>
      <c r="O167" s="5" t="str">
        <f t="shared" si="11"/>
        <v/>
      </c>
    </row>
    <row r="168" spans="1:15" x14ac:dyDescent="0.35">
      <c r="A168" s="1"/>
      <c r="B168" s="1"/>
      <c r="C168" s="13"/>
      <c r="D168" s="13"/>
      <c r="E168" s="35"/>
      <c r="F168" s="13"/>
      <c r="G168" s="1"/>
      <c r="H168" s="13"/>
      <c r="I168" s="1"/>
      <c r="J168" s="1"/>
      <c r="K168" s="13"/>
      <c r="L168" s="35"/>
      <c r="M168" s="13"/>
      <c r="N168" s="5" t="str">
        <f t="shared" si="10"/>
        <v/>
      </c>
      <c r="O168" s="5" t="str">
        <f t="shared" si="11"/>
        <v/>
      </c>
    </row>
    <row r="169" spans="1:15" x14ac:dyDescent="0.35">
      <c r="A169" s="1"/>
      <c r="B169" s="1"/>
      <c r="C169" s="13"/>
      <c r="D169" s="13"/>
      <c r="E169" s="35"/>
      <c r="F169" s="13"/>
      <c r="G169" s="1"/>
      <c r="H169" s="13"/>
      <c r="I169" s="1"/>
      <c r="J169" s="1"/>
      <c r="K169" s="13"/>
      <c r="L169" s="35"/>
      <c r="M169" s="13"/>
      <c r="N169" s="5" t="str">
        <f t="shared" si="10"/>
        <v/>
      </c>
      <c r="O169" s="5" t="str">
        <f t="shared" si="11"/>
        <v/>
      </c>
    </row>
    <row r="170" spans="1:15" x14ac:dyDescent="0.35">
      <c r="A170" s="1"/>
      <c r="B170" s="1"/>
      <c r="C170" s="13"/>
      <c r="D170" s="13"/>
      <c r="E170" s="35"/>
      <c r="F170" s="13"/>
      <c r="G170" s="1"/>
      <c r="H170" s="13"/>
      <c r="I170" s="1"/>
      <c r="J170" s="1"/>
      <c r="K170" s="13"/>
      <c r="L170" s="35"/>
      <c r="M170" s="13"/>
      <c r="N170" s="5" t="str">
        <f t="shared" si="10"/>
        <v/>
      </c>
      <c r="O170" s="5" t="str">
        <f t="shared" si="11"/>
        <v/>
      </c>
    </row>
    <row r="171" spans="1:15" x14ac:dyDescent="0.35">
      <c r="A171" s="1"/>
      <c r="B171" s="1"/>
      <c r="C171" s="13"/>
      <c r="D171" s="13"/>
      <c r="E171" s="35"/>
      <c r="F171" s="13"/>
      <c r="G171" s="1"/>
      <c r="H171" s="13"/>
      <c r="I171" s="1"/>
      <c r="J171" s="1"/>
      <c r="K171" s="13"/>
      <c r="L171" s="35"/>
      <c r="M171" s="13"/>
      <c r="N171" s="5" t="str">
        <f t="shared" si="10"/>
        <v/>
      </c>
      <c r="O171" s="5" t="str">
        <f t="shared" si="11"/>
        <v/>
      </c>
    </row>
    <row r="172" spans="1:15" x14ac:dyDescent="0.35">
      <c r="A172" s="1"/>
      <c r="B172" s="1"/>
      <c r="C172" s="13"/>
      <c r="D172" s="13"/>
      <c r="E172" s="35"/>
      <c r="F172" s="13"/>
      <c r="G172" s="1"/>
      <c r="H172" s="13"/>
      <c r="I172" s="1"/>
      <c r="J172" s="1"/>
      <c r="K172" s="13"/>
      <c r="L172" s="35"/>
      <c r="M172" s="13"/>
      <c r="N172" s="5" t="str">
        <f t="shared" si="10"/>
        <v/>
      </c>
      <c r="O172" s="5" t="str">
        <f t="shared" si="11"/>
        <v/>
      </c>
    </row>
    <row r="173" spans="1:15" x14ac:dyDescent="0.35">
      <c r="A173" s="1"/>
      <c r="B173" s="1"/>
      <c r="C173" s="13"/>
      <c r="D173" s="13"/>
      <c r="E173" s="35"/>
      <c r="F173" s="13"/>
      <c r="G173" s="1"/>
      <c r="H173" s="13"/>
      <c r="I173" s="1"/>
      <c r="J173" s="1"/>
      <c r="K173" s="13"/>
      <c r="L173" s="35"/>
      <c r="M173" s="13"/>
      <c r="N173" s="5" t="str">
        <f t="shared" si="10"/>
        <v/>
      </c>
      <c r="O173" s="5" t="str">
        <f t="shared" si="11"/>
        <v/>
      </c>
    </row>
    <row r="174" spans="1:15" x14ac:dyDescent="0.35">
      <c r="A174" s="1"/>
      <c r="B174" s="1"/>
      <c r="C174" s="13"/>
      <c r="D174" s="13"/>
      <c r="E174" s="35"/>
      <c r="F174" s="13"/>
      <c r="G174" s="1"/>
      <c r="H174" s="13"/>
      <c r="I174" s="1"/>
      <c r="J174" s="1"/>
      <c r="K174" s="13"/>
      <c r="L174" s="35"/>
      <c r="M174" s="13"/>
      <c r="N174" s="5" t="str">
        <f t="shared" si="10"/>
        <v/>
      </c>
      <c r="O174" s="5" t="str">
        <f t="shared" si="11"/>
        <v/>
      </c>
    </row>
    <row r="175" spans="1:15" x14ac:dyDescent="0.35">
      <c r="A175" s="1"/>
      <c r="B175" s="1"/>
      <c r="C175" s="13"/>
      <c r="D175" s="13"/>
      <c r="E175" s="35"/>
      <c r="F175" s="13"/>
      <c r="G175" s="1"/>
      <c r="H175" s="13"/>
      <c r="I175" s="1"/>
      <c r="J175" s="1"/>
      <c r="K175" s="13"/>
      <c r="L175" s="35"/>
      <c r="M175" s="13"/>
      <c r="N175" s="5" t="str">
        <f t="shared" si="10"/>
        <v/>
      </c>
      <c r="O175" s="5" t="str">
        <f t="shared" si="11"/>
        <v/>
      </c>
    </row>
    <row r="176" spans="1:15" x14ac:dyDescent="0.35">
      <c r="A176" s="1"/>
      <c r="B176" s="1"/>
      <c r="C176" s="13"/>
      <c r="D176" s="13"/>
      <c r="E176" s="35"/>
      <c r="F176" s="13"/>
      <c r="G176" s="1"/>
      <c r="H176" s="13"/>
      <c r="I176" s="1"/>
      <c r="J176" s="1"/>
      <c r="K176" s="13"/>
      <c r="L176" s="35"/>
      <c r="M176" s="13"/>
      <c r="N176" s="5" t="str">
        <f t="shared" si="10"/>
        <v/>
      </c>
      <c r="O176" s="5" t="str">
        <f t="shared" si="11"/>
        <v/>
      </c>
    </row>
    <row r="177" spans="1:15" x14ac:dyDescent="0.35">
      <c r="A177" s="1"/>
      <c r="B177" s="1"/>
      <c r="C177" s="13"/>
      <c r="D177" s="13"/>
      <c r="E177" s="35"/>
      <c r="F177" s="13"/>
      <c r="G177" s="1"/>
      <c r="H177" s="13"/>
      <c r="I177" s="1"/>
      <c r="J177" s="1"/>
      <c r="K177" s="13"/>
      <c r="L177" s="35"/>
      <c r="M177" s="13"/>
      <c r="N177" s="5" t="str">
        <f t="shared" si="10"/>
        <v/>
      </c>
      <c r="O177" s="5" t="str">
        <f t="shared" si="11"/>
        <v/>
      </c>
    </row>
    <row r="178" spans="1:15" x14ac:dyDescent="0.35">
      <c r="A178" s="1"/>
      <c r="B178" s="1"/>
      <c r="C178" s="13"/>
      <c r="D178" s="13"/>
      <c r="E178" s="35"/>
      <c r="F178" s="13"/>
      <c r="G178" s="1"/>
      <c r="H178" s="13"/>
      <c r="I178" s="1"/>
      <c r="J178" s="1"/>
      <c r="K178" s="13"/>
      <c r="L178" s="35"/>
      <c r="M178" s="13"/>
      <c r="N178" s="5" t="str">
        <f t="shared" si="10"/>
        <v/>
      </c>
      <c r="O178" s="5" t="str">
        <f t="shared" si="11"/>
        <v/>
      </c>
    </row>
    <row r="179" spans="1:15" x14ac:dyDescent="0.35">
      <c r="A179" s="1"/>
      <c r="B179" s="1"/>
      <c r="C179" s="13"/>
      <c r="D179" s="13"/>
      <c r="E179" s="35"/>
      <c r="F179" s="13"/>
      <c r="G179" s="1"/>
      <c r="H179" s="13"/>
      <c r="I179" s="1"/>
      <c r="J179" s="1"/>
      <c r="K179" s="13"/>
      <c r="L179" s="35"/>
      <c r="M179" s="13"/>
      <c r="N179" s="5" t="str">
        <f t="shared" si="10"/>
        <v/>
      </c>
      <c r="O179" s="5" t="str">
        <f t="shared" si="11"/>
        <v/>
      </c>
    </row>
    <row r="180" spans="1:15" x14ac:dyDescent="0.35">
      <c r="A180" s="1"/>
      <c r="B180" s="1"/>
      <c r="C180" s="13"/>
      <c r="D180" s="13"/>
      <c r="E180" s="35"/>
      <c r="F180" s="13"/>
      <c r="G180" s="1"/>
      <c r="H180" s="13"/>
      <c r="I180" s="1"/>
      <c r="J180" s="1"/>
      <c r="K180" s="13"/>
      <c r="L180" s="35"/>
      <c r="M180" s="13"/>
      <c r="N180" s="5" t="str">
        <f t="shared" si="10"/>
        <v/>
      </c>
      <c r="O180" s="5" t="str">
        <f t="shared" si="11"/>
        <v/>
      </c>
    </row>
    <row r="181" spans="1:15" x14ac:dyDescent="0.35">
      <c r="A181" s="1"/>
      <c r="B181" s="1"/>
      <c r="C181" s="13"/>
      <c r="D181" s="13"/>
      <c r="E181" s="35"/>
      <c r="F181" s="13"/>
      <c r="G181" s="1"/>
      <c r="H181" s="13"/>
      <c r="I181" s="1"/>
      <c r="J181" s="1"/>
      <c r="K181" s="13"/>
      <c r="L181" s="35"/>
      <c r="M181" s="13"/>
      <c r="N181" s="5" t="str">
        <f t="shared" si="10"/>
        <v/>
      </c>
      <c r="O181" s="5" t="str">
        <f t="shared" si="11"/>
        <v/>
      </c>
    </row>
    <row r="182" spans="1:15" x14ac:dyDescent="0.35">
      <c r="A182" s="1"/>
      <c r="B182" s="1"/>
      <c r="C182" s="13"/>
      <c r="D182" s="13"/>
      <c r="E182" s="35"/>
      <c r="F182" s="13"/>
      <c r="G182" s="1"/>
      <c r="H182" s="13"/>
      <c r="I182" s="1"/>
      <c r="J182" s="1"/>
      <c r="K182" s="13"/>
      <c r="L182" s="35"/>
      <c r="M182" s="13"/>
      <c r="N182" s="5" t="str">
        <f t="shared" si="10"/>
        <v/>
      </c>
      <c r="O182" s="5" t="str">
        <f t="shared" si="11"/>
        <v/>
      </c>
    </row>
    <row r="183" spans="1:15" x14ac:dyDescent="0.35">
      <c r="A183" s="1"/>
      <c r="B183" s="1"/>
      <c r="C183" s="13"/>
      <c r="D183" s="13"/>
      <c r="E183" s="35"/>
      <c r="F183" s="13"/>
      <c r="G183" s="1"/>
      <c r="H183" s="13"/>
      <c r="I183" s="1"/>
      <c r="J183" s="1"/>
      <c r="K183" s="13"/>
      <c r="L183" s="35"/>
      <c r="M183" s="13"/>
      <c r="N183" s="5" t="str">
        <f t="shared" si="10"/>
        <v/>
      </c>
      <c r="O183" s="5" t="str">
        <f t="shared" si="11"/>
        <v/>
      </c>
    </row>
    <row r="184" spans="1:15" x14ac:dyDescent="0.35">
      <c r="A184" s="1"/>
      <c r="B184" s="1"/>
      <c r="C184" s="13"/>
      <c r="D184" s="13"/>
      <c r="E184" s="35"/>
      <c r="F184" s="13"/>
      <c r="G184" s="1"/>
      <c r="H184" s="13"/>
      <c r="I184" s="1"/>
      <c r="J184" s="1"/>
      <c r="K184" s="13"/>
      <c r="L184" s="35"/>
      <c r="M184" s="13"/>
      <c r="N184" s="5" t="str">
        <f t="shared" si="10"/>
        <v/>
      </c>
      <c r="O184" s="5" t="str">
        <f t="shared" si="11"/>
        <v/>
      </c>
    </row>
    <row r="185" spans="1:15" x14ac:dyDescent="0.35">
      <c r="A185" s="1"/>
      <c r="B185" s="1"/>
      <c r="C185" s="13"/>
      <c r="D185" s="13"/>
      <c r="E185" s="35"/>
      <c r="F185" s="13"/>
      <c r="G185" s="1"/>
      <c r="H185" s="13"/>
      <c r="I185" s="1"/>
      <c r="J185" s="1"/>
      <c r="K185" s="13"/>
      <c r="L185" s="35"/>
      <c r="M185" s="13"/>
      <c r="N185" s="5" t="str">
        <f t="shared" si="10"/>
        <v/>
      </c>
      <c r="O185" s="5" t="str">
        <f t="shared" si="11"/>
        <v/>
      </c>
    </row>
    <row r="186" spans="1:15" x14ac:dyDescent="0.35">
      <c r="A186" s="1"/>
      <c r="B186" s="1"/>
      <c r="C186" s="13"/>
      <c r="D186" s="13"/>
      <c r="E186" s="35"/>
      <c r="F186" s="13"/>
      <c r="G186" s="1"/>
      <c r="H186" s="13"/>
      <c r="I186" s="1"/>
      <c r="J186" s="1"/>
      <c r="K186" s="13"/>
      <c r="L186" s="35"/>
      <c r="M186" s="13"/>
      <c r="N186" s="5" t="str">
        <f t="shared" si="10"/>
        <v/>
      </c>
      <c r="O186" s="5" t="str">
        <f t="shared" si="11"/>
        <v/>
      </c>
    </row>
    <row r="187" spans="1:15" x14ac:dyDescent="0.35">
      <c r="A187" s="1"/>
      <c r="B187" s="1"/>
      <c r="C187" s="13"/>
      <c r="D187" s="13"/>
      <c r="E187" s="35"/>
      <c r="F187" s="13"/>
      <c r="G187" s="1"/>
      <c r="H187" s="13"/>
      <c r="I187" s="1"/>
      <c r="J187" s="1"/>
      <c r="K187" s="13"/>
      <c r="L187" s="35"/>
      <c r="M187" s="13"/>
      <c r="N187" s="5" t="str">
        <f t="shared" si="10"/>
        <v/>
      </c>
      <c r="O187" s="5" t="str">
        <f t="shared" si="11"/>
        <v/>
      </c>
    </row>
    <row r="188" spans="1:15" x14ac:dyDescent="0.35">
      <c r="A188" s="1"/>
      <c r="B188" s="1"/>
      <c r="C188" s="13"/>
      <c r="D188" s="13"/>
      <c r="E188" s="35"/>
      <c r="F188" s="13"/>
      <c r="G188" s="1"/>
      <c r="H188" s="13"/>
      <c r="I188" s="1"/>
      <c r="J188" s="1"/>
      <c r="K188" s="13"/>
      <c r="L188" s="35"/>
      <c r="M188" s="13"/>
      <c r="N188" s="5" t="str">
        <f t="shared" si="10"/>
        <v/>
      </c>
      <c r="O188" s="5" t="str">
        <f t="shared" si="11"/>
        <v/>
      </c>
    </row>
    <row r="189" spans="1:15" x14ac:dyDescent="0.35">
      <c r="A189" s="1"/>
      <c r="B189" s="1"/>
      <c r="C189" s="13"/>
      <c r="D189" s="13"/>
      <c r="E189" s="35"/>
      <c r="F189" s="13"/>
      <c r="G189" s="1"/>
      <c r="H189" s="13"/>
      <c r="I189" s="1"/>
      <c r="J189" s="1"/>
      <c r="K189" s="13"/>
      <c r="L189" s="35"/>
      <c r="M189" s="13"/>
      <c r="N189" s="5" t="str">
        <f t="shared" si="10"/>
        <v/>
      </c>
      <c r="O189" s="5" t="str">
        <f t="shared" si="11"/>
        <v/>
      </c>
    </row>
    <row r="190" spans="1:15" x14ac:dyDescent="0.35">
      <c r="A190" s="1"/>
      <c r="B190" s="1"/>
      <c r="C190" s="13"/>
      <c r="D190" s="13"/>
      <c r="E190" s="35"/>
      <c r="F190" s="13"/>
      <c r="G190" s="1"/>
      <c r="H190" s="13"/>
      <c r="I190" s="1"/>
      <c r="J190" s="1"/>
      <c r="K190" s="13"/>
      <c r="L190" s="35"/>
      <c r="M190" s="13"/>
      <c r="N190" s="5" t="str">
        <f t="shared" si="10"/>
        <v/>
      </c>
      <c r="O190" s="5" t="str">
        <f t="shared" si="11"/>
        <v/>
      </c>
    </row>
    <row r="191" spans="1:15" x14ac:dyDescent="0.35">
      <c r="A191" s="1"/>
      <c r="B191" s="1"/>
      <c r="C191" s="13"/>
      <c r="D191" s="13"/>
      <c r="E191" s="35"/>
      <c r="F191" s="13"/>
      <c r="G191" s="1"/>
      <c r="H191" s="13"/>
      <c r="I191" s="1"/>
      <c r="J191" s="1"/>
      <c r="K191" s="13"/>
      <c r="L191" s="35"/>
      <c r="M191" s="13"/>
      <c r="N191" s="5" t="str">
        <f t="shared" si="10"/>
        <v/>
      </c>
      <c r="O191" s="5" t="str">
        <f t="shared" si="11"/>
        <v/>
      </c>
    </row>
    <row r="192" spans="1:15" x14ac:dyDescent="0.35">
      <c r="A192" s="1"/>
      <c r="B192" s="1"/>
      <c r="C192" s="13"/>
      <c r="D192" s="13"/>
      <c r="E192" s="35"/>
      <c r="F192" s="13"/>
      <c r="G192" s="1"/>
      <c r="H192" s="13"/>
      <c r="I192" s="1"/>
      <c r="J192" s="1"/>
      <c r="K192" s="13"/>
      <c r="L192" s="35"/>
      <c r="M192" s="13"/>
      <c r="N192" s="5" t="str">
        <f t="shared" si="10"/>
        <v/>
      </c>
      <c r="O192" s="5" t="str">
        <f t="shared" si="11"/>
        <v/>
      </c>
    </row>
    <row r="193" spans="1:15" x14ac:dyDescent="0.35">
      <c r="A193" s="1"/>
      <c r="B193" s="1"/>
      <c r="C193" s="13"/>
      <c r="D193" s="13"/>
      <c r="E193" s="35"/>
      <c r="F193" s="13"/>
      <c r="G193" s="1"/>
      <c r="H193" s="13"/>
      <c r="I193" s="1"/>
      <c r="J193" s="1"/>
      <c r="K193" s="13"/>
      <c r="L193" s="35"/>
      <c r="M193" s="13"/>
      <c r="N193" s="5" t="str">
        <f t="shared" si="10"/>
        <v/>
      </c>
      <c r="O193" s="5" t="str">
        <f t="shared" si="11"/>
        <v/>
      </c>
    </row>
    <row r="194" spans="1:15" x14ac:dyDescent="0.35">
      <c r="A194" s="1"/>
      <c r="B194" s="1"/>
      <c r="C194" s="13"/>
      <c r="D194" s="13"/>
      <c r="E194" s="35"/>
      <c r="F194" s="13"/>
      <c r="G194" s="1"/>
      <c r="H194" s="13"/>
      <c r="I194" s="1"/>
      <c r="J194" s="1"/>
      <c r="K194" s="13"/>
      <c r="L194" s="35"/>
      <c r="M194" s="13"/>
      <c r="N194" s="5" t="str">
        <f t="shared" si="10"/>
        <v/>
      </c>
      <c r="O194" s="5" t="str">
        <f t="shared" si="11"/>
        <v/>
      </c>
    </row>
    <row r="195" spans="1:15" x14ac:dyDescent="0.35">
      <c r="A195" s="1"/>
      <c r="B195" s="1"/>
      <c r="C195" s="13"/>
      <c r="D195" s="13"/>
      <c r="E195" s="35"/>
      <c r="F195" s="13"/>
      <c r="G195" s="1"/>
      <c r="H195" s="13"/>
      <c r="I195" s="1"/>
      <c r="J195" s="1"/>
      <c r="K195" s="13"/>
      <c r="L195" s="35"/>
      <c r="M195" s="13"/>
      <c r="N195" s="5" t="str">
        <f t="shared" si="10"/>
        <v/>
      </c>
      <c r="O195" s="5" t="str">
        <f t="shared" si="11"/>
        <v/>
      </c>
    </row>
    <row r="196" spans="1:15" x14ac:dyDescent="0.35">
      <c r="A196" s="1"/>
      <c r="B196" s="1"/>
      <c r="C196" s="13"/>
      <c r="D196" s="13"/>
      <c r="E196" s="35"/>
      <c r="F196" s="13"/>
      <c r="G196" s="1"/>
      <c r="H196" s="13"/>
      <c r="I196" s="1"/>
      <c r="J196" s="1"/>
      <c r="K196" s="13"/>
      <c r="L196" s="35"/>
      <c r="M196" s="13"/>
      <c r="N196" s="5" t="str">
        <f t="shared" si="10"/>
        <v/>
      </c>
      <c r="O196" s="5" t="str">
        <f t="shared" si="11"/>
        <v/>
      </c>
    </row>
    <row r="197" spans="1:15" x14ac:dyDescent="0.35">
      <c r="A197" s="1"/>
      <c r="B197" s="1"/>
      <c r="C197" s="13"/>
      <c r="D197" s="13"/>
      <c r="E197" s="35"/>
      <c r="F197" s="13"/>
      <c r="G197" s="1"/>
      <c r="H197" s="13"/>
      <c r="I197" s="1"/>
      <c r="J197" s="1"/>
      <c r="K197" s="13"/>
      <c r="L197" s="35"/>
      <c r="M197" s="13"/>
      <c r="N197" s="5" t="str">
        <f t="shared" si="10"/>
        <v/>
      </c>
      <c r="O197" s="5" t="str">
        <f t="shared" si="11"/>
        <v/>
      </c>
    </row>
    <row r="198" spans="1:15" x14ac:dyDescent="0.35">
      <c r="A198" s="1"/>
      <c r="B198" s="1"/>
      <c r="C198" s="13"/>
      <c r="D198" s="13"/>
      <c r="E198" s="35"/>
      <c r="F198" s="13"/>
      <c r="G198" s="1"/>
      <c r="H198" s="13"/>
      <c r="I198" s="1"/>
      <c r="J198" s="1"/>
      <c r="K198" s="13"/>
      <c r="L198" s="35"/>
      <c r="M198" s="13"/>
      <c r="N198" s="5" t="str">
        <f t="shared" ref="N198:N200" si="12">IF(A198="","",IF(M198&lt;&gt;"","Recebida",IF(K198&lt;&gt;"","Faturada – a receber",IF(H198&lt;&gt;"","Aprovada – faturar",IF(F198&lt;&gt;"","Em aprovação","Em preparação")))))</f>
        <v/>
      </c>
      <c r="O198" s="5" t="str">
        <f t="shared" si="11"/>
        <v/>
      </c>
    </row>
    <row r="199" spans="1:15" x14ac:dyDescent="0.35">
      <c r="A199" s="1"/>
      <c r="B199" s="1"/>
      <c r="C199" s="13"/>
      <c r="D199" s="13"/>
      <c r="E199" s="35"/>
      <c r="F199" s="13"/>
      <c r="G199" s="1"/>
      <c r="H199" s="13"/>
      <c r="I199" s="1"/>
      <c r="J199" s="1"/>
      <c r="K199" s="13"/>
      <c r="L199" s="35"/>
      <c r="M199" s="13"/>
      <c r="N199" s="5" t="str">
        <f t="shared" si="12"/>
        <v/>
      </c>
      <c r="O199" s="5" t="str">
        <f t="shared" si="11"/>
        <v/>
      </c>
    </row>
    <row r="200" spans="1:15" x14ac:dyDescent="0.35">
      <c r="A200" s="1"/>
      <c r="B200" s="1"/>
      <c r="C200" s="13"/>
      <c r="D200" s="13"/>
      <c r="E200" s="35"/>
      <c r="F200" s="13"/>
      <c r="G200" s="1"/>
      <c r="H200" s="13"/>
      <c r="I200" s="1"/>
      <c r="J200" s="1"/>
      <c r="K200" s="13"/>
      <c r="L200" s="35"/>
      <c r="M200" s="13"/>
      <c r="N200" s="5" t="str">
        <f t="shared" si="12"/>
        <v/>
      </c>
      <c r="O200" s="5" t="str">
        <f t="shared" si="11"/>
        <v/>
      </c>
    </row>
  </sheetData>
  <conditionalFormatting sqref="O6:O200">
    <cfRule type="cellIs" dxfId="4" priority="2" operator="greaterThan">
      <formula>10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LISTAS!$I$5:$I$6</xm:f>
          </x14:formula1>
          <x14:formula2>
            <xm:f>0</xm:f>
          </x14:formula2>
          <xm:sqref>B6:B200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O20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5" customWidth="1"/>
    <col min="2" max="2" width="15" customWidth="1"/>
    <col min="3" max="3" width="52" customWidth="1"/>
    <col min="4" max="4" width="36" customWidth="1"/>
    <col min="5" max="5" width="9" customWidth="1"/>
    <col min="6" max="6" width="20" customWidth="1"/>
    <col min="7" max="7" width="9" customWidth="1"/>
    <col min="8" max="9" width="11" customWidth="1"/>
    <col min="10" max="10" width="13" customWidth="1"/>
    <col min="11" max="11" width="11" customWidth="1"/>
    <col min="12" max="12" width="9" customWidth="1"/>
    <col min="13" max="13" width="12" customWidth="1"/>
    <col min="14" max="14" width="4" hidden="1" customWidth="1"/>
    <col min="15" max="15" width="11" customWidth="1"/>
  </cols>
  <sheetData>
    <row r="1" spans="1:15" ht="18" x14ac:dyDescent="0.4">
      <c r="A1" s="6" t="s">
        <v>561</v>
      </c>
    </row>
    <row r="2" spans="1:15" x14ac:dyDescent="0.35">
      <c r="A2" s="7" t="s">
        <v>562</v>
      </c>
    </row>
    <row r="4" spans="1:15" ht="31.5" customHeight="1" x14ac:dyDescent="0.35">
      <c r="A4" s="15" t="s">
        <v>100</v>
      </c>
      <c r="B4" s="15" t="s">
        <v>563</v>
      </c>
      <c r="C4" s="15" t="s">
        <v>204</v>
      </c>
      <c r="D4" s="15" t="s">
        <v>564</v>
      </c>
      <c r="E4" s="15" t="s">
        <v>209</v>
      </c>
      <c r="F4" s="15" t="s">
        <v>108</v>
      </c>
      <c r="G4" s="15" t="s">
        <v>565</v>
      </c>
      <c r="H4" s="15" t="s">
        <v>566</v>
      </c>
      <c r="I4" s="15" t="s">
        <v>567</v>
      </c>
      <c r="J4" s="15" t="s">
        <v>113</v>
      </c>
      <c r="K4" s="15" t="s">
        <v>568</v>
      </c>
      <c r="L4" s="15" t="s">
        <v>569</v>
      </c>
      <c r="M4" s="15" t="s">
        <v>119</v>
      </c>
      <c r="N4" s="15" t="s">
        <v>570</v>
      </c>
      <c r="O4" s="15" t="s">
        <v>571</v>
      </c>
    </row>
    <row r="5" spans="1:15" ht="26" x14ac:dyDescent="0.35">
      <c r="A5" s="17">
        <v>1</v>
      </c>
      <c r="B5" s="1" t="s">
        <v>572</v>
      </c>
      <c r="C5" s="1" t="s">
        <v>573</v>
      </c>
      <c r="D5" s="1" t="s">
        <v>574</v>
      </c>
      <c r="E5" s="1">
        <v>6</v>
      </c>
      <c r="F5" s="1" t="s">
        <v>575</v>
      </c>
      <c r="G5" s="1" t="s">
        <v>576</v>
      </c>
      <c r="H5" s="13">
        <v>46318</v>
      </c>
      <c r="I5" s="13"/>
      <c r="J5" s="1" t="s">
        <v>577</v>
      </c>
      <c r="K5" s="13"/>
      <c r="L5" s="14">
        <f t="shared" ref="L5:L36" ca="1" si="0">IF(OR(C5="",H5=""),"",IF(K5&lt;&gt;"",K5,DataRef)-H5)</f>
        <v>0</v>
      </c>
      <c r="M5" s="5" t="str">
        <f t="shared" ref="M5:M36" ca="1" si="1">IF(C5="","",IF(J5="Concluída","Concluída",IF(AND(I5&lt;&gt;"",DataRef&gt;I5),"VENCIDA","Em aberto")))</f>
        <v>Em aberto</v>
      </c>
      <c r="N5" s="20" t="str">
        <f>IF(AND(G5="Sim",O5&lt;&gt;"Não",J5&lt;&gt;"Concluída",C5&lt;&gt;""),COUNTIFS($G$5:G5,"Sim",$O$5:O5,"&lt;&gt;Não",$J$5:J5,"&lt;&gt;Concluída",$C$5:C5,"&lt;&gt;"),"")</f>
        <v/>
      </c>
      <c r="O5" s="1"/>
    </row>
    <row r="6" spans="1:15" ht="25" x14ac:dyDescent="0.35">
      <c r="A6" s="17">
        <v>2</v>
      </c>
      <c r="B6" s="1" t="s">
        <v>445</v>
      </c>
      <c r="C6" s="1" t="s">
        <v>578</v>
      </c>
      <c r="D6" s="1" t="s">
        <v>579</v>
      </c>
      <c r="E6" s="1">
        <v>2</v>
      </c>
      <c r="F6" s="1" t="s">
        <v>575</v>
      </c>
      <c r="G6" s="1" t="s">
        <v>576</v>
      </c>
      <c r="H6" s="13">
        <v>46318</v>
      </c>
      <c r="I6" s="13"/>
      <c r="J6" s="1" t="s">
        <v>577</v>
      </c>
      <c r="K6" s="13"/>
      <c r="L6" s="14">
        <f t="shared" ca="1" si="0"/>
        <v>0</v>
      </c>
      <c r="M6" s="5" t="str">
        <f t="shared" ca="1" si="1"/>
        <v>Em aberto</v>
      </c>
      <c r="N6" s="20" t="str">
        <f>IF(AND(G6="Sim",O6&lt;&gt;"Não",J6&lt;&gt;"Concluída",C6&lt;&gt;""),COUNTIFS($G$5:G6,"Sim",$O$5:O6,"&lt;&gt;Não",$J$5:J6,"&lt;&gt;Concluída",$C$5:C6,"&lt;&gt;"),"")</f>
        <v/>
      </c>
      <c r="O6" s="1"/>
    </row>
    <row r="7" spans="1:15" ht="25" x14ac:dyDescent="0.35">
      <c r="A7" s="17">
        <v>3</v>
      </c>
      <c r="B7" s="1" t="s">
        <v>580</v>
      </c>
      <c r="C7" s="1" t="s">
        <v>581</v>
      </c>
      <c r="D7" s="1" t="s">
        <v>582</v>
      </c>
      <c r="E7" s="1">
        <v>12</v>
      </c>
      <c r="F7" s="1" t="s">
        <v>583</v>
      </c>
      <c r="G7" s="1" t="s">
        <v>512</v>
      </c>
      <c r="H7" s="13">
        <v>46318</v>
      </c>
      <c r="I7" s="13"/>
      <c r="J7" s="1" t="s">
        <v>577</v>
      </c>
      <c r="K7" s="13"/>
      <c r="L7" s="14">
        <f t="shared" ca="1" si="0"/>
        <v>0</v>
      </c>
      <c r="M7" s="5" t="str">
        <f t="shared" ca="1" si="1"/>
        <v>Em aberto</v>
      </c>
      <c r="N7" s="20">
        <f>IF(AND(G7="Sim",O7&lt;&gt;"Não",J7&lt;&gt;"Concluída",C7&lt;&gt;""),COUNTIFS($G$5:G7,"Sim",$O$5:O7,"&lt;&gt;Não",$J$5:J7,"&lt;&gt;Concluída",$C$5:C7,"&lt;&gt;"),"")</f>
        <v>1</v>
      </c>
      <c r="O7" s="1" t="s">
        <v>512</v>
      </c>
    </row>
    <row r="8" spans="1:15" ht="25" x14ac:dyDescent="0.35">
      <c r="A8" s="17">
        <v>4</v>
      </c>
      <c r="B8" s="1" t="s">
        <v>580</v>
      </c>
      <c r="C8" s="1" t="s">
        <v>584</v>
      </c>
      <c r="D8" s="1" t="s">
        <v>585</v>
      </c>
      <c r="E8" s="1">
        <v>11</v>
      </c>
      <c r="F8" s="1" t="s">
        <v>583</v>
      </c>
      <c r="G8" s="1" t="s">
        <v>512</v>
      </c>
      <c r="H8" s="13">
        <v>46318</v>
      </c>
      <c r="I8" s="13"/>
      <c r="J8" s="1" t="s">
        <v>577</v>
      </c>
      <c r="K8" s="13"/>
      <c r="L8" s="14">
        <f t="shared" ca="1" si="0"/>
        <v>0</v>
      </c>
      <c r="M8" s="5" t="str">
        <f t="shared" ca="1" si="1"/>
        <v>Em aberto</v>
      </c>
      <c r="N8" s="20">
        <f>IF(AND(G8="Sim",O8&lt;&gt;"Não",J8&lt;&gt;"Concluída",C8&lt;&gt;""),COUNTIFS($G$5:G8,"Sim",$O$5:O8,"&lt;&gt;Não",$J$5:J8,"&lt;&gt;Concluída",$C$5:C8,"&lt;&gt;"),"")</f>
        <v>2</v>
      </c>
      <c r="O8" s="1" t="s">
        <v>512</v>
      </c>
    </row>
    <row r="9" spans="1:15" ht="25" x14ac:dyDescent="0.35">
      <c r="A9" s="17">
        <v>5</v>
      </c>
      <c r="B9" s="1" t="s">
        <v>580</v>
      </c>
      <c r="C9" s="1" t="s">
        <v>586</v>
      </c>
      <c r="D9" s="1" t="s">
        <v>587</v>
      </c>
      <c r="E9" s="1"/>
      <c r="F9" s="1" t="s">
        <v>588</v>
      </c>
      <c r="G9" s="1" t="s">
        <v>512</v>
      </c>
      <c r="H9" s="13">
        <v>46318</v>
      </c>
      <c r="I9" s="13"/>
      <c r="J9" s="1" t="s">
        <v>577</v>
      </c>
      <c r="K9" s="13"/>
      <c r="L9" s="14">
        <f t="shared" ca="1" si="0"/>
        <v>0</v>
      </c>
      <c r="M9" s="5" t="str">
        <f t="shared" ca="1" si="1"/>
        <v>Em aberto</v>
      </c>
      <c r="N9" s="20">
        <f>IF(AND(G9="Sim",O9&lt;&gt;"Não",J9&lt;&gt;"Concluída",C9&lt;&gt;""),COUNTIFS($G$5:G9,"Sim",$O$5:O9,"&lt;&gt;Não",$J$5:J9,"&lt;&gt;Concluída",$C$5:C9,"&lt;&gt;"),"")</f>
        <v>3</v>
      </c>
      <c r="O9" s="1" t="s">
        <v>512</v>
      </c>
    </row>
    <row r="10" spans="1:15" ht="25" x14ac:dyDescent="0.35">
      <c r="A10" s="17">
        <v>6</v>
      </c>
      <c r="B10" s="1" t="s">
        <v>580</v>
      </c>
      <c r="C10" s="1" t="s">
        <v>589</v>
      </c>
      <c r="D10" s="1" t="s">
        <v>590</v>
      </c>
      <c r="E10" s="1">
        <v>13</v>
      </c>
      <c r="F10" s="1" t="s">
        <v>575</v>
      </c>
      <c r="G10" s="1" t="s">
        <v>512</v>
      </c>
      <c r="H10" s="13">
        <v>46318</v>
      </c>
      <c r="I10" s="13"/>
      <c r="J10" s="1" t="s">
        <v>577</v>
      </c>
      <c r="K10" s="13"/>
      <c r="L10" s="14">
        <f t="shared" ca="1" si="0"/>
        <v>0</v>
      </c>
      <c r="M10" s="5" t="str">
        <f t="shared" ca="1" si="1"/>
        <v>Em aberto</v>
      </c>
      <c r="N10" s="20">
        <f>IF(AND(G10="Sim",O10&lt;&gt;"Não",J10&lt;&gt;"Concluída",C10&lt;&gt;""),COUNTIFS($G$5:G10,"Sim",$O$5:O10,"&lt;&gt;Não",$J$5:J10,"&lt;&gt;Concluída",$C$5:C10,"&lt;&gt;"),"")</f>
        <v>4</v>
      </c>
      <c r="O10" s="1" t="s">
        <v>512</v>
      </c>
    </row>
    <row r="11" spans="1:15" ht="50" x14ac:dyDescent="0.35">
      <c r="A11" s="17">
        <v>7</v>
      </c>
      <c r="B11" s="1" t="s">
        <v>591</v>
      </c>
      <c r="C11" s="1" t="s">
        <v>592</v>
      </c>
      <c r="D11" s="1" t="s">
        <v>593</v>
      </c>
      <c r="E11" s="1"/>
      <c r="F11" s="1" t="s">
        <v>594</v>
      </c>
      <c r="G11" s="1" t="s">
        <v>576</v>
      </c>
      <c r="H11" s="13">
        <v>46318</v>
      </c>
      <c r="I11" s="13"/>
      <c r="J11" s="1" t="s">
        <v>577</v>
      </c>
      <c r="K11" s="13"/>
      <c r="L11" s="14">
        <f t="shared" ca="1" si="0"/>
        <v>0</v>
      </c>
      <c r="M11" s="5" t="str">
        <f t="shared" ca="1" si="1"/>
        <v>Em aberto</v>
      </c>
      <c r="N11" s="20" t="str">
        <f>IF(AND(G11="Sim",O11&lt;&gt;"Não",J11&lt;&gt;"Concluída",C11&lt;&gt;""),COUNTIFS($G$5:G11,"Sim",$O$5:O11,"&lt;&gt;Não",$J$5:J11,"&lt;&gt;Concluída",$C$5:C11,"&lt;&gt;"),"")</f>
        <v/>
      </c>
      <c r="O11" s="1"/>
    </row>
    <row r="12" spans="1:15" ht="25" x14ac:dyDescent="0.35">
      <c r="A12" s="17">
        <v>8</v>
      </c>
      <c r="B12" s="1" t="s">
        <v>595</v>
      </c>
      <c r="C12" s="1" t="s">
        <v>596</v>
      </c>
      <c r="D12" s="1" t="s">
        <v>597</v>
      </c>
      <c r="E12" s="1"/>
      <c r="F12" s="1" t="s">
        <v>588</v>
      </c>
      <c r="G12" s="1" t="s">
        <v>512</v>
      </c>
      <c r="H12" s="13">
        <v>46318</v>
      </c>
      <c r="I12" s="13"/>
      <c r="J12" s="1" t="s">
        <v>577</v>
      </c>
      <c r="K12" s="13"/>
      <c r="L12" s="14">
        <f t="shared" ca="1" si="0"/>
        <v>0</v>
      </c>
      <c r="M12" s="5" t="str">
        <f t="shared" ca="1" si="1"/>
        <v>Em aberto</v>
      </c>
      <c r="N12" s="20" t="str">
        <f>IF(AND(G12="Sim",O12&lt;&gt;"Não",J12&lt;&gt;"Concluída",C12&lt;&gt;""),COUNTIFS($G$5:G12,"Sim",$O$5:O12,"&lt;&gt;Não",$J$5:J12,"&lt;&gt;Concluída",$C$5:C12,"&lt;&gt;"),"")</f>
        <v/>
      </c>
      <c r="O12" s="1" t="s">
        <v>576</v>
      </c>
    </row>
    <row r="13" spans="1:15" ht="25" x14ac:dyDescent="0.35">
      <c r="A13" s="17">
        <v>9</v>
      </c>
      <c r="B13" s="1" t="s">
        <v>598</v>
      </c>
      <c r="C13" s="1" t="s">
        <v>599</v>
      </c>
      <c r="D13" s="1" t="s">
        <v>600</v>
      </c>
      <c r="E13" s="1">
        <v>20</v>
      </c>
      <c r="F13" s="1" t="s">
        <v>594</v>
      </c>
      <c r="G13" s="1" t="s">
        <v>576</v>
      </c>
      <c r="H13" s="13">
        <v>46318</v>
      </c>
      <c r="I13" s="13"/>
      <c r="J13" s="1" t="s">
        <v>577</v>
      </c>
      <c r="K13" s="13"/>
      <c r="L13" s="14">
        <f t="shared" ca="1" si="0"/>
        <v>0</v>
      </c>
      <c r="M13" s="5" t="str">
        <f t="shared" ca="1" si="1"/>
        <v>Em aberto</v>
      </c>
      <c r="N13" s="20" t="str">
        <f>IF(AND(G13="Sim",O13&lt;&gt;"Não",J13&lt;&gt;"Concluída",C13&lt;&gt;""),COUNTIFS($G$5:G13,"Sim",$O$5:O13,"&lt;&gt;Não",$J$5:J13,"&lt;&gt;Concluída",$C$5:C13,"&lt;&gt;"),"")</f>
        <v/>
      </c>
      <c r="O13" s="1"/>
    </row>
    <row r="14" spans="1:15" ht="25" x14ac:dyDescent="0.35">
      <c r="A14" s="17">
        <v>10</v>
      </c>
      <c r="B14" s="1" t="s">
        <v>598</v>
      </c>
      <c r="C14" s="1" t="s">
        <v>601</v>
      </c>
      <c r="D14" s="1" t="s">
        <v>602</v>
      </c>
      <c r="E14" s="1">
        <v>18</v>
      </c>
      <c r="F14" s="1" t="s">
        <v>594</v>
      </c>
      <c r="G14" s="1" t="s">
        <v>576</v>
      </c>
      <c r="H14" s="13">
        <v>46318</v>
      </c>
      <c r="I14" s="13"/>
      <c r="J14" s="1" t="s">
        <v>577</v>
      </c>
      <c r="K14" s="13"/>
      <c r="L14" s="14">
        <f t="shared" ca="1" si="0"/>
        <v>0</v>
      </c>
      <c r="M14" s="5" t="str">
        <f t="shared" ca="1" si="1"/>
        <v>Em aberto</v>
      </c>
      <c r="N14" s="20" t="str">
        <f>IF(AND(G14="Sim",O14&lt;&gt;"Não",J14&lt;&gt;"Concluída",C14&lt;&gt;""),COUNTIFS($G$5:G14,"Sim",$O$5:O14,"&lt;&gt;Não",$J$5:J14,"&lt;&gt;Concluída",$C$5:C14,"&lt;&gt;"),"")</f>
        <v/>
      </c>
      <c r="O14" s="1"/>
    </row>
    <row r="15" spans="1:15" ht="25" x14ac:dyDescent="0.35">
      <c r="A15" s="17">
        <v>11</v>
      </c>
      <c r="B15" s="1" t="s">
        <v>598</v>
      </c>
      <c r="C15" s="1" t="s">
        <v>603</v>
      </c>
      <c r="D15" s="1" t="s">
        <v>604</v>
      </c>
      <c r="E15" s="1">
        <v>27</v>
      </c>
      <c r="F15" s="1" t="s">
        <v>594</v>
      </c>
      <c r="G15" s="1" t="s">
        <v>576</v>
      </c>
      <c r="H15" s="13">
        <v>46318</v>
      </c>
      <c r="I15" s="13"/>
      <c r="J15" s="1" t="s">
        <v>577</v>
      </c>
      <c r="K15" s="13"/>
      <c r="L15" s="14">
        <f t="shared" ca="1" si="0"/>
        <v>0</v>
      </c>
      <c r="M15" s="5" t="str">
        <f t="shared" ca="1" si="1"/>
        <v>Em aberto</v>
      </c>
      <c r="N15" s="20" t="str">
        <f>IF(AND(G15="Sim",O15&lt;&gt;"Não",J15&lt;&gt;"Concluída",C15&lt;&gt;""),COUNTIFS($G$5:G15,"Sim",$O$5:O15,"&lt;&gt;Não",$J$5:J15,"&lt;&gt;Concluída",$C$5:C15,"&lt;&gt;"),"")</f>
        <v/>
      </c>
      <c r="O15" s="1"/>
    </row>
    <row r="16" spans="1:15" ht="25" x14ac:dyDescent="0.35">
      <c r="A16" s="17">
        <v>12</v>
      </c>
      <c r="B16" s="1" t="s">
        <v>605</v>
      </c>
      <c r="C16" s="1" t="s">
        <v>606</v>
      </c>
      <c r="D16" s="1" t="s">
        <v>607</v>
      </c>
      <c r="E16" s="1"/>
      <c r="F16" s="1" t="s">
        <v>608</v>
      </c>
      <c r="G16" s="1" t="s">
        <v>512</v>
      </c>
      <c r="H16" s="13">
        <v>46318</v>
      </c>
      <c r="I16" s="13"/>
      <c r="J16" s="1" t="s">
        <v>577</v>
      </c>
      <c r="K16" s="13"/>
      <c r="L16" s="14">
        <f t="shared" ca="1" si="0"/>
        <v>0</v>
      </c>
      <c r="M16" s="5" t="str">
        <f t="shared" ca="1" si="1"/>
        <v>Em aberto</v>
      </c>
      <c r="N16" s="20" t="str">
        <f>IF(AND(G16="Sim",O16&lt;&gt;"Não",J16&lt;&gt;"Concluída",C16&lt;&gt;""),COUNTIFS($G$5:G16,"Sim",$O$5:O16,"&lt;&gt;Não",$J$5:J16,"&lt;&gt;Concluída",$C$5:C16,"&lt;&gt;"),"")</f>
        <v/>
      </c>
      <c r="O16" s="1" t="s">
        <v>576</v>
      </c>
    </row>
    <row r="17" spans="1:15" ht="25" x14ac:dyDescent="0.35">
      <c r="A17" s="17">
        <v>13</v>
      </c>
      <c r="B17" s="1" t="s">
        <v>605</v>
      </c>
      <c r="C17" s="1" t="s">
        <v>609</v>
      </c>
      <c r="D17" s="1" t="s">
        <v>610</v>
      </c>
      <c r="E17" s="1">
        <v>18</v>
      </c>
      <c r="F17" s="1" t="s">
        <v>594</v>
      </c>
      <c r="G17" s="1" t="s">
        <v>576</v>
      </c>
      <c r="H17" s="13">
        <v>46318</v>
      </c>
      <c r="I17" s="13"/>
      <c r="J17" s="1" t="s">
        <v>577</v>
      </c>
      <c r="K17" s="13"/>
      <c r="L17" s="14">
        <f t="shared" ca="1" si="0"/>
        <v>0</v>
      </c>
      <c r="M17" s="5" t="str">
        <f t="shared" ca="1" si="1"/>
        <v>Em aberto</v>
      </c>
      <c r="N17" s="20" t="str">
        <f>IF(AND(G17="Sim",O17&lt;&gt;"Não",J17&lt;&gt;"Concluída",C17&lt;&gt;""),COUNTIFS($G$5:G17,"Sim",$O$5:O17,"&lt;&gt;Não",$J$5:J17,"&lt;&gt;Concluída",$C$5:C17,"&lt;&gt;"),"")</f>
        <v/>
      </c>
      <c r="O17" s="1" t="s">
        <v>576</v>
      </c>
    </row>
    <row r="18" spans="1:15" ht="25" x14ac:dyDescent="0.35">
      <c r="A18" s="17">
        <v>14</v>
      </c>
      <c r="B18" s="1" t="s">
        <v>611</v>
      </c>
      <c r="C18" s="1" t="s">
        <v>612</v>
      </c>
      <c r="D18" s="1" t="s">
        <v>613</v>
      </c>
      <c r="E18" s="1"/>
      <c r="F18" s="1" t="s">
        <v>594</v>
      </c>
      <c r="G18" s="1" t="s">
        <v>576</v>
      </c>
      <c r="H18" s="13">
        <v>46318</v>
      </c>
      <c r="I18" s="13"/>
      <c r="J18" s="1" t="s">
        <v>577</v>
      </c>
      <c r="K18" s="13"/>
      <c r="L18" s="14">
        <f t="shared" ca="1" si="0"/>
        <v>0</v>
      </c>
      <c r="M18" s="5" t="str">
        <f t="shared" ca="1" si="1"/>
        <v>Em aberto</v>
      </c>
      <c r="N18" s="20" t="str">
        <f>IF(AND(G18="Sim",O18&lt;&gt;"Não",J18&lt;&gt;"Concluída",C18&lt;&gt;""),COUNTIFS($G$5:G18,"Sim",$O$5:O18,"&lt;&gt;Não",$J$5:J18,"&lt;&gt;Concluída",$C$5:C18,"&lt;&gt;"),"")</f>
        <v/>
      </c>
      <c r="O18" s="1"/>
    </row>
    <row r="19" spans="1:15" x14ac:dyDescent="0.35">
      <c r="A19" s="17" t="str">
        <f t="shared" ref="A19:A50" si="2">IF(C19="","",ROW()-4)</f>
        <v/>
      </c>
      <c r="B19" s="1"/>
      <c r="C19" s="1"/>
      <c r="D19" s="1"/>
      <c r="E19" s="1"/>
      <c r="F19" s="1"/>
      <c r="G19" s="1"/>
      <c r="H19" s="13"/>
      <c r="I19" s="13"/>
      <c r="J19" s="1"/>
      <c r="K19" s="13"/>
      <c r="L19" s="14" t="str">
        <f t="shared" si="0"/>
        <v/>
      </c>
      <c r="M19" s="5" t="str">
        <f t="shared" si="1"/>
        <v/>
      </c>
      <c r="N19" s="20" t="str">
        <f>IF(AND(G19="Sim",O19&lt;&gt;"Não",J19&lt;&gt;"Concluída",C19&lt;&gt;""),COUNTIFS($G$5:G19,"Sim",$O$5:O19,"&lt;&gt;Não",$J$5:J19,"&lt;&gt;Concluída",$C$5:C19,"&lt;&gt;"),"")</f>
        <v/>
      </c>
      <c r="O19" s="1"/>
    </row>
    <row r="20" spans="1:15" x14ac:dyDescent="0.35">
      <c r="A20" s="17" t="str">
        <f t="shared" si="2"/>
        <v/>
      </c>
      <c r="B20" s="1"/>
      <c r="C20" s="1"/>
      <c r="D20" s="1"/>
      <c r="E20" s="1"/>
      <c r="F20" s="1"/>
      <c r="G20" s="1"/>
      <c r="H20" s="13"/>
      <c r="I20" s="13"/>
      <c r="J20" s="1"/>
      <c r="K20" s="13"/>
      <c r="L20" s="14" t="str">
        <f t="shared" si="0"/>
        <v/>
      </c>
      <c r="M20" s="5" t="str">
        <f t="shared" si="1"/>
        <v/>
      </c>
      <c r="N20" s="20" t="str">
        <f>IF(AND(G20="Sim",O20&lt;&gt;"Não",J20&lt;&gt;"Concluída",C20&lt;&gt;""),COUNTIFS($G$5:G20,"Sim",$O$5:O20,"&lt;&gt;Não",$J$5:J20,"&lt;&gt;Concluída",$C$5:C20,"&lt;&gt;"),"")</f>
        <v/>
      </c>
      <c r="O20" s="1"/>
    </row>
    <row r="21" spans="1:15" x14ac:dyDescent="0.35">
      <c r="A21" s="17" t="str">
        <f t="shared" si="2"/>
        <v/>
      </c>
      <c r="B21" s="1"/>
      <c r="C21" s="1"/>
      <c r="D21" s="1"/>
      <c r="E21" s="1"/>
      <c r="F21" s="1"/>
      <c r="G21" s="1"/>
      <c r="H21" s="13"/>
      <c r="I21" s="13"/>
      <c r="J21" s="1"/>
      <c r="K21" s="13"/>
      <c r="L21" s="14" t="str">
        <f t="shared" si="0"/>
        <v/>
      </c>
      <c r="M21" s="5" t="str">
        <f t="shared" si="1"/>
        <v/>
      </c>
      <c r="N21" s="20" t="str">
        <f>IF(AND(G21="Sim",O21&lt;&gt;"Não",J21&lt;&gt;"Concluída",C21&lt;&gt;""),COUNTIFS($G$5:G21,"Sim",$O$5:O21,"&lt;&gt;Não",$J$5:J21,"&lt;&gt;Concluída",$C$5:C21,"&lt;&gt;"),"")</f>
        <v/>
      </c>
      <c r="O21" s="1"/>
    </row>
    <row r="22" spans="1:15" x14ac:dyDescent="0.35">
      <c r="A22" s="17" t="str">
        <f t="shared" si="2"/>
        <v/>
      </c>
      <c r="B22" s="1"/>
      <c r="C22" s="1"/>
      <c r="D22" s="1"/>
      <c r="E22" s="1"/>
      <c r="F22" s="1"/>
      <c r="G22" s="1"/>
      <c r="H22" s="13"/>
      <c r="I22" s="13"/>
      <c r="J22" s="1"/>
      <c r="K22" s="13"/>
      <c r="L22" s="14" t="str">
        <f t="shared" si="0"/>
        <v/>
      </c>
      <c r="M22" s="5" t="str">
        <f t="shared" si="1"/>
        <v/>
      </c>
      <c r="N22" s="20" t="str">
        <f>IF(AND(G22="Sim",O22&lt;&gt;"Não",J22&lt;&gt;"Concluída",C22&lt;&gt;""),COUNTIFS($G$5:G22,"Sim",$O$5:O22,"&lt;&gt;Não",$J$5:J22,"&lt;&gt;Concluída",$C$5:C22,"&lt;&gt;"),"")</f>
        <v/>
      </c>
      <c r="O22" s="1"/>
    </row>
    <row r="23" spans="1:15" x14ac:dyDescent="0.35">
      <c r="A23" s="17" t="str">
        <f t="shared" si="2"/>
        <v/>
      </c>
      <c r="B23" s="1"/>
      <c r="C23" s="1"/>
      <c r="D23" s="1"/>
      <c r="E23" s="1"/>
      <c r="F23" s="1"/>
      <c r="G23" s="1"/>
      <c r="H23" s="13"/>
      <c r="I23" s="13"/>
      <c r="J23" s="1"/>
      <c r="K23" s="13"/>
      <c r="L23" s="14" t="str">
        <f t="shared" si="0"/>
        <v/>
      </c>
      <c r="M23" s="5" t="str">
        <f t="shared" si="1"/>
        <v/>
      </c>
      <c r="N23" s="20" t="str">
        <f>IF(AND(G23="Sim",O23&lt;&gt;"Não",J23&lt;&gt;"Concluída",C23&lt;&gt;""),COUNTIFS($G$5:G23,"Sim",$O$5:O23,"&lt;&gt;Não",$J$5:J23,"&lt;&gt;Concluída",$C$5:C23,"&lt;&gt;"),"")</f>
        <v/>
      </c>
      <c r="O23" s="1"/>
    </row>
    <row r="24" spans="1:15" x14ac:dyDescent="0.35">
      <c r="A24" s="17" t="str">
        <f t="shared" si="2"/>
        <v/>
      </c>
      <c r="B24" s="1"/>
      <c r="C24" s="1"/>
      <c r="D24" s="1"/>
      <c r="E24" s="1"/>
      <c r="F24" s="1"/>
      <c r="G24" s="1"/>
      <c r="H24" s="13"/>
      <c r="I24" s="13"/>
      <c r="J24" s="1"/>
      <c r="K24" s="13"/>
      <c r="L24" s="14" t="str">
        <f t="shared" si="0"/>
        <v/>
      </c>
      <c r="M24" s="5" t="str">
        <f t="shared" si="1"/>
        <v/>
      </c>
      <c r="N24" s="20" t="str">
        <f>IF(AND(G24="Sim",O24&lt;&gt;"Não",J24&lt;&gt;"Concluída",C24&lt;&gt;""),COUNTIFS($G$5:G24,"Sim",$O$5:O24,"&lt;&gt;Não",$J$5:J24,"&lt;&gt;Concluída",$C$5:C24,"&lt;&gt;"),"")</f>
        <v/>
      </c>
      <c r="O24" s="1"/>
    </row>
    <row r="25" spans="1:15" x14ac:dyDescent="0.35">
      <c r="A25" s="17" t="str">
        <f t="shared" si="2"/>
        <v/>
      </c>
      <c r="B25" s="1"/>
      <c r="C25" s="1"/>
      <c r="D25" s="1"/>
      <c r="E25" s="1"/>
      <c r="F25" s="1"/>
      <c r="G25" s="1"/>
      <c r="H25" s="13"/>
      <c r="I25" s="13"/>
      <c r="J25" s="1"/>
      <c r="K25" s="13"/>
      <c r="L25" s="14" t="str">
        <f t="shared" si="0"/>
        <v/>
      </c>
      <c r="M25" s="5" t="str">
        <f t="shared" si="1"/>
        <v/>
      </c>
      <c r="N25" s="20" t="str">
        <f>IF(AND(G25="Sim",O25&lt;&gt;"Não",J25&lt;&gt;"Concluída",C25&lt;&gt;""),COUNTIFS($G$5:G25,"Sim",$O$5:O25,"&lt;&gt;Não",$J$5:J25,"&lt;&gt;Concluída",$C$5:C25,"&lt;&gt;"),"")</f>
        <v/>
      </c>
      <c r="O25" s="1"/>
    </row>
    <row r="26" spans="1:15" x14ac:dyDescent="0.35">
      <c r="A26" s="17" t="str">
        <f t="shared" si="2"/>
        <v/>
      </c>
      <c r="B26" s="1"/>
      <c r="C26" s="1"/>
      <c r="D26" s="1"/>
      <c r="E26" s="1"/>
      <c r="F26" s="1"/>
      <c r="G26" s="1"/>
      <c r="H26" s="13"/>
      <c r="I26" s="13"/>
      <c r="J26" s="1"/>
      <c r="K26" s="13"/>
      <c r="L26" s="14" t="str">
        <f t="shared" si="0"/>
        <v/>
      </c>
      <c r="M26" s="5" t="str">
        <f t="shared" si="1"/>
        <v/>
      </c>
      <c r="N26" s="20" t="str">
        <f>IF(AND(G26="Sim",O26&lt;&gt;"Não",J26&lt;&gt;"Concluída",C26&lt;&gt;""),COUNTIFS($G$5:G26,"Sim",$O$5:O26,"&lt;&gt;Não",$J$5:J26,"&lt;&gt;Concluída",$C$5:C26,"&lt;&gt;"),"")</f>
        <v/>
      </c>
      <c r="O26" s="1"/>
    </row>
    <row r="27" spans="1:15" x14ac:dyDescent="0.35">
      <c r="A27" s="17" t="str">
        <f t="shared" si="2"/>
        <v/>
      </c>
      <c r="B27" s="1"/>
      <c r="C27" s="1"/>
      <c r="D27" s="1"/>
      <c r="E27" s="1"/>
      <c r="F27" s="1"/>
      <c r="G27" s="1"/>
      <c r="H27" s="13"/>
      <c r="I27" s="13"/>
      <c r="J27" s="1"/>
      <c r="K27" s="13"/>
      <c r="L27" s="14" t="str">
        <f t="shared" si="0"/>
        <v/>
      </c>
      <c r="M27" s="5" t="str">
        <f t="shared" si="1"/>
        <v/>
      </c>
      <c r="N27" s="20" t="str">
        <f>IF(AND(G27="Sim",O27&lt;&gt;"Não",J27&lt;&gt;"Concluída",C27&lt;&gt;""),COUNTIFS($G$5:G27,"Sim",$O$5:O27,"&lt;&gt;Não",$J$5:J27,"&lt;&gt;Concluída",$C$5:C27,"&lt;&gt;"),"")</f>
        <v/>
      </c>
      <c r="O27" s="1"/>
    </row>
    <row r="28" spans="1:15" x14ac:dyDescent="0.35">
      <c r="A28" s="17" t="str">
        <f t="shared" si="2"/>
        <v/>
      </c>
      <c r="B28" s="1"/>
      <c r="C28" s="1"/>
      <c r="D28" s="1"/>
      <c r="E28" s="1"/>
      <c r="F28" s="1"/>
      <c r="G28" s="1"/>
      <c r="H28" s="13"/>
      <c r="I28" s="13"/>
      <c r="J28" s="1"/>
      <c r="K28" s="13"/>
      <c r="L28" s="14" t="str">
        <f t="shared" si="0"/>
        <v/>
      </c>
      <c r="M28" s="5" t="str">
        <f t="shared" si="1"/>
        <v/>
      </c>
      <c r="N28" s="20" t="str">
        <f>IF(AND(G28="Sim",O28&lt;&gt;"Não",J28&lt;&gt;"Concluída",C28&lt;&gt;""),COUNTIFS($G$5:G28,"Sim",$O$5:O28,"&lt;&gt;Não",$J$5:J28,"&lt;&gt;Concluída",$C$5:C28,"&lt;&gt;"),"")</f>
        <v/>
      </c>
      <c r="O28" s="1"/>
    </row>
    <row r="29" spans="1:15" x14ac:dyDescent="0.35">
      <c r="A29" s="17" t="str">
        <f t="shared" si="2"/>
        <v/>
      </c>
      <c r="B29" s="1"/>
      <c r="C29" s="1"/>
      <c r="D29" s="1"/>
      <c r="E29" s="1"/>
      <c r="F29" s="1"/>
      <c r="G29" s="1"/>
      <c r="H29" s="13"/>
      <c r="I29" s="13"/>
      <c r="J29" s="1"/>
      <c r="K29" s="13"/>
      <c r="L29" s="14" t="str">
        <f t="shared" si="0"/>
        <v/>
      </c>
      <c r="M29" s="5" t="str">
        <f t="shared" si="1"/>
        <v/>
      </c>
      <c r="N29" s="20" t="str">
        <f>IF(AND(G29="Sim",O29&lt;&gt;"Não",J29&lt;&gt;"Concluída",C29&lt;&gt;""),COUNTIFS($G$5:G29,"Sim",$O$5:O29,"&lt;&gt;Não",$J$5:J29,"&lt;&gt;Concluída",$C$5:C29,"&lt;&gt;"),"")</f>
        <v/>
      </c>
      <c r="O29" s="1"/>
    </row>
    <row r="30" spans="1:15" x14ac:dyDescent="0.35">
      <c r="A30" s="17" t="str">
        <f t="shared" si="2"/>
        <v/>
      </c>
      <c r="B30" s="1"/>
      <c r="C30" s="1"/>
      <c r="D30" s="1"/>
      <c r="E30" s="1"/>
      <c r="F30" s="1"/>
      <c r="G30" s="1"/>
      <c r="H30" s="13"/>
      <c r="I30" s="13"/>
      <c r="J30" s="1"/>
      <c r="K30" s="13"/>
      <c r="L30" s="14" t="str">
        <f t="shared" si="0"/>
        <v/>
      </c>
      <c r="M30" s="5" t="str">
        <f t="shared" si="1"/>
        <v/>
      </c>
      <c r="N30" s="20" t="str">
        <f>IF(AND(G30="Sim",O30&lt;&gt;"Não",J30&lt;&gt;"Concluída",C30&lt;&gt;""),COUNTIFS($G$5:G30,"Sim",$O$5:O30,"&lt;&gt;Não",$J$5:J30,"&lt;&gt;Concluída",$C$5:C30,"&lt;&gt;"),"")</f>
        <v/>
      </c>
      <c r="O30" s="1"/>
    </row>
    <row r="31" spans="1:15" x14ac:dyDescent="0.35">
      <c r="A31" s="17" t="str">
        <f t="shared" si="2"/>
        <v/>
      </c>
      <c r="B31" s="1"/>
      <c r="C31" s="1"/>
      <c r="D31" s="1"/>
      <c r="E31" s="1"/>
      <c r="F31" s="1"/>
      <c r="G31" s="1"/>
      <c r="H31" s="13"/>
      <c r="I31" s="13"/>
      <c r="J31" s="1"/>
      <c r="K31" s="13"/>
      <c r="L31" s="14" t="str">
        <f t="shared" si="0"/>
        <v/>
      </c>
      <c r="M31" s="5" t="str">
        <f t="shared" si="1"/>
        <v/>
      </c>
      <c r="N31" s="20" t="str">
        <f>IF(AND(G31="Sim",O31&lt;&gt;"Não",J31&lt;&gt;"Concluída",C31&lt;&gt;""),COUNTIFS($G$5:G31,"Sim",$O$5:O31,"&lt;&gt;Não",$J$5:J31,"&lt;&gt;Concluída",$C$5:C31,"&lt;&gt;"),"")</f>
        <v/>
      </c>
      <c r="O31" s="1"/>
    </row>
    <row r="32" spans="1:15" x14ac:dyDescent="0.35">
      <c r="A32" s="17" t="str">
        <f t="shared" si="2"/>
        <v/>
      </c>
      <c r="B32" s="1"/>
      <c r="C32" s="1"/>
      <c r="D32" s="1"/>
      <c r="E32" s="1"/>
      <c r="F32" s="1"/>
      <c r="G32" s="1"/>
      <c r="H32" s="13"/>
      <c r="I32" s="13"/>
      <c r="J32" s="1"/>
      <c r="K32" s="13"/>
      <c r="L32" s="14" t="str">
        <f t="shared" si="0"/>
        <v/>
      </c>
      <c r="M32" s="5" t="str">
        <f t="shared" si="1"/>
        <v/>
      </c>
      <c r="N32" s="20" t="str">
        <f>IF(AND(G32="Sim",O32&lt;&gt;"Não",J32&lt;&gt;"Concluída",C32&lt;&gt;""),COUNTIFS($G$5:G32,"Sim",$O$5:O32,"&lt;&gt;Não",$J$5:J32,"&lt;&gt;Concluída",$C$5:C32,"&lt;&gt;"),"")</f>
        <v/>
      </c>
      <c r="O32" s="1"/>
    </row>
    <row r="33" spans="1:15" x14ac:dyDescent="0.35">
      <c r="A33" s="17" t="str">
        <f t="shared" si="2"/>
        <v/>
      </c>
      <c r="B33" s="1"/>
      <c r="C33" s="1"/>
      <c r="D33" s="1"/>
      <c r="E33" s="1"/>
      <c r="F33" s="1"/>
      <c r="G33" s="1"/>
      <c r="H33" s="13"/>
      <c r="I33" s="13"/>
      <c r="J33" s="1"/>
      <c r="K33" s="13"/>
      <c r="L33" s="14" t="str">
        <f t="shared" si="0"/>
        <v/>
      </c>
      <c r="M33" s="5" t="str">
        <f t="shared" si="1"/>
        <v/>
      </c>
      <c r="N33" s="20" t="str">
        <f>IF(AND(G33="Sim",O33&lt;&gt;"Não",J33&lt;&gt;"Concluída",C33&lt;&gt;""),COUNTIFS($G$5:G33,"Sim",$O$5:O33,"&lt;&gt;Não",$J$5:J33,"&lt;&gt;Concluída",$C$5:C33,"&lt;&gt;"),"")</f>
        <v/>
      </c>
      <c r="O33" s="1"/>
    </row>
    <row r="34" spans="1:15" x14ac:dyDescent="0.35">
      <c r="A34" s="17" t="str">
        <f t="shared" si="2"/>
        <v/>
      </c>
      <c r="B34" s="1"/>
      <c r="C34" s="1"/>
      <c r="D34" s="1"/>
      <c r="E34" s="1"/>
      <c r="F34" s="1"/>
      <c r="G34" s="1"/>
      <c r="H34" s="13"/>
      <c r="I34" s="13"/>
      <c r="J34" s="1"/>
      <c r="K34" s="13"/>
      <c r="L34" s="14" t="str">
        <f t="shared" si="0"/>
        <v/>
      </c>
      <c r="M34" s="5" t="str">
        <f t="shared" si="1"/>
        <v/>
      </c>
      <c r="N34" s="20" t="str">
        <f>IF(AND(G34="Sim",O34&lt;&gt;"Não",J34&lt;&gt;"Concluída",C34&lt;&gt;""),COUNTIFS($G$5:G34,"Sim",$O$5:O34,"&lt;&gt;Não",$J$5:J34,"&lt;&gt;Concluída",$C$5:C34,"&lt;&gt;"),"")</f>
        <v/>
      </c>
      <c r="O34" s="1"/>
    </row>
    <row r="35" spans="1:15" x14ac:dyDescent="0.35">
      <c r="A35" s="17" t="str">
        <f t="shared" si="2"/>
        <v/>
      </c>
      <c r="B35" s="1"/>
      <c r="C35" s="1"/>
      <c r="D35" s="1"/>
      <c r="E35" s="1"/>
      <c r="F35" s="1"/>
      <c r="G35" s="1"/>
      <c r="H35" s="13"/>
      <c r="I35" s="13"/>
      <c r="J35" s="1"/>
      <c r="K35" s="13"/>
      <c r="L35" s="14" t="str">
        <f t="shared" si="0"/>
        <v/>
      </c>
      <c r="M35" s="5" t="str">
        <f t="shared" si="1"/>
        <v/>
      </c>
      <c r="N35" s="20" t="str">
        <f>IF(AND(G35="Sim",O35&lt;&gt;"Não",J35&lt;&gt;"Concluída",C35&lt;&gt;""),COUNTIFS($G$5:G35,"Sim",$O$5:O35,"&lt;&gt;Não",$J$5:J35,"&lt;&gt;Concluída",$C$5:C35,"&lt;&gt;"),"")</f>
        <v/>
      </c>
      <c r="O35" s="1"/>
    </row>
    <row r="36" spans="1:15" x14ac:dyDescent="0.35">
      <c r="A36" s="17" t="str">
        <f t="shared" si="2"/>
        <v/>
      </c>
      <c r="B36" s="1"/>
      <c r="C36" s="1"/>
      <c r="D36" s="1"/>
      <c r="E36" s="1"/>
      <c r="F36" s="1"/>
      <c r="G36" s="1"/>
      <c r="H36" s="13"/>
      <c r="I36" s="13"/>
      <c r="J36" s="1"/>
      <c r="K36" s="13"/>
      <c r="L36" s="14" t="str">
        <f t="shared" si="0"/>
        <v/>
      </c>
      <c r="M36" s="5" t="str">
        <f t="shared" si="1"/>
        <v/>
      </c>
      <c r="N36" s="20" t="str">
        <f>IF(AND(G36="Sim",O36&lt;&gt;"Não",J36&lt;&gt;"Concluída",C36&lt;&gt;""),COUNTIFS($G$5:G36,"Sim",$O$5:O36,"&lt;&gt;Não",$J$5:J36,"&lt;&gt;Concluída",$C$5:C36,"&lt;&gt;"),"")</f>
        <v/>
      </c>
      <c r="O36" s="1"/>
    </row>
    <row r="37" spans="1:15" x14ac:dyDescent="0.35">
      <c r="A37" s="17" t="str">
        <f t="shared" si="2"/>
        <v/>
      </c>
      <c r="B37" s="1"/>
      <c r="C37" s="1"/>
      <c r="D37" s="1"/>
      <c r="E37" s="1"/>
      <c r="F37" s="1"/>
      <c r="G37" s="1"/>
      <c r="H37" s="13"/>
      <c r="I37" s="13"/>
      <c r="J37" s="1"/>
      <c r="K37" s="13"/>
      <c r="L37" s="14" t="str">
        <f t="shared" ref="L37:L68" si="3">IF(OR(C37="",H37=""),"",IF(K37&lt;&gt;"",K37,DataRef)-H37)</f>
        <v/>
      </c>
      <c r="M37" s="5" t="str">
        <f t="shared" ref="M37:M68" si="4">IF(C37="","",IF(J37="Concluída","Concluída",IF(AND(I37&lt;&gt;"",DataRef&gt;I37),"VENCIDA","Em aberto")))</f>
        <v/>
      </c>
      <c r="N37" s="20" t="str">
        <f>IF(AND(G37="Sim",O37&lt;&gt;"Não",J37&lt;&gt;"Concluída",C37&lt;&gt;""),COUNTIFS($G$5:G37,"Sim",$O$5:O37,"&lt;&gt;Não",$J$5:J37,"&lt;&gt;Concluída",$C$5:C37,"&lt;&gt;"),"")</f>
        <v/>
      </c>
      <c r="O37" s="1"/>
    </row>
    <row r="38" spans="1:15" x14ac:dyDescent="0.35">
      <c r="A38" s="17" t="str">
        <f t="shared" si="2"/>
        <v/>
      </c>
      <c r="B38" s="1"/>
      <c r="C38" s="1"/>
      <c r="D38" s="1"/>
      <c r="E38" s="1"/>
      <c r="F38" s="1"/>
      <c r="G38" s="1"/>
      <c r="H38" s="13"/>
      <c r="I38" s="13"/>
      <c r="J38" s="1"/>
      <c r="K38" s="13"/>
      <c r="L38" s="14" t="str">
        <f t="shared" si="3"/>
        <v/>
      </c>
      <c r="M38" s="5" t="str">
        <f t="shared" si="4"/>
        <v/>
      </c>
      <c r="N38" s="20" t="str">
        <f>IF(AND(G38="Sim",O38&lt;&gt;"Não",J38&lt;&gt;"Concluída",C38&lt;&gt;""),COUNTIFS($G$5:G38,"Sim",$O$5:O38,"&lt;&gt;Não",$J$5:J38,"&lt;&gt;Concluída",$C$5:C38,"&lt;&gt;"),"")</f>
        <v/>
      </c>
      <c r="O38" s="1"/>
    </row>
    <row r="39" spans="1:15" x14ac:dyDescent="0.35">
      <c r="A39" s="17" t="str">
        <f t="shared" si="2"/>
        <v/>
      </c>
      <c r="B39" s="1"/>
      <c r="C39" s="1"/>
      <c r="D39" s="1"/>
      <c r="E39" s="1"/>
      <c r="F39" s="1"/>
      <c r="G39" s="1"/>
      <c r="H39" s="13"/>
      <c r="I39" s="13"/>
      <c r="J39" s="1"/>
      <c r="K39" s="13"/>
      <c r="L39" s="14" t="str">
        <f t="shared" si="3"/>
        <v/>
      </c>
      <c r="M39" s="5" t="str">
        <f t="shared" si="4"/>
        <v/>
      </c>
      <c r="N39" s="20" t="str">
        <f>IF(AND(G39="Sim",O39&lt;&gt;"Não",J39&lt;&gt;"Concluída",C39&lt;&gt;""),COUNTIFS($G$5:G39,"Sim",$O$5:O39,"&lt;&gt;Não",$J$5:J39,"&lt;&gt;Concluída",$C$5:C39,"&lt;&gt;"),"")</f>
        <v/>
      </c>
      <c r="O39" s="1"/>
    </row>
    <row r="40" spans="1:15" x14ac:dyDescent="0.35">
      <c r="A40" s="17" t="str">
        <f t="shared" si="2"/>
        <v/>
      </c>
      <c r="B40" s="1"/>
      <c r="C40" s="1"/>
      <c r="D40" s="1"/>
      <c r="E40" s="1"/>
      <c r="F40" s="1"/>
      <c r="G40" s="1"/>
      <c r="H40" s="13"/>
      <c r="I40" s="13"/>
      <c r="J40" s="1"/>
      <c r="K40" s="13"/>
      <c r="L40" s="14" t="str">
        <f t="shared" si="3"/>
        <v/>
      </c>
      <c r="M40" s="5" t="str">
        <f t="shared" si="4"/>
        <v/>
      </c>
      <c r="N40" s="20" t="str">
        <f>IF(AND(G40="Sim",O40&lt;&gt;"Não",J40&lt;&gt;"Concluída",C40&lt;&gt;""),COUNTIFS($G$5:G40,"Sim",$O$5:O40,"&lt;&gt;Não",$J$5:J40,"&lt;&gt;Concluída",$C$5:C40,"&lt;&gt;"),"")</f>
        <v/>
      </c>
      <c r="O40" s="1"/>
    </row>
    <row r="41" spans="1:15" x14ac:dyDescent="0.35">
      <c r="A41" s="17" t="str">
        <f t="shared" si="2"/>
        <v/>
      </c>
      <c r="B41" s="1"/>
      <c r="C41" s="1"/>
      <c r="D41" s="1"/>
      <c r="E41" s="1"/>
      <c r="F41" s="1"/>
      <c r="G41" s="1"/>
      <c r="H41" s="13"/>
      <c r="I41" s="13"/>
      <c r="J41" s="1"/>
      <c r="K41" s="13"/>
      <c r="L41" s="14" t="str">
        <f t="shared" si="3"/>
        <v/>
      </c>
      <c r="M41" s="5" t="str">
        <f t="shared" si="4"/>
        <v/>
      </c>
      <c r="N41" s="20" t="str">
        <f>IF(AND(G41="Sim",O41&lt;&gt;"Não",J41&lt;&gt;"Concluída",C41&lt;&gt;""),COUNTIFS($G$5:G41,"Sim",$O$5:O41,"&lt;&gt;Não",$J$5:J41,"&lt;&gt;Concluída",$C$5:C41,"&lt;&gt;"),"")</f>
        <v/>
      </c>
      <c r="O41" s="1"/>
    </row>
    <row r="42" spans="1:15" x14ac:dyDescent="0.35">
      <c r="A42" s="17" t="str">
        <f t="shared" si="2"/>
        <v/>
      </c>
      <c r="B42" s="1"/>
      <c r="C42" s="1"/>
      <c r="D42" s="1"/>
      <c r="E42" s="1"/>
      <c r="F42" s="1"/>
      <c r="G42" s="1"/>
      <c r="H42" s="13"/>
      <c r="I42" s="13"/>
      <c r="J42" s="1"/>
      <c r="K42" s="13"/>
      <c r="L42" s="14" t="str">
        <f t="shared" si="3"/>
        <v/>
      </c>
      <c r="M42" s="5" t="str">
        <f t="shared" si="4"/>
        <v/>
      </c>
      <c r="N42" s="20" t="str">
        <f>IF(AND(G42="Sim",O42&lt;&gt;"Não",J42&lt;&gt;"Concluída",C42&lt;&gt;""),COUNTIFS($G$5:G42,"Sim",$O$5:O42,"&lt;&gt;Não",$J$5:J42,"&lt;&gt;Concluída",$C$5:C42,"&lt;&gt;"),"")</f>
        <v/>
      </c>
      <c r="O42" s="1"/>
    </row>
    <row r="43" spans="1:15" x14ac:dyDescent="0.35">
      <c r="A43" s="17" t="str">
        <f t="shared" si="2"/>
        <v/>
      </c>
      <c r="B43" s="1"/>
      <c r="C43" s="1"/>
      <c r="D43" s="1"/>
      <c r="E43" s="1"/>
      <c r="F43" s="1"/>
      <c r="G43" s="1"/>
      <c r="H43" s="13"/>
      <c r="I43" s="13"/>
      <c r="J43" s="1"/>
      <c r="K43" s="13"/>
      <c r="L43" s="14" t="str">
        <f t="shared" si="3"/>
        <v/>
      </c>
      <c r="M43" s="5" t="str">
        <f t="shared" si="4"/>
        <v/>
      </c>
      <c r="N43" s="20" t="str">
        <f>IF(AND(G43="Sim",O43&lt;&gt;"Não",J43&lt;&gt;"Concluída",C43&lt;&gt;""),COUNTIFS($G$5:G43,"Sim",$O$5:O43,"&lt;&gt;Não",$J$5:J43,"&lt;&gt;Concluída",$C$5:C43,"&lt;&gt;"),"")</f>
        <v/>
      </c>
      <c r="O43" s="1"/>
    </row>
    <row r="44" spans="1:15" x14ac:dyDescent="0.35">
      <c r="A44" s="17" t="str">
        <f t="shared" si="2"/>
        <v/>
      </c>
      <c r="B44" s="1"/>
      <c r="C44" s="1"/>
      <c r="D44" s="1"/>
      <c r="E44" s="1"/>
      <c r="F44" s="1"/>
      <c r="G44" s="1"/>
      <c r="H44" s="13"/>
      <c r="I44" s="13"/>
      <c r="J44" s="1"/>
      <c r="K44" s="13"/>
      <c r="L44" s="14" t="str">
        <f t="shared" si="3"/>
        <v/>
      </c>
      <c r="M44" s="5" t="str">
        <f t="shared" si="4"/>
        <v/>
      </c>
      <c r="N44" s="20" t="str">
        <f>IF(AND(G44="Sim",O44&lt;&gt;"Não",J44&lt;&gt;"Concluída",C44&lt;&gt;""),COUNTIFS($G$5:G44,"Sim",$O$5:O44,"&lt;&gt;Não",$J$5:J44,"&lt;&gt;Concluída",$C$5:C44,"&lt;&gt;"),"")</f>
        <v/>
      </c>
      <c r="O44" s="1"/>
    </row>
    <row r="45" spans="1:15" x14ac:dyDescent="0.35">
      <c r="A45" s="17" t="str">
        <f t="shared" si="2"/>
        <v/>
      </c>
      <c r="B45" s="1"/>
      <c r="C45" s="1"/>
      <c r="D45" s="1"/>
      <c r="E45" s="1"/>
      <c r="F45" s="1"/>
      <c r="G45" s="1"/>
      <c r="H45" s="13"/>
      <c r="I45" s="13"/>
      <c r="J45" s="1"/>
      <c r="K45" s="13"/>
      <c r="L45" s="14" t="str">
        <f t="shared" si="3"/>
        <v/>
      </c>
      <c r="M45" s="5" t="str">
        <f t="shared" si="4"/>
        <v/>
      </c>
      <c r="N45" s="20" t="str">
        <f>IF(AND(G45="Sim",O45&lt;&gt;"Não",J45&lt;&gt;"Concluída",C45&lt;&gt;""),COUNTIFS($G$5:G45,"Sim",$O$5:O45,"&lt;&gt;Não",$J$5:J45,"&lt;&gt;Concluída",$C$5:C45,"&lt;&gt;"),"")</f>
        <v/>
      </c>
      <c r="O45" s="1"/>
    </row>
    <row r="46" spans="1:15" x14ac:dyDescent="0.35">
      <c r="A46" s="17" t="str">
        <f t="shared" si="2"/>
        <v/>
      </c>
      <c r="B46" s="1"/>
      <c r="C46" s="1"/>
      <c r="D46" s="1"/>
      <c r="E46" s="1"/>
      <c r="F46" s="1"/>
      <c r="G46" s="1"/>
      <c r="H46" s="13"/>
      <c r="I46" s="13"/>
      <c r="J46" s="1"/>
      <c r="K46" s="13"/>
      <c r="L46" s="14" t="str">
        <f t="shared" si="3"/>
        <v/>
      </c>
      <c r="M46" s="5" t="str">
        <f t="shared" si="4"/>
        <v/>
      </c>
      <c r="N46" s="20" t="str">
        <f>IF(AND(G46="Sim",O46&lt;&gt;"Não",J46&lt;&gt;"Concluída",C46&lt;&gt;""),COUNTIFS($G$5:G46,"Sim",$O$5:O46,"&lt;&gt;Não",$J$5:J46,"&lt;&gt;Concluída",$C$5:C46,"&lt;&gt;"),"")</f>
        <v/>
      </c>
      <c r="O46" s="1"/>
    </row>
    <row r="47" spans="1:15" x14ac:dyDescent="0.35">
      <c r="A47" s="17" t="str">
        <f t="shared" si="2"/>
        <v/>
      </c>
      <c r="B47" s="1"/>
      <c r="C47" s="1"/>
      <c r="D47" s="1"/>
      <c r="E47" s="1"/>
      <c r="F47" s="1"/>
      <c r="G47" s="1"/>
      <c r="H47" s="13"/>
      <c r="I47" s="13"/>
      <c r="J47" s="1"/>
      <c r="K47" s="13"/>
      <c r="L47" s="14" t="str">
        <f t="shared" si="3"/>
        <v/>
      </c>
      <c r="M47" s="5" t="str">
        <f t="shared" si="4"/>
        <v/>
      </c>
      <c r="N47" s="20" t="str">
        <f>IF(AND(G47="Sim",O47&lt;&gt;"Não",J47&lt;&gt;"Concluída",C47&lt;&gt;""),COUNTIFS($G$5:G47,"Sim",$O$5:O47,"&lt;&gt;Não",$J$5:J47,"&lt;&gt;Concluída",$C$5:C47,"&lt;&gt;"),"")</f>
        <v/>
      </c>
      <c r="O47" s="1"/>
    </row>
    <row r="48" spans="1:15" x14ac:dyDescent="0.35">
      <c r="A48" s="17" t="str">
        <f t="shared" si="2"/>
        <v/>
      </c>
      <c r="B48" s="1"/>
      <c r="C48" s="1"/>
      <c r="D48" s="1"/>
      <c r="E48" s="1"/>
      <c r="F48" s="1"/>
      <c r="G48" s="1"/>
      <c r="H48" s="13"/>
      <c r="I48" s="13"/>
      <c r="J48" s="1"/>
      <c r="K48" s="13"/>
      <c r="L48" s="14" t="str">
        <f t="shared" si="3"/>
        <v/>
      </c>
      <c r="M48" s="5" t="str">
        <f t="shared" si="4"/>
        <v/>
      </c>
      <c r="N48" s="20" t="str">
        <f>IF(AND(G48="Sim",O48&lt;&gt;"Não",J48&lt;&gt;"Concluída",C48&lt;&gt;""),COUNTIFS($G$5:G48,"Sim",$O$5:O48,"&lt;&gt;Não",$J$5:J48,"&lt;&gt;Concluída",$C$5:C48,"&lt;&gt;"),"")</f>
        <v/>
      </c>
      <c r="O48" s="1"/>
    </row>
    <row r="49" spans="1:15" x14ac:dyDescent="0.35">
      <c r="A49" s="17" t="str">
        <f t="shared" si="2"/>
        <v/>
      </c>
      <c r="B49" s="1"/>
      <c r="C49" s="1"/>
      <c r="D49" s="1"/>
      <c r="E49" s="1"/>
      <c r="F49" s="1"/>
      <c r="G49" s="1"/>
      <c r="H49" s="13"/>
      <c r="I49" s="13"/>
      <c r="J49" s="1"/>
      <c r="K49" s="13"/>
      <c r="L49" s="14" t="str">
        <f t="shared" si="3"/>
        <v/>
      </c>
      <c r="M49" s="5" t="str">
        <f t="shared" si="4"/>
        <v/>
      </c>
      <c r="N49" s="20" t="str">
        <f>IF(AND(G49="Sim",O49&lt;&gt;"Não",J49&lt;&gt;"Concluída",C49&lt;&gt;""),COUNTIFS($G$5:G49,"Sim",$O$5:O49,"&lt;&gt;Não",$J$5:J49,"&lt;&gt;Concluída",$C$5:C49,"&lt;&gt;"),"")</f>
        <v/>
      </c>
      <c r="O49" s="1"/>
    </row>
    <row r="50" spans="1:15" x14ac:dyDescent="0.35">
      <c r="A50" s="17" t="str">
        <f t="shared" si="2"/>
        <v/>
      </c>
      <c r="B50" s="1"/>
      <c r="C50" s="1"/>
      <c r="D50" s="1"/>
      <c r="E50" s="1"/>
      <c r="F50" s="1"/>
      <c r="G50" s="1"/>
      <c r="H50" s="13"/>
      <c r="I50" s="13"/>
      <c r="J50" s="1"/>
      <c r="K50" s="13"/>
      <c r="L50" s="14" t="str">
        <f t="shared" si="3"/>
        <v/>
      </c>
      <c r="M50" s="5" t="str">
        <f t="shared" si="4"/>
        <v/>
      </c>
      <c r="N50" s="20" t="str">
        <f>IF(AND(G50="Sim",O50&lt;&gt;"Não",J50&lt;&gt;"Concluída",C50&lt;&gt;""),COUNTIFS($G$5:G50,"Sim",$O$5:O50,"&lt;&gt;Não",$J$5:J50,"&lt;&gt;Concluída",$C$5:C50,"&lt;&gt;"),"")</f>
        <v/>
      </c>
      <c r="O50" s="1"/>
    </row>
    <row r="51" spans="1:15" x14ac:dyDescent="0.35">
      <c r="A51" s="17" t="str">
        <f t="shared" ref="A51:A82" si="5">IF(C51="","",ROW()-4)</f>
        <v/>
      </c>
      <c r="B51" s="1"/>
      <c r="C51" s="1"/>
      <c r="D51" s="1"/>
      <c r="E51" s="1"/>
      <c r="F51" s="1"/>
      <c r="G51" s="1"/>
      <c r="H51" s="13"/>
      <c r="I51" s="13"/>
      <c r="J51" s="1"/>
      <c r="K51" s="13"/>
      <c r="L51" s="14" t="str">
        <f t="shared" si="3"/>
        <v/>
      </c>
      <c r="M51" s="5" t="str">
        <f t="shared" si="4"/>
        <v/>
      </c>
      <c r="N51" s="20" t="str">
        <f>IF(AND(G51="Sim",O51&lt;&gt;"Não",J51&lt;&gt;"Concluída",C51&lt;&gt;""),COUNTIFS($G$5:G51,"Sim",$O$5:O51,"&lt;&gt;Não",$J$5:J51,"&lt;&gt;Concluída",$C$5:C51,"&lt;&gt;"),"")</f>
        <v/>
      </c>
      <c r="O51" s="1"/>
    </row>
    <row r="52" spans="1:15" x14ac:dyDescent="0.35">
      <c r="A52" s="17" t="str">
        <f t="shared" si="5"/>
        <v/>
      </c>
      <c r="B52" s="1"/>
      <c r="C52" s="1"/>
      <c r="D52" s="1"/>
      <c r="E52" s="1"/>
      <c r="F52" s="1"/>
      <c r="G52" s="1"/>
      <c r="H52" s="13"/>
      <c r="I52" s="13"/>
      <c r="J52" s="1"/>
      <c r="K52" s="13"/>
      <c r="L52" s="14" t="str">
        <f t="shared" si="3"/>
        <v/>
      </c>
      <c r="M52" s="5" t="str">
        <f t="shared" si="4"/>
        <v/>
      </c>
      <c r="N52" s="20" t="str">
        <f>IF(AND(G52="Sim",O52&lt;&gt;"Não",J52&lt;&gt;"Concluída",C52&lt;&gt;""),COUNTIFS($G$5:G52,"Sim",$O$5:O52,"&lt;&gt;Não",$J$5:J52,"&lt;&gt;Concluída",$C$5:C52,"&lt;&gt;"),"")</f>
        <v/>
      </c>
      <c r="O52" s="1"/>
    </row>
    <row r="53" spans="1:15" x14ac:dyDescent="0.35">
      <c r="A53" s="17" t="str">
        <f t="shared" si="5"/>
        <v/>
      </c>
      <c r="B53" s="1"/>
      <c r="C53" s="1"/>
      <c r="D53" s="1"/>
      <c r="E53" s="1"/>
      <c r="F53" s="1"/>
      <c r="G53" s="1"/>
      <c r="H53" s="13"/>
      <c r="I53" s="13"/>
      <c r="J53" s="1"/>
      <c r="K53" s="13"/>
      <c r="L53" s="14" t="str">
        <f t="shared" si="3"/>
        <v/>
      </c>
      <c r="M53" s="5" t="str">
        <f t="shared" si="4"/>
        <v/>
      </c>
      <c r="N53" s="20" t="str">
        <f>IF(AND(G53="Sim",O53&lt;&gt;"Não",J53&lt;&gt;"Concluída",C53&lt;&gt;""),COUNTIFS($G$5:G53,"Sim",$O$5:O53,"&lt;&gt;Não",$J$5:J53,"&lt;&gt;Concluída",$C$5:C53,"&lt;&gt;"),"")</f>
        <v/>
      </c>
      <c r="O53" s="1"/>
    </row>
    <row r="54" spans="1:15" x14ac:dyDescent="0.35">
      <c r="A54" s="17" t="str">
        <f t="shared" si="5"/>
        <v/>
      </c>
      <c r="B54" s="1"/>
      <c r="C54" s="1"/>
      <c r="D54" s="1"/>
      <c r="E54" s="1"/>
      <c r="F54" s="1"/>
      <c r="G54" s="1"/>
      <c r="H54" s="13"/>
      <c r="I54" s="13"/>
      <c r="J54" s="1"/>
      <c r="K54" s="13"/>
      <c r="L54" s="14" t="str">
        <f t="shared" si="3"/>
        <v/>
      </c>
      <c r="M54" s="5" t="str">
        <f t="shared" si="4"/>
        <v/>
      </c>
      <c r="N54" s="20" t="str">
        <f>IF(AND(G54="Sim",O54&lt;&gt;"Não",J54&lt;&gt;"Concluída",C54&lt;&gt;""),COUNTIFS($G$5:G54,"Sim",$O$5:O54,"&lt;&gt;Não",$J$5:J54,"&lt;&gt;Concluída",$C$5:C54,"&lt;&gt;"),"")</f>
        <v/>
      </c>
      <c r="O54" s="1"/>
    </row>
    <row r="55" spans="1:15" x14ac:dyDescent="0.35">
      <c r="A55" s="17" t="str">
        <f t="shared" si="5"/>
        <v/>
      </c>
      <c r="B55" s="1"/>
      <c r="C55" s="1"/>
      <c r="D55" s="1"/>
      <c r="E55" s="1"/>
      <c r="F55" s="1"/>
      <c r="G55" s="1"/>
      <c r="H55" s="13"/>
      <c r="I55" s="13"/>
      <c r="J55" s="1"/>
      <c r="K55" s="13"/>
      <c r="L55" s="14" t="str">
        <f t="shared" si="3"/>
        <v/>
      </c>
      <c r="M55" s="5" t="str">
        <f t="shared" si="4"/>
        <v/>
      </c>
      <c r="N55" s="20" t="str">
        <f>IF(AND(G55="Sim",O55&lt;&gt;"Não",J55&lt;&gt;"Concluída",C55&lt;&gt;""),COUNTIFS($G$5:G55,"Sim",$O$5:O55,"&lt;&gt;Não",$J$5:J55,"&lt;&gt;Concluída",$C$5:C55,"&lt;&gt;"),"")</f>
        <v/>
      </c>
      <c r="O55" s="1"/>
    </row>
    <row r="56" spans="1:15" x14ac:dyDescent="0.35">
      <c r="A56" s="17" t="str">
        <f t="shared" si="5"/>
        <v/>
      </c>
      <c r="B56" s="1"/>
      <c r="C56" s="1"/>
      <c r="D56" s="1"/>
      <c r="E56" s="1"/>
      <c r="F56" s="1"/>
      <c r="G56" s="1"/>
      <c r="H56" s="13"/>
      <c r="I56" s="13"/>
      <c r="J56" s="1"/>
      <c r="K56" s="13"/>
      <c r="L56" s="14" t="str">
        <f t="shared" si="3"/>
        <v/>
      </c>
      <c r="M56" s="5" t="str">
        <f t="shared" si="4"/>
        <v/>
      </c>
      <c r="N56" s="20" t="str">
        <f>IF(AND(G56="Sim",O56&lt;&gt;"Não",J56&lt;&gt;"Concluída",C56&lt;&gt;""),COUNTIFS($G$5:G56,"Sim",$O$5:O56,"&lt;&gt;Não",$J$5:J56,"&lt;&gt;Concluída",$C$5:C56,"&lt;&gt;"),"")</f>
        <v/>
      </c>
      <c r="O56" s="1"/>
    </row>
    <row r="57" spans="1:15" x14ac:dyDescent="0.35">
      <c r="A57" s="17" t="str">
        <f t="shared" si="5"/>
        <v/>
      </c>
      <c r="B57" s="1"/>
      <c r="C57" s="1"/>
      <c r="D57" s="1"/>
      <c r="E57" s="1"/>
      <c r="F57" s="1"/>
      <c r="G57" s="1"/>
      <c r="H57" s="13"/>
      <c r="I57" s="13"/>
      <c r="J57" s="1"/>
      <c r="K57" s="13"/>
      <c r="L57" s="14" t="str">
        <f t="shared" si="3"/>
        <v/>
      </c>
      <c r="M57" s="5" t="str">
        <f t="shared" si="4"/>
        <v/>
      </c>
      <c r="N57" s="20" t="str">
        <f>IF(AND(G57="Sim",O57&lt;&gt;"Não",J57&lt;&gt;"Concluída",C57&lt;&gt;""),COUNTIFS($G$5:G57,"Sim",$O$5:O57,"&lt;&gt;Não",$J$5:J57,"&lt;&gt;Concluída",$C$5:C57,"&lt;&gt;"),"")</f>
        <v/>
      </c>
      <c r="O57" s="1"/>
    </row>
    <row r="58" spans="1:15" x14ac:dyDescent="0.35">
      <c r="A58" s="17" t="str">
        <f t="shared" si="5"/>
        <v/>
      </c>
      <c r="B58" s="1"/>
      <c r="C58" s="1"/>
      <c r="D58" s="1"/>
      <c r="E58" s="1"/>
      <c r="F58" s="1"/>
      <c r="G58" s="1"/>
      <c r="H58" s="13"/>
      <c r="I58" s="13"/>
      <c r="J58" s="1"/>
      <c r="K58" s="13"/>
      <c r="L58" s="14" t="str">
        <f t="shared" si="3"/>
        <v/>
      </c>
      <c r="M58" s="5" t="str">
        <f t="shared" si="4"/>
        <v/>
      </c>
      <c r="N58" s="20" t="str">
        <f>IF(AND(G58="Sim",O58&lt;&gt;"Não",J58&lt;&gt;"Concluída",C58&lt;&gt;""),COUNTIFS($G$5:G58,"Sim",$O$5:O58,"&lt;&gt;Não",$J$5:J58,"&lt;&gt;Concluída",$C$5:C58,"&lt;&gt;"),"")</f>
        <v/>
      </c>
      <c r="O58" s="1"/>
    </row>
    <row r="59" spans="1:15" x14ac:dyDescent="0.35">
      <c r="A59" s="17" t="str">
        <f t="shared" si="5"/>
        <v/>
      </c>
      <c r="B59" s="1"/>
      <c r="C59" s="1"/>
      <c r="D59" s="1"/>
      <c r="E59" s="1"/>
      <c r="F59" s="1"/>
      <c r="G59" s="1"/>
      <c r="H59" s="13"/>
      <c r="I59" s="13"/>
      <c r="J59" s="1"/>
      <c r="K59" s="13"/>
      <c r="L59" s="14" t="str">
        <f t="shared" si="3"/>
        <v/>
      </c>
      <c r="M59" s="5" t="str">
        <f t="shared" si="4"/>
        <v/>
      </c>
      <c r="N59" s="20" t="str">
        <f>IF(AND(G59="Sim",O59&lt;&gt;"Não",J59&lt;&gt;"Concluída",C59&lt;&gt;""),COUNTIFS($G$5:G59,"Sim",$O$5:O59,"&lt;&gt;Não",$J$5:J59,"&lt;&gt;Concluída",$C$5:C59,"&lt;&gt;"),"")</f>
        <v/>
      </c>
      <c r="O59" s="1"/>
    </row>
    <row r="60" spans="1:15" x14ac:dyDescent="0.35">
      <c r="A60" s="17" t="str">
        <f t="shared" si="5"/>
        <v/>
      </c>
      <c r="B60" s="1"/>
      <c r="C60" s="1"/>
      <c r="D60" s="1"/>
      <c r="E60" s="1"/>
      <c r="F60" s="1"/>
      <c r="G60" s="1"/>
      <c r="H60" s="13"/>
      <c r="I60" s="13"/>
      <c r="J60" s="1"/>
      <c r="K60" s="13"/>
      <c r="L60" s="14" t="str">
        <f t="shared" si="3"/>
        <v/>
      </c>
      <c r="M60" s="5" t="str">
        <f t="shared" si="4"/>
        <v/>
      </c>
      <c r="N60" s="20" t="str">
        <f>IF(AND(G60="Sim",O60&lt;&gt;"Não",J60&lt;&gt;"Concluída",C60&lt;&gt;""),COUNTIFS($G$5:G60,"Sim",$O$5:O60,"&lt;&gt;Não",$J$5:J60,"&lt;&gt;Concluída",$C$5:C60,"&lt;&gt;"),"")</f>
        <v/>
      </c>
      <c r="O60" s="1"/>
    </row>
    <row r="61" spans="1:15" x14ac:dyDescent="0.35">
      <c r="A61" s="17" t="str">
        <f t="shared" si="5"/>
        <v/>
      </c>
      <c r="B61" s="1"/>
      <c r="C61" s="1"/>
      <c r="D61" s="1"/>
      <c r="E61" s="1"/>
      <c r="F61" s="1"/>
      <c r="G61" s="1"/>
      <c r="H61" s="13"/>
      <c r="I61" s="13"/>
      <c r="J61" s="1"/>
      <c r="K61" s="13"/>
      <c r="L61" s="14" t="str">
        <f t="shared" si="3"/>
        <v/>
      </c>
      <c r="M61" s="5" t="str">
        <f t="shared" si="4"/>
        <v/>
      </c>
      <c r="N61" s="20" t="str">
        <f>IF(AND(G61="Sim",O61&lt;&gt;"Não",J61&lt;&gt;"Concluída",C61&lt;&gt;""),COUNTIFS($G$5:G61,"Sim",$O$5:O61,"&lt;&gt;Não",$J$5:J61,"&lt;&gt;Concluída",$C$5:C61,"&lt;&gt;"),"")</f>
        <v/>
      </c>
      <c r="O61" s="1"/>
    </row>
    <row r="62" spans="1:15" x14ac:dyDescent="0.35">
      <c r="A62" s="17" t="str">
        <f t="shared" si="5"/>
        <v/>
      </c>
      <c r="B62" s="1"/>
      <c r="C62" s="1"/>
      <c r="D62" s="1"/>
      <c r="E62" s="1"/>
      <c r="F62" s="1"/>
      <c r="G62" s="1"/>
      <c r="H62" s="13"/>
      <c r="I62" s="13"/>
      <c r="J62" s="1"/>
      <c r="K62" s="13"/>
      <c r="L62" s="14" t="str">
        <f t="shared" si="3"/>
        <v/>
      </c>
      <c r="M62" s="5" t="str">
        <f t="shared" si="4"/>
        <v/>
      </c>
      <c r="N62" s="20" t="str">
        <f>IF(AND(G62="Sim",O62&lt;&gt;"Não",J62&lt;&gt;"Concluída",C62&lt;&gt;""),COUNTIFS($G$5:G62,"Sim",$O$5:O62,"&lt;&gt;Não",$J$5:J62,"&lt;&gt;Concluída",$C$5:C62,"&lt;&gt;"),"")</f>
        <v/>
      </c>
      <c r="O62" s="1"/>
    </row>
    <row r="63" spans="1:15" x14ac:dyDescent="0.35">
      <c r="A63" s="17" t="str">
        <f t="shared" si="5"/>
        <v/>
      </c>
      <c r="B63" s="1"/>
      <c r="C63" s="1"/>
      <c r="D63" s="1"/>
      <c r="E63" s="1"/>
      <c r="F63" s="1"/>
      <c r="G63" s="1"/>
      <c r="H63" s="13"/>
      <c r="I63" s="13"/>
      <c r="J63" s="1"/>
      <c r="K63" s="13"/>
      <c r="L63" s="14" t="str">
        <f t="shared" si="3"/>
        <v/>
      </c>
      <c r="M63" s="5" t="str">
        <f t="shared" si="4"/>
        <v/>
      </c>
      <c r="N63" s="20" t="str">
        <f>IF(AND(G63="Sim",O63&lt;&gt;"Não",J63&lt;&gt;"Concluída",C63&lt;&gt;""),COUNTIFS($G$5:G63,"Sim",$O$5:O63,"&lt;&gt;Não",$J$5:J63,"&lt;&gt;Concluída",$C$5:C63,"&lt;&gt;"),"")</f>
        <v/>
      </c>
      <c r="O63" s="1"/>
    </row>
    <row r="64" spans="1:15" x14ac:dyDescent="0.35">
      <c r="A64" s="17" t="str">
        <f t="shared" si="5"/>
        <v/>
      </c>
      <c r="B64" s="1"/>
      <c r="C64" s="1"/>
      <c r="D64" s="1"/>
      <c r="E64" s="1"/>
      <c r="F64" s="1"/>
      <c r="G64" s="1"/>
      <c r="H64" s="13"/>
      <c r="I64" s="13"/>
      <c r="J64" s="1"/>
      <c r="K64" s="13"/>
      <c r="L64" s="14" t="str">
        <f t="shared" si="3"/>
        <v/>
      </c>
      <c r="M64" s="5" t="str">
        <f t="shared" si="4"/>
        <v/>
      </c>
      <c r="N64" s="20" t="str">
        <f>IF(AND(G64="Sim",O64&lt;&gt;"Não",J64&lt;&gt;"Concluída",C64&lt;&gt;""),COUNTIFS($G$5:G64,"Sim",$O$5:O64,"&lt;&gt;Não",$J$5:J64,"&lt;&gt;Concluída",$C$5:C64,"&lt;&gt;"),"")</f>
        <v/>
      </c>
      <c r="O64" s="1"/>
    </row>
    <row r="65" spans="1:15" x14ac:dyDescent="0.35">
      <c r="A65" s="17" t="str">
        <f t="shared" si="5"/>
        <v/>
      </c>
      <c r="B65" s="1"/>
      <c r="C65" s="1"/>
      <c r="D65" s="1"/>
      <c r="E65" s="1"/>
      <c r="F65" s="1"/>
      <c r="G65" s="1"/>
      <c r="H65" s="13"/>
      <c r="I65" s="13"/>
      <c r="J65" s="1"/>
      <c r="K65" s="13"/>
      <c r="L65" s="14" t="str">
        <f t="shared" si="3"/>
        <v/>
      </c>
      <c r="M65" s="5" t="str">
        <f t="shared" si="4"/>
        <v/>
      </c>
      <c r="N65" s="20" t="str">
        <f>IF(AND(G65="Sim",O65&lt;&gt;"Não",J65&lt;&gt;"Concluída",C65&lt;&gt;""),COUNTIFS($G$5:G65,"Sim",$O$5:O65,"&lt;&gt;Não",$J$5:J65,"&lt;&gt;Concluída",$C$5:C65,"&lt;&gt;"),"")</f>
        <v/>
      </c>
      <c r="O65" s="1"/>
    </row>
    <row r="66" spans="1:15" x14ac:dyDescent="0.35">
      <c r="A66" s="17" t="str">
        <f t="shared" si="5"/>
        <v/>
      </c>
      <c r="B66" s="1"/>
      <c r="C66" s="1"/>
      <c r="D66" s="1"/>
      <c r="E66" s="1"/>
      <c r="F66" s="1"/>
      <c r="G66" s="1"/>
      <c r="H66" s="13"/>
      <c r="I66" s="13"/>
      <c r="J66" s="1"/>
      <c r="K66" s="13"/>
      <c r="L66" s="14" t="str">
        <f t="shared" si="3"/>
        <v/>
      </c>
      <c r="M66" s="5" t="str">
        <f t="shared" si="4"/>
        <v/>
      </c>
      <c r="N66" s="20" t="str">
        <f>IF(AND(G66="Sim",O66&lt;&gt;"Não",J66&lt;&gt;"Concluída",C66&lt;&gt;""),COUNTIFS($G$5:G66,"Sim",$O$5:O66,"&lt;&gt;Não",$J$5:J66,"&lt;&gt;Concluída",$C$5:C66,"&lt;&gt;"),"")</f>
        <v/>
      </c>
      <c r="O66" s="1"/>
    </row>
    <row r="67" spans="1:15" x14ac:dyDescent="0.35">
      <c r="A67" s="17" t="str">
        <f t="shared" si="5"/>
        <v/>
      </c>
      <c r="B67" s="1"/>
      <c r="C67" s="1"/>
      <c r="D67" s="1"/>
      <c r="E67" s="1"/>
      <c r="F67" s="1"/>
      <c r="G67" s="1"/>
      <c r="H67" s="13"/>
      <c r="I67" s="13"/>
      <c r="J67" s="1"/>
      <c r="K67" s="13"/>
      <c r="L67" s="14" t="str">
        <f t="shared" si="3"/>
        <v/>
      </c>
      <c r="M67" s="5" t="str">
        <f t="shared" si="4"/>
        <v/>
      </c>
      <c r="N67" s="20" t="str">
        <f>IF(AND(G67="Sim",O67&lt;&gt;"Não",J67&lt;&gt;"Concluída",C67&lt;&gt;""),COUNTIFS($G$5:G67,"Sim",$O$5:O67,"&lt;&gt;Não",$J$5:J67,"&lt;&gt;Concluída",$C$5:C67,"&lt;&gt;"),"")</f>
        <v/>
      </c>
      <c r="O67" s="1"/>
    </row>
    <row r="68" spans="1:15" x14ac:dyDescent="0.35">
      <c r="A68" s="17" t="str">
        <f t="shared" si="5"/>
        <v/>
      </c>
      <c r="B68" s="1"/>
      <c r="C68" s="1"/>
      <c r="D68" s="1"/>
      <c r="E68" s="1"/>
      <c r="F68" s="1"/>
      <c r="G68" s="1"/>
      <c r="H68" s="13"/>
      <c r="I68" s="13"/>
      <c r="J68" s="1"/>
      <c r="K68" s="13"/>
      <c r="L68" s="14" t="str">
        <f t="shared" si="3"/>
        <v/>
      </c>
      <c r="M68" s="5" t="str">
        <f t="shared" si="4"/>
        <v/>
      </c>
      <c r="N68" s="20" t="str">
        <f>IF(AND(G68="Sim",O68&lt;&gt;"Não",J68&lt;&gt;"Concluída",C68&lt;&gt;""),COUNTIFS($G$5:G68,"Sim",$O$5:O68,"&lt;&gt;Não",$J$5:J68,"&lt;&gt;Concluída",$C$5:C68,"&lt;&gt;"),"")</f>
        <v/>
      </c>
      <c r="O68" s="1"/>
    </row>
    <row r="69" spans="1:15" x14ac:dyDescent="0.35">
      <c r="A69" s="17" t="str">
        <f t="shared" si="5"/>
        <v/>
      </c>
      <c r="B69" s="1"/>
      <c r="C69" s="1"/>
      <c r="D69" s="1"/>
      <c r="E69" s="1"/>
      <c r="F69" s="1"/>
      <c r="G69" s="1"/>
      <c r="H69" s="13"/>
      <c r="I69" s="13"/>
      <c r="J69" s="1"/>
      <c r="K69" s="13"/>
      <c r="L69" s="14" t="str">
        <f t="shared" ref="L69:L100" si="6">IF(OR(C69="",H69=""),"",IF(K69&lt;&gt;"",K69,DataRef)-H69)</f>
        <v/>
      </c>
      <c r="M69" s="5" t="str">
        <f t="shared" ref="M69:M100" si="7">IF(C69="","",IF(J69="Concluída","Concluída",IF(AND(I69&lt;&gt;"",DataRef&gt;I69),"VENCIDA","Em aberto")))</f>
        <v/>
      </c>
      <c r="N69" s="20" t="str">
        <f>IF(AND(G69="Sim",O69&lt;&gt;"Não",J69&lt;&gt;"Concluída",C69&lt;&gt;""),COUNTIFS($G$5:G69,"Sim",$O$5:O69,"&lt;&gt;Não",$J$5:J69,"&lt;&gt;Concluída",$C$5:C69,"&lt;&gt;"),"")</f>
        <v/>
      </c>
      <c r="O69" s="1"/>
    </row>
    <row r="70" spans="1:15" x14ac:dyDescent="0.35">
      <c r="A70" s="17" t="str">
        <f t="shared" si="5"/>
        <v/>
      </c>
      <c r="B70" s="1"/>
      <c r="C70" s="1"/>
      <c r="D70" s="1"/>
      <c r="E70" s="1"/>
      <c r="F70" s="1"/>
      <c r="G70" s="1"/>
      <c r="H70" s="13"/>
      <c r="I70" s="13"/>
      <c r="J70" s="1"/>
      <c r="K70" s="13"/>
      <c r="L70" s="14" t="str">
        <f t="shared" si="6"/>
        <v/>
      </c>
      <c r="M70" s="5" t="str">
        <f t="shared" si="7"/>
        <v/>
      </c>
      <c r="N70" s="20" t="str">
        <f>IF(AND(G70="Sim",O70&lt;&gt;"Não",J70&lt;&gt;"Concluída",C70&lt;&gt;""),COUNTIFS($G$5:G70,"Sim",$O$5:O70,"&lt;&gt;Não",$J$5:J70,"&lt;&gt;Concluída",$C$5:C70,"&lt;&gt;"),"")</f>
        <v/>
      </c>
      <c r="O70" s="1"/>
    </row>
    <row r="71" spans="1:15" x14ac:dyDescent="0.35">
      <c r="A71" s="17" t="str">
        <f t="shared" si="5"/>
        <v/>
      </c>
      <c r="B71" s="1"/>
      <c r="C71" s="1"/>
      <c r="D71" s="1"/>
      <c r="E71" s="1"/>
      <c r="F71" s="1"/>
      <c r="G71" s="1"/>
      <c r="H71" s="13"/>
      <c r="I71" s="13"/>
      <c r="J71" s="1"/>
      <c r="K71" s="13"/>
      <c r="L71" s="14" t="str">
        <f t="shared" si="6"/>
        <v/>
      </c>
      <c r="M71" s="5" t="str">
        <f t="shared" si="7"/>
        <v/>
      </c>
      <c r="N71" s="20" t="str">
        <f>IF(AND(G71="Sim",O71&lt;&gt;"Não",J71&lt;&gt;"Concluída",C71&lt;&gt;""),COUNTIFS($G$5:G71,"Sim",$O$5:O71,"&lt;&gt;Não",$J$5:J71,"&lt;&gt;Concluída",$C$5:C71,"&lt;&gt;"),"")</f>
        <v/>
      </c>
      <c r="O71" s="1"/>
    </row>
    <row r="72" spans="1:15" x14ac:dyDescent="0.35">
      <c r="A72" s="17" t="str">
        <f t="shared" si="5"/>
        <v/>
      </c>
      <c r="B72" s="1"/>
      <c r="C72" s="1"/>
      <c r="D72" s="1"/>
      <c r="E72" s="1"/>
      <c r="F72" s="1"/>
      <c r="G72" s="1"/>
      <c r="H72" s="13"/>
      <c r="I72" s="13"/>
      <c r="J72" s="1"/>
      <c r="K72" s="13"/>
      <c r="L72" s="14" t="str">
        <f t="shared" si="6"/>
        <v/>
      </c>
      <c r="M72" s="5" t="str">
        <f t="shared" si="7"/>
        <v/>
      </c>
      <c r="N72" s="20" t="str">
        <f>IF(AND(G72="Sim",O72&lt;&gt;"Não",J72&lt;&gt;"Concluída",C72&lt;&gt;""),COUNTIFS($G$5:G72,"Sim",$O$5:O72,"&lt;&gt;Não",$J$5:J72,"&lt;&gt;Concluída",$C$5:C72,"&lt;&gt;"),"")</f>
        <v/>
      </c>
      <c r="O72" s="1"/>
    </row>
    <row r="73" spans="1:15" x14ac:dyDescent="0.35">
      <c r="A73" s="17" t="str">
        <f t="shared" si="5"/>
        <v/>
      </c>
      <c r="B73" s="1"/>
      <c r="C73" s="1"/>
      <c r="D73" s="1"/>
      <c r="E73" s="1"/>
      <c r="F73" s="1"/>
      <c r="G73" s="1"/>
      <c r="H73" s="13"/>
      <c r="I73" s="13"/>
      <c r="J73" s="1"/>
      <c r="K73" s="13"/>
      <c r="L73" s="14" t="str">
        <f t="shared" si="6"/>
        <v/>
      </c>
      <c r="M73" s="5" t="str">
        <f t="shared" si="7"/>
        <v/>
      </c>
      <c r="N73" s="20" t="str">
        <f>IF(AND(G73="Sim",O73&lt;&gt;"Não",J73&lt;&gt;"Concluída",C73&lt;&gt;""),COUNTIFS($G$5:G73,"Sim",$O$5:O73,"&lt;&gt;Não",$J$5:J73,"&lt;&gt;Concluída",$C$5:C73,"&lt;&gt;"),"")</f>
        <v/>
      </c>
      <c r="O73" s="1"/>
    </row>
    <row r="74" spans="1:15" x14ac:dyDescent="0.35">
      <c r="A74" s="17" t="str">
        <f t="shared" si="5"/>
        <v/>
      </c>
      <c r="B74" s="1"/>
      <c r="C74" s="1"/>
      <c r="D74" s="1"/>
      <c r="E74" s="1"/>
      <c r="F74" s="1"/>
      <c r="G74" s="1"/>
      <c r="H74" s="13"/>
      <c r="I74" s="13"/>
      <c r="J74" s="1"/>
      <c r="K74" s="13"/>
      <c r="L74" s="14" t="str">
        <f t="shared" si="6"/>
        <v/>
      </c>
      <c r="M74" s="5" t="str">
        <f t="shared" si="7"/>
        <v/>
      </c>
      <c r="N74" s="20" t="str">
        <f>IF(AND(G74="Sim",O74&lt;&gt;"Não",J74&lt;&gt;"Concluída",C74&lt;&gt;""),COUNTIFS($G$5:G74,"Sim",$O$5:O74,"&lt;&gt;Não",$J$5:J74,"&lt;&gt;Concluída",$C$5:C74,"&lt;&gt;"),"")</f>
        <v/>
      </c>
      <c r="O74" s="1"/>
    </row>
    <row r="75" spans="1:15" x14ac:dyDescent="0.35">
      <c r="A75" s="17" t="str">
        <f t="shared" si="5"/>
        <v/>
      </c>
      <c r="B75" s="1"/>
      <c r="C75" s="1"/>
      <c r="D75" s="1"/>
      <c r="E75" s="1"/>
      <c r="F75" s="1"/>
      <c r="G75" s="1"/>
      <c r="H75" s="13"/>
      <c r="I75" s="13"/>
      <c r="J75" s="1"/>
      <c r="K75" s="13"/>
      <c r="L75" s="14" t="str">
        <f t="shared" si="6"/>
        <v/>
      </c>
      <c r="M75" s="5" t="str">
        <f t="shared" si="7"/>
        <v/>
      </c>
      <c r="N75" s="20" t="str">
        <f>IF(AND(G75="Sim",O75&lt;&gt;"Não",J75&lt;&gt;"Concluída",C75&lt;&gt;""),COUNTIFS($G$5:G75,"Sim",$O$5:O75,"&lt;&gt;Não",$J$5:J75,"&lt;&gt;Concluída",$C$5:C75,"&lt;&gt;"),"")</f>
        <v/>
      </c>
      <c r="O75" s="1"/>
    </row>
    <row r="76" spans="1:15" x14ac:dyDescent="0.35">
      <c r="A76" s="17" t="str">
        <f t="shared" si="5"/>
        <v/>
      </c>
      <c r="B76" s="1"/>
      <c r="C76" s="1"/>
      <c r="D76" s="1"/>
      <c r="E76" s="1"/>
      <c r="F76" s="1"/>
      <c r="G76" s="1"/>
      <c r="H76" s="13"/>
      <c r="I76" s="13"/>
      <c r="J76" s="1"/>
      <c r="K76" s="13"/>
      <c r="L76" s="14" t="str">
        <f t="shared" si="6"/>
        <v/>
      </c>
      <c r="M76" s="5" t="str">
        <f t="shared" si="7"/>
        <v/>
      </c>
      <c r="N76" s="20" t="str">
        <f>IF(AND(G76="Sim",O76&lt;&gt;"Não",J76&lt;&gt;"Concluída",C76&lt;&gt;""),COUNTIFS($G$5:G76,"Sim",$O$5:O76,"&lt;&gt;Não",$J$5:J76,"&lt;&gt;Concluída",$C$5:C76,"&lt;&gt;"),"")</f>
        <v/>
      </c>
      <c r="O76" s="1"/>
    </row>
    <row r="77" spans="1:15" x14ac:dyDescent="0.35">
      <c r="A77" s="17" t="str">
        <f t="shared" si="5"/>
        <v/>
      </c>
      <c r="B77" s="1"/>
      <c r="C77" s="1"/>
      <c r="D77" s="1"/>
      <c r="E77" s="1"/>
      <c r="F77" s="1"/>
      <c r="G77" s="1"/>
      <c r="H77" s="13"/>
      <c r="I77" s="13"/>
      <c r="J77" s="1"/>
      <c r="K77" s="13"/>
      <c r="L77" s="14" t="str">
        <f t="shared" si="6"/>
        <v/>
      </c>
      <c r="M77" s="5" t="str">
        <f t="shared" si="7"/>
        <v/>
      </c>
      <c r="N77" s="20" t="str">
        <f>IF(AND(G77="Sim",O77&lt;&gt;"Não",J77&lt;&gt;"Concluída",C77&lt;&gt;""),COUNTIFS($G$5:G77,"Sim",$O$5:O77,"&lt;&gt;Não",$J$5:J77,"&lt;&gt;Concluída",$C$5:C77,"&lt;&gt;"),"")</f>
        <v/>
      </c>
      <c r="O77" s="1"/>
    </row>
    <row r="78" spans="1:15" x14ac:dyDescent="0.35">
      <c r="A78" s="17" t="str">
        <f t="shared" si="5"/>
        <v/>
      </c>
      <c r="B78" s="1"/>
      <c r="C78" s="1"/>
      <c r="D78" s="1"/>
      <c r="E78" s="1"/>
      <c r="F78" s="1"/>
      <c r="G78" s="1"/>
      <c r="H78" s="13"/>
      <c r="I78" s="13"/>
      <c r="J78" s="1"/>
      <c r="K78" s="13"/>
      <c r="L78" s="14" t="str">
        <f t="shared" si="6"/>
        <v/>
      </c>
      <c r="M78" s="5" t="str">
        <f t="shared" si="7"/>
        <v/>
      </c>
      <c r="N78" s="20" t="str">
        <f>IF(AND(G78="Sim",O78&lt;&gt;"Não",J78&lt;&gt;"Concluída",C78&lt;&gt;""),COUNTIFS($G$5:G78,"Sim",$O$5:O78,"&lt;&gt;Não",$J$5:J78,"&lt;&gt;Concluída",$C$5:C78,"&lt;&gt;"),"")</f>
        <v/>
      </c>
      <c r="O78" s="1"/>
    </row>
    <row r="79" spans="1:15" x14ac:dyDescent="0.35">
      <c r="A79" s="17" t="str">
        <f t="shared" si="5"/>
        <v/>
      </c>
      <c r="B79" s="1"/>
      <c r="C79" s="1"/>
      <c r="D79" s="1"/>
      <c r="E79" s="1"/>
      <c r="F79" s="1"/>
      <c r="G79" s="1"/>
      <c r="H79" s="13"/>
      <c r="I79" s="13"/>
      <c r="J79" s="1"/>
      <c r="K79" s="13"/>
      <c r="L79" s="14" t="str">
        <f t="shared" si="6"/>
        <v/>
      </c>
      <c r="M79" s="5" t="str">
        <f t="shared" si="7"/>
        <v/>
      </c>
      <c r="N79" s="20" t="str">
        <f>IF(AND(G79="Sim",O79&lt;&gt;"Não",J79&lt;&gt;"Concluída",C79&lt;&gt;""),COUNTIFS($G$5:G79,"Sim",$O$5:O79,"&lt;&gt;Não",$J$5:J79,"&lt;&gt;Concluída",$C$5:C79,"&lt;&gt;"),"")</f>
        <v/>
      </c>
      <c r="O79" s="1"/>
    </row>
    <row r="80" spans="1:15" x14ac:dyDescent="0.35">
      <c r="A80" s="17" t="str">
        <f t="shared" si="5"/>
        <v/>
      </c>
      <c r="B80" s="1"/>
      <c r="C80" s="1"/>
      <c r="D80" s="1"/>
      <c r="E80" s="1"/>
      <c r="F80" s="1"/>
      <c r="G80" s="1"/>
      <c r="H80" s="13"/>
      <c r="I80" s="13"/>
      <c r="J80" s="1"/>
      <c r="K80" s="13"/>
      <c r="L80" s="14" t="str">
        <f t="shared" si="6"/>
        <v/>
      </c>
      <c r="M80" s="5" t="str">
        <f t="shared" si="7"/>
        <v/>
      </c>
      <c r="N80" s="20" t="str">
        <f>IF(AND(G80="Sim",O80&lt;&gt;"Não",J80&lt;&gt;"Concluída",C80&lt;&gt;""),COUNTIFS($G$5:G80,"Sim",$O$5:O80,"&lt;&gt;Não",$J$5:J80,"&lt;&gt;Concluída",$C$5:C80,"&lt;&gt;"),"")</f>
        <v/>
      </c>
      <c r="O80" s="1"/>
    </row>
    <row r="81" spans="1:15" x14ac:dyDescent="0.35">
      <c r="A81" s="17" t="str">
        <f t="shared" si="5"/>
        <v/>
      </c>
      <c r="B81" s="1"/>
      <c r="C81" s="1"/>
      <c r="D81" s="1"/>
      <c r="E81" s="1"/>
      <c r="F81" s="1"/>
      <c r="G81" s="1"/>
      <c r="H81" s="13"/>
      <c r="I81" s="13"/>
      <c r="J81" s="1"/>
      <c r="K81" s="13"/>
      <c r="L81" s="14" t="str">
        <f t="shared" si="6"/>
        <v/>
      </c>
      <c r="M81" s="5" t="str">
        <f t="shared" si="7"/>
        <v/>
      </c>
      <c r="N81" s="20" t="str">
        <f>IF(AND(G81="Sim",O81&lt;&gt;"Não",J81&lt;&gt;"Concluída",C81&lt;&gt;""),COUNTIFS($G$5:G81,"Sim",$O$5:O81,"&lt;&gt;Não",$J$5:J81,"&lt;&gt;Concluída",$C$5:C81,"&lt;&gt;"),"")</f>
        <v/>
      </c>
      <c r="O81" s="1"/>
    </row>
    <row r="82" spans="1:15" x14ac:dyDescent="0.35">
      <c r="A82" s="17" t="str">
        <f t="shared" si="5"/>
        <v/>
      </c>
      <c r="B82" s="1"/>
      <c r="C82" s="1"/>
      <c r="D82" s="1"/>
      <c r="E82" s="1"/>
      <c r="F82" s="1"/>
      <c r="G82" s="1"/>
      <c r="H82" s="13"/>
      <c r="I82" s="13"/>
      <c r="J82" s="1"/>
      <c r="K82" s="13"/>
      <c r="L82" s="14" t="str">
        <f t="shared" si="6"/>
        <v/>
      </c>
      <c r="M82" s="5" t="str">
        <f t="shared" si="7"/>
        <v/>
      </c>
      <c r="N82" s="20" t="str">
        <f>IF(AND(G82="Sim",O82&lt;&gt;"Não",J82&lt;&gt;"Concluída",C82&lt;&gt;""),COUNTIFS($G$5:G82,"Sim",$O$5:O82,"&lt;&gt;Não",$J$5:J82,"&lt;&gt;Concluída",$C$5:C82,"&lt;&gt;"),"")</f>
        <v/>
      </c>
      <c r="O82" s="1"/>
    </row>
    <row r="83" spans="1:15" x14ac:dyDescent="0.35">
      <c r="A83" s="17" t="str">
        <f t="shared" ref="A83:A114" si="8">IF(C83="","",ROW()-4)</f>
        <v/>
      </c>
      <c r="B83" s="1"/>
      <c r="C83" s="1"/>
      <c r="D83" s="1"/>
      <c r="E83" s="1"/>
      <c r="F83" s="1"/>
      <c r="G83" s="1"/>
      <c r="H83" s="13"/>
      <c r="I83" s="13"/>
      <c r="J83" s="1"/>
      <c r="K83" s="13"/>
      <c r="L83" s="14" t="str">
        <f t="shared" si="6"/>
        <v/>
      </c>
      <c r="M83" s="5" t="str">
        <f t="shared" si="7"/>
        <v/>
      </c>
      <c r="N83" s="20" t="str">
        <f>IF(AND(G83="Sim",O83&lt;&gt;"Não",J83&lt;&gt;"Concluída",C83&lt;&gt;""),COUNTIFS($G$5:G83,"Sim",$O$5:O83,"&lt;&gt;Não",$J$5:J83,"&lt;&gt;Concluída",$C$5:C83,"&lt;&gt;"),"")</f>
        <v/>
      </c>
      <c r="O83" s="1"/>
    </row>
    <row r="84" spans="1:15" x14ac:dyDescent="0.35">
      <c r="A84" s="17" t="str">
        <f t="shared" si="8"/>
        <v/>
      </c>
      <c r="B84" s="1"/>
      <c r="C84" s="1"/>
      <c r="D84" s="1"/>
      <c r="E84" s="1"/>
      <c r="F84" s="1"/>
      <c r="G84" s="1"/>
      <c r="H84" s="13"/>
      <c r="I84" s="13"/>
      <c r="J84" s="1"/>
      <c r="K84" s="13"/>
      <c r="L84" s="14" t="str">
        <f t="shared" si="6"/>
        <v/>
      </c>
      <c r="M84" s="5" t="str">
        <f t="shared" si="7"/>
        <v/>
      </c>
      <c r="N84" s="20" t="str">
        <f>IF(AND(G84="Sim",O84&lt;&gt;"Não",J84&lt;&gt;"Concluída",C84&lt;&gt;""),COUNTIFS($G$5:G84,"Sim",$O$5:O84,"&lt;&gt;Não",$J$5:J84,"&lt;&gt;Concluída",$C$5:C84,"&lt;&gt;"),"")</f>
        <v/>
      </c>
      <c r="O84" s="1"/>
    </row>
    <row r="85" spans="1:15" x14ac:dyDescent="0.35">
      <c r="A85" s="17" t="str">
        <f t="shared" si="8"/>
        <v/>
      </c>
      <c r="B85" s="1"/>
      <c r="C85" s="1"/>
      <c r="D85" s="1"/>
      <c r="E85" s="1"/>
      <c r="F85" s="1"/>
      <c r="G85" s="1"/>
      <c r="H85" s="13"/>
      <c r="I85" s="13"/>
      <c r="J85" s="1"/>
      <c r="K85" s="13"/>
      <c r="L85" s="14" t="str">
        <f t="shared" si="6"/>
        <v/>
      </c>
      <c r="M85" s="5" t="str">
        <f t="shared" si="7"/>
        <v/>
      </c>
      <c r="N85" s="20" t="str">
        <f>IF(AND(G85="Sim",O85&lt;&gt;"Não",J85&lt;&gt;"Concluída",C85&lt;&gt;""),COUNTIFS($G$5:G85,"Sim",$O$5:O85,"&lt;&gt;Não",$J$5:J85,"&lt;&gt;Concluída",$C$5:C85,"&lt;&gt;"),"")</f>
        <v/>
      </c>
      <c r="O85" s="1"/>
    </row>
    <row r="86" spans="1:15" x14ac:dyDescent="0.35">
      <c r="A86" s="17" t="str">
        <f t="shared" si="8"/>
        <v/>
      </c>
      <c r="B86" s="1"/>
      <c r="C86" s="1"/>
      <c r="D86" s="1"/>
      <c r="E86" s="1"/>
      <c r="F86" s="1"/>
      <c r="G86" s="1"/>
      <c r="H86" s="13"/>
      <c r="I86" s="13"/>
      <c r="J86" s="1"/>
      <c r="K86" s="13"/>
      <c r="L86" s="14" t="str">
        <f t="shared" si="6"/>
        <v/>
      </c>
      <c r="M86" s="5" t="str">
        <f t="shared" si="7"/>
        <v/>
      </c>
      <c r="N86" s="20" t="str">
        <f>IF(AND(G86="Sim",O86&lt;&gt;"Não",J86&lt;&gt;"Concluída",C86&lt;&gt;""),COUNTIFS($G$5:G86,"Sim",$O$5:O86,"&lt;&gt;Não",$J$5:J86,"&lt;&gt;Concluída",$C$5:C86,"&lt;&gt;"),"")</f>
        <v/>
      </c>
      <c r="O86" s="1"/>
    </row>
    <row r="87" spans="1:15" x14ac:dyDescent="0.35">
      <c r="A87" s="17" t="str">
        <f t="shared" si="8"/>
        <v/>
      </c>
      <c r="B87" s="1"/>
      <c r="C87" s="1"/>
      <c r="D87" s="1"/>
      <c r="E87" s="1"/>
      <c r="F87" s="1"/>
      <c r="G87" s="1"/>
      <c r="H87" s="13"/>
      <c r="I87" s="13"/>
      <c r="J87" s="1"/>
      <c r="K87" s="13"/>
      <c r="L87" s="14" t="str">
        <f t="shared" si="6"/>
        <v/>
      </c>
      <c r="M87" s="5" t="str">
        <f t="shared" si="7"/>
        <v/>
      </c>
      <c r="N87" s="20" t="str">
        <f>IF(AND(G87="Sim",O87&lt;&gt;"Não",J87&lt;&gt;"Concluída",C87&lt;&gt;""),COUNTIFS($G$5:G87,"Sim",$O$5:O87,"&lt;&gt;Não",$J$5:J87,"&lt;&gt;Concluída",$C$5:C87,"&lt;&gt;"),"")</f>
        <v/>
      </c>
      <c r="O87" s="1"/>
    </row>
    <row r="88" spans="1:15" x14ac:dyDescent="0.35">
      <c r="A88" s="17" t="str">
        <f t="shared" si="8"/>
        <v/>
      </c>
      <c r="B88" s="1"/>
      <c r="C88" s="1"/>
      <c r="D88" s="1"/>
      <c r="E88" s="1"/>
      <c r="F88" s="1"/>
      <c r="G88" s="1"/>
      <c r="H88" s="13"/>
      <c r="I88" s="13"/>
      <c r="J88" s="1"/>
      <c r="K88" s="13"/>
      <c r="L88" s="14" t="str">
        <f t="shared" si="6"/>
        <v/>
      </c>
      <c r="M88" s="5" t="str">
        <f t="shared" si="7"/>
        <v/>
      </c>
      <c r="N88" s="20" t="str">
        <f>IF(AND(G88="Sim",O88&lt;&gt;"Não",J88&lt;&gt;"Concluída",C88&lt;&gt;""),COUNTIFS($G$5:G88,"Sim",$O$5:O88,"&lt;&gt;Não",$J$5:J88,"&lt;&gt;Concluída",$C$5:C88,"&lt;&gt;"),"")</f>
        <v/>
      </c>
      <c r="O88" s="1"/>
    </row>
    <row r="89" spans="1:15" x14ac:dyDescent="0.35">
      <c r="A89" s="17" t="str">
        <f t="shared" si="8"/>
        <v/>
      </c>
      <c r="B89" s="1"/>
      <c r="C89" s="1"/>
      <c r="D89" s="1"/>
      <c r="E89" s="1"/>
      <c r="F89" s="1"/>
      <c r="G89" s="1"/>
      <c r="H89" s="13"/>
      <c r="I89" s="13"/>
      <c r="J89" s="1"/>
      <c r="K89" s="13"/>
      <c r="L89" s="14" t="str">
        <f t="shared" si="6"/>
        <v/>
      </c>
      <c r="M89" s="5" t="str">
        <f t="shared" si="7"/>
        <v/>
      </c>
      <c r="N89" s="20" t="str">
        <f>IF(AND(G89="Sim",O89&lt;&gt;"Não",J89&lt;&gt;"Concluída",C89&lt;&gt;""),COUNTIFS($G$5:G89,"Sim",$O$5:O89,"&lt;&gt;Não",$J$5:J89,"&lt;&gt;Concluída",$C$5:C89,"&lt;&gt;"),"")</f>
        <v/>
      </c>
      <c r="O89" s="1"/>
    </row>
    <row r="90" spans="1:15" x14ac:dyDescent="0.35">
      <c r="A90" s="17" t="str">
        <f t="shared" si="8"/>
        <v/>
      </c>
      <c r="B90" s="1"/>
      <c r="C90" s="1"/>
      <c r="D90" s="1"/>
      <c r="E90" s="1"/>
      <c r="F90" s="1"/>
      <c r="G90" s="1"/>
      <c r="H90" s="13"/>
      <c r="I90" s="13"/>
      <c r="J90" s="1"/>
      <c r="K90" s="13"/>
      <c r="L90" s="14" t="str">
        <f t="shared" si="6"/>
        <v/>
      </c>
      <c r="M90" s="5" t="str">
        <f t="shared" si="7"/>
        <v/>
      </c>
      <c r="N90" s="20" t="str">
        <f>IF(AND(G90="Sim",O90&lt;&gt;"Não",J90&lt;&gt;"Concluída",C90&lt;&gt;""),COUNTIFS($G$5:G90,"Sim",$O$5:O90,"&lt;&gt;Não",$J$5:J90,"&lt;&gt;Concluída",$C$5:C90,"&lt;&gt;"),"")</f>
        <v/>
      </c>
      <c r="O90" s="1"/>
    </row>
    <row r="91" spans="1:15" x14ac:dyDescent="0.35">
      <c r="A91" s="17" t="str">
        <f t="shared" si="8"/>
        <v/>
      </c>
      <c r="B91" s="1"/>
      <c r="C91" s="1"/>
      <c r="D91" s="1"/>
      <c r="E91" s="1"/>
      <c r="F91" s="1"/>
      <c r="G91" s="1"/>
      <c r="H91" s="13"/>
      <c r="I91" s="13"/>
      <c r="J91" s="1"/>
      <c r="K91" s="13"/>
      <c r="L91" s="14" t="str">
        <f t="shared" si="6"/>
        <v/>
      </c>
      <c r="M91" s="5" t="str">
        <f t="shared" si="7"/>
        <v/>
      </c>
      <c r="N91" s="20" t="str">
        <f>IF(AND(G91="Sim",O91&lt;&gt;"Não",J91&lt;&gt;"Concluída",C91&lt;&gt;""),COUNTIFS($G$5:G91,"Sim",$O$5:O91,"&lt;&gt;Não",$J$5:J91,"&lt;&gt;Concluída",$C$5:C91,"&lt;&gt;"),"")</f>
        <v/>
      </c>
      <c r="O91" s="1"/>
    </row>
    <row r="92" spans="1:15" x14ac:dyDescent="0.35">
      <c r="A92" s="17" t="str">
        <f t="shared" si="8"/>
        <v/>
      </c>
      <c r="B92" s="1"/>
      <c r="C92" s="1"/>
      <c r="D92" s="1"/>
      <c r="E92" s="1"/>
      <c r="F92" s="1"/>
      <c r="G92" s="1"/>
      <c r="H92" s="13"/>
      <c r="I92" s="13"/>
      <c r="J92" s="1"/>
      <c r="K92" s="13"/>
      <c r="L92" s="14" t="str">
        <f t="shared" si="6"/>
        <v/>
      </c>
      <c r="M92" s="5" t="str">
        <f t="shared" si="7"/>
        <v/>
      </c>
      <c r="N92" s="20" t="str">
        <f>IF(AND(G92="Sim",O92&lt;&gt;"Não",J92&lt;&gt;"Concluída",C92&lt;&gt;""),COUNTIFS($G$5:G92,"Sim",$O$5:O92,"&lt;&gt;Não",$J$5:J92,"&lt;&gt;Concluída",$C$5:C92,"&lt;&gt;"),"")</f>
        <v/>
      </c>
      <c r="O92" s="1"/>
    </row>
    <row r="93" spans="1:15" x14ac:dyDescent="0.35">
      <c r="A93" s="17" t="str">
        <f t="shared" si="8"/>
        <v/>
      </c>
      <c r="B93" s="1"/>
      <c r="C93" s="1"/>
      <c r="D93" s="1"/>
      <c r="E93" s="1"/>
      <c r="F93" s="1"/>
      <c r="G93" s="1"/>
      <c r="H93" s="13"/>
      <c r="I93" s="13"/>
      <c r="J93" s="1"/>
      <c r="K93" s="13"/>
      <c r="L93" s="14" t="str">
        <f t="shared" si="6"/>
        <v/>
      </c>
      <c r="M93" s="5" t="str">
        <f t="shared" si="7"/>
        <v/>
      </c>
      <c r="N93" s="20" t="str">
        <f>IF(AND(G93="Sim",O93&lt;&gt;"Não",J93&lt;&gt;"Concluída",C93&lt;&gt;""),COUNTIFS($G$5:G93,"Sim",$O$5:O93,"&lt;&gt;Não",$J$5:J93,"&lt;&gt;Concluída",$C$5:C93,"&lt;&gt;"),"")</f>
        <v/>
      </c>
      <c r="O93" s="1"/>
    </row>
    <row r="94" spans="1:15" x14ac:dyDescent="0.35">
      <c r="A94" s="17" t="str">
        <f t="shared" si="8"/>
        <v/>
      </c>
      <c r="B94" s="1"/>
      <c r="C94" s="1"/>
      <c r="D94" s="1"/>
      <c r="E94" s="1"/>
      <c r="F94" s="1"/>
      <c r="G94" s="1"/>
      <c r="H94" s="13"/>
      <c r="I94" s="13"/>
      <c r="J94" s="1"/>
      <c r="K94" s="13"/>
      <c r="L94" s="14" t="str">
        <f t="shared" si="6"/>
        <v/>
      </c>
      <c r="M94" s="5" t="str">
        <f t="shared" si="7"/>
        <v/>
      </c>
      <c r="N94" s="20" t="str">
        <f>IF(AND(G94="Sim",O94&lt;&gt;"Não",J94&lt;&gt;"Concluída",C94&lt;&gt;""),COUNTIFS($G$5:G94,"Sim",$O$5:O94,"&lt;&gt;Não",$J$5:J94,"&lt;&gt;Concluída",$C$5:C94,"&lt;&gt;"),"")</f>
        <v/>
      </c>
      <c r="O94" s="1"/>
    </row>
    <row r="95" spans="1:15" x14ac:dyDescent="0.35">
      <c r="A95" s="17" t="str">
        <f t="shared" si="8"/>
        <v/>
      </c>
      <c r="B95" s="1"/>
      <c r="C95" s="1"/>
      <c r="D95" s="1"/>
      <c r="E95" s="1"/>
      <c r="F95" s="1"/>
      <c r="G95" s="1"/>
      <c r="H95" s="13"/>
      <c r="I95" s="13"/>
      <c r="J95" s="1"/>
      <c r="K95" s="13"/>
      <c r="L95" s="14" t="str">
        <f t="shared" si="6"/>
        <v/>
      </c>
      <c r="M95" s="5" t="str">
        <f t="shared" si="7"/>
        <v/>
      </c>
      <c r="N95" s="20" t="str">
        <f>IF(AND(G95="Sim",O95&lt;&gt;"Não",J95&lt;&gt;"Concluída",C95&lt;&gt;""),COUNTIFS($G$5:G95,"Sim",$O$5:O95,"&lt;&gt;Não",$J$5:J95,"&lt;&gt;Concluída",$C$5:C95,"&lt;&gt;"),"")</f>
        <v/>
      </c>
      <c r="O95" s="1"/>
    </row>
    <row r="96" spans="1:15" x14ac:dyDescent="0.35">
      <c r="A96" s="17" t="str">
        <f t="shared" si="8"/>
        <v/>
      </c>
      <c r="B96" s="1"/>
      <c r="C96" s="1"/>
      <c r="D96" s="1"/>
      <c r="E96" s="1"/>
      <c r="F96" s="1"/>
      <c r="G96" s="1"/>
      <c r="H96" s="13"/>
      <c r="I96" s="13"/>
      <c r="J96" s="1"/>
      <c r="K96" s="13"/>
      <c r="L96" s="14" t="str">
        <f t="shared" si="6"/>
        <v/>
      </c>
      <c r="M96" s="5" t="str">
        <f t="shared" si="7"/>
        <v/>
      </c>
      <c r="N96" s="20" t="str">
        <f>IF(AND(G96="Sim",O96&lt;&gt;"Não",J96&lt;&gt;"Concluída",C96&lt;&gt;""),COUNTIFS($G$5:G96,"Sim",$O$5:O96,"&lt;&gt;Não",$J$5:J96,"&lt;&gt;Concluída",$C$5:C96,"&lt;&gt;"),"")</f>
        <v/>
      </c>
      <c r="O96" s="1"/>
    </row>
    <row r="97" spans="1:15" x14ac:dyDescent="0.35">
      <c r="A97" s="17" t="str">
        <f t="shared" si="8"/>
        <v/>
      </c>
      <c r="B97" s="1"/>
      <c r="C97" s="1"/>
      <c r="D97" s="1"/>
      <c r="E97" s="1"/>
      <c r="F97" s="1"/>
      <c r="G97" s="1"/>
      <c r="H97" s="13"/>
      <c r="I97" s="13"/>
      <c r="J97" s="1"/>
      <c r="K97" s="13"/>
      <c r="L97" s="14" t="str">
        <f t="shared" si="6"/>
        <v/>
      </c>
      <c r="M97" s="5" t="str">
        <f t="shared" si="7"/>
        <v/>
      </c>
      <c r="N97" s="20" t="str">
        <f>IF(AND(G97="Sim",O97&lt;&gt;"Não",J97&lt;&gt;"Concluída",C97&lt;&gt;""),COUNTIFS($G$5:G97,"Sim",$O$5:O97,"&lt;&gt;Não",$J$5:J97,"&lt;&gt;Concluída",$C$5:C97,"&lt;&gt;"),"")</f>
        <v/>
      </c>
      <c r="O97" s="1"/>
    </row>
    <row r="98" spans="1:15" x14ac:dyDescent="0.35">
      <c r="A98" s="17" t="str">
        <f t="shared" si="8"/>
        <v/>
      </c>
      <c r="B98" s="1"/>
      <c r="C98" s="1"/>
      <c r="D98" s="1"/>
      <c r="E98" s="1"/>
      <c r="F98" s="1"/>
      <c r="G98" s="1"/>
      <c r="H98" s="13"/>
      <c r="I98" s="13"/>
      <c r="J98" s="1"/>
      <c r="K98" s="13"/>
      <c r="L98" s="14" t="str">
        <f t="shared" si="6"/>
        <v/>
      </c>
      <c r="M98" s="5" t="str">
        <f t="shared" si="7"/>
        <v/>
      </c>
      <c r="N98" s="20" t="str">
        <f>IF(AND(G98="Sim",O98&lt;&gt;"Não",J98&lt;&gt;"Concluída",C98&lt;&gt;""),COUNTIFS($G$5:G98,"Sim",$O$5:O98,"&lt;&gt;Não",$J$5:J98,"&lt;&gt;Concluída",$C$5:C98,"&lt;&gt;"),"")</f>
        <v/>
      </c>
      <c r="O98" s="1"/>
    </row>
    <row r="99" spans="1:15" x14ac:dyDescent="0.35">
      <c r="A99" s="17" t="str">
        <f t="shared" si="8"/>
        <v/>
      </c>
      <c r="B99" s="1"/>
      <c r="C99" s="1"/>
      <c r="D99" s="1"/>
      <c r="E99" s="1"/>
      <c r="F99" s="1"/>
      <c r="G99" s="1"/>
      <c r="H99" s="13"/>
      <c r="I99" s="13"/>
      <c r="J99" s="1"/>
      <c r="K99" s="13"/>
      <c r="L99" s="14" t="str">
        <f t="shared" si="6"/>
        <v/>
      </c>
      <c r="M99" s="5" t="str">
        <f t="shared" si="7"/>
        <v/>
      </c>
      <c r="N99" s="20" t="str">
        <f>IF(AND(G99="Sim",O99&lt;&gt;"Não",J99&lt;&gt;"Concluída",C99&lt;&gt;""),COUNTIFS($G$5:G99,"Sim",$O$5:O99,"&lt;&gt;Não",$J$5:J99,"&lt;&gt;Concluída",$C$5:C99,"&lt;&gt;"),"")</f>
        <v/>
      </c>
      <c r="O99" s="1"/>
    </row>
    <row r="100" spans="1:15" x14ac:dyDescent="0.35">
      <c r="A100" s="17" t="str">
        <f t="shared" si="8"/>
        <v/>
      </c>
      <c r="B100" s="1"/>
      <c r="C100" s="1"/>
      <c r="D100" s="1"/>
      <c r="E100" s="1"/>
      <c r="F100" s="1"/>
      <c r="G100" s="1"/>
      <c r="H100" s="13"/>
      <c r="I100" s="13"/>
      <c r="J100" s="1"/>
      <c r="K100" s="13"/>
      <c r="L100" s="14" t="str">
        <f t="shared" si="6"/>
        <v/>
      </c>
      <c r="M100" s="5" t="str">
        <f t="shared" si="7"/>
        <v/>
      </c>
      <c r="N100" s="20" t="str">
        <f>IF(AND(G100="Sim",O100&lt;&gt;"Não",J100&lt;&gt;"Concluída",C100&lt;&gt;""),COUNTIFS($G$5:G100,"Sim",$O$5:O100,"&lt;&gt;Não",$J$5:J100,"&lt;&gt;Concluída",$C$5:C100,"&lt;&gt;"),"")</f>
        <v/>
      </c>
      <c r="O100" s="1"/>
    </row>
    <row r="101" spans="1:15" x14ac:dyDescent="0.35">
      <c r="A101" s="17" t="str">
        <f t="shared" si="8"/>
        <v/>
      </c>
      <c r="B101" s="1"/>
      <c r="C101" s="1"/>
      <c r="D101" s="1"/>
      <c r="E101" s="1"/>
      <c r="F101" s="1"/>
      <c r="G101" s="1"/>
      <c r="H101" s="13"/>
      <c r="I101" s="13"/>
      <c r="J101" s="1"/>
      <c r="K101" s="13"/>
      <c r="L101" s="14" t="str">
        <f t="shared" ref="L101:L132" si="9">IF(OR(C101="",H101=""),"",IF(K101&lt;&gt;"",K101,DataRef)-H101)</f>
        <v/>
      </c>
      <c r="M101" s="5" t="str">
        <f t="shared" ref="M101:M132" si="10">IF(C101="","",IF(J101="Concluída","Concluída",IF(AND(I101&lt;&gt;"",DataRef&gt;I101),"VENCIDA","Em aberto")))</f>
        <v/>
      </c>
      <c r="N101" s="20" t="str">
        <f>IF(AND(G101="Sim",O101&lt;&gt;"Não",J101&lt;&gt;"Concluída",C101&lt;&gt;""),COUNTIFS($G$5:G101,"Sim",$O$5:O101,"&lt;&gt;Não",$J$5:J101,"&lt;&gt;Concluída",$C$5:C101,"&lt;&gt;"),"")</f>
        <v/>
      </c>
      <c r="O101" s="1"/>
    </row>
    <row r="102" spans="1:15" x14ac:dyDescent="0.35">
      <c r="A102" s="17" t="str">
        <f t="shared" si="8"/>
        <v/>
      </c>
      <c r="B102" s="1"/>
      <c r="C102" s="1"/>
      <c r="D102" s="1"/>
      <c r="E102" s="1"/>
      <c r="F102" s="1"/>
      <c r="G102" s="1"/>
      <c r="H102" s="13"/>
      <c r="I102" s="13"/>
      <c r="J102" s="1"/>
      <c r="K102" s="13"/>
      <c r="L102" s="14" t="str">
        <f t="shared" si="9"/>
        <v/>
      </c>
      <c r="M102" s="5" t="str">
        <f t="shared" si="10"/>
        <v/>
      </c>
      <c r="N102" s="20" t="str">
        <f>IF(AND(G102="Sim",O102&lt;&gt;"Não",J102&lt;&gt;"Concluída",C102&lt;&gt;""),COUNTIFS($G$5:G102,"Sim",$O$5:O102,"&lt;&gt;Não",$J$5:J102,"&lt;&gt;Concluída",$C$5:C102,"&lt;&gt;"),"")</f>
        <v/>
      </c>
      <c r="O102" s="1"/>
    </row>
    <row r="103" spans="1:15" x14ac:dyDescent="0.35">
      <c r="A103" s="17" t="str">
        <f t="shared" si="8"/>
        <v/>
      </c>
      <c r="B103" s="1"/>
      <c r="C103" s="1"/>
      <c r="D103" s="1"/>
      <c r="E103" s="1"/>
      <c r="F103" s="1"/>
      <c r="G103" s="1"/>
      <c r="H103" s="13"/>
      <c r="I103" s="13"/>
      <c r="J103" s="1"/>
      <c r="K103" s="13"/>
      <c r="L103" s="14" t="str">
        <f t="shared" si="9"/>
        <v/>
      </c>
      <c r="M103" s="5" t="str">
        <f t="shared" si="10"/>
        <v/>
      </c>
      <c r="N103" s="20" t="str">
        <f>IF(AND(G103="Sim",O103&lt;&gt;"Não",J103&lt;&gt;"Concluída",C103&lt;&gt;""),COUNTIFS($G$5:G103,"Sim",$O$5:O103,"&lt;&gt;Não",$J$5:J103,"&lt;&gt;Concluída",$C$5:C103,"&lt;&gt;"),"")</f>
        <v/>
      </c>
      <c r="O103" s="1"/>
    </row>
    <row r="104" spans="1:15" x14ac:dyDescent="0.35">
      <c r="A104" s="17" t="str">
        <f t="shared" si="8"/>
        <v/>
      </c>
      <c r="B104" s="1"/>
      <c r="C104" s="1"/>
      <c r="D104" s="1"/>
      <c r="E104" s="1"/>
      <c r="F104" s="1"/>
      <c r="G104" s="1"/>
      <c r="H104" s="13"/>
      <c r="I104" s="13"/>
      <c r="J104" s="1"/>
      <c r="K104" s="13"/>
      <c r="L104" s="14" t="str">
        <f t="shared" si="9"/>
        <v/>
      </c>
      <c r="M104" s="5" t="str">
        <f t="shared" si="10"/>
        <v/>
      </c>
      <c r="N104" s="20" t="str">
        <f>IF(AND(G104="Sim",O104&lt;&gt;"Não",J104&lt;&gt;"Concluída",C104&lt;&gt;""),COUNTIFS($G$5:G104,"Sim",$O$5:O104,"&lt;&gt;Não",$J$5:J104,"&lt;&gt;Concluída",$C$5:C104,"&lt;&gt;"),"")</f>
        <v/>
      </c>
      <c r="O104" s="1"/>
    </row>
    <row r="105" spans="1:15" x14ac:dyDescent="0.35">
      <c r="A105" s="17" t="str">
        <f t="shared" si="8"/>
        <v/>
      </c>
      <c r="B105" s="1"/>
      <c r="C105" s="1"/>
      <c r="D105" s="1"/>
      <c r="E105" s="1"/>
      <c r="F105" s="1"/>
      <c r="G105" s="1"/>
      <c r="H105" s="13"/>
      <c r="I105" s="13"/>
      <c r="J105" s="1"/>
      <c r="K105" s="13"/>
      <c r="L105" s="14" t="str">
        <f t="shared" si="9"/>
        <v/>
      </c>
      <c r="M105" s="5" t="str">
        <f t="shared" si="10"/>
        <v/>
      </c>
      <c r="N105" s="20" t="str">
        <f>IF(AND(G105="Sim",O105&lt;&gt;"Não",J105&lt;&gt;"Concluída",C105&lt;&gt;""),COUNTIFS($G$5:G105,"Sim",$O$5:O105,"&lt;&gt;Não",$J$5:J105,"&lt;&gt;Concluída",$C$5:C105,"&lt;&gt;"),"")</f>
        <v/>
      </c>
      <c r="O105" s="1"/>
    </row>
    <row r="106" spans="1:15" x14ac:dyDescent="0.35">
      <c r="A106" s="17" t="str">
        <f t="shared" si="8"/>
        <v/>
      </c>
      <c r="B106" s="1"/>
      <c r="C106" s="1"/>
      <c r="D106" s="1"/>
      <c r="E106" s="1"/>
      <c r="F106" s="1"/>
      <c r="G106" s="1"/>
      <c r="H106" s="13"/>
      <c r="I106" s="13"/>
      <c r="J106" s="1"/>
      <c r="K106" s="13"/>
      <c r="L106" s="14" t="str">
        <f t="shared" si="9"/>
        <v/>
      </c>
      <c r="M106" s="5" t="str">
        <f t="shared" si="10"/>
        <v/>
      </c>
      <c r="N106" s="20" t="str">
        <f>IF(AND(G106="Sim",O106&lt;&gt;"Não",J106&lt;&gt;"Concluída",C106&lt;&gt;""),COUNTIFS($G$5:G106,"Sim",$O$5:O106,"&lt;&gt;Não",$J$5:J106,"&lt;&gt;Concluída",$C$5:C106,"&lt;&gt;"),"")</f>
        <v/>
      </c>
      <c r="O106" s="1"/>
    </row>
    <row r="107" spans="1:15" x14ac:dyDescent="0.35">
      <c r="A107" s="17" t="str">
        <f t="shared" si="8"/>
        <v/>
      </c>
      <c r="B107" s="1"/>
      <c r="C107" s="1"/>
      <c r="D107" s="1"/>
      <c r="E107" s="1"/>
      <c r="F107" s="1"/>
      <c r="G107" s="1"/>
      <c r="H107" s="13"/>
      <c r="I107" s="13"/>
      <c r="J107" s="1"/>
      <c r="K107" s="13"/>
      <c r="L107" s="14" t="str">
        <f t="shared" si="9"/>
        <v/>
      </c>
      <c r="M107" s="5" t="str">
        <f t="shared" si="10"/>
        <v/>
      </c>
      <c r="N107" s="20" t="str">
        <f>IF(AND(G107="Sim",O107&lt;&gt;"Não",J107&lt;&gt;"Concluída",C107&lt;&gt;""),COUNTIFS($G$5:G107,"Sim",$O$5:O107,"&lt;&gt;Não",$J$5:J107,"&lt;&gt;Concluída",$C$5:C107,"&lt;&gt;"),"")</f>
        <v/>
      </c>
      <c r="O107" s="1"/>
    </row>
    <row r="108" spans="1:15" x14ac:dyDescent="0.35">
      <c r="A108" s="17" t="str">
        <f t="shared" si="8"/>
        <v/>
      </c>
      <c r="B108" s="1"/>
      <c r="C108" s="1"/>
      <c r="D108" s="1"/>
      <c r="E108" s="1"/>
      <c r="F108" s="1"/>
      <c r="G108" s="1"/>
      <c r="H108" s="13"/>
      <c r="I108" s="13"/>
      <c r="J108" s="1"/>
      <c r="K108" s="13"/>
      <c r="L108" s="14" t="str">
        <f t="shared" si="9"/>
        <v/>
      </c>
      <c r="M108" s="5" t="str">
        <f t="shared" si="10"/>
        <v/>
      </c>
      <c r="N108" s="20" t="str">
        <f>IF(AND(G108="Sim",O108&lt;&gt;"Não",J108&lt;&gt;"Concluída",C108&lt;&gt;""),COUNTIFS($G$5:G108,"Sim",$O$5:O108,"&lt;&gt;Não",$J$5:J108,"&lt;&gt;Concluída",$C$5:C108,"&lt;&gt;"),"")</f>
        <v/>
      </c>
      <c r="O108" s="1"/>
    </row>
    <row r="109" spans="1:15" x14ac:dyDescent="0.35">
      <c r="A109" s="17" t="str">
        <f t="shared" si="8"/>
        <v/>
      </c>
      <c r="B109" s="1"/>
      <c r="C109" s="1"/>
      <c r="D109" s="1"/>
      <c r="E109" s="1"/>
      <c r="F109" s="1"/>
      <c r="G109" s="1"/>
      <c r="H109" s="13"/>
      <c r="I109" s="13"/>
      <c r="J109" s="1"/>
      <c r="K109" s="13"/>
      <c r="L109" s="14" t="str">
        <f t="shared" si="9"/>
        <v/>
      </c>
      <c r="M109" s="5" t="str">
        <f t="shared" si="10"/>
        <v/>
      </c>
      <c r="N109" s="20" t="str">
        <f>IF(AND(G109="Sim",O109&lt;&gt;"Não",J109&lt;&gt;"Concluída",C109&lt;&gt;""),COUNTIFS($G$5:G109,"Sim",$O$5:O109,"&lt;&gt;Não",$J$5:J109,"&lt;&gt;Concluída",$C$5:C109,"&lt;&gt;"),"")</f>
        <v/>
      </c>
      <c r="O109" s="1"/>
    </row>
    <row r="110" spans="1:15" x14ac:dyDescent="0.35">
      <c r="A110" s="17" t="str">
        <f t="shared" si="8"/>
        <v/>
      </c>
      <c r="B110" s="1"/>
      <c r="C110" s="1"/>
      <c r="D110" s="1"/>
      <c r="E110" s="1"/>
      <c r="F110" s="1"/>
      <c r="G110" s="1"/>
      <c r="H110" s="13"/>
      <c r="I110" s="13"/>
      <c r="J110" s="1"/>
      <c r="K110" s="13"/>
      <c r="L110" s="14" t="str">
        <f t="shared" si="9"/>
        <v/>
      </c>
      <c r="M110" s="5" t="str">
        <f t="shared" si="10"/>
        <v/>
      </c>
      <c r="N110" s="20" t="str">
        <f>IF(AND(G110="Sim",O110&lt;&gt;"Não",J110&lt;&gt;"Concluída",C110&lt;&gt;""),COUNTIFS($G$5:G110,"Sim",$O$5:O110,"&lt;&gt;Não",$J$5:J110,"&lt;&gt;Concluída",$C$5:C110,"&lt;&gt;"),"")</f>
        <v/>
      </c>
      <c r="O110" s="1"/>
    </row>
    <row r="111" spans="1:15" x14ac:dyDescent="0.35">
      <c r="A111" s="17" t="str">
        <f t="shared" si="8"/>
        <v/>
      </c>
      <c r="B111" s="1"/>
      <c r="C111" s="1"/>
      <c r="D111" s="1"/>
      <c r="E111" s="1"/>
      <c r="F111" s="1"/>
      <c r="G111" s="1"/>
      <c r="H111" s="13"/>
      <c r="I111" s="13"/>
      <c r="J111" s="1"/>
      <c r="K111" s="13"/>
      <c r="L111" s="14" t="str">
        <f t="shared" si="9"/>
        <v/>
      </c>
      <c r="M111" s="5" t="str">
        <f t="shared" si="10"/>
        <v/>
      </c>
      <c r="N111" s="20" t="str">
        <f>IF(AND(G111="Sim",O111&lt;&gt;"Não",J111&lt;&gt;"Concluída",C111&lt;&gt;""),COUNTIFS($G$5:G111,"Sim",$O$5:O111,"&lt;&gt;Não",$J$5:J111,"&lt;&gt;Concluída",$C$5:C111,"&lt;&gt;"),"")</f>
        <v/>
      </c>
      <c r="O111" s="1"/>
    </row>
    <row r="112" spans="1:15" x14ac:dyDescent="0.35">
      <c r="A112" s="17" t="str">
        <f t="shared" si="8"/>
        <v/>
      </c>
      <c r="B112" s="1"/>
      <c r="C112" s="1"/>
      <c r="D112" s="1"/>
      <c r="E112" s="1"/>
      <c r="F112" s="1"/>
      <c r="G112" s="1"/>
      <c r="H112" s="13"/>
      <c r="I112" s="13"/>
      <c r="J112" s="1"/>
      <c r="K112" s="13"/>
      <c r="L112" s="14" t="str">
        <f t="shared" si="9"/>
        <v/>
      </c>
      <c r="M112" s="5" t="str">
        <f t="shared" si="10"/>
        <v/>
      </c>
      <c r="N112" s="20" t="str">
        <f>IF(AND(G112="Sim",O112&lt;&gt;"Não",J112&lt;&gt;"Concluída",C112&lt;&gt;""),COUNTIFS($G$5:G112,"Sim",$O$5:O112,"&lt;&gt;Não",$J$5:J112,"&lt;&gt;Concluída",$C$5:C112,"&lt;&gt;"),"")</f>
        <v/>
      </c>
      <c r="O112" s="1"/>
    </row>
    <row r="113" spans="1:15" x14ac:dyDescent="0.35">
      <c r="A113" s="17" t="str">
        <f t="shared" si="8"/>
        <v/>
      </c>
      <c r="B113" s="1"/>
      <c r="C113" s="1"/>
      <c r="D113" s="1"/>
      <c r="E113" s="1"/>
      <c r="F113" s="1"/>
      <c r="G113" s="1"/>
      <c r="H113" s="13"/>
      <c r="I113" s="13"/>
      <c r="J113" s="1"/>
      <c r="K113" s="13"/>
      <c r="L113" s="14" t="str">
        <f t="shared" si="9"/>
        <v/>
      </c>
      <c r="M113" s="5" t="str">
        <f t="shared" si="10"/>
        <v/>
      </c>
      <c r="N113" s="20" t="str">
        <f>IF(AND(G113="Sim",O113&lt;&gt;"Não",J113&lt;&gt;"Concluída",C113&lt;&gt;""),COUNTIFS($G$5:G113,"Sim",$O$5:O113,"&lt;&gt;Não",$J$5:J113,"&lt;&gt;Concluída",$C$5:C113,"&lt;&gt;"),"")</f>
        <v/>
      </c>
      <c r="O113" s="1"/>
    </row>
    <row r="114" spans="1:15" x14ac:dyDescent="0.35">
      <c r="A114" s="17" t="str">
        <f t="shared" si="8"/>
        <v/>
      </c>
      <c r="B114" s="1"/>
      <c r="C114" s="1"/>
      <c r="D114" s="1"/>
      <c r="E114" s="1"/>
      <c r="F114" s="1"/>
      <c r="G114" s="1"/>
      <c r="H114" s="13"/>
      <c r="I114" s="13"/>
      <c r="J114" s="1"/>
      <c r="K114" s="13"/>
      <c r="L114" s="14" t="str">
        <f t="shared" si="9"/>
        <v/>
      </c>
      <c r="M114" s="5" t="str">
        <f t="shared" si="10"/>
        <v/>
      </c>
      <c r="N114" s="20" t="str">
        <f>IF(AND(G114="Sim",O114&lt;&gt;"Não",J114&lt;&gt;"Concluída",C114&lt;&gt;""),COUNTIFS($G$5:G114,"Sim",$O$5:O114,"&lt;&gt;Não",$J$5:J114,"&lt;&gt;Concluída",$C$5:C114,"&lt;&gt;"),"")</f>
        <v/>
      </c>
      <c r="O114" s="1"/>
    </row>
    <row r="115" spans="1:15" x14ac:dyDescent="0.35">
      <c r="A115" s="17" t="str">
        <f t="shared" ref="A115:A146" si="11">IF(C115="","",ROW()-4)</f>
        <v/>
      </c>
      <c r="B115" s="1"/>
      <c r="C115" s="1"/>
      <c r="D115" s="1"/>
      <c r="E115" s="1"/>
      <c r="F115" s="1"/>
      <c r="G115" s="1"/>
      <c r="H115" s="13"/>
      <c r="I115" s="13"/>
      <c r="J115" s="1"/>
      <c r="K115" s="13"/>
      <c r="L115" s="14" t="str">
        <f t="shared" si="9"/>
        <v/>
      </c>
      <c r="M115" s="5" t="str">
        <f t="shared" si="10"/>
        <v/>
      </c>
      <c r="N115" s="20" t="str">
        <f>IF(AND(G115="Sim",O115&lt;&gt;"Não",J115&lt;&gt;"Concluída",C115&lt;&gt;""),COUNTIFS($G$5:G115,"Sim",$O$5:O115,"&lt;&gt;Não",$J$5:J115,"&lt;&gt;Concluída",$C$5:C115,"&lt;&gt;"),"")</f>
        <v/>
      </c>
      <c r="O115" s="1"/>
    </row>
    <row r="116" spans="1:15" x14ac:dyDescent="0.35">
      <c r="A116" s="17" t="str">
        <f t="shared" si="11"/>
        <v/>
      </c>
      <c r="B116" s="1"/>
      <c r="C116" s="1"/>
      <c r="D116" s="1"/>
      <c r="E116" s="1"/>
      <c r="F116" s="1"/>
      <c r="G116" s="1"/>
      <c r="H116" s="13"/>
      <c r="I116" s="13"/>
      <c r="J116" s="1"/>
      <c r="K116" s="13"/>
      <c r="L116" s="14" t="str">
        <f t="shared" si="9"/>
        <v/>
      </c>
      <c r="M116" s="5" t="str">
        <f t="shared" si="10"/>
        <v/>
      </c>
      <c r="N116" s="20" t="str">
        <f>IF(AND(G116="Sim",O116&lt;&gt;"Não",J116&lt;&gt;"Concluída",C116&lt;&gt;""),COUNTIFS($G$5:G116,"Sim",$O$5:O116,"&lt;&gt;Não",$J$5:J116,"&lt;&gt;Concluída",$C$5:C116,"&lt;&gt;"),"")</f>
        <v/>
      </c>
      <c r="O116" s="1"/>
    </row>
    <row r="117" spans="1:15" x14ac:dyDescent="0.35">
      <c r="A117" s="17" t="str">
        <f t="shared" si="11"/>
        <v/>
      </c>
      <c r="B117" s="1"/>
      <c r="C117" s="1"/>
      <c r="D117" s="1"/>
      <c r="E117" s="1"/>
      <c r="F117" s="1"/>
      <c r="G117" s="1"/>
      <c r="H117" s="13"/>
      <c r="I117" s="13"/>
      <c r="J117" s="1"/>
      <c r="K117" s="13"/>
      <c r="L117" s="14" t="str">
        <f t="shared" si="9"/>
        <v/>
      </c>
      <c r="M117" s="5" t="str">
        <f t="shared" si="10"/>
        <v/>
      </c>
      <c r="N117" s="20" t="str">
        <f>IF(AND(G117="Sim",O117&lt;&gt;"Não",J117&lt;&gt;"Concluída",C117&lt;&gt;""),COUNTIFS($G$5:G117,"Sim",$O$5:O117,"&lt;&gt;Não",$J$5:J117,"&lt;&gt;Concluída",$C$5:C117,"&lt;&gt;"),"")</f>
        <v/>
      </c>
      <c r="O117" s="1"/>
    </row>
    <row r="118" spans="1:15" x14ac:dyDescent="0.35">
      <c r="A118" s="17" t="str">
        <f t="shared" si="11"/>
        <v/>
      </c>
      <c r="B118" s="1"/>
      <c r="C118" s="1"/>
      <c r="D118" s="1"/>
      <c r="E118" s="1"/>
      <c r="F118" s="1"/>
      <c r="G118" s="1"/>
      <c r="H118" s="13"/>
      <c r="I118" s="13"/>
      <c r="J118" s="1"/>
      <c r="K118" s="13"/>
      <c r="L118" s="14" t="str">
        <f t="shared" si="9"/>
        <v/>
      </c>
      <c r="M118" s="5" t="str">
        <f t="shared" si="10"/>
        <v/>
      </c>
      <c r="N118" s="20" t="str">
        <f>IF(AND(G118="Sim",O118&lt;&gt;"Não",J118&lt;&gt;"Concluída",C118&lt;&gt;""),COUNTIFS($G$5:G118,"Sim",$O$5:O118,"&lt;&gt;Não",$J$5:J118,"&lt;&gt;Concluída",$C$5:C118,"&lt;&gt;"),"")</f>
        <v/>
      </c>
      <c r="O118" s="1"/>
    </row>
    <row r="119" spans="1:15" x14ac:dyDescent="0.35">
      <c r="A119" s="17" t="str">
        <f t="shared" si="11"/>
        <v/>
      </c>
      <c r="B119" s="1"/>
      <c r="C119" s="1"/>
      <c r="D119" s="1"/>
      <c r="E119" s="1"/>
      <c r="F119" s="1"/>
      <c r="G119" s="1"/>
      <c r="H119" s="13"/>
      <c r="I119" s="13"/>
      <c r="J119" s="1"/>
      <c r="K119" s="13"/>
      <c r="L119" s="14" t="str">
        <f t="shared" si="9"/>
        <v/>
      </c>
      <c r="M119" s="5" t="str">
        <f t="shared" si="10"/>
        <v/>
      </c>
      <c r="N119" s="20" t="str">
        <f>IF(AND(G119="Sim",O119&lt;&gt;"Não",J119&lt;&gt;"Concluída",C119&lt;&gt;""),COUNTIFS($G$5:G119,"Sim",$O$5:O119,"&lt;&gt;Não",$J$5:J119,"&lt;&gt;Concluída",$C$5:C119,"&lt;&gt;"),"")</f>
        <v/>
      </c>
      <c r="O119" s="1"/>
    </row>
    <row r="120" spans="1:15" x14ac:dyDescent="0.35">
      <c r="A120" s="17" t="str">
        <f t="shared" si="11"/>
        <v/>
      </c>
      <c r="B120" s="1"/>
      <c r="C120" s="1"/>
      <c r="D120" s="1"/>
      <c r="E120" s="1"/>
      <c r="F120" s="1"/>
      <c r="G120" s="1"/>
      <c r="H120" s="13"/>
      <c r="I120" s="13"/>
      <c r="J120" s="1"/>
      <c r="K120" s="13"/>
      <c r="L120" s="14" t="str">
        <f t="shared" si="9"/>
        <v/>
      </c>
      <c r="M120" s="5" t="str">
        <f t="shared" si="10"/>
        <v/>
      </c>
      <c r="N120" s="20" t="str">
        <f>IF(AND(G120="Sim",O120&lt;&gt;"Não",J120&lt;&gt;"Concluída",C120&lt;&gt;""),COUNTIFS($G$5:G120,"Sim",$O$5:O120,"&lt;&gt;Não",$J$5:J120,"&lt;&gt;Concluída",$C$5:C120,"&lt;&gt;"),"")</f>
        <v/>
      </c>
      <c r="O120" s="1"/>
    </row>
    <row r="121" spans="1:15" x14ac:dyDescent="0.35">
      <c r="A121" s="17" t="str">
        <f t="shared" si="11"/>
        <v/>
      </c>
      <c r="B121" s="1"/>
      <c r="C121" s="1"/>
      <c r="D121" s="1"/>
      <c r="E121" s="1"/>
      <c r="F121" s="1"/>
      <c r="G121" s="1"/>
      <c r="H121" s="13"/>
      <c r="I121" s="13"/>
      <c r="J121" s="1"/>
      <c r="K121" s="13"/>
      <c r="L121" s="14" t="str">
        <f t="shared" si="9"/>
        <v/>
      </c>
      <c r="M121" s="5" t="str">
        <f t="shared" si="10"/>
        <v/>
      </c>
      <c r="N121" s="20" t="str">
        <f>IF(AND(G121="Sim",O121&lt;&gt;"Não",J121&lt;&gt;"Concluída",C121&lt;&gt;""),COUNTIFS($G$5:G121,"Sim",$O$5:O121,"&lt;&gt;Não",$J$5:J121,"&lt;&gt;Concluída",$C$5:C121,"&lt;&gt;"),"")</f>
        <v/>
      </c>
      <c r="O121" s="1"/>
    </row>
    <row r="122" spans="1:15" x14ac:dyDescent="0.35">
      <c r="A122" s="17" t="str">
        <f t="shared" si="11"/>
        <v/>
      </c>
      <c r="B122" s="1"/>
      <c r="C122" s="1"/>
      <c r="D122" s="1"/>
      <c r="E122" s="1"/>
      <c r="F122" s="1"/>
      <c r="G122" s="1"/>
      <c r="H122" s="13"/>
      <c r="I122" s="13"/>
      <c r="J122" s="1"/>
      <c r="K122" s="13"/>
      <c r="L122" s="14" t="str">
        <f t="shared" si="9"/>
        <v/>
      </c>
      <c r="M122" s="5" t="str">
        <f t="shared" si="10"/>
        <v/>
      </c>
      <c r="N122" s="20" t="str">
        <f>IF(AND(G122="Sim",O122&lt;&gt;"Não",J122&lt;&gt;"Concluída",C122&lt;&gt;""),COUNTIFS($G$5:G122,"Sim",$O$5:O122,"&lt;&gt;Não",$J$5:J122,"&lt;&gt;Concluída",$C$5:C122,"&lt;&gt;"),"")</f>
        <v/>
      </c>
      <c r="O122" s="1"/>
    </row>
    <row r="123" spans="1:15" x14ac:dyDescent="0.35">
      <c r="A123" s="17" t="str">
        <f t="shared" si="11"/>
        <v/>
      </c>
      <c r="B123" s="1"/>
      <c r="C123" s="1"/>
      <c r="D123" s="1"/>
      <c r="E123" s="1"/>
      <c r="F123" s="1"/>
      <c r="G123" s="1"/>
      <c r="H123" s="13"/>
      <c r="I123" s="13"/>
      <c r="J123" s="1"/>
      <c r="K123" s="13"/>
      <c r="L123" s="14" t="str">
        <f t="shared" si="9"/>
        <v/>
      </c>
      <c r="M123" s="5" t="str">
        <f t="shared" si="10"/>
        <v/>
      </c>
      <c r="N123" s="20" t="str">
        <f>IF(AND(G123="Sim",O123&lt;&gt;"Não",J123&lt;&gt;"Concluída",C123&lt;&gt;""),COUNTIFS($G$5:G123,"Sim",$O$5:O123,"&lt;&gt;Não",$J$5:J123,"&lt;&gt;Concluída",$C$5:C123,"&lt;&gt;"),"")</f>
        <v/>
      </c>
      <c r="O123" s="1"/>
    </row>
    <row r="124" spans="1:15" x14ac:dyDescent="0.35">
      <c r="A124" s="17" t="str">
        <f t="shared" si="11"/>
        <v/>
      </c>
      <c r="B124" s="1"/>
      <c r="C124" s="1"/>
      <c r="D124" s="1"/>
      <c r="E124" s="1"/>
      <c r="F124" s="1"/>
      <c r="G124" s="1"/>
      <c r="H124" s="13"/>
      <c r="I124" s="13"/>
      <c r="J124" s="1"/>
      <c r="K124" s="13"/>
      <c r="L124" s="14" t="str">
        <f t="shared" si="9"/>
        <v/>
      </c>
      <c r="M124" s="5" t="str">
        <f t="shared" si="10"/>
        <v/>
      </c>
      <c r="N124" s="20" t="str">
        <f>IF(AND(G124="Sim",O124&lt;&gt;"Não",J124&lt;&gt;"Concluída",C124&lt;&gt;""),COUNTIFS($G$5:G124,"Sim",$O$5:O124,"&lt;&gt;Não",$J$5:J124,"&lt;&gt;Concluída",$C$5:C124,"&lt;&gt;"),"")</f>
        <v/>
      </c>
      <c r="O124" s="1"/>
    </row>
    <row r="125" spans="1:15" x14ac:dyDescent="0.35">
      <c r="A125" s="17" t="str">
        <f t="shared" si="11"/>
        <v/>
      </c>
      <c r="B125" s="1"/>
      <c r="C125" s="1"/>
      <c r="D125" s="1"/>
      <c r="E125" s="1"/>
      <c r="F125" s="1"/>
      <c r="G125" s="1"/>
      <c r="H125" s="13"/>
      <c r="I125" s="13"/>
      <c r="J125" s="1"/>
      <c r="K125" s="13"/>
      <c r="L125" s="14" t="str">
        <f t="shared" si="9"/>
        <v/>
      </c>
      <c r="M125" s="5" t="str">
        <f t="shared" si="10"/>
        <v/>
      </c>
      <c r="N125" s="20" t="str">
        <f>IF(AND(G125="Sim",O125&lt;&gt;"Não",J125&lt;&gt;"Concluída",C125&lt;&gt;""),COUNTIFS($G$5:G125,"Sim",$O$5:O125,"&lt;&gt;Não",$J$5:J125,"&lt;&gt;Concluída",$C$5:C125,"&lt;&gt;"),"")</f>
        <v/>
      </c>
      <c r="O125" s="1"/>
    </row>
    <row r="126" spans="1:15" x14ac:dyDescent="0.35">
      <c r="A126" s="17" t="str">
        <f t="shared" si="11"/>
        <v/>
      </c>
      <c r="B126" s="1"/>
      <c r="C126" s="1"/>
      <c r="D126" s="1"/>
      <c r="E126" s="1"/>
      <c r="F126" s="1"/>
      <c r="G126" s="1"/>
      <c r="H126" s="13"/>
      <c r="I126" s="13"/>
      <c r="J126" s="1"/>
      <c r="K126" s="13"/>
      <c r="L126" s="14" t="str">
        <f t="shared" si="9"/>
        <v/>
      </c>
      <c r="M126" s="5" t="str">
        <f t="shared" si="10"/>
        <v/>
      </c>
      <c r="N126" s="20" t="str">
        <f>IF(AND(G126="Sim",O126&lt;&gt;"Não",J126&lt;&gt;"Concluída",C126&lt;&gt;""),COUNTIFS($G$5:G126,"Sim",$O$5:O126,"&lt;&gt;Não",$J$5:J126,"&lt;&gt;Concluída",$C$5:C126,"&lt;&gt;"),"")</f>
        <v/>
      </c>
      <c r="O126" s="1"/>
    </row>
    <row r="127" spans="1:15" x14ac:dyDescent="0.35">
      <c r="A127" s="17" t="str">
        <f t="shared" si="11"/>
        <v/>
      </c>
      <c r="B127" s="1"/>
      <c r="C127" s="1"/>
      <c r="D127" s="1"/>
      <c r="E127" s="1"/>
      <c r="F127" s="1"/>
      <c r="G127" s="1"/>
      <c r="H127" s="13"/>
      <c r="I127" s="13"/>
      <c r="J127" s="1"/>
      <c r="K127" s="13"/>
      <c r="L127" s="14" t="str">
        <f t="shared" si="9"/>
        <v/>
      </c>
      <c r="M127" s="5" t="str">
        <f t="shared" si="10"/>
        <v/>
      </c>
      <c r="N127" s="20" t="str">
        <f>IF(AND(G127="Sim",O127&lt;&gt;"Não",J127&lt;&gt;"Concluída",C127&lt;&gt;""),COUNTIFS($G$5:G127,"Sim",$O$5:O127,"&lt;&gt;Não",$J$5:J127,"&lt;&gt;Concluída",$C$5:C127,"&lt;&gt;"),"")</f>
        <v/>
      </c>
      <c r="O127" s="1"/>
    </row>
    <row r="128" spans="1:15" x14ac:dyDescent="0.35">
      <c r="A128" s="17" t="str">
        <f t="shared" si="11"/>
        <v/>
      </c>
      <c r="B128" s="1"/>
      <c r="C128" s="1"/>
      <c r="D128" s="1"/>
      <c r="E128" s="1"/>
      <c r="F128" s="1"/>
      <c r="G128" s="1"/>
      <c r="H128" s="13"/>
      <c r="I128" s="13"/>
      <c r="J128" s="1"/>
      <c r="K128" s="13"/>
      <c r="L128" s="14" t="str">
        <f t="shared" si="9"/>
        <v/>
      </c>
      <c r="M128" s="5" t="str">
        <f t="shared" si="10"/>
        <v/>
      </c>
      <c r="N128" s="20" t="str">
        <f>IF(AND(G128="Sim",O128&lt;&gt;"Não",J128&lt;&gt;"Concluída",C128&lt;&gt;""),COUNTIFS($G$5:G128,"Sim",$O$5:O128,"&lt;&gt;Não",$J$5:J128,"&lt;&gt;Concluída",$C$5:C128,"&lt;&gt;"),"")</f>
        <v/>
      </c>
      <c r="O128" s="1"/>
    </row>
    <row r="129" spans="1:15" x14ac:dyDescent="0.35">
      <c r="A129" s="17" t="str">
        <f t="shared" si="11"/>
        <v/>
      </c>
      <c r="B129" s="1"/>
      <c r="C129" s="1"/>
      <c r="D129" s="1"/>
      <c r="E129" s="1"/>
      <c r="F129" s="1"/>
      <c r="G129" s="1"/>
      <c r="H129" s="13"/>
      <c r="I129" s="13"/>
      <c r="J129" s="1"/>
      <c r="K129" s="13"/>
      <c r="L129" s="14" t="str">
        <f t="shared" si="9"/>
        <v/>
      </c>
      <c r="M129" s="5" t="str">
        <f t="shared" si="10"/>
        <v/>
      </c>
      <c r="N129" s="20" t="str">
        <f>IF(AND(G129="Sim",O129&lt;&gt;"Não",J129&lt;&gt;"Concluída",C129&lt;&gt;""),COUNTIFS($G$5:G129,"Sim",$O$5:O129,"&lt;&gt;Não",$J$5:J129,"&lt;&gt;Concluída",$C$5:C129,"&lt;&gt;"),"")</f>
        <v/>
      </c>
      <c r="O129" s="1"/>
    </row>
    <row r="130" spans="1:15" x14ac:dyDescent="0.35">
      <c r="A130" s="17" t="str">
        <f t="shared" si="11"/>
        <v/>
      </c>
      <c r="B130" s="1"/>
      <c r="C130" s="1"/>
      <c r="D130" s="1"/>
      <c r="E130" s="1"/>
      <c r="F130" s="1"/>
      <c r="G130" s="1"/>
      <c r="H130" s="13"/>
      <c r="I130" s="13"/>
      <c r="J130" s="1"/>
      <c r="K130" s="13"/>
      <c r="L130" s="14" t="str">
        <f t="shared" si="9"/>
        <v/>
      </c>
      <c r="M130" s="5" t="str">
        <f t="shared" si="10"/>
        <v/>
      </c>
      <c r="N130" s="20" t="str">
        <f>IF(AND(G130="Sim",O130&lt;&gt;"Não",J130&lt;&gt;"Concluída",C130&lt;&gt;""),COUNTIFS($G$5:G130,"Sim",$O$5:O130,"&lt;&gt;Não",$J$5:J130,"&lt;&gt;Concluída",$C$5:C130,"&lt;&gt;"),"")</f>
        <v/>
      </c>
      <c r="O130" s="1"/>
    </row>
    <row r="131" spans="1:15" x14ac:dyDescent="0.35">
      <c r="A131" s="17" t="str">
        <f t="shared" si="11"/>
        <v/>
      </c>
      <c r="B131" s="1"/>
      <c r="C131" s="1"/>
      <c r="D131" s="1"/>
      <c r="E131" s="1"/>
      <c r="F131" s="1"/>
      <c r="G131" s="1"/>
      <c r="H131" s="13"/>
      <c r="I131" s="13"/>
      <c r="J131" s="1"/>
      <c r="K131" s="13"/>
      <c r="L131" s="14" t="str">
        <f t="shared" si="9"/>
        <v/>
      </c>
      <c r="M131" s="5" t="str">
        <f t="shared" si="10"/>
        <v/>
      </c>
      <c r="N131" s="20" t="str">
        <f>IF(AND(G131="Sim",O131&lt;&gt;"Não",J131&lt;&gt;"Concluída",C131&lt;&gt;""),COUNTIFS($G$5:G131,"Sim",$O$5:O131,"&lt;&gt;Não",$J$5:J131,"&lt;&gt;Concluída",$C$5:C131,"&lt;&gt;"),"")</f>
        <v/>
      </c>
      <c r="O131" s="1"/>
    </row>
    <row r="132" spans="1:15" x14ac:dyDescent="0.35">
      <c r="A132" s="17" t="str">
        <f t="shared" si="11"/>
        <v/>
      </c>
      <c r="B132" s="1"/>
      <c r="C132" s="1"/>
      <c r="D132" s="1"/>
      <c r="E132" s="1"/>
      <c r="F132" s="1"/>
      <c r="G132" s="1"/>
      <c r="H132" s="13"/>
      <c r="I132" s="13"/>
      <c r="J132" s="1"/>
      <c r="K132" s="13"/>
      <c r="L132" s="14" t="str">
        <f t="shared" si="9"/>
        <v/>
      </c>
      <c r="M132" s="5" t="str">
        <f t="shared" si="10"/>
        <v/>
      </c>
      <c r="N132" s="20" t="str">
        <f>IF(AND(G132="Sim",O132&lt;&gt;"Não",J132&lt;&gt;"Concluída",C132&lt;&gt;""),COUNTIFS($G$5:G132,"Sim",$O$5:O132,"&lt;&gt;Não",$J$5:J132,"&lt;&gt;Concluída",$C$5:C132,"&lt;&gt;"),"")</f>
        <v/>
      </c>
      <c r="O132" s="1"/>
    </row>
    <row r="133" spans="1:15" x14ac:dyDescent="0.35">
      <c r="A133" s="17" t="str">
        <f t="shared" si="11"/>
        <v/>
      </c>
      <c r="B133" s="1"/>
      <c r="C133" s="1"/>
      <c r="D133" s="1"/>
      <c r="E133" s="1"/>
      <c r="F133" s="1"/>
      <c r="G133" s="1"/>
      <c r="H133" s="13"/>
      <c r="I133" s="13"/>
      <c r="J133" s="1"/>
      <c r="K133" s="13"/>
      <c r="L133" s="14" t="str">
        <f t="shared" ref="L133:L164" si="12">IF(OR(C133="",H133=""),"",IF(K133&lt;&gt;"",K133,DataRef)-H133)</f>
        <v/>
      </c>
      <c r="M133" s="5" t="str">
        <f t="shared" ref="M133:M164" si="13">IF(C133="","",IF(J133="Concluída","Concluída",IF(AND(I133&lt;&gt;"",DataRef&gt;I133),"VENCIDA","Em aberto")))</f>
        <v/>
      </c>
      <c r="N133" s="20" t="str">
        <f>IF(AND(G133="Sim",O133&lt;&gt;"Não",J133&lt;&gt;"Concluída",C133&lt;&gt;""),COUNTIFS($G$5:G133,"Sim",$O$5:O133,"&lt;&gt;Não",$J$5:J133,"&lt;&gt;Concluída",$C$5:C133,"&lt;&gt;"),"")</f>
        <v/>
      </c>
      <c r="O133" s="1"/>
    </row>
    <row r="134" spans="1:15" x14ac:dyDescent="0.35">
      <c r="A134" s="17" t="str">
        <f t="shared" si="11"/>
        <v/>
      </c>
      <c r="B134" s="1"/>
      <c r="C134" s="1"/>
      <c r="D134" s="1"/>
      <c r="E134" s="1"/>
      <c r="F134" s="1"/>
      <c r="G134" s="1"/>
      <c r="H134" s="13"/>
      <c r="I134" s="13"/>
      <c r="J134" s="1"/>
      <c r="K134" s="13"/>
      <c r="L134" s="14" t="str">
        <f t="shared" si="12"/>
        <v/>
      </c>
      <c r="M134" s="5" t="str">
        <f t="shared" si="13"/>
        <v/>
      </c>
      <c r="N134" s="20" t="str">
        <f>IF(AND(G134="Sim",O134&lt;&gt;"Não",J134&lt;&gt;"Concluída",C134&lt;&gt;""),COUNTIFS($G$5:G134,"Sim",$O$5:O134,"&lt;&gt;Não",$J$5:J134,"&lt;&gt;Concluída",$C$5:C134,"&lt;&gt;"),"")</f>
        <v/>
      </c>
      <c r="O134" s="1"/>
    </row>
    <row r="135" spans="1:15" x14ac:dyDescent="0.35">
      <c r="A135" s="17" t="str">
        <f t="shared" si="11"/>
        <v/>
      </c>
      <c r="B135" s="1"/>
      <c r="C135" s="1"/>
      <c r="D135" s="1"/>
      <c r="E135" s="1"/>
      <c r="F135" s="1"/>
      <c r="G135" s="1"/>
      <c r="H135" s="13"/>
      <c r="I135" s="13"/>
      <c r="J135" s="1"/>
      <c r="K135" s="13"/>
      <c r="L135" s="14" t="str">
        <f t="shared" si="12"/>
        <v/>
      </c>
      <c r="M135" s="5" t="str">
        <f t="shared" si="13"/>
        <v/>
      </c>
      <c r="N135" s="20" t="str">
        <f>IF(AND(G135="Sim",O135&lt;&gt;"Não",J135&lt;&gt;"Concluída",C135&lt;&gt;""),COUNTIFS($G$5:G135,"Sim",$O$5:O135,"&lt;&gt;Não",$J$5:J135,"&lt;&gt;Concluída",$C$5:C135,"&lt;&gt;"),"")</f>
        <v/>
      </c>
      <c r="O135" s="1"/>
    </row>
    <row r="136" spans="1:15" x14ac:dyDescent="0.35">
      <c r="A136" s="17" t="str">
        <f t="shared" si="11"/>
        <v/>
      </c>
      <c r="B136" s="1"/>
      <c r="C136" s="1"/>
      <c r="D136" s="1"/>
      <c r="E136" s="1"/>
      <c r="F136" s="1"/>
      <c r="G136" s="1"/>
      <c r="H136" s="13"/>
      <c r="I136" s="13"/>
      <c r="J136" s="1"/>
      <c r="K136" s="13"/>
      <c r="L136" s="14" t="str">
        <f t="shared" si="12"/>
        <v/>
      </c>
      <c r="M136" s="5" t="str">
        <f t="shared" si="13"/>
        <v/>
      </c>
      <c r="N136" s="20" t="str">
        <f>IF(AND(G136="Sim",O136&lt;&gt;"Não",J136&lt;&gt;"Concluída",C136&lt;&gt;""),COUNTIFS($G$5:G136,"Sim",$O$5:O136,"&lt;&gt;Não",$J$5:J136,"&lt;&gt;Concluída",$C$5:C136,"&lt;&gt;"),"")</f>
        <v/>
      </c>
      <c r="O136" s="1"/>
    </row>
    <row r="137" spans="1:15" x14ac:dyDescent="0.35">
      <c r="A137" s="17" t="str">
        <f t="shared" si="11"/>
        <v/>
      </c>
      <c r="B137" s="1"/>
      <c r="C137" s="1"/>
      <c r="D137" s="1"/>
      <c r="E137" s="1"/>
      <c r="F137" s="1"/>
      <c r="G137" s="1"/>
      <c r="H137" s="13"/>
      <c r="I137" s="13"/>
      <c r="J137" s="1"/>
      <c r="K137" s="13"/>
      <c r="L137" s="14" t="str">
        <f t="shared" si="12"/>
        <v/>
      </c>
      <c r="M137" s="5" t="str">
        <f t="shared" si="13"/>
        <v/>
      </c>
      <c r="N137" s="20" t="str">
        <f>IF(AND(G137="Sim",O137&lt;&gt;"Não",J137&lt;&gt;"Concluída",C137&lt;&gt;""),COUNTIFS($G$5:G137,"Sim",$O$5:O137,"&lt;&gt;Não",$J$5:J137,"&lt;&gt;Concluída",$C$5:C137,"&lt;&gt;"),"")</f>
        <v/>
      </c>
      <c r="O137" s="1"/>
    </row>
    <row r="138" spans="1:15" x14ac:dyDescent="0.35">
      <c r="A138" s="17" t="str">
        <f t="shared" si="11"/>
        <v/>
      </c>
      <c r="B138" s="1"/>
      <c r="C138" s="1"/>
      <c r="D138" s="1"/>
      <c r="E138" s="1"/>
      <c r="F138" s="1"/>
      <c r="G138" s="1"/>
      <c r="H138" s="13"/>
      <c r="I138" s="13"/>
      <c r="J138" s="1"/>
      <c r="K138" s="13"/>
      <c r="L138" s="14" t="str">
        <f t="shared" si="12"/>
        <v/>
      </c>
      <c r="M138" s="5" t="str">
        <f t="shared" si="13"/>
        <v/>
      </c>
      <c r="N138" s="20" t="str">
        <f>IF(AND(G138="Sim",O138&lt;&gt;"Não",J138&lt;&gt;"Concluída",C138&lt;&gt;""),COUNTIFS($G$5:G138,"Sim",$O$5:O138,"&lt;&gt;Não",$J$5:J138,"&lt;&gt;Concluída",$C$5:C138,"&lt;&gt;"),"")</f>
        <v/>
      </c>
      <c r="O138" s="1"/>
    </row>
    <row r="139" spans="1:15" x14ac:dyDescent="0.35">
      <c r="A139" s="17" t="str">
        <f t="shared" si="11"/>
        <v/>
      </c>
      <c r="B139" s="1"/>
      <c r="C139" s="1"/>
      <c r="D139" s="1"/>
      <c r="E139" s="1"/>
      <c r="F139" s="1"/>
      <c r="G139" s="1"/>
      <c r="H139" s="13"/>
      <c r="I139" s="13"/>
      <c r="J139" s="1"/>
      <c r="K139" s="13"/>
      <c r="L139" s="14" t="str">
        <f t="shared" si="12"/>
        <v/>
      </c>
      <c r="M139" s="5" t="str">
        <f t="shared" si="13"/>
        <v/>
      </c>
      <c r="N139" s="20" t="str">
        <f>IF(AND(G139="Sim",O139&lt;&gt;"Não",J139&lt;&gt;"Concluída",C139&lt;&gt;""),COUNTIFS($G$5:G139,"Sim",$O$5:O139,"&lt;&gt;Não",$J$5:J139,"&lt;&gt;Concluída",$C$5:C139,"&lt;&gt;"),"")</f>
        <v/>
      </c>
      <c r="O139" s="1"/>
    </row>
    <row r="140" spans="1:15" x14ac:dyDescent="0.35">
      <c r="A140" s="17" t="str">
        <f t="shared" si="11"/>
        <v/>
      </c>
      <c r="B140" s="1"/>
      <c r="C140" s="1"/>
      <c r="D140" s="1"/>
      <c r="E140" s="1"/>
      <c r="F140" s="1"/>
      <c r="G140" s="1"/>
      <c r="H140" s="13"/>
      <c r="I140" s="13"/>
      <c r="J140" s="1"/>
      <c r="K140" s="13"/>
      <c r="L140" s="14" t="str">
        <f t="shared" si="12"/>
        <v/>
      </c>
      <c r="M140" s="5" t="str">
        <f t="shared" si="13"/>
        <v/>
      </c>
      <c r="N140" s="20" t="str">
        <f>IF(AND(G140="Sim",O140&lt;&gt;"Não",J140&lt;&gt;"Concluída",C140&lt;&gt;""),COUNTIFS($G$5:G140,"Sim",$O$5:O140,"&lt;&gt;Não",$J$5:J140,"&lt;&gt;Concluída",$C$5:C140,"&lt;&gt;"),"")</f>
        <v/>
      </c>
      <c r="O140" s="1"/>
    </row>
    <row r="141" spans="1:15" x14ac:dyDescent="0.35">
      <c r="A141" s="17" t="str">
        <f t="shared" si="11"/>
        <v/>
      </c>
      <c r="B141" s="1"/>
      <c r="C141" s="1"/>
      <c r="D141" s="1"/>
      <c r="E141" s="1"/>
      <c r="F141" s="1"/>
      <c r="G141" s="1"/>
      <c r="H141" s="13"/>
      <c r="I141" s="13"/>
      <c r="J141" s="1"/>
      <c r="K141" s="13"/>
      <c r="L141" s="14" t="str">
        <f t="shared" si="12"/>
        <v/>
      </c>
      <c r="M141" s="5" t="str">
        <f t="shared" si="13"/>
        <v/>
      </c>
      <c r="N141" s="20" t="str">
        <f>IF(AND(G141="Sim",O141&lt;&gt;"Não",J141&lt;&gt;"Concluída",C141&lt;&gt;""),COUNTIFS($G$5:G141,"Sim",$O$5:O141,"&lt;&gt;Não",$J$5:J141,"&lt;&gt;Concluída",$C$5:C141,"&lt;&gt;"),"")</f>
        <v/>
      </c>
      <c r="O141" s="1"/>
    </row>
    <row r="142" spans="1:15" x14ac:dyDescent="0.35">
      <c r="A142" s="17" t="str">
        <f t="shared" si="11"/>
        <v/>
      </c>
      <c r="B142" s="1"/>
      <c r="C142" s="1"/>
      <c r="D142" s="1"/>
      <c r="E142" s="1"/>
      <c r="F142" s="1"/>
      <c r="G142" s="1"/>
      <c r="H142" s="13"/>
      <c r="I142" s="13"/>
      <c r="J142" s="1"/>
      <c r="K142" s="13"/>
      <c r="L142" s="14" t="str">
        <f t="shared" si="12"/>
        <v/>
      </c>
      <c r="M142" s="5" t="str">
        <f t="shared" si="13"/>
        <v/>
      </c>
      <c r="N142" s="20" t="str">
        <f>IF(AND(G142="Sim",O142&lt;&gt;"Não",J142&lt;&gt;"Concluída",C142&lt;&gt;""),COUNTIFS($G$5:G142,"Sim",$O$5:O142,"&lt;&gt;Não",$J$5:J142,"&lt;&gt;Concluída",$C$5:C142,"&lt;&gt;"),"")</f>
        <v/>
      </c>
      <c r="O142" s="1"/>
    </row>
    <row r="143" spans="1:15" x14ac:dyDescent="0.35">
      <c r="A143" s="17" t="str">
        <f t="shared" si="11"/>
        <v/>
      </c>
      <c r="B143" s="1"/>
      <c r="C143" s="1"/>
      <c r="D143" s="1"/>
      <c r="E143" s="1"/>
      <c r="F143" s="1"/>
      <c r="G143" s="1"/>
      <c r="H143" s="13"/>
      <c r="I143" s="13"/>
      <c r="J143" s="1"/>
      <c r="K143" s="13"/>
      <c r="L143" s="14" t="str">
        <f t="shared" si="12"/>
        <v/>
      </c>
      <c r="M143" s="5" t="str">
        <f t="shared" si="13"/>
        <v/>
      </c>
      <c r="N143" s="20" t="str">
        <f>IF(AND(G143="Sim",O143&lt;&gt;"Não",J143&lt;&gt;"Concluída",C143&lt;&gt;""),COUNTIFS($G$5:G143,"Sim",$O$5:O143,"&lt;&gt;Não",$J$5:J143,"&lt;&gt;Concluída",$C$5:C143,"&lt;&gt;"),"")</f>
        <v/>
      </c>
      <c r="O143" s="1"/>
    </row>
    <row r="144" spans="1:15" x14ac:dyDescent="0.35">
      <c r="A144" s="17" t="str">
        <f t="shared" si="11"/>
        <v/>
      </c>
      <c r="B144" s="1"/>
      <c r="C144" s="1"/>
      <c r="D144" s="1"/>
      <c r="E144" s="1"/>
      <c r="F144" s="1"/>
      <c r="G144" s="1"/>
      <c r="H144" s="13"/>
      <c r="I144" s="13"/>
      <c r="J144" s="1"/>
      <c r="K144" s="13"/>
      <c r="L144" s="14" t="str">
        <f t="shared" si="12"/>
        <v/>
      </c>
      <c r="M144" s="5" t="str">
        <f t="shared" si="13"/>
        <v/>
      </c>
      <c r="N144" s="20" t="str">
        <f>IF(AND(G144="Sim",O144&lt;&gt;"Não",J144&lt;&gt;"Concluída",C144&lt;&gt;""),COUNTIFS($G$5:G144,"Sim",$O$5:O144,"&lt;&gt;Não",$J$5:J144,"&lt;&gt;Concluída",$C$5:C144,"&lt;&gt;"),"")</f>
        <v/>
      </c>
      <c r="O144" s="1"/>
    </row>
    <row r="145" spans="1:15" x14ac:dyDescent="0.35">
      <c r="A145" s="17" t="str">
        <f t="shared" si="11"/>
        <v/>
      </c>
      <c r="B145" s="1"/>
      <c r="C145" s="1"/>
      <c r="D145" s="1"/>
      <c r="E145" s="1"/>
      <c r="F145" s="1"/>
      <c r="G145" s="1"/>
      <c r="H145" s="13"/>
      <c r="I145" s="13"/>
      <c r="J145" s="1"/>
      <c r="K145" s="13"/>
      <c r="L145" s="14" t="str">
        <f t="shared" si="12"/>
        <v/>
      </c>
      <c r="M145" s="5" t="str">
        <f t="shared" si="13"/>
        <v/>
      </c>
      <c r="N145" s="20" t="str">
        <f>IF(AND(G145="Sim",O145&lt;&gt;"Não",J145&lt;&gt;"Concluída",C145&lt;&gt;""),COUNTIFS($G$5:G145,"Sim",$O$5:O145,"&lt;&gt;Não",$J$5:J145,"&lt;&gt;Concluída",$C$5:C145,"&lt;&gt;"),"")</f>
        <v/>
      </c>
      <c r="O145" s="1"/>
    </row>
    <row r="146" spans="1:15" x14ac:dyDescent="0.35">
      <c r="A146" s="17" t="str">
        <f t="shared" si="11"/>
        <v/>
      </c>
      <c r="B146" s="1"/>
      <c r="C146" s="1"/>
      <c r="D146" s="1"/>
      <c r="E146" s="1"/>
      <c r="F146" s="1"/>
      <c r="G146" s="1"/>
      <c r="H146" s="13"/>
      <c r="I146" s="13"/>
      <c r="J146" s="1"/>
      <c r="K146" s="13"/>
      <c r="L146" s="14" t="str">
        <f t="shared" si="12"/>
        <v/>
      </c>
      <c r="M146" s="5" t="str">
        <f t="shared" si="13"/>
        <v/>
      </c>
      <c r="N146" s="20" t="str">
        <f>IF(AND(G146="Sim",O146&lt;&gt;"Não",J146&lt;&gt;"Concluída",C146&lt;&gt;""),COUNTIFS($G$5:G146,"Sim",$O$5:O146,"&lt;&gt;Não",$J$5:J146,"&lt;&gt;Concluída",$C$5:C146,"&lt;&gt;"),"")</f>
        <v/>
      </c>
      <c r="O146" s="1"/>
    </row>
    <row r="147" spans="1:15" x14ac:dyDescent="0.35">
      <c r="A147" s="17" t="str">
        <f t="shared" ref="A147:A178" si="14">IF(C147="","",ROW()-4)</f>
        <v/>
      </c>
      <c r="B147" s="1"/>
      <c r="C147" s="1"/>
      <c r="D147" s="1"/>
      <c r="E147" s="1"/>
      <c r="F147" s="1"/>
      <c r="G147" s="1"/>
      <c r="H147" s="13"/>
      <c r="I147" s="13"/>
      <c r="J147" s="1"/>
      <c r="K147" s="13"/>
      <c r="L147" s="14" t="str">
        <f t="shared" si="12"/>
        <v/>
      </c>
      <c r="M147" s="5" t="str">
        <f t="shared" si="13"/>
        <v/>
      </c>
      <c r="N147" s="20" t="str">
        <f>IF(AND(G147="Sim",O147&lt;&gt;"Não",J147&lt;&gt;"Concluída",C147&lt;&gt;""),COUNTIFS($G$5:G147,"Sim",$O$5:O147,"&lt;&gt;Não",$J$5:J147,"&lt;&gt;Concluída",$C$5:C147,"&lt;&gt;"),"")</f>
        <v/>
      </c>
      <c r="O147" s="1"/>
    </row>
    <row r="148" spans="1:15" x14ac:dyDescent="0.35">
      <c r="A148" s="17" t="str">
        <f t="shared" si="14"/>
        <v/>
      </c>
      <c r="B148" s="1"/>
      <c r="C148" s="1"/>
      <c r="D148" s="1"/>
      <c r="E148" s="1"/>
      <c r="F148" s="1"/>
      <c r="G148" s="1"/>
      <c r="H148" s="13"/>
      <c r="I148" s="13"/>
      <c r="J148" s="1"/>
      <c r="K148" s="13"/>
      <c r="L148" s="14" t="str">
        <f t="shared" si="12"/>
        <v/>
      </c>
      <c r="M148" s="5" t="str">
        <f t="shared" si="13"/>
        <v/>
      </c>
      <c r="N148" s="20" t="str">
        <f>IF(AND(G148="Sim",O148&lt;&gt;"Não",J148&lt;&gt;"Concluída",C148&lt;&gt;""),COUNTIFS($G$5:G148,"Sim",$O$5:O148,"&lt;&gt;Não",$J$5:J148,"&lt;&gt;Concluída",$C$5:C148,"&lt;&gt;"),"")</f>
        <v/>
      </c>
      <c r="O148" s="1"/>
    </row>
    <row r="149" spans="1:15" x14ac:dyDescent="0.35">
      <c r="A149" s="17" t="str">
        <f t="shared" si="14"/>
        <v/>
      </c>
      <c r="B149" s="1"/>
      <c r="C149" s="1"/>
      <c r="D149" s="1"/>
      <c r="E149" s="1"/>
      <c r="F149" s="1"/>
      <c r="G149" s="1"/>
      <c r="H149" s="13"/>
      <c r="I149" s="13"/>
      <c r="J149" s="1"/>
      <c r="K149" s="13"/>
      <c r="L149" s="14" t="str">
        <f t="shared" si="12"/>
        <v/>
      </c>
      <c r="M149" s="5" t="str">
        <f t="shared" si="13"/>
        <v/>
      </c>
      <c r="N149" s="20" t="str">
        <f>IF(AND(G149="Sim",O149&lt;&gt;"Não",J149&lt;&gt;"Concluída",C149&lt;&gt;""),COUNTIFS($G$5:G149,"Sim",$O$5:O149,"&lt;&gt;Não",$J$5:J149,"&lt;&gt;Concluída",$C$5:C149,"&lt;&gt;"),"")</f>
        <v/>
      </c>
      <c r="O149" s="1"/>
    </row>
    <row r="150" spans="1:15" x14ac:dyDescent="0.35">
      <c r="A150" s="17" t="str">
        <f t="shared" si="14"/>
        <v/>
      </c>
      <c r="B150" s="1"/>
      <c r="C150" s="1"/>
      <c r="D150" s="1"/>
      <c r="E150" s="1"/>
      <c r="F150" s="1"/>
      <c r="G150" s="1"/>
      <c r="H150" s="13"/>
      <c r="I150" s="13"/>
      <c r="J150" s="1"/>
      <c r="K150" s="13"/>
      <c r="L150" s="14" t="str">
        <f t="shared" si="12"/>
        <v/>
      </c>
      <c r="M150" s="5" t="str">
        <f t="shared" si="13"/>
        <v/>
      </c>
      <c r="N150" s="20" t="str">
        <f>IF(AND(G150="Sim",O150&lt;&gt;"Não",J150&lt;&gt;"Concluída",C150&lt;&gt;""),COUNTIFS($G$5:G150,"Sim",$O$5:O150,"&lt;&gt;Não",$J$5:J150,"&lt;&gt;Concluída",$C$5:C150,"&lt;&gt;"),"")</f>
        <v/>
      </c>
      <c r="O150" s="1"/>
    </row>
    <row r="151" spans="1:15" x14ac:dyDescent="0.35">
      <c r="A151" s="17" t="str">
        <f t="shared" si="14"/>
        <v/>
      </c>
      <c r="B151" s="1"/>
      <c r="C151" s="1"/>
      <c r="D151" s="1"/>
      <c r="E151" s="1"/>
      <c r="F151" s="1"/>
      <c r="G151" s="1"/>
      <c r="H151" s="13"/>
      <c r="I151" s="13"/>
      <c r="J151" s="1"/>
      <c r="K151" s="13"/>
      <c r="L151" s="14" t="str">
        <f t="shared" si="12"/>
        <v/>
      </c>
      <c r="M151" s="5" t="str">
        <f t="shared" si="13"/>
        <v/>
      </c>
      <c r="N151" s="20" t="str">
        <f>IF(AND(G151="Sim",O151&lt;&gt;"Não",J151&lt;&gt;"Concluída",C151&lt;&gt;""),COUNTIFS($G$5:G151,"Sim",$O$5:O151,"&lt;&gt;Não",$J$5:J151,"&lt;&gt;Concluída",$C$5:C151,"&lt;&gt;"),"")</f>
        <v/>
      </c>
      <c r="O151" s="1"/>
    </row>
    <row r="152" spans="1:15" x14ac:dyDescent="0.35">
      <c r="A152" s="17" t="str">
        <f t="shared" si="14"/>
        <v/>
      </c>
      <c r="B152" s="1"/>
      <c r="C152" s="1"/>
      <c r="D152" s="1"/>
      <c r="E152" s="1"/>
      <c r="F152" s="1"/>
      <c r="G152" s="1"/>
      <c r="H152" s="13"/>
      <c r="I152" s="13"/>
      <c r="J152" s="1"/>
      <c r="K152" s="13"/>
      <c r="L152" s="14" t="str">
        <f t="shared" si="12"/>
        <v/>
      </c>
      <c r="M152" s="5" t="str">
        <f t="shared" si="13"/>
        <v/>
      </c>
      <c r="N152" s="20" t="str">
        <f>IF(AND(G152="Sim",O152&lt;&gt;"Não",J152&lt;&gt;"Concluída",C152&lt;&gt;""),COUNTIFS($G$5:G152,"Sim",$O$5:O152,"&lt;&gt;Não",$J$5:J152,"&lt;&gt;Concluída",$C$5:C152,"&lt;&gt;"),"")</f>
        <v/>
      </c>
      <c r="O152" s="1"/>
    </row>
    <row r="153" spans="1:15" x14ac:dyDescent="0.35">
      <c r="A153" s="17" t="str">
        <f t="shared" si="14"/>
        <v/>
      </c>
      <c r="B153" s="1"/>
      <c r="C153" s="1"/>
      <c r="D153" s="1"/>
      <c r="E153" s="1"/>
      <c r="F153" s="1"/>
      <c r="G153" s="1"/>
      <c r="H153" s="13"/>
      <c r="I153" s="13"/>
      <c r="J153" s="1"/>
      <c r="K153" s="13"/>
      <c r="L153" s="14" t="str">
        <f t="shared" si="12"/>
        <v/>
      </c>
      <c r="M153" s="5" t="str">
        <f t="shared" si="13"/>
        <v/>
      </c>
      <c r="N153" s="20" t="str">
        <f>IF(AND(G153="Sim",O153&lt;&gt;"Não",J153&lt;&gt;"Concluída",C153&lt;&gt;""),COUNTIFS($G$5:G153,"Sim",$O$5:O153,"&lt;&gt;Não",$J$5:J153,"&lt;&gt;Concluída",$C$5:C153,"&lt;&gt;"),"")</f>
        <v/>
      </c>
      <c r="O153" s="1"/>
    </row>
    <row r="154" spans="1:15" x14ac:dyDescent="0.35">
      <c r="A154" s="17" t="str">
        <f t="shared" si="14"/>
        <v/>
      </c>
      <c r="B154" s="1"/>
      <c r="C154" s="1"/>
      <c r="D154" s="1"/>
      <c r="E154" s="1"/>
      <c r="F154" s="1"/>
      <c r="G154" s="1"/>
      <c r="H154" s="13"/>
      <c r="I154" s="13"/>
      <c r="J154" s="1"/>
      <c r="K154" s="13"/>
      <c r="L154" s="14" t="str">
        <f t="shared" si="12"/>
        <v/>
      </c>
      <c r="M154" s="5" t="str">
        <f t="shared" si="13"/>
        <v/>
      </c>
      <c r="N154" s="20" t="str">
        <f>IF(AND(G154="Sim",O154&lt;&gt;"Não",J154&lt;&gt;"Concluída",C154&lt;&gt;""),COUNTIFS($G$5:G154,"Sim",$O$5:O154,"&lt;&gt;Não",$J$5:J154,"&lt;&gt;Concluída",$C$5:C154,"&lt;&gt;"),"")</f>
        <v/>
      </c>
      <c r="O154" s="1"/>
    </row>
    <row r="155" spans="1:15" x14ac:dyDescent="0.35">
      <c r="A155" s="17" t="str">
        <f t="shared" si="14"/>
        <v/>
      </c>
      <c r="B155" s="1"/>
      <c r="C155" s="1"/>
      <c r="D155" s="1"/>
      <c r="E155" s="1"/>
      <c r="F155" s="1"/>
      <c r="G155" s="1"/>
      <c r="H155" s="13"/>
      <c r="I155" s="13"/>
      <c r="J155" s="1"/>
      <c r="K155" s="13"/>
      <c r="L155" s="14" t="str">
        <f t="shared" si="12"/>
        <v/>
      </c>
      <c r="M155" s="5" t="str">
        <f t="shared" si="13"/>
        <v/>
      </c>
      <c r="N155" s="20" t="str">
        <f>IF(AND(G155="Sim",O155&lt;&gt;"Não",J155&lt;&gt;"Concluída",C155&lt;&gt;""),COUNTIFS($G$5:G155,"Sim",$O$5:O155,"&lt;&gt;Não",$J$5:J155,"&lt;&gt;Concluída",$C$5:C155,"&lt;&gt;"),"")</f>
        <v/>
      </c>
      <c r="O155" s="1"/>
    </row>
    <row r="156" spans="1:15" x14ac:dyDescent="0.35">
      <c r="A156" s="17" t="str">
        <f t="shared" si="14"/>
        <v/>
      </c>
      <c r="B156" s="1"/>
      <c r="C156" s="1"/>
      <c r="D156" s="1"/>
      <c r="E156" s="1"/>
      <c r="F156" s="1"/>
      <c r="G156" s="1"/>
      <c r="H156" s="13"/>
      <c r="I156" s="13"/>
      <c r="J156" s="1"/>
      <c r="K156" s="13"/>
      <c r="L156" s="14" t="str">
        <f t="shared" si="12"/>
        <v/>
      </c>
      <c r="M156" s="5" t="str">
        <f t="shared" si="13"/>
        <v/>
      </c>
      <c r="N156" s="20" t="str">
        <f>IF(AND(G156="Sim",O156&lt;&gt;"Não",J156&lt;&gt;"Concluída",C156&lt;&gt;""),COUNTIFS($G$5:G156,"Sim",$O$5:O156,"&lt;&gt;Não",$J$5:J156,"&lt;&gt;Concluída",$C$5:C156,"&lt;&gt;"),"")</f>
        <v/>
      </c>
      <c r="O156" s="1"/>
    </row>
    <row r="157" spans="1:15" x14ac:dyDescent="0.35">
      <c r="A157" s="17" t="str">
        <f t="shared" si="14"/>
        <v/>
      </c>
      <c r="B157" s="1"/>
      <c r="C157" s="1"/>
      <c r="D157" s="1"/>
      <c r="E157" s="1"/>
      <c r="F157" s="1"/>
      <c r="G157" s="1"/>
      <c r="H157" s="13"/>
      <c r="I157" s="13"/>
      <c r="J157" s="1"/>
      <c r="K157" s="13"/>
      <c r="L157" s="14" t="str">
        <f t="shared" si="12"/>
        <v/>
      </c>
      <c r="M157" s="5" t="str">
        <f t="shared" si="13"/>
        <v/>
      </c>
      <c r="N157" s="20" t="str">
        <f>IF(AND(G157="Sim",O157&lt;&gt;"Não",J157&lt;&gt;"Concluída",C157&lt;&gt;""),COUNTIFS($G$5:G157,"Sim",$O$5:O157,"&lt;&gt;Não",$J$5:J157,"&lt;&gt;Concluída",$C$5:C157,"&lt;&gt;"),"")</f>
        <v/>
      </c>
      <c r="O157" s="1"/>
    </row>
    <row r="158" spans="1:15" x14ac:dyDescent="0.35">
      <c r="A158" s="17" t="str">
        <f t="shared" si="14"/>
        <v/>
      </c>
      <c r="B158" s="1"/>
      <c r="C158" s="1"/>
      <c r="D158" s="1"/>
      <c r="E158" s="1"/>
      <c r="F158" s="1"/>
      <c r="G158" s="1"/>
      <c r="H158" s="13"/>
      <c r="I158" s="13"/>
      <c r="J158" s="1"/>
      <c r="K158" s="13"/>
      <c r="L158" s="14" t="str">
        <f t="shared" si="12"/>
        <v/>
      </c>
      <c r="M158" s="5" t="str">
        <f t="shared" si="13"/>
        <v/>
      </c>
      <c r="N158" s="20" t="str">
        <f>IF(AND(G158="Sim",O158&lt;&gt;"Não",J158&lt;&gt;"Concluída",C158&lt;&gt;""),COUNTIFS($G$5:G158,"Sim",$O$5:O158,"&lt;&gt;Não",$J$5:J158,"&lt;&gt;Concluída",$C$5:C158,"&lt;&gt;"),"")</f>
        <v/>
      </c>
      <c r="O158" s="1"/>
    </row>
    <row r="159" spans="1:15" x14ac:dyDescent="0.35">
      <c r="A159" s="17" t="str">
        <f t="shared" si="14"/>
        <v/>
      </c>
      <c r="B159" s="1"/>
      <c r="C159" s="1"/>
      <c r="D159" s="1"/>
      <c r="E159" s="1"/>
      <c r="F159" s="1"/>
      <c r="G159" s="1"/>
      <c r="H159" s="13"/>
      <c r="I159" s="13"/>
      <c r="J159" s="1"/>
      <c r="K159" s="13"/>
      <c r="L159" s="14" t="str">
        <f t="shared" si="12"/>
        <v/>
      </c>
      <c r="M159" s="5" t="str">
        <f t="shared" si="13"/>
        <v/>
      </c>
      <c r="N159" s="20" t="str">
        <f>IF(AND(G159="Sim",O159&lt;&gt;"Não",J159&lt;&gt;"Concluída",C159&lt;&gt;""),COUNTIFS($G$5:G159,"Sim",$O$5:O159,"&lt;&gt;Não",$J$5:J159,"&lt;&gt;Concluída",$C$5:C159,"&lt;&gt;"),"")</f>
        <v/>
      </c>
      <c r="O159" s="1"/>
    </row>
    <row r="160" spans="1:15" x14ac:dyDescent="0.35">
      <c r="A160" s="17" t="str">
        <f t="shared" si="14"/>
        <v/>
      </c>
      <c r="B160" s="1"/>
      <c r="C160" s="1"/>
      <c r="D160" s="1"/>
      <c r="E160" s="1"/>
      <c r="F160" s="1"/>
      <c r="G160" s="1"/>
      <c r="H160" s="13"/>
      <c r="I160" s="13"/>
      <c r="J160" s="1"/>
      <c r="K160" s="13"/>
      <c r="L160" s="14" t="str">
        <f t="shared" si="12"/>
        <v/>
      </c>
      <c r="M160" s="5" t="str">
        <f t="shared" si="13"/>
        <v/>
      </c>
      <c r="N160" s="20" t="str">
        <f>IF(AND(G160="Sim",O160&lt;&gt;"Não",J160&lt;&gt;"Concluída",C160&lt;&gt;""),COUNTIFS($G$5:G160,"Sim",$O$5:O160,"&lt;&gt;Não",$J$5:J160,"&lt;&gt;Concluída",$C$5:C160,"&lt;&gt;"),"")</f>
        <v/>
      </c>
      <c r="O160" s="1"/>
    </row>
    <row r="161" spans="1:15" x14ac:dyDescent="0.35">
      <c r="A161" s="17" t="str">
        <f t="shared" si="14"/>
        <v/>
      </c>
      <c r="B161" s="1"/>
      <c r="C161" s="1"/>
      <c r="D161" s="1"/>
      <c r="E161" s="1"/>
      <c r="F161" s="1"/>
      <c r="G161" s="1"/>
      <c r="H161" s="13"/>
      <c r="I161" s="13"/>
      <c r="J161" s="1"/>
      <c r="K161" s="13"/>
      <c r="L161" s="14" t="str">
        <f t="shared" si="12"/>
        <v/>
      </c>
      <c r="M161" s="5" t="str">
        <f t="shared" si="13"/>
        <v/>
      </c>
      <c r="N161" s="20" t="str">
        <f>IF(AND(G161="Sim",O161&lt;&gt;"Não",J161&lt;&gt;"Concluída",C161&lt;&gt;""),COUNTIFS($G$5:G161,"Sim",$O$5:O161,"&lt;&gt;Não",$J$5:J161,"&lt;&gt;Concluída",$C$5:C161,"&lt;&gt;"),"")</f>
        <v/>
      </c>
      <c r="O161" s="1"/>
    </row>
    <row r="162" spans="1:15" x14ac:dyDescent="0.35">
      <c r="A162" s="17" t="str">
        <f t="shared" si="14"/>
        <v/>
      </c>
      <c r="B162" s="1"/>
      <c r="C162" s="1"/>
      <c r="D162" s="1"/>
      <c r="E162" s="1"/>
      <c r="F162" s="1"/>
      <c r="G162" s="1"/>
      <c r="H162" s="13"/>
      <c r="I162" s="13"/>
      <c r="J162" s="1"/>
      <c r="K162" s="13"/>
      <c r="L162" s="14" t="str">
        <f t="shared" si="12"/>
        <v/>
      </c>
      <c r="M162" s="5" t="str">
        <f t="shared" si="13"/>
        <v/>
      </c>
      <c r="N162" s="20" t="str">
        <f>IF(AND(G162="Sim",O162&lt;&gt;"Não",J162&lt;&gt;"Concluída",C162&lt;&gt;""),COUNTIFS($G$5:G162,"Sim",$O$5:O162,"&lt;&gt;Não",$J$5:J162,"&lt;&gt;Concluída",$C$5:C162,"&lt;&gt;"),"")</f>
        <v/>
      </c>
      <c r="O162" s="1"/>
    </row>
    <row r="163" spans="1:15" x14ac:dyDescent="0.35">
      <c r="A163" s="17" t="str">
        <f t="shared" si="14"/>
        <v/>
      </c>
      <c r="B163" s="1"/>
      <c r="C163" s="1"/>
      <c r="D163" s="1"/>
      <c r="E163" s="1"/>
      <c r="F163" s="1"/>
      <c r="G163" s="1"/>
      <c r="H163" s="13"/>
      <c r="I163" s="13"/>
      <c r="J163" s="1"/>
      <c r="K163" s="13"/>
      <c r="L163" s="14" t="str">
        <f t="shared" si="12"/>
        <v/>
      </c>
      <c r="M163" s="5" t="str">
        <f t="shared" si="13"/>
        <v/>
      </c>
      <c r="N163" s="20" t="str">
        <f>IF(AND(G163="Sim",O163&lt;&gt;"Não",J163&lt;&gt;"Concluída",C163&lt;&gt;""),COUNTIFS($G$5:G163,"Sim",$O$5:O163,"&lt;&gt;Não",$J$5:J163,"&lt;&gt;Concluída",$C$5:C163,"&lt;&gt;"),"")</f>
        <v/>
      </c>
      <c r="O163" s="1"/>
    </row>
    <row r="164" spans="1:15" x14ac:dyDescent="0.35">
      <c r="A164" s="17" t="str">
        <f t="shared" si="14"/>
        <v/>
      </c>
      <c r="B164" s="1"/>
      <c r="C164" s="1"/>
      <c r="D164" s="1"/>
      <c r="E164" s="1"/>
      <c r="F164" s="1"/>
      <c r="G164" s="1"/>
      <c r="H164" s="13"/>
      <c r="I164" s="13"/>
      <c r="J164" s="1"/>
      <c r="K164" s="13"/>
      <c r="L164" s="14" t="str">
        <f t="shared" si="12"/>
        <v/>
      </c>
      <c r="M164" s="5" t="str">
        <f t="shared" si="13"/>
        <v/>
      </c>
      <c r="N164" s="20" t="str">
        <f>IF(AND(G164="Sim",O164&lt;&gt;"Não",J164&lt;&gt;"Concluída",C164&lt;&gt;""),COUNTIFS($G$5:G164,"Sim",$O$5:O164,"&lt;&gt;Não",$J$5:J164,"&lt;&gt;Concluída",$C$5:C164,"&lt;&gt;"),"")</f>
        <v/>
      </c>
      <c r="O164" s="1"/>
    </row>
    <row r="165" spans="1:15" x14ac:dyDescent="0.35">
      <c r="A165" s="17" t="str">
        <f t="shared" si="14"/>
        <v/>
      </c>
      <c r="B165" s="1"/>
      <c r="C165" s="1"/>
      <c r="D165" s="1"/>
      <c r="E165" s="1"/>
      <c r="F165" s="1"/>
      <c r="G165" s="1"/>
      <c r="H165" s="13"/>
      <c r="I165" s="13"/>
      <c r="J165" s="1"/>
      <c r="K165" s="13"/>
      <c r="L165" s="14" t="str">
        <f t="shared" ref="L165:L196" si="15">IF(OR(C165="",H165=""),"",IF(K165&lt;&gt;"",K165,DataRef)-H165)</f>
        <v/>
      </c>
      <c r="M165" s="5" t="str">
        <f t="shared" ref="M165:M200" si="16">IF(C165="","",IF(J165="Concluída","Concluída",IF(AND(I165&lt;&gt;"",DataRef&gt;I165),"VENCIDA","Em aberto")))</f>
        <v/>
      </c>
      <c r="N165" s="20" t="str">
        <f>IF(AND(G165="Sim",O165&lt;&gt;"Não",J165&lt;&gt;"Concluída",C165&lt;&gt;""),COUNTIFS($G$5:G165,"Sim",$O$5:O165,"&lt;&gt;Não",$J$5:J165,"&lt;&gt;Concluída",$C$5:C165,"&lt;&gt;"),"")</f>
        <v/>
      </c>
      <c r="O165" s="1"/>
    </row>
    <row r="166" spans="1:15" x14ac:dyDescent="0.35">
      <c r="A166" s="17" t="str">
        <f t="shared" si="14"/>
        <v/>
      </c>
      <c r="B166" s="1"/>
      <c r="C166" s="1"/>
      <c r="D166" s="1"/>
      <c r="E166" s="1"/>
      <c r="F166" s="1"/>
      <c r="G166" s="1"/>
      <c r="H166" s="13"/>
      <c r="I166" s="13"/>
      <c r="J166" s="1"/>
      <c r="K166" s="13"/>
      <c r="L166" s="14" t="str">
        <f t="shared" si="15"/>
        <v/>
      </c>
      <c r="M166" s="5" t="str">
        <f t="shared" si="16"/>
        <v/>
      </c>
      <c r="N166" s="20" t="str">
        <f>IF(AND(G166="Sim",O166&lt;&gt;"Não",J166&lt;&gt;"Concluída",C166&lt;&gt;""),COUNTIFS($G$5:G166,"Sim",$O$5:O166,"&lt;&gt;Não",$J$5:J166,"&lt;&gt;Concluída",$C$5:C166,"&lt;&gt;"),"")</f>
        <v/>
      </c>
      <c r="O166" s="1"/>
    </row>
    <row r="167" spans="1:15" x14ac:dyDescent="0.35">
      <c r="A167" s="17" t="str">
        <f t="shared" si="14"/>
        <v/>
      </c>
      <c r="B167" s="1"/>
      <c r="C167" s="1"/>
      <c r="D167" s="1"/>
      <c r="E167" s="1"/>
      <c r="F167" s="1"/>
      <c r="G167" s="1"/>
      <c r="H167" s="13"/>
      <c r="I167" s="13"/>
      <c r="J167" s="1"/>
      <c r="K167" s="13"/>
      <c r="L167" s="14" t="str">
        <f t="shared" si="15"/>
        <v/>
      </c>
      <c r="M167" s="5" t="str">
        <f t="shared" si="16"/>
        <v/>
      </c>
      <c r="N167" s="20" t="str">
        <f>IF(AND(G167="Sim",O167&lt;&gt;"Não",J167&lt;&gt;"Concluída",C167&lt;&gt;""),COUNTIFS($G$5:G167,"Sim",$O$5:O167,"&lt;&gt;Não",$J$5:J167,"&lt;&gt;Concluída",$C$5:C167,"&lt;&gt;"),"")</f>
        <v/>
      </c>
      <c r="O167" s="1"/>
    </row>
    <row r="168" spans="1:15" x14ac:dyDescent="0.35">
      <c r="A168" s="17" t="str">
        <f t="shared" si="14"/>
        <v/>
      </c>
      <c r="B168" s="1"/>
      <c r="C168" s="1"/>
      <c r="D168" s="1"/>
      <c r="E168" s="1"/>
      <c r="F168" s="1"/>
      <c r="G168" s="1"/>
      <c r="H168" s="13"/>
      <c r="I168" s="13"/>
      <c r="J168" s="1"/>
      <c r="K168" s="13"/>
      <c r="L168" s="14" t="str">
        <f t="shared" si="15"/>
        <v/>
      </c>
      <c r="M168" s="5" t="str">
        <f t="shared" si="16"/>
        <v/>
      </c>
      <c r="N168" s="20" t="str">
        <f>IF(AND(G168="Sim",O168&lt;&gt;"Não",J168&lt;&gt;"Concluída",C168&lt;&gt;""),COUNTIFS($G$5:G168,"Sim",$O$5:O168,"&lt;&gt;Não",$J$5:J168,"&lt;&gt;Concluída",$C$5:C168,"&lt;&gt;"),"")</f>
        <v/>
      </c>
      <c r="O168" s="1"/>
    </row>
    <row r="169" spans="1:15" x14ac:dyDescent="0.35">
      <c r="A169" s="17" t="str">
        <f t="shared" si="14"/>
        <v/>
      </c>
      <c r="B169" s="1"/>
      <c r="C169" s="1"/>
      <c r="D169" s="1"/>
      <c r="E169" s="1"/>
      <c r="F169" s="1"/>
      <c r="G169" s="1"/>
      <c r="H169" s="13"/>
      <c r="I169" s="13"/>
      <c r="J169" s="1"/>
      <c r="K169" s="13"/>
      <c r="L169" s="14" t="str">
        <f t="shared" si="15"/>
        <v/>
      </c>
      <c r="M169" s="5" t="str">
        <f t="shared" si="16"/>
        <v/>
      </c>
      <c r="N169" s="20" t="str">
        <f>IF(AND(G169="Sim",O169&lt;&gt;"Não",J169&lt;&gt;"Concluída",C169&lt;&gt;""),COUNTIFS($G$5:G169,"Sim",$O$5:O169,"&lt;&gt;Não",$J$5:J169,"&lt;&gt;Concluída",$C$5:C169,"&lt;&gt;"),"")</f>
        <v/>
      </c>
      <c r="O169" s="1"/>
    </row>
    <row r="170" spans="1:15" x14ac:dyDescent="0.35">
      <c r="A170" s="17" t="str">
        <f t="shared" si="14"/>
        <v/>
      </c>
      <c r="B170" s="1"/>
      <c r="C170" s="1"/>
      <c r="D170" s="1"/>
      <c r="E170" s="1"/>
      <c r="F170" s="1"/>
      <c r="G170" s="1"/>
      <c r="H170" s="13"/>
      <c r="I170" s="13"/>
      <c r="J170" s="1"/>
      <c r="K170" s="13"/>
      <c r="L170" s="14" t="str">
        <f t="shared" si="15"/>
        <v/>
      </c>
      <c r="M170" s="5" t="str">
        <f t="shared" si="16"/>
        <v/>
      </c>
      <c r="N170" s="20" t="str">
        <f>IF(AND(G170="Sim",O170&lt;&gt;"Não",J170&lt;&gt;"Concluída",C170&lt;&gt;""),COUNTIFS($G$5:G170,"Sim",$O$5:O170,"&lt;&gt;Não",$J$5:J170,"&lt;&gt;Concluída",$C$5:C170,"&lt;&gt;"),"")</f>
        <v/>
      </c>
      <c r="O170" s="1"/>
    </row>
    <row r="171" spans="1:15" x14ac:dyDescent="0.35">
      <c r="A171" s="17" t="str">
        <f t="shared" si="14"/>
        <v/>
      </c>
      <c r="B171" s="1"/>
      <c r="C171" s="1"/>
      <c r="D171" s="1"/>
      <c r="E171" s="1"/>
      <c r="F171" s="1"/>
      <c r="G171" s="1"/>
      <c r="H171" s="13"/>
      <c r="I171" s="13"/>
      <c r="J171" s="1"/>
      <c r="K171" s="13"/>
      <c r="L171" s="14" t="str">
        <f t="shared" si="15"/>
        <v/>
      </c>
      <c r="M171" s="5" t="str">
        <f t="shared" si="16"/>
        <v/>
      </c>
      <c r="N171" s="20" t="str">
        <f>IF(AND(G171="Sim",O171&lt;&gt;"Não",J171&lt;&gt;"Concluída",C171&lt;&gt;""),COUNTIFS($G$5:G171,"Sim",$O$5:O171,"&lt;&gt;Não",$J$5:J171,"&lt;&gt;Concluída",$C$5:C171,"&lt;&gt;"),"")</f>
        <v/>
      </c>
      <c r="O171" s="1"/>
    </row>
    <row r="172" spans="1:15" x14ac:dyDescent="0.35">
      <c r="A172" s="17" t="str">
        <f t="shared" si="14"/>
        <v/>
      </c>
      <c r="B172" s="1"/>
      <c r="C172" s="1"/>
      <c r="D172" s="1"/>
      <c r="E172" s="1"/>
      <c r="F172" s="1"/>
      <c r="G172" s="1"/>
      <c r="H172" s="13"/>
      <c r="I172" s="13"/>
      <c r="J172" s="1"/>
      <c r="K172" s="13"/>
      <c r="L172" s="14" t="str">
        <f t="shared" si="15"/>
        <v/>
      </c>
      <c r="M172" s="5" t="str">
        <f t="shared" si="16"/>
        <v/>
      </c>
      <c r="N172" s="20" t="str">
        <f>IF(AND(G172="Sim",O172&lt;&gt;"Não",J172&lt;&gt;"Concluída",C172&lt;&gt;""),COUNTIFS($G$5:G172,"Sim",$O$5:O172,"&lt;&gt;Não",$J$5:J172,"&lt;&gt;Concluída",$C$5:C172,"&lt;&gt;"),"")</f>
        <v/>
      </c>
      <c r="O172" s="1"/>
    </row>
    <row r="173" spans="1:15" x14ac:dyDescent="0.35">
      <c r="A173" s="17" t="str">
        <f t="shared" si="14"/>
        <v/>
      </c>
      <c r="B173" s="1"/>
      <c r="C173" s="1"/>
      <c r="D173" s="1"/>
      <c r="E173" s="1"/>
      <c r="F173" s="1"/>
      <c r="G173" s="1"/>
      <c r="H173" s="13"/>
      <c r="I173" s="13"/>
      <c r="J173" s="1"/>
      <c r="K173" s="13"/>
      <c r="L173" s="14" t="str">
        <f t="shared" si="15"/>
        <v/>
      </c>
      <c r="M173" s="5" t="str">
        <f t="shared" si="16"/>
        <v/>
      </c>
      <c r="N173" s="20" t="str">
        <f>IF(AND(G173="Sim",O173&lt;&gt;"Não",J173&lt;&gt;"Concluída",C173&lt;&gt;""),COUNTIFS($G$5:G173,"Sim",$O$5:O173,"&lt;&gt;Não",$J$5:J173,"&lt;&gt;Concluída",$C$5:C173,"&lt;&gt;"),"")</f>
        <v/>
      </c>
      <c r="O173" s="1"/>
    </row>
    <row r="174" spans="1:15" x14ac:dyDescent="0.35">
      <c r="A174" s="17" t="str">
        <f t="shared" si="14"/>
        <v/>
      </c>
      <c r="B174" s="1"/>
      <c r="C174" s="1"/>
      <c r="D174" s="1"/>
      <c r="E174" s="1"/>
      <c r="F174" s="1"/>
      <c r="G174" s="1"/>
      <c r="H174" s="13"/>
      <c r="I174" s="13"/>
      <c r="J174" s="1"/>
      <c r="K174" s="13"/>
      <c r="L174" s="14" t="str">
        <f t="shared" si="15"/>
        <v/>
      </c>
      <c r="M174" s="5" t="str">
        <f t="shared" si="16"/>
        <v/>
      </c>
      <c r="N174" s="20" t="str">
        <f>IF(AND(G174="Sim",O174&lt;&gt;"Não",J174&lt;&gt;"Concluída",C174&lt;&gt;""),COUNTIFS($G$5:G174,"Sim",$O$5:O174,"&lt;&gt;Não",$J$5:J174,"&lt;&gt;Concluída",$C$5:C174,"&lt;&gt;"),"")</f>
        <v/>
      </c>
      <c r="O174" s="1"/>
    </row>
    <row r="175" spans="1:15" x14ac:dyDescent="0.35">
      <c r="A175" s="17" t="str">
        <f t="shared" si="14"/>
        <v/>
      </c>
      <c r="B175" s="1"/>
      <c r="C175" s="1"/>
      <c r="D175" s="1"/>
      <c r="E175" s="1"/>
      <c r="F175" s="1"/>
      <c r="G175" s="1"/>
      <c r="H175" s="13"/>
      <c r="I175" s="13"/>
      <c r="J175" s="1"/>
      <c r="K175" s="13"/>
      <c r="L175" s="14" t="str">
        <f t="shared" si="15"/>
        <v/>
      </c>
      <c r="M175" s="5" t="str">
        <f t="shared" si="16"/>
        <v/>
      </c>
      <c r="N175" s="20" t="str">
        <f>IF(AND(G175="Sim",O175&lt;&gt;"Não",J175&lt;&gt;"Concluída",C175&lt;&gt;""),COUNTIFS($G$5:G175,"Sim",$O$5:O175,"&lt;&gt;Não",$J$5:J175,"&lt;&gt;Concluída",$C$5:C175,"&lt;&gt;"),"")</f>
        <v/>
      </c>
      <c r="O175" s="1"/>
    </row>
    <row r="176" spans="1:15" x14ac:dyDescent="0.35">
      <c r="A176" s="17" t="str">
        <f t="shared" si="14"/>
        <v/>
      </c>
      <c r="B176" s="1"/>
      <c r="C176" s="1"/>
      <c r="D176" s="1"/>
      <c r="E176" s="1"/>
      <c r="F176" s="1"/>
      <c r="G176" s="1"/>
      <c r="H176" s="13"/>
      <c r="I176" s="13"/>
      <c r="J176" s="1"/>
      <c r="K176" s="13"/>
      <c r="L176" s="14" t="str">
        <f t="shared" si="15"/>
        <v/>
      </c>
      <c r="M176" s="5" t="str">
        <f t="shared" si="16"/>
        <v/>
      </c>
      <c r="N176" s="20" t="str">
        <f>IF(AND(G176="Sim",O176&lt;&gt;"Não",J176&lt;&gt;"Concluída",C176&lt;&gt;""),COUNTIFS($G$5:G176,"Sim",$O$5:O176,"&lt;&gt;Não",$J$5:J176,"&lt;&gt;Concluída",$C$5:C176,"&lt;&gt;"),"")</f>
        <v/>
      </c>
      <c r="O176" s="1"/>
    </row>
    <row r="177" spans="1:15" x14ac:dyDescent="0.35">
      <c r="A177" s="17" t="str">
        <f t="shared" si="14"/>
        <v/>
      </c>
      <c r="B177" s="1"/>
      <c r="C177" s="1"/>
      <c r="D177" s="1"/>
      <c r="E177" s="1"/>
      <c r="F177" s="1"/>
      <c r="G177" s="1"/>
      <c r="H177" s="13"/>
      <c r="I177" s="13"/>
      <c r="J177" s="1"/>
      <c r="K177" s="13"/>
      <c r="L177" s="14" t="str">
        <f t="shared" si="15"/>
        <v/>
      </c>
      <c r="M177" s="5" t="str">
        <f t="shared" si="16"/>
        <v/>
      </c>
      <c r="N177" s="20" t="str">
        <f>IF(AND(G177="Sim",O177&lt;&gt;"Não",J177&lt;&gt;"Concluída",C177&lt;&gt;""),COUNTIFS($G$5:G177,"Sim",$O$5:O177,"&lt;&gt;Não",$J$5:J177,"&lt;&gt;Concluída",$C$5:C177,"&lt;&gt;"),"")</f>
        <v/>
      </c>
      <c r="O177" s="1"/>
    </row>
    <row r="178" spans="1:15" x14ac:dyDescent="0.35">
      <c r="A178" s="17" t="str">
        <f t="shared" si="14"/>
        <v/>
      </c>
      <c r="B178" s="1"/>
      <c r="C178" s="1"/>
      <c r="D178" s="1"/>
      <c r="E178" s="1"/>
      <c r="F178" s="1"/>
      <c r="G178" s="1"/>
      <c r="H178" s="13"/>
      <c r="I178" s="13"/>
      <c r="J178" s="1"/>
      <c r="K178" s="13"/>
      <c r="L178" s="14" t="str">
        <f t="shared" si="15"/>
        <v/>
      </c>
      <c r="M178" s="5" t="str">
        <f t="shared" si="16"/>
        <v/>
      </c>
      <c r="N178" s="20" t="str">
        <f>IF(AND(G178="Sim",O178&lt;&gt;"Não",J178&lt;&gt;"Concluída",C178&lt;&gt;""),COUNTIFS($G$5:G178,"Sim",$O$5:O178,"&lt;&gt;Não",$J$5:J178,"&lt;&gt;Concluída",$C$5:C178,"&lt;&gt;"),"")</f>
        <v/>
      </c>
      <c r="O178" s="1"/>
    </row>
    <row r="179" spans="1:15" x14ac:dyDescent="0.35">
      <c r="A179" s="17" t="str">
        <f t="shared" ref="A179:A200" si="17">IF(C179="","",ROW()-4)</f>
        <v/>
      </c>
      <c r="B179" s="1"/>
      <c r="C179" s="1"/>
      <c r="D179" s="1"/>
      <c r="E179" s="1"/>
      <c r="F179" s="1"/>
      <c r="G179" s="1"/>
      <c r="H179" s="13"/>
      <c r="I179" s="13"/>
      <c r="J179" s="1"/>
      <c r="K179" s="13"/>
      <c r="L179" s="14" t="str">
        <f t="shared" si="15"/>
        <v/>
      </c>
      <c r="M179" s="5" t="str">
        <f t="shared" si="16"/>
        <v/>
      </c>
      <c r="N179" s="20" t="str">
        <f>IF(AND(G179="Sim",O179&lt;&gt;"Não",J179&lt;&gt;"Concluída",C179&lt;&gt;""),COUNTIFS($G$5:G179,"Sim",$O$5:O179,"&lt;&gt;Não",$J$5:J179,"&lt;&gt;Concluída",$C$5:C179,"&lt;&gt;"),"")</f>
        <v/>
      </c>
      <c r="O179" s="1"/>
    </row>
    <row r="180" spans="1:15" x14ac:dyDescent="0.35">
      <c r="A180" s="17" t="str">
        <f t="shared" si="17"/>
        <v/>
      </c>
      <c r="B180" s="1"/>
      <c r="C180" s="1"/>
      <c r="D180" s="1"/>
      <c r="E180" s="1"/>
      <c r="F180" s="1"/>
      <c r="G180" s="1"/>
      <c r="H180" s="13"/>
      <c r="I180" s="13"/>
      <c r="J180" s="1"/>
      <c r="K180" s="13"/>
      <c r="L180" s="14" t="str">
        <f t="shared" si="15"/>
        <v/>
      </c>
      <c r="M180" s="5" t="str">
        <f t="shared" si="16"/>
        <v/>
      </c>
      <c r="N180" s="20" t="str">
        <f>IF(AND(G180="Sim",O180&lt;&gt;"Não",J180&lt;&gt;"Concluída",C180&lt;&gt;""),COUNTIFS($G$5:G180,"Sim",$O$5:O180,"&lt;&gt;Não",$J$5:J180,"&lt;&gt;Concluída",$C$5:C180,"&lt;&gt;"),"")</f>
        <v/>
      </c>
      <c r="O180" s="1"/>
    </row>
    <row r="181" spans="1:15" x14ac:dyDescent="0.35">
      <c r="A181" s="17" t="str">
        <f t="shared" si="17"/>
        <v/>
      </c>
      <c r="B181" s="1"/>
      <c r="C181" s="1"/>
      <c r="D181" s="1"/>
      <c r="E181" s="1"/>
      <c r="F181" s="1"/>
      <c r="G181" s="1"/>
      <c r="H181" s="13"/>
      <c r="I181" s="13"/>
      <c r="J181" s="1"/>
      <c r="K181" s="13"/>
      <c r="L181" s="14" t="str">
        <f t="shared" si="15"/>
        <v/>
      </c>
      <c r="M181" s="5" t="str">
        <f t="shared" si="16"/>
        <v/>
      </c>
      <c r="N181" s="20" t="str">
        <f>IF(AND(G181="Sim",O181&lt;&gt;"Não",J181&lt;&gt;"Concluída",C181&lt;&gt;""),COUNTIFS($G$5:G181,"Sim",$O$5:O181,"&lt;&gt;Não",$J$5:J181,"&lt;&gt;Concluída",$C$5:C181,"&lt;&gt;"),"")</f>
        <v/>
      </c>
      <c r="O181" s="1"/>
    </row>
    <row r="182" spans="1:15" x14ac:dyDescent="0.35">
      <c r="A182" s="17" t="str">
        <f t="shared" si="17"/>
        <v/>
      </c>
      <c r="B182" s="1"/>
      <c r="C182" s="1"/>
      <c r="D182" s="1"/>
      <c r="E182" s="1"/>
      <c r="F182" s="1"/>
      <c r="G182" s="1"/>
      <c r="H182" s="13"/>
      <c r="I182" s="13"/>
      <c r="J182" s="1"/>
      <c r="K182" s="13"/>
      <c r="L182" s="14" t="str">
        <f t="shared" si="15"/>
        <v/>
      </c>
      <c r="M182" s="5" t="str">
        <f t="shared" si="16"/>
        <v/>
      </c>
      <c r="N182" s="20" t="str">
        <f>IF(AND(G182="Sim",O182&lt;&gt;"Não",J182&lt;&gt;"Concluída",C182&lt;&gt;""),COUNTIFS($G$5:G182,"Sim",$O$5:O182,"&lt;&gt;Não",$J$5:J182,"&lt;&gt;Concluída",$C$5:C182,"&lt;&gt;"),"")</f>
        <v/>
      </c>
      <c r="O182" s="1"/>
    </row>
    <row r="183" spans="1:15" x14ac:dyDescent="0.35">
      <c r="A183" s="17" t="str">
        <f t="shared" si="17"/>
        <v/>
      </c>
      <c r="B183" s="1"/>
      <c r="C183" s="1"/>
      <c r="D183" s="1"/>
      <c r="E183" s="1"/>
      <c r="F183" s="1"/>
      <c r="G183" s="1"/>
      <c r="H183" s="13"/>
      <c r="I183" s="13"/>
      <c r="J183" s="1"/>
      <c r="K183" s="13"/>
      <c r="L183" s="14" t="str">
        <f t="shared" si="15"/>
        <v/>
      </c>
      <c r="M183" s="5" t="str">
        <f t="shared" si="16"/>
        <v/>
      </c>
      <c r="N183" s="20" t="str">
        <f>IF(AND(G183="Sim",O183&lt;&gt;"Não",J183&lt;&gt;"Concluída",C183&lt;&gt;""),COUNTIFS($G$5:G183,"Sim",$O$5:O183,"&lt;&gt;Não",$J$5:J183,"&lt;&gt;Concluída",$C$5:C183,"&lt;&gt;"),"")</f>
        <v/>
      </c>
      <c r="O183" s="1"/>
    </row>
    <row r="184" spans="1:15" x14ac:dyDescent="0.35">
      <c r="A184" s="17" t="str">
        <f t="shared" si="17"/>
        <v/>
      </c>
      <c r="B184" s="1"/>
      <c r="C184" s="1"/>
      <c r="D184" s="1"/>
      <c r="E184" s="1"/>
      <c r="F184" s="1"/>
      <c r="G184" s="1"/>
      <c r="H184" s="13"/>
      <c r="I184" s="13"/>
      <c r="J184" s="1"/>
      <c r="K184" s="13"/>
      <c r="L184" s="14" t="str">
        <f t="shared" si="15"/>
        <v/>
      </c>
      <c r="M184" s="5" t="str">
        <f t="shared" si="16"/>
        <v/>
      </c>
      <c r="N184" s="20" t="str">
        <f>IF(AND(G184="Sim",O184&lt;&gt;"Não",J184&lt;&gt;"Concluída",C184&lt;&gt;""),COUNTIFS($G$5:G184,"Sim",$O$5:O184,"&lt;&gt;Não",$J$5:J184,"&lt;&gt;Concluída",$C$5:C184,"&lt;&gt;"),"")</f>
        <v/>
      </c>
      <c r="O184" s="1"/>
    </row>
    <row r="185" spans="1:15" x14ac:dyDescent="0.35">
      <c r="A185" s="17" t="str">
        <f t="shared" si="17"/>
        <v/>
      </c>
      <c r="B185" s="1"/>
      <c r="C185" s="1"/>
      <c r="D185" s="1"/>
      <c r="E185" s="1"/>
      <c r="F185" s="1"/>
      <c r="G185" s="1"/>
      <c r="H185" s="13"/>
      <c r="I185" s="13"/>
      <c r="J185" s="1"/>
      <c r="K185" s="13"/>
      <c r="L185" s="14" t="str">
        <f t="shared" si="15"/>
        <v/>
      </c>
      <c r="M185" s="5" t="str">
        <f t="shared" si="16"/>
        <v/>
      </c>
      <c r="N185" s="20" t="str">
        <f>IF(AND(G185="Sim",O185&lt;&gt;"Não",J185&lt;&gt;"Concluída",C185&lt;&gt;""),COUNTIFS($G$5:G185,"Sim",$O$5:O185,"&lt;&gt;Não",$J$5:J185,"&lt;&gt;Concluída",$C$5:C185,"&lt;&gt;"),"")</f>
        <v/>
      </c>
      <c r="O185" s="1"/>
    </row>
    <row r="186" spans="1:15" x14ac:dyDescent="0.35">
      <c r="A186" s="17" t="str">
        <f t="shared" si="17"/>
        <v/>
      </c>
      <c r="B186" s="1"/>
      <c r="C186" s="1"/>
      <c r="D186" s="1"/>
      <c r="E186" s="1"/>
      <c r="F186" s="1"/>
      <c r="G186" s="1"/>
      <c r="H186" s="13"/>
      <c r="I186" s="13"/>
      <c r="J186" s="1"/>
      <c r="K186" s="13"/>
      <c r="L186" s="14" t="str">
        <f t="shared" si="15"/>
        <v/>
      </c>
      <c r="M186" s="5" t="str">
        <f t="shared" si="16"/>
        <v/>
      </c>
      <c r="N186" s="20" t="str">
        <f>IF(AND(G186="Sim",O186&lt;&gt;"Não",J186&lt;&gt;"Concluída",C186&lt;&gt;""),COUNTIFS($G$5:G186,"Sim",$O$5:O186,"&lt;&gt;Não",$J$5:J186,"&lt;&gt;Concluída",$C$5:C186,"&lt;&gt;"),"")</f>
        <v/>
      </c>
      <c r="O186" s="1"/>
    </row>
    <row r="187" spans="1:15" x14ac:dyDescent="0.35">
      <c r="A187" s="17" t="str">
        <f t="shared" si="17"/>
        <v/>
      </c>
      <c r="B187" s="1"/>
      <c r="C187" s="1"/>
      <c r="D187" s="1"/>
      <c r="E187" s="1"/>
      <c r="F187" s="1"/>
      <c r="G187" s="1"/>
      <c r="H187" s="13"/>
      <c r="I187" s="13"/>
      <c r="J187" s="1"/>
      <c r="K187" s="13"/>
      <c r="L187" s="14" t="str">
        <f t="shared" si="15"/>
        <v/>
      </c>
      <c r="M187" s="5" t="str">
        <f t="shared" si="16"/>
        <v/>
      </c>
      <c r="N187" s="20" t="str">
        <f>IF(AND(G187="Sim",O187&lt;&gt;"Não",J187&lt;&gt;"Concluída",C187&lt;&gt;""),COUNTIFS($G$5:G187,"Sim",$O$5:O187,"&lt;&gt;Não",$J$5:J187,"&lt;&gt;Concluída",$C$5:C187,"&lt;&gt;"),"")</f>
        <v/>
      </c>
      <c r="O187" s="1"/>
    </row>
    <row r="188" spans="1:15" x14ac:dyDescent="0.35">
      <c r="A188" s="17" t="str">
        <f t="shared" si="17"/>
        <v/>
      </c>
      <c r="B188" s="1"/>
      <c r="C188" s="1"/>
      <c r="D188" s="1"/>
      <c r="E188" s="1"/>
      <c r="F188" s="1"/>
      <c r="G188" s="1"/>
      <c r="H188" s="13"/>
      <c r="I188" s="13"/>
      <c r="J188" s="1"/>
      <c r="K188" s="13"/>
      <c r="L188" s="14" t="str">
        <f t="shared" si="15"/>
        <v/>
      </c>
      <c r="M188" s="5" t="str">
        <f t="shared" si="16"/>
        <v/>
      </c>
      <c r="N188" s="20" t="str">
        <f>IF(AND(G188="Sim",O188&lt;&gt;"Não",J188&lt;&gt;"Concluída",C188&lt;&gt;""),COUNTIFS($G$5:G188,"Sim",$O$5:O188,"&lt;&gt;Não",$J$5:J188,"&lt;&gt;Concluída",$C$5:C188,"&lt;&gt;"),"")</f>
        <v/>
      </c>
      <c r="O188" s="1"/>
    </row>
    <row r="189" spans="1:15" x14ac:dyDescent="0.35">
      <c r="A189" s="17" t="str">
        <f t="shared" si="17"/>
        <v/>
      </c>
      <c r="B189" s="1"/>
      <c r="C189" s="1"/>
      <c r="D189" s="1"/>
      <c r="E189" s="1"/>
      <c r="F189" s="1"/>
      <c r="G189" s="1"/>
      <c r="H189" s="13"/>
      <c r="I189" s="13"/>
      <c r="J189" s="1"/>
      <c r="K189" s="13"/>
      <c r="L189" s="14" t="str">
        <f t="shared" si="15"/>
        <v/>
      </c>
      <c r="M189" s="5" t="str">
        <f t="shared" si="16"/>
        <v/>
      </c>
      <c r="N189" s="20" t="str">
        <f>IF(AND(G189="Sim",O189&lt;&gt;"Não",J189&lt;&gt;"Concluída",C189&lt;&gt;""),COUNTIFS($G$5:G189,"Sim",$O$5:O189,"&lt;&gt;Não",$J$5:J189,"&lt;&gt;Concluída",$C$5:C189,"&lt;&gt;"),"")</f>
        <v/>
      </c>
      <c r="O189" s="1"/>
    </row>
    <row r="190" spans="1:15" x14ac:dyDescent="0.35">
      <c r="A190" s="17" t="str">
        <f t="shared" si="17"/>
        <v/>
      </c>
      <c r="B190" s="1"/>
      <c r="C190" s="1"/>
      <c r="D190" s="1"/>
      <c r="E190" s="1"/>
      <c r="F190" s="1"/>
      <c r="G190" s="1"/>
      <c r="H190" s="13"/>
      <c r="I190" s="13"/>
      <c r="J190" s="1"/>
      <c r="K190" s="13"/>
      <c r="L190" s="14" t="str">
        <f t="shared" si="15"/>
        <v/>
      </c>
      <c r="M190" s="5" t="str">
        <f t="shared" si="16"/>
        <v/>
      </c>
      <c r="N190" s="20" t="str">
        <f>IF(AND(G190="Sim",O190&lt;&gt;"Não",J190&lt;&gt;"Concluída",C190&lt;&gt;""),COUNTIFS($G$5:G190,"Sim",$O$5:O190,"&lt;&gt;Não",$J$5:J190,"&lt;&gt;Concluída",$C$5:C190,"&lt;&gt;"),"")</f>
        <v/>
      </c>
      <c r="O190" s="1"/>
    </row>
    <row r="191" spans="1:15" x14ac:dyDescent="0.35">
      <c r="A191" s="17" t="str">
        <f t="shared" si="17"/>
        <v/>
      </c>
      <c r="B191" s="1"/>
      <c r="C191" s="1"/>
      <c r="D191" s="1"/>
      <c r="E191" s="1"/>
      <c r="F191" s="1"/>
      <c r="G191" s="1"/>
      <c r="H191" s="13"/>
      <c r="I191" s="13"/>
      <c r="J191" s="1"/>
      <c r="K191" s="13"/>
      <c r="L191" s="14" t="str">
        <f t="shared" si="15"/>
        <v/>
      </c>
      <c r="M191" s="5" t="str">
        <f t="shared" si="16"/>
        <v/>
      </c>
      <c r="N191" s="20" t="str">
        <f>IF(AND(G191="Sim",O191&lt;&gt;"Não",J191&lt;&gt;"Concluída",C191&lt;&gt;""),COUNTIFS($G$5:G191,"Sim",$O$5:O191,"&lt;&gt;Não",$J$5:J191,"&lt;&gt;Concluída",$C$5:C191,"&lt;&gt;"),"")</f>
        <v/>
      </c>
      <c r="O191" s="1"/>
    </row>
    <row r="192" spans="1:15" x14ac:dyDescent="0.35">
      <c r="A192" s="17" t="str">
        <f t="shared" si="17"/>
        <v/>
      </c>
      <c r="B192" s="1"/>
      <c r="C192" s="1"/>
      <c r="D192" s="1"/>
      <c r="E192" s="1"/>
      <c r="F192" s="1"/>
      <c r="G192" s="1"/>
      <c r="H192" s="13"/>
      <c r="I192" s="13"/>
      <c r="J192" s="1"/>
      <c r="K192" s="13"/>
      <c r="L192" s="14" t="str">
        <f t="shared" si="15"/>
        <v/>
      </c>
      <c r="M192" s="5" t="str">
        <f t="shared" si="16"/>
        <v/>
      </c>
      <c r="N192" s="20" t="str">
        <f>IF(AND(G192="Sim",O192&lt;&gt;"Não",J192&lt;&gt;"Concluída",C192&lt;&gt;""),COUNTIFS($G$5:G192,"Sim",$O$5:O192,"&lt;&gt;Não",$J$5:J192,"&lt;&gt;Concluída",$C$5:C192,"&lt;&gt;"),"")</f>
        <v/>
      </c>
      <c r="O192" s="1"/>
    </row>
    <row r="193" spans="1:15" x14ac:dyDescent="0.35">
      <c r="A193" s="17" t="str">
        <f t="shared" si="17"/>
        <v/>
      </c>
      <c r="B193" s="1"/>
      <c r="C193" s="1"/>
      <c r="D193" s="1"/>
      <c r="E193" s="1"/>
      <c r="F193" s="1"/>
      <c r="G193" s="1"/>
      <c r="H193" s="13"/>
      <c r="I193" s="13"/>
      <c r="J193" s="1"/>
      <c r="K193" s="13"/>
      <c r="L193" s="14" t="str">
        <f t="shared" si="15"/>
        <v/>
      </c>
      <c r="M193" s="5" t="str">
        <f t="shared" si="16"/>
        <v/>
      </c>
      <c r="N193" s="20" t="str">
        <f>IF(AND(G193="Sim",O193&lt;&gt;"Não",J193&lt;&gt;"Concluída",C193&lt;&gt;""),COUNTIFS($G$5:G193,"Sim",$O$5:O193,"&lt;&gt;Não",$J$5:J193,"&lt;&gt;Concluída",$C$5:C193,"&lt;&gt;"),"")</f>
        <v/>
      </c>
      <c r="O193" s="1"/>
    </row>
    <row r="194" spans="1:15" x14ac:dyDescent="0.35">
      <c r="A194" s="17" t="str">
        <f t="shared" si="17"/>
        <v/>
      </c>
      <c r="B194" s="1"/>
      <c r="C194" s="1"/>
      <c r="D194" s="1"/>
      <c r="E194" s="1"/>
      <c r="F194" s="1"/>
      <c r="G194" s="1"/>
      <c r="H194" s="13"/>
      <c r="I194" s="13"/>
      <c r="J194" s="1"/>
      <c r="K194" s="13"/>
      <c r="L194" s="14" t="str">
        <f t="shared" si="15"/>
        <v/>
      </c>
      <c r="M194" s="5" t="str">
        <f t="shared" si="16"/>
        <v/>
      </c>
      <c r="N194" s="20" t="str">
        <f>IF(AND(G194="Sim",O194&lt;&gt;"Não",J194&lt;&gt;"Concluída",C194&lt;&gt;""),COUNTIFS($G$5:G194,"Sim",$O$5:O194,"&lt;&gt;Não",$J$5:J194,"&lt;&gt;Concluída",$C$5:C194,"&lt;&gt;"),"")</f>
        <v/>
      </c>
      <c r="O194" s="1"/>
    </row>
    <row r="195" spans="1:15" x14ac:dyDescent="0.35">
      <c r="A195" s="17" t="str">
        <f t="shared" si="17"/>
        <v/>
      </c>
      <c r="B195" s="1"/>
      <c r="C195" s="1"/>
      <c r="D195" s="1"/>
      <c r="E195" s="1"/>
      <c r="F195" s="1"/>
      <c r="G195" s="1"/>
      <c r="H195" s="13"/>
      <c r="I195" s="13"/>
      <c r="J195" s="1"/>
      <c r="K195" s="13"/>
      <c r="L195" s="14" t="str">
        <f t="shared" si="15"/>
        <v/>
      </c>
      <c r="M195" s="5" t="str">
        <f t="shared" si="16"/>
        <v/>
      </c>
      <c r="N195" s="20" t="str">
        <f>IF(AND(G195="Sim",O195&lt;&gt;"Não",J195&lt;&gt;"Concluída",C195&lt;&gt;""),COUNTIFS($G$5:G195,"Sim",$O$5:O195,"&lt;&gt;Não",$J$5:J195,"&lt;&gt;Concluída",$C$5:C195,"&lt;&gt;"),"")</f>
        <v/>
      </c>
      <c r="O195" s="1"/>
    </row>
    <row r="196" spans="1:15" x14ac:dyDescent="0.35">
      <c r="A196" s="17" t="str">
        <f t="shared" si="17"/>
        <v/>
      </c>
      <c r="B196" s="1"/>
      <c r="C196" s="1"/>
      <c r="D196" s="1"/>
      <c r="E196" s="1"/>
      <c r="F196" s="1"/>
      <c r="G196" s="1"/>
      <c r="H196" s="13"/>
      <c r="I196" s="13"/>
      <c r="J196" s="1"/>
      <c r="K196" s="13"/>
      <c r="L196" s="14" t="str">
        <f t="shared" si="15"/>
        <v/>
      </c>
      <c r="M196" s="5" t="str">
        <f t="shared" si="16"/>
        <v/>
      </c>
      <c r="N196" s="20" t="str">
        <f>IF(AND(G196="Sim",O196&lt;&gt;"Não",J196&lt;&gt;"Concluída",C196&lt;&gt;""),COUNTIFS($G$5:G196,"Sim",$O$5:O196,"&lt;&gt;Não",$J$5:J196,"&lt;&gt;Concluída",$C$5:C196,"&lt;&gt;"),"")</f>
        <v/>
      </c>
      <c r="O196" s="1"/>
    </row>
    <row r="197" spans="1:15" x14ac:dyDescent="0.35">
      <c r="A197" s="17" t="str">
        <f t="shared" si="17"/>
        <v/>
      </c>
      <c r="B197" s="1"/>
      <c r="C197" s="1"/>
      <c r="D197" s="1"/>
      <c r="E197" s="1"/>
      <c r="F197" s="1"/>
      <c r="G197" s="1"/>
      <c r="H197" s="13"/>
      <c r="I197" s="13"/>
      <c r="J197" s="1"/>
      <c r="K197" s="13"/>
      <c r="L197" s="14" t="str">
        <f t="shared" ref="L197:L200" si="18">IF(OR(C197="",H197=""),"",IF(K197&lt;&gt;"",K197,DataRef)-H197)</f>
        <v/>
      </c>
      <c r="M197" s="5" t="str">
        <f t="shared" si="16"/>
        <v/>
      </c>
      <c r="N197" s="20" t="str">
        <f>IF(AND(G197="Sim",O197&lt;&gt;"Não",J197&lt;&gt;"Concluída",C197&lt;&gt;""),COUNTIFS($G$5:G197,"Sim",$O$5:O197,"&lt;&gt;Não",$J$5:J197,"&lt;&gt;Concluída",$C$5:C197,"&lt;&gt;"),"")</f>
        <v/>
      </c>
      <c r="O197" s="1"/>
    </row>
    <row r="198" spans="1:15" x14ac:dyDescent="0.35">
      <c r="A198" s="17" t="str">
        <f t="shared" si="17"/>
        <v/>
      </c>
      <c r="B198" s="1"/>
      <c r="C198" s="1"/>
      <c r="D198" s="1"/>
      <c r="E198" s="1"/>
      <c r="F198" s="1"/>
      <c r="G198" s="1"/>
      <c r="H198" s="13"/>
      <c r="I198" s="13"/>
      <c r="J198" s="1"/>
      <c r="K198" s="13"/>
      <c r="L198" s="14" t="str">
        <f t="shared" si="18"/>
        <v/>
      </c>
      <c r="M198" s="5" t="str">
        <f t="shared" si="16"/>
        <v/>
      </c>
      <c r="N198" s="20" t="str">
        <f>IF(AND(G198="Sim",O198&lt;&gt;"Não",J198&lt;&gt;"Concluída",C198&lt;&gt;""),COUNTIFS($G$5:G198,"Sim",$O$5:O198,"&lt;&gt;Não",$J$5:J198,"&lt;&gt;Concluída",$C$5:C198,"&lt;&gt;"),"")</f>
        <v/>
      </c>
      <c r="O198" s="1"/>
    </row>
    <row r="199" spans="1:15" x14ac:dyDescent="0.35">
      <c r="A199" s="17" t="str">
        <f t="shared" si="17"/>
        <v/>
      </c>
      <c r="B199" s="1"/>
      <c r="C199" s="1"/>
      <c r="D199" s="1"/>
      <c r="E199" s="1"/>
      <c r="F199" s="1"/>
      <c r="G199" s="1"/>
      <c r="H199" s="13"/>
      <c r="I199" s="13"/>
      <c r="J199" s="1"/>
      <c r="K199" s="13"/>
      <c r="L199" s="14" t="str">
        <f t="shared" si="18"/>
        <v/>
      </c>
      <c r="M199" s="5" t="str">
        <f t="shared" si="16"/>
        <v/>
      </c>
      <c r="N199" s="20" t="str">
        <f>IF(AND(G199="Sim",O199&lt;&gt;"Não",J199&lt;&gt;"Concluída",C199&lt;&gt;""),COUNTIFS($G$5:G199,"Sim",$O$5:O199,"&lt;&gt;Não",$J$5:J199,"&lt;&gt;Concluída",$C$5:C199,"&lt;&gt;"),"")</f>
        <v/>
      </c>
      <c r="O199" s="1"/>
    </row>
    <row r="200" spans="1:15" x14ac:dyDescent="0.35">
      <c r="A200" s="17" t="str">
        <f t="shared" si="17"/>
        <v/>
      </c>
      <c r="B200" s="1"/>
      <c r="C200" s="1"/>
      <c r="D200" s="1"/>
      <c r="E200" s="1"/>
      <c r="F200" s="1"/>
      <c r="G200" s="1"/>
      <c r="H200" s="13"/>
      <c r="I200" s="13"/>
      <c r="J200" s="1"/>
      <c r="K200" s="13"/>
      <c r="L200" s="14" t="str">
        <f t="shared" si="18"/>
        <v/>
      </c>
      <c r="M200" s="5" t="str">
        <f t="shared" si="16"/>
        <v/>
      </c>
      <c r="N200" s="20" t="str">
        <f>IF(AND(G200="Sim",O200&lt;&gt;"Não",J200&lt;&gt;"Concluída",C200&lt;&gt;""),COUNTIFS($G$5:G200,"Sim",$O$5:O200,"&lt;&gt;Não",$J$5:J200,"&lt;&gt;Concluída",$C$5:C200,"&lt;&gt;"),"")</f>
        <v/>
      </c>
      <c r="O200" s="1"/>
    </row>
  </sheetData>
  <autoFilter ref="A4:M200" xr:uid="{00000000-0009-0000-0000-00000A000000}"/>
  <conditionalFormatting sqref="A5:M200">
    <cfRule type="expression" dxfId="3" priority="3">
      <formula>$B5="Trava"</formula>
    </cfRule>
  </conditionalFormatting>
  <conditionalFormatting sqref="M5:M200">
    <cfRule type="cellIs" dxfId="2" priority="2" operator="equal">
      <formula>"VENCIDA"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A00-000000000000}">
          <x14:formula1>
            <xm:f>LISTAS!$C$5:$C$12</xm:f>
          </x14:formula1>
          <x14:formula2>
            <xm:f>0</xm:f>
          </x14:formula2>
          <xm:sqref>B5:B200</xm:sqref>
        </x14:dataValidation>
        <x14:dataValidation type="list" allowBlank="1" xr:uid="{00000000-0002-0000-0A00-000001000000}">
          <x14:formula1>
            <xm:f>LISTAS!$B$5:$B$7</xm:f>
          </x14:formula1>
          <x14:formula2>
            <xm:f>0</xm:f>
          </x14:formula2>
          <xm:sqref>J5:J200</xm:sqref>
        </x14:dataValidation>
        <x14:dataValidation type="list" allowBlank="1" xr:uid="{00000000-0002-0000-0A00-000002000000}">
          <x14:formula1>
            <xm:f>LISTAS!$D$5:$D$6</xm:f>
          </x14:formula1>
          <x14:formula2>
            <xm:f>0</xm:f>
          </x14:formula2>
          <xm:sqref>G5:G200 O5:O200</xm:sqref>
        </x14:dataValidation>
        <x14:dataValidation type="list" allowBlank="1" xr:uid="{00000000-0002-0000-0A00-000004000000}">
          <x14:formula1>
            <xm:f>LISTAS!$J$5:$J$13</xm:f>
          </x14:formula1>
          <x14:formula2>
            <xm:f>0</xm:f>
          </x14:formula2>
          <xm:sqref>F5:F200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7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2" width="20" customWidth="1"/>
    <col min="3" max="3" width="30" customWidth="1"/>
    <col min="4" max="4" width="28" customWidth="1"/>
    <col min="5" max="6" width="11" customWidth="1"/>
    <col min="7" max="8" width="26" customWidth="1"/>
    <col min="9" max="9" width="14" customWidth="1"/>
    <col min="10" max="10" width="28" customWidth="1"/>
    <col min="11" max="11" width="24" customWidth="1"/>
    <col min="12" max="12" width="16" customWidth="1"/>
  </cols>
  <sheetData>
    <row r="1" spans="1:12" ht="18" x14ac:dyDescent="0.4">
      <c r="A1" s="6" t="s">
        <v>614</v>
      </c>
    </row>
    <row r="2" spans="1:12" x14ac:dyDescent="0.35">
      <c r="A2" s="7" t="s">
        <v>615</v>
      </c>
    </row>
    <row r="4" spans="1:12" ht="31.5" customHeight="1" x14ac:dyDescent="0.35">
      <c r="A4" s="15" t="s">
        <v>100</v>
      </c>
      <c r="B4" s="15" t="s">
        <v>563</v>
      </c>
      <c r="C4" s="15" t="s">
        <v>616</v>
      </c>
      <c r="D4" s="15" t="s">
        <v>108</v>
      </c>
      <c r="E4" s="15" t="s">
        <v>617</v>
      </c>
      <c r="F4" s="15" t="s">
        <v>618</v>
      </c>
      <c r="G4" s="15" t="s">
        <v>619</v>
      </c>
      <c r="H4" s="15" t="s">
        <v>620</v>
      </c>
      <c r="I4" s="15" t="s">
        <v>621</v>
      </c>
      <c r="J4" s="15" t="s">
        <v>622</v>
      </c>
      <c r="K4" s="15" t="s">
        <v>623</v>
      </c>
      <c r="L4" s="15" t="s">
        <v>119</v>
      </c>
    </row>
    <row r="5" spans="1:12" ht="25" x14ac:dyDescent="0.35">
      <c r="A5" s="17">
        <v>1</v>
      </c>
      <c r="B5" s="5" t="s">
        <v>624</v>
      </c>
      <c r="C5" s="5" t="s">
        <v>625</v>
      </c>
      <c r="D5" s="5" t="s">
        <v>626</v>
      </c>
      <c r="E5" s="2">
        <f>IF(DataBase+MOD(5-WEEKDAY(DataBase,2),7)+0&gt;FimObra+7,"",WORKDAY(DataBase+MOD(5-WEEKDAY(DataBase,2),7)+0+1,-1,Feriados))</f>
        <v>46325</v>
      </c>
      <c r="F5" s="13"/>
      <c r="G5" s="1"/>
      <c r="H5" s="1"/>
      <c r="I5" s="1"/>
      <c r="J5" s="1"/>
      <c r="K5" s="1"/>
      <c r="L5" s="5" t="str">
        <f t="shared" ref="L5:L36" ca="1" si="0">IF(E5="","",IF(F5&lt;&gt;"",IF(F5&gt;E5,"Enviado com atraso","Enviado no prazo"),IF(DataRef&gt;E5,"ATRASADO",IF(DataRef=E5,"ENVIAR HOJE","Programado"))))</f>
        <v>Programado</v>
      </c>
    </row>
    <row r="6" spans="1:12" ht="25" x14ac:dyDescent="0.35">
      <c r="A6" s="17">
        <v>2</v>
      </c>
      <c r="B6" s="5" t="s">
        <v>624</v>
      </c>
      <c r="C6" s="5" t="s">
        <v>627</v>
      </c>
      <c r="D6" s="5" t="s">
        <v>626</v>
      </c>
      <c r="E6" s="2">
        <f>IF(DataBase+MOD(5-WEEKDAY(DataBase,2),7)+7&gt;FimObra+7,"",WORKDAY(DataBase+MOD(5-WEEKDAY(DataBase,2),7)+7+1,-1,Feriados))</f>
        <v>46332</v>
      </c>
      <c r="F6" s="13"/>
      <c r="G6" s="1"/>
      <c r="H6" s="1"/>
      <c r="I6" s="1"/>
      <c r="J6" s="1"/>
      <c r="K6" s="1"/>
      <c r="L6" s="5" t="str">
        <f t="shared" ca="1" si="0"/>
        <v>Programado</v>
      </c>
    </row>
    <row r="7" spans="1:12" ht="25" x14ac:dyDescent="0.35">
      <c r="A7" s="17">
        <v>3</v>
      </c>
      <c r="B7" s="5" t="s">
        <v>624</v>
      </c>
      <c r="C7" s="5" t="s">
        <v>628</v>
      </c>
      <c r="D7" s="5" t="s">
        <v>626</v>
      </c>
      <c r="E7" s="2">
        <f>IF(DataBase+MOD(5-WEEKDAY(DataBase,2),7)+14&gt;FimObra+7,"",WORKDAY(DataBase+MOD(5-WEEKDAY(DataBase,2),7)+14+1,-1,Feriados))</f>
        <v>46339</v>
      </c>
      <c r="F7" s="13"/>
      <c r="G7" s="1"/>
      <c r="H7" s="1"/>
      <c r="I7" s="1"/>
      <c r="J7" s="1"/>
      <c r="K7" s="1"/>
      <c r="L7" s="5" t="str">
        <f t="shared" ca="1" si="0"/>
        <v>Programado</v>
      </c>
    </row>
    <row r="8" spans="1:12" ht="25" x14ac:dyDescent="0.35">
      <c r="A8" s="17">
        <v>4</v>
      </c>
      <c r="B8" s="5" t="s">
        <v>624</v>
      </c>
      <c r="C8" s="5" t="s">
        <v>629</v>
      </c>
      <c r="D8" s="5" t="s">
        <v>626</v>
      </c>
      <c r="E8" s="2">
        <f>IF(DataBase+MOD(5-WEEKDAY(DataBase,2),7)+21&gt;FimObra+7,"",WORKDAY(DataBase+MOD(5-WEEKDAY(DataBase,2),7)+21+1,-1,Feriados))</f>
        <v>46345</v>
      </c>
      <c r="F8" s="13"/>
      <c r="G8" s="1"/>
      <c r="H8" s="1"/>
      <c r="I8" s="1"/>
      <c r="J8" s="1"/>
      <c r="K8" s="1"/>
      <c r="L8" s="5" t="str">
        <f t="shared" ca="1" si="0"/>
        <v>Programado</v>
      </c>
    </row>
    <row r="9" spans="1:12" ht="25" x14ac:dyDescent="0.35">
      <c r="A9" s="17">
        <v>5</v>
      </c>
      <c r="B9" s="5" t="s">
        <v>624</v>
      </c>
      <c r="C9" s="5" t="s">
        <v>630</v>
      </c>
      <c r="D9" s="5" t="s">
        <v>626</v>
      </c>
      <c r="E9" s="2">
        <f>IF(DataBase+MOD(5-WEEKDAY(DataBase,2),7)+28&gt;FimObra+7,"",WORKDAY(DataBase+MOD(5-WEEKDAY(DataBase,2),7)+28+1,-1,Feriados))</f>
        <v>46353</v>
      </c>
      <c r="F9" s="13"/>
      <c r="G9" s="1"/>
      <c r="H9" s="1"/>
      <c r="I9" s="1"/>
      <c r="J9" s="1"/>
      <c r="K9" s="1"/>
      <c r="L9" s="5" t="str">
        <f t="shared" ca="1" si="0"/>
        <v>Programado</v>
      </c>
    </row>
    <row r="10" spans="1:12" ht="25" x14ac:dyDescent="0.35">
      <c r="A10" s="17">
        <v>6</v>
      </c>
      <c r="B10" s="5" t="s">
        <v>624</v>
      </c>
      <c r="C10" s="5" t="s">
        <v>631</v>
      </c>
      <c r="D10" s="5" t="s">
        <v>626</v>
      </c>
      <c r="E10" s="2">
        <f>IF(DataBase+MOD(5-WEEKDAY(DataBase,2),7)+35&gt;FimObra+7,"",WORKDAY(DataBase+MOD(5-WEEKDAY(DataBase,2),7)+35+1,-1,Feriados))</f>
        <v>46360</v>
      </c>
      <c r="F10" s="13"/>
      <c r="G10" s="1"/>
      <c r="H10" s="1"/>
      <c r="I10" s="1"/>
      <c r="J10" s="1"/>
      <c r="K10" s="1"/>
      <c r="L10" s="5" t="str">
        <f t="shared" ca="1" si="0"/>
        <v>Programado</v>
      </c>
    </row>
    <row r="11" spans="1:12" ht="25" x14ac:dyDescent="0.35">
      <c r="A11" s="17">
        <v>7</v>
      </c>
      <c r="B11" s="5" t="s">
        <v>624</v>
      </c>
      <c r="C11" s="5" t="s">
        <v>632</v>
      </c>
      <c r="D11" s="5" t="s">
        <v>626</v>
      </c>
      <c r="E11" s="2">
        <f>IF(DataBase+MOD(5-WEEKDAY(DataBase,2),7)+42&gt;FimObra+7,"",WORKDAY(DataBase+MOD(5-WEEKDAY(DataBase,2),7)+42+1,-1,Feriados))</f>
        <v>46367</v>
      </c>
      <c r="F11" s="13"/>
      <c r="G11" s="1"/>
      <c r="H11" s="1"/>
      <c r="I11" s="1"/>
      <c r="J11" s="1"/>
      <c r="K11" s="1"/>
      <c r="L11" s="5" t="str">
        <f t="shared" ca="1" si="0"/>
        <v>Programado</v>
      </c>
    </row>
    <row r="12" spans="1:12" ht="25" x14ac:dyDescent="0.35">
      <c r="A12" s="17">
        <v>8</v>
      </c>
      <c r="B12" s="5" t="s">
        <v>624</v>
      </c>
      <c r="C12" s="5" t="s">
        <v>633</v>
      </c>
      <c r="D12" s="5" t="s">
        <v>626</v>
      </c>
      <c r="E12" s="2">
        <f>IF(DataBase+MOD(5-WEEKDAY(DataBase,2),7)+49&gt;FimObra+7,"",WORKDAY(DataBase+MOD(5-WEEKDAY(DataBase,2),7)+49+1,-1,Feriados))</f>
        <v>46374</v>
      </c>
      <c r="F12" s="13"/>
      <c r="G12" s="1"/>
      <c r="H12" s="1"/>
      <c r="I12" s="1"/>
      <c r="J12" s="1"/>
      <c r="K12" s="1"/>
      <c r="L12" s="5" t="str">
        <f t="shared" ca="1" si="0"/>
        <v>Programado</v>
      </c>
    </row>
    <row r="13" spans="1:12" ht="25" x14ac:dyDescent="0.35">
      <c r="A13" s="17">
        <v>9</v>
      </c>
      <c r="B13" s="5" t="s">
        <v>624</v>
      </c>
      <c r="C13" s="5" t="s">
        <v>634</v>
      </c>
      <c r="D13" s="5" t="s">
        <v>626</v>
      </c>
      <c r="E13" s="2">
        <f>IF(DataBase+MOD(5-WEEKDAY(DataBase,2),7)+56&gt;FimObra+7,"",WORKDAY(DataBase+MOD(5-WEEKDAY(DataBase,2),7)+56+1,-1,Feriados))</f>
        <v>46380</v>
      </c>
      <c r="F13" s="13"/>
      <c r="G13" s="1"/>
      <c r="H13" s="1"/>
      <c r="I13" s="1"/>
      <c r="J13" s="1"/>
      <c r="K13" s="1"/>
      <c r="L13" s="5" t="str">
        <f t="shared" ca="1" si="0"/>
        <v>Programado</v>
      </c>
    </row>
    <row r="14" spans="1:12" ht="25" x14ac:dyDescent="0.35">
      <c r="A14" s="17">
        <v>10</v>
      </c>
      <c r="B14" s="5" t="s">
        <v>624</v>
      </c>
      <c r="C14" s="5" t="s">
        <v>635</v>
      </c>
      <c r="D14" s="5" t="s">
        <v>626</v>
      </c>
      <c r="E14" s="2">
        <f>IF(DataBase+MOD(5-WEEKDAY(DataBase,2),7)+63&gt;FimObra+7,"",WORKDAY(DataBase+MOD(5-WEEKDAY(DataBase,2),7)+63+1,-1,Feriados))</f>
        <v>46387</v>
      </c>
      <c r="F14" s="13"/>
      <c r="G14" s="1"/>
      <c r="H14" s="1"/>
      <c r="I14" s="1"/>
      <c r="J14" s="1"/>
      <c r="K14" s="1"/>
      <c r="L14" s="5" t="str">
        <f t="shared" ca="1" si="0"/>
        <v>Programado</v>
      </c>
    </row>
    <row r="15" spans="1:12" ht="25" x14ac:dyDescent="0.35">
      <c r="A15" s="17">
        <v>11</v>
      </c>
      <c r="B15" s="5" t="s">
        <v>624</v>
      </c>
      <c r="C15" s="5" t="s">
        <v>636</v>
      </c>
      <c r="D15" s="5" t="s">
        <v>626</v>
      </c>
      <c r="E15" s="2">
        <f>IF(DataBase+MOD(5-WEEKDAY(DataBase,2),7)+70&gt;FimObra+7,"",WORKDAY(DataBase+MOD(5-WEEKDAY(DataBase,2),7)+70+1,-1,Feriados))</f>
        <v>46395</v>
      </c>
      <c r="F15" s="13"/>
      <c r="G15" s="1"/>
      <c r="H15" s="1"/>
      <c r="I15" s="1"/>
      <c r="J15" s="1"/>
      <c r="K15" s="1"/>
      <c r="L15" s="5" t="str">
        <f t="shared" ca="1" si="0"/>
        <v>Programado</v>
      </c>
    </row>
    <row r="16" spans="1:12" ht="25" x14ac:dyDescent="0.35">
      <c r="A16" s="17">
        <v>12</v>
      </c>
      <c r="B16" s="5" t="s">
        <v>624</v>
      </c>
      <c r="C16" s="5" t="s">
        <v>637</v>
      </c>
      <c r="D16" s="5" t="s">
        <v>626</v>
      </c>
      <c r="E16" s="2">
        <f>IF(DataBase+MOD(5-WEEKDAY(DataBase,2),7)+77&gt;FimObra+7,"",WORKDAY(DataBase+MOD(5-WEEKDAY(DataBase,2),7)+77+1,-1,Feriados))</f>
        <v>46402</v>
      </c>
      <c r="F16" s="13"/>
      <c r="G16" s="1"/>
      <c r="H16" s="1"/>
      <c r="I16" s="1"/>
      <c r="J16" s="1"/>
      <c r="K16" s="1"/>
      <c r="L16" s="5" t="str">
        <f t="shared" ca="1" si="0"/>
        <v>Programado</v>
      </c>
    </row>
    <row r="17" spans="1:12" ht="25" x14ac:dyDescent="0.35">
      <c r="A17" s="17">
        <v>13</v>
      </c>
      <c r="B17" s="5" t="s">
        <v>624</v>
      </c>
      <c r="C17" s="5" t="s">
        <v>638</v>
      </c>
      <c r="D17" s="5" t="s">
        <v>626</v>
      </c>
      <c r="E17" s="2">
        <f>IF(DataBase+MOD(5-WEEKDAY(DataBase,2),7)+84&gt;FimObra+7,"",WORKDAY(DataBase+MOD(5-WEEKDAY(DataBase,2),7)+84+1,-1,Feriados))</f>
        <v>46409</v>
      </c>
      <c r="F17" s="13"/>
      <c r="G17" s="1"/>
      <c r="H17" s="1"/>
      <c r="I17" s="1"/>
      <c r="J17" s="1"/>
      <c r="K17" s="1"/>
      <c r="L17" s="5" t="str">
        <f t="shared" ca="1" si="0"/>
        <v>Programado</v>
      </c>
    </row>
    <row r="18" spans="1:12" ht="25" x14ac:dyDescent="0.35">
      <c r="A18" s="17">
        <v>14</v>
      </c>
      <c r="B18" s="5" t="s">
        <v>624</v>
      </c>
      <c r="C18" s="5" t="s">
        <v>639</v>
      </c>
      <c r="D18" s="5" t="s">
        <v>626</v>
      </c>
      <c r="E18" s="2">
        <f>IF(DataBase+MOD(5-WEEKDAY(DataBase,2),7)+91&gt;FimObra+7,"",WORKDAY(DataBase+MOD(5-WEEKDAY(DataBase,2),7)+91+1,-1,Feriados))</f>
        <v>46416</v>
      </c>
      <c r="F18" s="13"/>
      <c r="G18" s="1"/>
      <c r="H18" s="1"/>
      <c r="I18" s="1"/>
      <c r="J18" s="1"/>
      <c r="K18" s="1"/>
      <c r="L18" s="5" t="str">
        <f t="shared" ca="1" si="0"/>
        <v>Programado</v>
      </c>
    </row>
    <row r="19" spans="1:12" ht="25" x14ac:dyDescent="0.35">
      <c r="A19" s="17">
        <v>15</v>
      </c>
      <c r="B19" s="5" t="s">
        <v>624</v>
      </c>
      <c r="C19" s="5" t="s">
        <v>640</v>
      </c>
      <c r="D19" s="5" t="s">
        <v>626</v>
      </c>
      <c r="E19" s="2" t="str">
        <f>IF(DataBase+MOD(5-WEEKDAY(DataBase,2),7)+98&gt;FimObra+7,"",WORKDAY(DataBase+MOD(5-WEEKDAY(DataBase,2),7)+98+1,-1,Feriados))</f>
        <v/>
      </c>
      <c r="F19" s="13"/>
      <c r="G19" s="1"/>
      <c r="H19" s="1"/>
      <c r="I19" s="1"/>
      <c r="J19" s="1"/>
      <c r="K19" s="1"/>
      <c r="L19" s="5" t="str">
        <f t="shared" si="0"/>
        <v/>
      </c>
    </row>
    <row r="20" spans="1:12" ht="25" x14ac:dyDescent="0.35">
      <c r="A20" s="17">
        <v>16</v>
      </c>
      <c r="B20" s="5" t="s">
        <v>624</v>
      </c>
      <c r="C20" s="5" t="s">
        <v>641</v>
      </c>
      <c r="D20" s="5" t="s">
        <v>626</v>
      </c>
      <c r="E20" s="2" t="str">
        <f>IF(DataBase+MOD(5-WEEKDAY(DataBase,2),7)+105&gt;FimObra+7,"",WORKDAY(DataBase+MOD(5-WEEKDAY(DataBase,2),7)+105+1,-1,Feriados))</f>
        <v/>
      </c>
      <c r="F20" s="13"/>
      <c r="G20" s="1"/>
      <c r="H20" s="1"/>
      <c r="I20" s="1"/>
      <c r="J20" s="1"/>
      <c r="K20" s="1"/>
      <c r="L20" s="5" t="str">
        <f t="shared" si="0"/>
        <v/>
      </c>
    </row>
    <row r="21" spans="1:12" ht="25" x14ac:dyDescent="0.35">
      <c r="A21" s="17">
        <v>17</v>
      </c>
      <c r="B21" s="5" t="s">
        <v>642</v>
      </c>
      <c r="C21" s="5" t="s">
        <v>643</v>
      </c>
      <c r="D21" s="5" t="s">
        <v>644</v>
      </c>
      <c r="E21" s="2">
        <f>IF(EOMONTH(DataBase,0)&gt;EOMONTH(FimObra,0),"",WORKDAY(EOMONTH(DataBase,0)+1,-1,Feriados))</f>
        <v>46325</v>
      </c>
      <c r="F21" s="13"/>
      <c r="G21" s="1"/>
      <c r="H21" s="1"/>
      <c r="I21" s="1"/>
      <c r="J21" s="1"/>
      <c r="K21" s="1"/>
      <c r="L21" s="5" t="str">
        <f t="shared" ca="1" si="0"/>
        <v>Programado</v>
      </c>
    </row>
    <row r="22" spans="1:12" ht="25" x14ac:dyDescent="0.35">
      <c r="A22" s="17">
        <v>18</v>
      </c>
      <c r="B22" s="5" t="s">
        <v>642</v>
      </c>
      <c r="C22" s="5" t="s">
        <v>645</v>
      </c>
      <c r="D22" s="5" t="s">
        <v>644</v>
      </c>
      <c r="E22" s="2">
        <f>IF(EOMONTH(DataBase,1)&gt;EOMONTH(FimObra,0),"",WORKDAY(EOMONTH(DataBase,1)+1,-1,Feriados))</f>
        <v>46356</v>
      </c>
      <c r="F22" s="13"/>
      <c r="G22" s="1"/>
      <c r="H22" s="1"/>
      <c r="I22" s="1"/>
      <c r="J22" s="1"/>
      <c r="K22" s="1"/>
      <c r="L22" s="5" t="str">
        <f t="shared" ca="1" si="0"/>
        <v>Programado</v>
      </c>
    </row>
    <row r="23" spans="1:12" ht="25" x14ac:dyDescent="0.35">
      <c r="A23" s="17">
        <v>19</v>
      </c>
      <c r="B23" s="5" t="s">
        <v>642</v>
      </c>
      <c r="C23" s="5" t="s">
        <v>646</v>
      </c>
      <c r="D23" s="5" t="s">
        <v>644</v>
      </c>
      <c r="E23" s="2">
        <f>IF(EOMONTH(DataBase,2)&gt;EOMONTH(FimObra,0),"",WORKDAY(EOMONTH(DataBase,2)+1,-1,Feriados))</f>
        <v>46387</v>
      </c>
      <c r="F23" s="13"/>
      <c r="G23" s="1"/>
      <c r="H23" s="1"/>
      <c r="I23" s="1"/>
      <c r="J23" s="1"/>
      <c r="K23" s="1"/>
      <c r="L23" s="5" t="str">
        <f t="shared" ca="1" si="0"/>
        <v>Programado</v>
      </c>
    </row>
    <row r="24" spans="1:12" ht="25" x14ac:dyDescent="0.35">
      <c r="A24" s="17">
        <v>20</v>
      </c>
      <c r="B24" s="5" t="s">
        <v>642</v>
      </c>
      <c r="C24" s="5" t="s">
        <v>647</v>
      </c>
      <c r="D24" s="5" t="s">
        <v>644</v>
      </c>
      <c r="E24" s="2">
        <f>IF(EOMONTH(DataBase,3)&gt;EOMONTH(FimObra,0),"",WORKDAY(EOMONTH(DataBase,3)+1,-1,Feriados))</f>
        <v>46416</v>
      </c>
      <c r="F24" s="13"/>
      <c r="G24" s="1"/>
      <c r="H24" s="1"/>
      <c r="I24" s="1"/>
      <c r="J24" s="1"/>
      <c r="K24" s="1"/>
      <c r="L24" s="5" t="str">
        <f t="shared" ca="1" si="0"/>
        <v>Programado</v>
      </c>
    </row>
    <row r="25" spans="1:12" ht="25" x14ac:dyDescent="0.35">
      <c r="A25" s="17">
        <v>21</v>
      </c>
      <c r="B25" s="5" t="s">
        <v>642</v>
      </c>
      <c r="C25" s="5" t="s">
        <v>648</v>
      </c>
      <c r="D25" s="5" t="s">
        <v>644</v>
      </c>
      <c r="E25" s="2" t="str">
        <f>IF(EOMONTH(DataBase,4)&gt;EOMONTH(FimObra,0),"",WORKDAY(EOMONTH(DataBase,4)+1,-1,Feriados))</f>
        <v/>
      </c>
      <c r="F25" s="13"/>
      <c r="G25" s="1"/>
      <c r="H25" s="1"/>
      <c r="I25" s="1"/>
      <c r="J25" s="1"/>
      <c r="K25" s="1"/>
      <c r="L25" s="5" t="str">
        <f t="shared" si="0"/>
        <v/>
      </c>
    </row>
    <row r="26" spans="1:12" ht="25" x14ac:dyDescent="0.35">
      <c r="A26" s="17">
        <v>22</v>
      </c>
      <c r="B26" s="5" t="s">
        <v>649</v>
      </c>
      <c r="C26" s="5" t="s">
        <v>650</v>
      </c>
      <c r="D26" s="5" t="s">
        <v>575</v>
      </c>
      <c r="E26" s="2">
        <f>_xlfn.MAXIFS(CRONOGRAMA!$K$5:$K$32,CRONOGRAMA!$C$5:$C$32,"1 – Mobilização e isolamento")</f>
        <v>46329</v>
      </c>
      <c r="F26" s="13"/>
      <c r="G26" s="1"/>
      <c r="H26" s="1"/>
      <c r="I26" s="1"/>
      <c r="J26" s="1"/>
      <c r="K26" s="1"/>
      <c r="L26" s="5" t="str">
        <f t="shared" ca="1" si="0"/>
        <v>Programado</v>
      </c>
    </row>
    <row r="27" spans="1:12" ht="25" x14ac:dyDescent="0.35">
      <c r="A27" s="17">
        <v>23</v>
      </c>
      <c r="B27" s="5" t="s">
        <v>649</v>
      </c>
      <c r="C27" s="5" t="s">
        <v>651</v>
      </c>
      <c r="D27" s="5" t="s">
        <v>575</v>
      </c>
      <c r="E27" s="2">
        <f>_xlfn.MAXIFS(CRONOGRAMA!$K$5:$K$32,CRONOGRAMA!$C$5:$C$32,"2 – Estabilização")</f>
        <v>46330</v>
      </c>
      <c r="F27" s="13"/>
      <c r="G27" s="1"/>
      <c r="H27" s="1"/>
      <c r="I27" s="1"/>
      <c r="J27" s="1"/>
      <c r="K27" s="1"/>
      <c r="L27" s="5" t="str">
        <f t="shared" ca="1" si="0"/>
        <v>Programado</v>
      </c>
    </row>
    <row r="28" spans="1:12" ht="25" x14ac:dyDescent="0.35">
      <c r="A28" s="17">
        <v>24</v>
      </c>
      <c r="B28" s="5" t="s">
        <v>649</v>
      </c>
      <c r="C28" s="5" t="s">
        <v>652</v>
      </c>
      <c r="D28" s="5" t="s">
        <v>575</v>
      </c>
      <c r="E28" s="2">
        <f>_xlfn.MAXIFS(CRONOGRAMA!$K$5:$K$32,CRONOGRAMA!$C$5:$C$32,"3 – Investigação e projeto")</f>
        <v>46359</v>
      </c>
      <c r="F28" s="13"/>
      <c r="G28" s="1"/>
      <c r="H28" s="1"/>
      <c r="I28" s="1"/>
      <c r="J28" s="1"/>
      <c r="K28" s="1"/>
      <c r="L28" s="5" t="str">
        <f t="shared" ca="1" si="0"/>
        <v>Programado</v>
      </c>
    </row>
    <row r="29" spans="1:12" ht="25" x14ac:dyDescent="0.35">
      <c r="A29" s="17">
        <v>25</v>
      </c>
      <c r="B29" s="5" t="s">
        <v>649</v>
      </c>
      <c r="C29" s="5" t="s">
        <v>653</v>
      </c>
      <c r="D29" s="5" t="s">
        <v>575</v>
      </c>
      <c r="E29" s="2">
        <f>_xlfn.MAXIFS(CRONOGRAMA!$K$5:$K$32,CRONOGRAMA!$C$5:$C$32,"4 – Desmobilização e demolição")</f>
        <v>46370</v>
      </c>
      <c r="F29" s="13"/>
      <c r="G29" s="1"/>
      <c r="H29" s="1"/>
      <c r="I29" s="1"/>
      <c r="J29" s="1"/>
      <c r="K29" s="1"/>
      <c r="L29" s="5" t="str">
        <f t="shared" ca="1" si="0"/>
        <v>Programado</v>
      </c>
    </row>
    <row r="30" spans="1:12" ht="25" x14ac:dyDescent="0.35">
      <c r="A30" s="17">
        <v>26</v>
      </c>
      <c r="B30" s="5" t="s">
        <v>649</v>
      </c>
      <c r="C30" s="5" t="s">
        <v>654</v>
      </c>
      <c r="D30" s="5" t="s">
        <v>575</v>
      </c>
      <c r="E30" s="2">
        <f>_xlfn.MAXIFS(CRONOGRAMA!$K$5:$K$32,CRONOGRAMA!$C$5:$C$32,"5 – Reforço e reconstrução")</f>
        <v>46412</v>
      </c>
      <c r="F30" s="13"/>
      <c r="G30" s="1"/>
      <c r="H30" s="1"/>
      <c r="I30" s="1"/>
      <c r="J30" s="1"/>
      <c r="K30" s="1"/>
      <c r="L30" s="5" t="str">
        <f t="shared" ca="1" si="0"/>
        <v>Programado</v>
      </c>
    </row>
    <row r="31" spans="1:12" ht="25" x14ac:dyDescent="0.35">
      <c r="A31" s="17">
        <v>27</v>
      </c>
      <c r="B31" s="5" t="s">
        <v>649</v>
      </c>
      <c r="C31" s="5" t="s">
        <v>655</v>
      </c>
      <c r="D31" s="5" t="s">
        <v>575</v>
      </c>
      <c r="E31" s="2">
        <f>_xlfn.MAXIFS(CRONOGRAMA!$K$5:$K$32,CRONOGRAMA!$C$5:$C$32,"6 – Acabamentos e entrega")</f>
        <v>46415</v>
      </c>
      <c r="F31" s="13"/>
      <c r="G31" s="1"/>
      <c r="H31" s="1"/>
      <c r="I31" s="1"/>
      <c r="J31" s="1"/>
      <c r="K31" s="1"/>
      <c r="L31" s="5" t="str">
        <f t="shared" ca="1" si="0"/>
        <v>Programado</v>
      </c>
    </row>
    <row r="32" spans="1:12" ht="25" x14ac:dyDescent="0.35">
      <c r="A32" s="17">
        <v>28</v>
      </c>
      <c r="B32" s="5" t="s">
        <v>649</v>
      </c>
      <c r="C32" s="5" t="s">
        <v>656</v>
      </c>
      <c r="D32" s="5" t="s">
        <v>575</v>
      </c>
      <c r="E32" s="2">
        <f>_xlfn.MAXIFS(CRONOGRAMA!$K$5:$K$32,CRONOGRAMA!$C$5:$C$32,"R – Reforma light")</f>
        <v>46406</v>
      </c>
      <c r="F32" s="13"/>
      <c r="G32" s="1"/>
      <c r="H32" s="1"/>
      <c r="I32" s="1"/>
      <c r="J32" s="1"/>
      <c r="K32" s="1"/>
      <c r="L32" s="5" t="str">
        <f t="shared" ca="1" si="0"/>
        <v>Programado</v>
      </c>
    </row>
    <row r="33" spans="1:12" ht="25" x14ac:dyDescent="0.35">
      <c r="A33" s="17">
        <v>29</v>
      </c>
      <c r="B33" s="5" t="s">
        <v>657</v>
      </c>
      <c r="C33" s="5" t="s">
        <v>658</v>
      </c>
      <c r="D33" s="5" t="s">
        <v>659</v>
      </c>
      <c r="E33" s="2">
        <f>FimObra</f>
        <v>46415</v>
      </c>
      <c r="F33" s="13"/>
      <c r="G33" s="1"/>
      <c r="H33" s="1"/>
      <c r="I33" s="1"/>
      <c r="J33" s="1"/>
      <c r="K33" s="1"/>
      <c r="L33" s="5" t="str">
        <f t="shared" ca="1" si="0"/>
        <v>Programado</v>
      </c>
    </row>
    <row r="34" spans="1:12" x14ac:dyDescent="0.35">
      <c r="A34" s="17">
        <v>30</v>
      </c>
      <c r="B34" s="5" t="s">
        <v>660</v>
      </c>
      <c r="C34" s="5" t="s">
        <v>661</v>
      </c>
      <c r="D34" s="5" t="s">
        <v>662</v>
      </c>
      <c r="E34" s="2">
        <f>IF(WORKDAY(DataBase-1,1,Feriados)&gt;FimObra,"",WORKDAY(DataBase-1,1,Feriados))</f>
        <v>46321</v>
      </c>
      <c r="F34" s="13"/>
      <c r="G34" s="1"/>
      <c r="H34" s="1"/>
      <c r="I34" s="1"/>
      <c r="J34" s="1"/>
      <c r="K34" s="1"/>
      <c r="L34" s="5" t="str">
        <f t="shared" ca="1" si="0"/>
        <v>Programado</v>
      </c>
    </row>
    <row r="35" spans="1:12" x14ac:dyDescent="0.35">
      <c r="A35" s="17">
        <v>31</v>
      </c>
      <c r="B35" s="5" t="s">
        <v>660</v>
      </c>
      <c r="C35" s="5" t="s">
        <v>663</v>
      </c>
      <c r="D35" s="5" t="s">
        <v>662</v>
      </c>
      <c r="E35" s="2">
        <f>IF(WORKDAY(DataBase-1,2,Feriados)&gt;FimObra,"",WORKDAY(DataBase-1,2,Feriados))</f>
        <v>46322</v>
      </c>
      <c r="F35" s="13"/>
      <c r="G35" s="1"/>
      <c r="H35" s="1"/>
      <c r="I35" s="1"/>
      <c r="J35" s="1"/>
      <c r="K35" s="1"/>
      <c r="L35" s="5" t="str">
        <f t="shared" ca="1" si="0"/>
        <v>Programado</v>
      </c>
    </row>
    <row r="36" spans="1:12" x14ac:dyDescent="0.35">
      <c r="A36" s="17">
        <v>32</v>
      </c>
      <c r="B36" s="5" t="s">
        <v>660</v>
      </c>
      <c r="C36" s="5" t="s">
        <v>664</v>
      </c>
      <c r="D36" s="5" t="s">
        <v>662</v>
      </c>
      <c r="E36" s="2">
        <f>IF(WORKDAY(DataBase-1,3,Feriados)&gt;FimObra,"",WORKDAY(DataBase-1,3,Feriados))</f>
        <v>46323</v>
      </c>
      <c r="F36" s="13"/>
      <c r="G36" s="1"/>
      <c r="H36" s="1"/>
      <c r="I36" s="1"/>
      <c r="J36" s="1"/>
      <c r="K36" s="1"/>
      <c r="L36" s="5" t="str">
        <f t="shared" ca="1" si="0"/>
        <v>Programado</v>
      </c>
    </row>
    <row r="37" spans="1:12" x14ac:dyDescent="0.35">
      <c r="A37" s="17">
        <v>33</v>
      </c>
      <c r="B37" s="5" t="s">
        <v>660</v>
      </c>
      <c r="C37" s="5" t="s">
        <v>665</v>
      </c>
      <c r="D37" s="5" t="s">
        <v>662</v>
      </c>
      <c r="E37" s="2">
        <f>IF(WORKDAY(DataBase-1,4,Feriados)&gt;FimObra,"",WORKDAY(DataBase-1,4,Feriados))</f>
        <v>46324</v>
      </c>
      <c r="F37" s="13"/>
      <c r="G37" s="1"/>
      <c r="H37" s="1"/>
      <c r="I37" s="1"/>
      <c r="J37" s="1"/>
      <c r="K37" s="1"/>
      <c r="L37" s="5" t="str">
        <f t="shared" ref="L37:L68" ca="1" si="1">IF(E37="","",IF(F37&lt;&gt;"",IF(F37&gt;E37,"Enviado com atraso","Enviado no prazo"),IF(DataRef&gt;E37,"ATRASADO",IF(DataRef=E37,"ENVIAR HOJE","Programado"))))</f>
        <v>Programado</v>
      </c>
    </row>
    <row r="38" spans="1:12" x14ac:dyDescent="0.35">
      <c r="A38" s="17">
        <v>34</v>
      </c>
      <c r="B38" s="5" t="s">
        <v>660</v>
      </c>
      <c r="C38" s="5" t="s">
        <v>666</v>
      </c>
      <c r="D38" s="5" t="s">
        <v>662</v>
      </c>
      <c r="E38" s="2">
        <f>IF(WORKDAY(DataBase-1,5,Feriados)&gt;FimObra,"",WORKDAY(DataBase-1,5,Feriados))</f>
        <v>46325</v>
      </c>
      <c r="F38" s="13"/>
      <c r="G38" s="1"/>
      <c r="H38" s="1"/>
      <c r="I38" s="1"/>
      <c r="J38" s="1"/>
      <c r="K38" s="1"/>
      <c r="L38" s="5" t="str">
        <f t="shared" ca="1" si="1"/>
        <v>Programado</v>
      </c>
    </row>
    <row r="39" spans="1:12" x14ac:dyDescent="0.35">
      <c r="A39" s="17">
        <v>35</v>
      </c>
      <c r="B39" s="5" t="s">
        <v>660</v>
      </c>
      <c r="C39" s="5" t="s">
        <v>667</v>
      </c>
      <c r="D39" s="5" t="s">
        <v>662</v>
      </c>
      <c r="E39" s="2">
        <f>IF(WORKDAY(DataBase-1,6,Feriados)&gt;FimObra,"",WORKDAY(DataBase-1,6,Feriados))</f>
        <v>46329</v>
      </c>
      <c r="F39" s="13"/>
      <c r="G39" s="1"/>
      <c r="H39" s="1"/>
      <c r="I39" s="1"/>
      <c r="J39" s="1"/>
      <c r="K39" s="1"/>
      <c r="L39" s="5" t="str">
        <f t="shared" ca="1" si="1"/>
        <v>Programado</v>
      </c>
    </row>
    <row r="40" spans="1:12" x14ac:dyDescent="0.35">
      <c r="A40" s="17">
        <v>36</v>
      </c>
      <c r="B40" s="5" t="s">
        <v>660</v>
      </c>
      <c r="C40" s="5" t="s">
        <v>668</v>
      </c>
      <c r="D40" s="5" t="s">
        <v>662</v>
      </c>
      <c r="E40" s="2">
        <f>IF(WORKDAY(DataBase-1,7,Feriados)&gt;FimObra,"",WORKDAY(DataBase-1,7,Feriados))</f>
        <v>46330</v>
      </c>
      <c r="F40" s="13"/>
      <c r="G40" s="1"/>
      <c r="H40" s="1"/>
      <c r="I40" s="1"/>
      <c r="J40" s="1"/>
      <c r="K40" s="1"/>
      <c r="L40" s="5" t="str">
        <f t="shared" ca="1" si="1"/>
        <v>Programado</v>
      </c>
    </row>
    <row r="41" spans="1:12" x14ac:dyDescent="0.35">
      <c r="A41" s="17">
        <v>37</v>
      </c>
      <c r="B41" s="5" t="s">
        <v>660</v>
      </c>
      <c r="C41" s="5" t="s">
        <v>669</v>
      </c>
      <c r="D41" s="5" t="s">
        <v>662</v>
      </c>
      <c r="E41" s="2">
        <f>IF(WORKDAY(DataBase-1,8,Feriados)&gt;FimObra,"",WORKDAY(DataBase-1,8,Feriados))</f>
        <v>46331</v>
      </c>
      <c r="F41" s="13"/>
      <c r="G41" s="1"/>
      <c r="H41" s="1"/>
      <c r="I41" s="1"/>
      <c r="J41" s="1"/>
      <c r="K41" s="1"/>
      <c r="L41" s="5" t="str">
        <f t="shared" ca="1" si="1"/>
        <v>Programado</v>
      </c>
    </row>
    <row r="42" spans="1:12" x14ac:dyDescent="0.35">
      <c r="A42" s="17">
        <v>38</v>
      </c>
      <c r="B42" s="5" t="s">
        <v>660</v>
      </c>
      <c r="C42" s="5" t="s">
        <v>670</v>
      </c>
      <c r="D42" s="5" t="s">
        <v>662</v>
      </c>
      <c r="E42" s="2">
        <f>IF(WORKDAY(DataBase-1,9,Feriados)&gt;FimObra,"",WORKDAY(DataBase-1,9,Feriados))</f>
        <v>46332</v>
      </c>
      <c r="F42" s="13"/>
      <c r="G42" s="1"/>
      <c r="H42" s="1"/>
      <c r="I42" s="1"/>
      <c r="J42" s="1"/>
      <c r="K42" s="1"/>
      <c r="L42" s="5" t="str">
        <f t="shared" ca="1" si="1"/>
        <v>Programado</v>
      </c>
    </row>
    <row r="43" spans="1:12" x14ac:dyDescent="0.35">
      <c r="A43" s="17">
        <v>39</v>
      </c>
      <c r="B43" s="5" t="s">
        <v>660</v>
      </c>
      <c r="C43" s="5" t="s">
        <v>671</v>
      </c>
      <c r="D43" s="5" t="s">
        <v>662</v>
      </c>
      <c r="E43" s="2">
        <f>IF(WORKDAY(DataBase-1,10,Feriados)&gt;FimObra,"",WORKDAY(DataBase-1,10,Feriados))</f>
        <v>46335</v>
      </c>
      <c r="F43" s="13"/>
      <c r="G43" s="1"/>
      <c r="H43" s="1"/>
      <c r="I43" s="1"/>
      <c r="J43" s="1"/>
      <c r="K43" s="1"/>
      <c r="L43" s="5" t="str">
        <f t="shared" ca="1" si="1"/>
        <v>Programado</v>
      </c>
    </row>
    <row r="44" spans="1:12" x14ac:dyDescent="0.35">
      <c r="A44" s="17">
        <v>40</v>
      </c>
      <c r="B44" s="5" t="s">
        <v>660</v>
      </c>
      <c r="C44" s="5" t="s">
        <v>672</v>
      </c>
      <c r="D44" s="5" t="s">
        <v>662</v>
      </c>
      <c r="E44" s="2">
        <f>IF(WORKDAY(DataBase-1,11,Feriados)&gt;FimObra,"",WORKDAY(DataBase-1,11,Feriados))</f>
        <v>46336</v>
      </c>
      <c r="F44" s="13"/>
      <c r="G44" s="1"/>
      <c r="H44" s="1"/>
      <c r="I44" s="1"/>
      <c r="J44" s="1"/>
      <c r="K44" s="1"/>
      <c r="L44" s="5" t="str">
        <f t="shared" ca="1" si="1"/>
        <v>Programado</v>
      </c>
    </row>
    <row r="45" spans="1:12" x14ac:dyDescent="0.35">
      <c r="A45" s="17">
        <v>41</v>
      </c>
      <c r="B45" s="5" t="s">
        <v>660</v>
      </c>
      <c r="C45" s="5" t="s">
        <v>673</v>
      </c>
      <c r="D45" s="5" t="s">
        <v>662</v>
      </c>
      <c r="E45" s="2">
        <f>IF(WORKDAY(DataBase-1,12,Feriados)&gt;FimObra,"",WORKDAY(DataBase-1,12,Feriados))</f>
        <v>46337</v>
      </c>
      <c r="F45" s="13"/>
      <c r="G45" s="1"/>
      <c r="H45" s="1"/>
      <c r="I45" s="1"/>
      <c r="J45" s="1"/>
      <c r="K45" s="1"/>
      <c r="L45" s="5" t="str">
        <f t="shared" ca="1" si="1"/>
        <v>Programado</v>
      </c>
    </row>
    <row r="46" spans="1:12" x14ac:dyDescent="0.35">
      <c r="A46" s="17">
        <v>42</v>
      </c>
      <c r="B46" s="5" t="s">
        <v>660</v>
      </c>
      <c r="C46" s="5" t="s">
        <v>674</v>
      </c>
      <c r="D46" s="5" t="s">
        <v>662</v>
      </c>
      <c r="E46" s="2">
        <f>IF(WORKDAY(DataBase-1,13,Feriados)&gt;FimObra,"",WORKDAY(DataBase-1,13,Feriados))</f>
        <v>46338</v>
      </c>
      <c r="F46" s="13"/>
      <c r="G46" s="1"/>
      <c r="H46" s="1"/>
      <c r="I46" s="1"/>
      <c r="J46" s="1"/>
      <c r="K46" s="1"/>
      <c r="L46" s="5" t="str">
        <f t="shared" ca="1" si="1"/>
        <v>Programado</v>
      </c>
    </row>
    <row r="47" spans="1:12" x14ac:dyDescent="0.35">
      <c r="A47" s="17">
        <v>43</v>
      </c>
      <c r="B47" s="5" t="s">
        <v>660</v>
      </c>
      <c r="C47" s="5" t="s">
        <v>675</v>
      </c>
      <c r="D47" s="5" t="s">
        <v>662</v>
      </c>
      <c r="E47" s="2">
        <f>IF(WORKDAY(DataBase-1,14,Feriados)&gt;FimObra,"",WORKDAY(DataBase-1,14,Feriados))</f>
        <v>46339</v>
      </c>
      <c r="F47" s="13"/>
      <c r="G47" s="1"/>
      <c r="H47" s="1"/>
      <c r="I47" s="1"/>
      <c r="J47" s="1"/>
      <c r="K47" s="1"/>
      <c r="L47" s="5" t="str">
        <f t="shared" ca="1" si="1"/>
        <v>Programado</v>
      </c>
    </row>
    <row r="48" spans="1:12" x14ac:dyDescent="0.35">
      <c r="A48" s="17">
        <v>44</v>
      </c>
      <c r="B48" s="5" t="s">
        <v>660</v>
      </c>
      <c r="C48" s="5" t="s">
        <v>676</v>
      </c>
      <c r="D48" s="5" t="s">
        <v>662</v>
      </c>
      <c r="E48" s="2">
        <f>IF(WORKDAY(DataBase-1,15,Feriados)&gt;FimObra,"",WORKDAY(DataBase-1,15,Feriados))</f>
        <v>46342</v>
      </c>
      <c r="F48" s="13"/>
      <c r="G48" s="1"/>
      <c r="H48" s="1"/>
      <c r="I48" s="1"/>
      <c r="J48" s="1"/>
      <c r="K48" s="1"/>
      <c r="L48" s="5" t="str">
        <f t="shared" ca="1" si="1"/>
        <v>Programado</v>
      </c>
    </row>
    <row r="49" spans="1:12" x14ac:dyDescent="0.35">
      <c r="A49" s="17">
        <v>45</v>
      </c>
      <c r="B49" s="5" t="s">
        <v>660</v>
      </c>
      <c r="C49" s="5" t="s">
        <v>677</v>
      </c>
      <c r="D49" s="5" t="s">
        <v>662</v>
      </c>
      <c r="E49" s="2">
        <f>IF(WORKDAY(DataBase-1,16,Feriados)&gt;FimObra,"",WORKDAY(DataBase-1,16,Feriados))</f>
        <v>46343</v>
      </c>
      <c r="F49" s="13"/>
      <c r="G49" s="1"/>
      <c r="H49" s="1"/>
      <c r="I49" s="1"/>
      <c r="J49" s="1"/>
      <c r="K49" s="1"/>
      <c r="L49" s="5" t="str">
        <f t="shared" ca="1" si="1"/>
        <v>Programado</v>
      </c>
    </row>
    <row r="50" spans="1:12" x14ac:dyDescent="0.35">
      <c r="A50" s="17">
        <v>46</v>
      </c>
      <c r="B50" s="5" t="s">
        <v>660</v>
      </c>
      <c r="C50" s="5" t="s">
        <v>678</v>
      </c>
      <c r="D50" s="5" t="s">
        <v>662</v>
      </c>
      <c r="E50" s="2">
        <f>IF(WORKDAY(DataBase-1,17,Feriados)&gt;FimObra,"",WORKDAY(DataBase-1,17,Feriados))</f>
        <v>46344</v>
      </c>
      <c r="F50" s="13"/>
      <c r="G50" s="1"/>
      <c r="H50" s="1"/>
      <c r="I50" s="1"/>
      <c r="J50" s="1"/>
      <c r="K50" s="1"/>
      <c r="L50" s="5" t="str">
        <f t="shared" ca="1" si="1"/>
        <v>Programado</v>
      </c>
    </row>
    <row r="51" spans="1:12" x14ac:dyDescent="0.35">
      <c r="A51" s="17">
        <v>47</v>
      </c>
      <c r="B51" s="5" t="s">
        <v>660</v>
      </c>
      <c r="C51" s="5" t="s">
        <v>679</v>
      </c>
      <c r="D51" s="5" t="s">
        <v>662</v>
      </c>
      <c r="E51" s="2">
        <f>IF(WORKDAY(DataBase-1,18,Feriados)&gt;FimObra,"",WORKDAY(DataBase-1,18,Feriados))</f>
        <v>46345</v>
      </c>
      <c r="F51" s="13"/>
      <c r="G51" s="1"/>
      <c r="H51" s="1"/>
      <c r="I51" s="1"/>
      <c r="J51" s="1"/>
      <c r="K51" s="1"/>
      <c r="L51" s="5" t="str">
        <f t="shared" ca="1" si="1"/>
        <v>Programado</v>
      </c>
    </row>
    <row r="52" spans="1:12" x14ac:dyDescent="0.35">
      <c r="A52" s="17">
        <v>48</v>
      </c>
      <c r="B52" s="5" t="s">
        <v>660</v>
      </c>
      <c r="C52" s="5" t="s">
        <v>680</v>
      </c>
      <c r="D52" s="5" t="s">
        <v>662</v>
      </c>
      <c r="E52" s="2">
        <f>IF(WORKDAY(DataBase-1,19,Feriados)&gt;FimObra,"",WORKDAY(DataBase-1,19,Feriados))</f>
        <v>46349</v>
      </c>
      <c r="F52" s="13"/>
      <c r="G52" s="1"/>
      <c r="H52" s="1"/>
      <c r="I52" s="1"/>
      <c r="J52" s="1"/>
      <c r="K52" s="1"/>
      <c r="L52" s="5" t="str">
        <f t="shared" ca="1" si="1"/>
        <v>Programado</v>
      </c>
    </row>
    <row r="53" spans="1:12" x14ac:dyDescent="0.35">
      <c r="A53" s="17">
        <v>49</v>
      </c>
      <c r="B53" s="5" t="s">
        <v>660</v>
      </c>
      <c r="C53" s="5" t="s">
        <v>681</v>
      </c>
      <c r="D53" s="5" t="s">
        <v>662</v>
      </c>
      <c r="E53" s="2">
        <f>IF(WORKDAY(DataBase-1,20,Feriados)&gt;FimObra,"",WORKDAY(DataBase-1,20,Feriados))</f>
        <v>46350</v>
      </c>
      <c r="F53" s="13"/>
      <c r="G53" s="1"/>
      <c r="H53" s="1"/>
      <c r="I53" s="1"/>
      <c r="J53" s="1"/>
      <c r="K53" s="1"/>
      <c r="L53" s="5" t="str">
        <f t="shared" ca="1" si="1"/>
        <v>Programado</v>
      </c>
    </row>
    <row r="54" spans="1:12" x14ac:dyDescent="0.35">
      <c r="A54" s="17">
        <v>50</v>
      </c>
      <c r="B54" s="5" t="s">
        <v>660</v>
      </c>
      <c r="C54" s="5" t="s">
        <v>682</v>
      </c>
      <c r="D54" s="5" t="s">
        <v>662</v>
      </c>
      <c r="E54" s="2">
        <f>IF(WORKDAY(DataBase-1,21,Feriados)&gt;FimObra,"",WORKDAY(DataBase-1,21,Feriados))</f>
        <v>46351</v>
      </c>
      <c r="F54" s="13"/>
      <c r="G54" s="1"/>
      <c r="H54" s="1"/>
      <c r="I54" s="1"/>
      <c r="J54" s="1"/>
      <c r="K54" s="1"/>
      <c r="L54" s="5" t="str">
        <f t="shared" ca="1" si="1"/>
        <v>Programado</v>
      </c>
    </row>
    <row r="55" spans="1:12" x14ac:dyDescent="0.35">
      <c r="A55" s="17">
        <v>51</v>
      </c>
      <c r="B55" s="5" t="s">
        <v>660</v>
      </c>
      <c r="C55" s="5" t="s">
        <v>683</v>
      </c>
      <c r="D55" s="5" t="s">
        <v>662</v>
      </c>
      <c r="E55" s="2">
        <f>IF(WORKDAY(DataBase-1,22,Feriados)&gt;FimObra,"",WORKDAY(DataBase-1,22,Feriados))</f>
        <v>46352</v>
      </c>
      <c r="F55" s="13"/>
      <c r="G55" s="1"/>
      <c r="H55" s="1"/>
      <c r="I55" s="1"/>
      <c r="J55" s="1"/>
      <c r="K55" s="1"/>
      <c r="L55" s="5" t="str">
        <f t="shared" ca="1" si="1"/>
        <v>Programado</v>
      </c>
    </row>
    <row r="56" spans="1:12" x14ac:dyDescent="0.35">
      <c r="A56" s="17">
        <v>52</v>
      </c>
      <c r="B56" s="5" t="s">
        <v>660</v>
      </c>
      <c r="C56" s="5" t="s">
        <v>684</v>
      </c>
      <c r="D56" s="5" t="s">
        <v>662</v>
      </c>
      <c r="E56" s="2">
        <f>IF(WORKDAY(DataBase-1,23,Feriados)&gt;FimObra,"",WORKDAY(DataBase-1,23,Feriados))</f>
        <v>46353</v>
      </c>
      <c r="F56" s="13"/>
      <c r="G56" s="1"/>
      <c r="H56" s="1"/>
      <c r="I56" s="1"/>
      <c r="J56" s="1"/>
      <c r="K56" s="1"/>
      <c r="L56" s="5" t="str">
        <f t="shared" ca="1" si="1"/>
        <v>Programado</v>
      </c>
    </row>
    <row r="57" spans="1:12" x14ac:dyDescent="0.35">
      <c r="A57" s="17">
        <v>53</v>
      </c>
      <c r="B57" s="5" t="s">
        <v>660</v>
      </c>
      <c r="C57" s="5" t="s">
        <v>685</v>
      </c>
      <c r="D57" s="5" t="s">
        <v>662</v>
      </c>
      <c r="E57" s="2">
        <f>IF(WORKDAY(DataBase-1,24,Feriados)&gt;FimObra,"",WORKDAY(DataBase-1,24,Feriados))</f>
        <v>46356</v>
      </c>
      <c r="F57" s="13"/>
      <c r="G57" s="1"/>
      <c r="H57" s="1"/>
      <c r="I57" s="1"/>
      <c r="J57" s="1"/>
      <c r="K57" s="1"/>
      <c r="L57" s="5" t="str">
        <f t="shared" ca="1" si="1"/>
        <v>Programado</v>
      </c>
    </row>
    <row r="58" spans="1:12" x14ac:dyDescent="0.35">
      <c r="A58" s="17">
        <v>54</v>
      </c>
      <c r="B58" s="5" t="s">
        <v>660</v>
      </c>
      <c r="C58" s="5" t="s">
        <v>686</v>
      </c>
      <c r="D58" s="5" t="s">
        <v>662</v>
      </c>
      <c r="E58" s="2">
        <f>IF(WORKDAY(DataBase-1,25,Feriados)&gt;FimObra,"",WORKDAY(DataBase-1,25,Feriados))</f>
        <v>46357</v>
      </c>
      <c r="F58" s="13"/>
      <c r="G58" s="1"/>
      <c r="H58" s="1"/>
      <c r="I58" s="1"/>
      <c r="J58" s="1"/>
      <c r="K58" s="1"/>
      <c r="L58" s="5" t="str">
        <f t="shared" ca="1" si="1"/>
        <v>Programado</v>
      </c>
    </row>
    <row r="59" spans="1:12" x14ac:dyDescent="0.35">
      <c r="A59" s="17">
        <v>55</v>
      </c>
      <c r="B59" s="5" t="s">
        <v>660</v>
      </c>
      <c r="C59" s="5" t="s">
        <v>687</v>
      </c>
      <c r="D59" s="5" t="s">
        <v>662</v>
      </c>
      <c r="E59" s="2">
        <f>IF(WORKDAY(DataBase-1,26,Feriados)&gt;FimObra,"",WORKDAY(DataBase-1,26,Feriados))</f>
        <v>46358</v>
      </c>
      <c r="F59" s="13"/>
      <c r="G59" s="1"/>
      <c r="H59" s="1"/>
      <c r="I59" s="1"/>
      <c r="J59" s="1"/>
      <c r="K59" s="1"/>
      <c r="L59" s="5" t="str">
        <f t="shared" ca="1" si="1"/>
        <v>Programado</v>
      </c>
    </row>
    <row r="60" spans="1:12" x14ac:dyDescent="0.35">
      <c r="A60" s="17">
        <v>56</v>
      </c>
      <c r="B60" s="5" t="s">
        <v>660</v>
      </c>
      <c r="C60" s="5" t="s">
        <v>688</v>
      </c>
      <c r="D60" s="5" t="s">
        <v>662</v>
      </c>
      <c r="E60" s="2">
        <f>IF(WORKDAY(DataBase-1,27,Feriados)&gt;FimObra,"",WORKDAY(DataBase-1,27,Feriados))</f>
        <v>46359</v>
      </c>
      <c r="F60" s="13"/>
      <c r="G60" s="1"/>
      <c r="H60" s="1"/>
      <c r="I60" s="1"/>
      <c r="J60" s="1"/>
      <c r="K60" s="1"/>
      <c r="L60" s="5" t="str">
        <f t="shared" ca="1" si="1"/>
        <v>Programado</v>
      </c>
    </row>
    <row r="61" spans="1:12" x14ac:dyDescent="0.35">
      <c r="A61" s="17">
        <v>57</v>
      </c>
      <c r="B61" s="5" t="s">
        <v>660</v>
      </c>
      <c r="C61" s="5" t="s">
        <v>689</v>
      </c>
      <c r="D61" s="5" t="s">
        <v>662</v>
      </c>
      <c r="E61" s="2">
        <f>IF(WORKDAY(DataBase-1,28,Feriados)&gt;FimObra,"",WORKDAY(DataBase-1,28,Feriados))</f>
        <v>46360</v>
      </c>
      <c r="F61" s="13"/>
      <c r="G61" s="1"/>
      <c r="H61" s="1"/>
      <c r="I61" s="1"/>
      <c r="J61" s="1"/>
      <c r="K61" s="1"/>
      <c r="L61" s="5" t="str">
        <f t="shared" ca="1" si="1"/>
        <v>Programado</v>
      </c>
    </row>
    <row r="62" spans="1:12" x14ac:dyDescent="0.35">
      <c r="A62" s="17">
        <v>58</v>
      </c>
      <c r="B62" s="5" t="s">
        <v>660</v>
      </c>
      <c r="C62" s="5" t="s">
        <v>690</v>
      </c>
      <c r="D62" s="5" t="s">
        <v>662</v>
      </c>
      <c r="E62" s="2">
        <f>IF(WORKDAY(DataBase-1,29,Feriados)&gt;FimObra,"",WORKDAY(DataBase-1,29,Feriados))</f>
        <v>46363</v>
      </c>
      <c r="F62" s="13"/>
      <c r="G62" s="1"/>
      <c r="H62" s="1"/>
      <c r="I62" s="1"/>
      <c r="J62" s="1"/>
      <c r="K62" s="1"/>
      <c r="L62" s="5" t="str">
        <f t="shared" ca="1" si="1"/>
        <v>Programado</v>
      </c>
    </row>
    <row r="63" spans="1:12" x14ac:dyDescent="0.35">
      <c r="A63" s="17">
        <v>59</v>
      </c>
      <c r="B63" s="5" t="s">
        <v>660</v>
      </c>
      <c r="C63" s="5" t="s">
        <v>691</v>
      </c>
      <c r="D63" s="5" t="s">
        <v>662</v>
      </c>
      <c r="E63" s="2">
        <f>IF(WORKDAY(DataBase-1,30,Feriados)&gt;FimObra,"",WORKDAY(DataBase-1,30,Feriados))</f>
        <v>46364</v>
      </c>
      <c r="F63" s="13"/>
      <c r="G63" s="1"/>
      <c r="H63" s="1"/>
      <c r="I63" s="1"/>
      <c r="J63" s="1"/>
      <c r="K63" s="1"/>
      <c r="L63" s="5" t="str">
        <f t="shared" ca="1" si="1"/>
        <v>Programado</v>
      </c>
    </row>
    <row r="64" spans="1:12" x14ac:dyDescent="0.35">
      <c r="A64" s="17">
        <v>60</v>
      </c>
      <c r="B64" s="5" t="s">
        <v>660</v>
      </c>
      <c r="C64" s="5" t="s">
        <v>692</v>
      </c>
      <c r="D64" s="5" t="s">
        <v>662</v>
      </c>
      <c r="E64" s="2">
        <f>IF(WORKDAY(DataBase-1,31,Feriados)&gt;FimObra,"",WORKDAY(DataBase-1,31,Feriados))</f>
        <v>46365</v>
      </c>
      <c r="F64" s="13"/>
      <c r="G64" s="1"/>
      <c r="H64" s="1"/>
      <c r="I64" s="1"/>
      <c r="J64" s="1"/>
      <c r="K64" s="1"/>
      <c r="L64" s="5" t="str">
        <f t="shared" ca="1" si="1"/>
        <v>Programado</v>
      </c>
    </row>
    <row r="65" spans="1:12" x14ac:dyDescent="0.35">
      <c r="A65" s="17">
        <v>61</v>
      </c>
      <c r="B65" s="5" t="s">
        <v>660</v>
      </c>
      <c r="C65" s="5" t="s">
        <v>693</v>
      </c>
      <c r="D65" s="5" t="s">
        <v>662</v>
      </c>
      <c r="E65" s="2">
        <f>IF(WORKDAY(DataBase-1,32,Feriados)&gt;FimObra,"",WORKDAY(DataBase-1,32,Feriados))</f>
        <v>46366</v>
      </c>
      <c r="F65" s="13"/>
      <c r="G65" s="1"/>
      <c r="H65" s="1"/>
      <c r="I65" s="1"/>
      <c r="J65" s="1"/>
      <c r="K65" s="1"/>
      <c r="L65" s="5" t="str">
        <f t="shared" ca="1" si="1"/>
        <v>Programado</v>
      </c>
    </row>
    <row r="66" spans="1:12" x14ac:dyDescent="0.35">
      <c r="A66" s="17">
        <v>62</v>
      </c>
      <c r="B66" s="5" t="s">
        <v>660</v>
      </c>
      <c r="C66" s="5" t="s">
        <v>694</v>
      </c>
      <c r="D66" s="5" t="s">
        <v>662</v>
      </c>
      <c r="E66" s="2">
        <f>IF(WORKDAY(DataBase-1,33,Feriados)&gt;FimObra,"",WORKDAY(DataBase-1,33,Feriados))</f>
        <v>46367</v>
      </c>
      <c r="F66" s="13"/>
      <c r="G66" s="1"/>
      <c r="H66" s="1"/>
      <c r="I66" s="1"/>
      <c r="J66" s="1"/>
      <c r="K66" s="1"/>
      <c r="L66" s="5" t="str">
        <f t="shared" ca="1" si="1"/>
        <v>Programado</v>
      </c>
    </row>
    <row r="67" spans="1:12" x14ac:dyDescent="0.35">
      <c r="A67" s="17">
        <v>63</v>
      </c>
      <c r="B67" s="5" t="s">
        <v>660</v>
      </c>
      <c r="C67" s="5" t="s">
        <v>695</v>
      </c>
      <c r="D67" s="5" t="s">
        <v>662</v>
      </c>
      <c r="E67" s="2">
        <f>IF(WORKDAY(DataBase-1,34,Feriados)&gt;FimObra,"",WORKDAY(DataBase-1,34,Feriados))</f>
        <v>46370</v>
      </c>
      <c r="F67" s="13"/>
      <c r="G67" s="1"/>
      <c r="H67" s="1"/>
      <c r="I67" s="1"/>
      <c r="J67" s="1"/>
      <c r="K67" s="1"/>
      <c r="L67" s="5" t="str">
        <f t="shared" ca="1" si="1"/>
        <v>Programado</v>
      </c>
    </row>
    <row r="68" spans="1:12" x14ac:dyDescent="0.35">
      <c r="A68" s="17">
        <v>64</v>
      </c>
      <c r="B68" s="5" t="s">
        <v>660</v>
      </c>
      <c r="C68" s="5" t="s">
        <v>696</v>
      </c>
      <c r="D68" s="5" t="s">
        <v>662</v>
      </c>
      <c r="E68" s="2">
        <f>IF(WORKDAY(DataBase-1,35,Feriados)&gt;FimObra,"",WORKDAY(DataBase-1,35,Feriados))</f>
        <v>46371</v>
      </c>
      <c r="F68" s="13"/>
      <c r="G68" s="1"/>
      <c r="H68" s="1"/>
      <c r="I68" s="1"/>
      <c r="J68" s="1"/>
      <c r="K68" s="1"/>
      <c r="L68" s="5" t="str">
        <f t="shared" ca="1" si="1"/>
        <v>Programado</v>
      </c>
    </row>
    <row r="69" spans="1:12" x14ac:dyDescent="0.35">
      <c r="A69" s="17">
        <v>65</v>
      </c>
      <c r="B69" s="5" t="s">
        <v>660</v>
      </c>
      <c r="C69" s="5" t="s">
        <v>697</v>
      </c>
      <c r="D69" s="5" t="s">
        <v>662</v>
      </c>
      <c r="E69" s="2">
        <f>IF(WORKDAY(DataBase-1,36,Feriados)&gt;FimObra,"",WORKDAY(DataBase-1,36,Feriados))</f>
        <v>46372</v>
      </c>
      <c r="F69" s="13"/>
      <c r="G69" s="1"/>
      <c r="H69" s="1"/>
      <c r="I69" s="1"/>
      <c r="J69" s="1"/>
      <c r="K69" s="1"/>
      <c r="L69" s="5" t="str">
        <f t="shared" ref="L69:L100" ca="1" si="2">IF(E69="","",IF(F69&lt;&gt;"",IF(F69&gt;E69,"Enviado com atraso","Enviado no prazo"),IF(DataRef&gt;E69,"ATRASADO",IF(DataRef=E69,"ENVIAR HOJE","Programado"))))</f>
        <v>Programado</v>
      </c>
    </row>
    <row r="70" spans="1:12" x14ac:dyDescent="0.35">
      <c r="A70" s="17">
        <v>66</v>
      </c>
      <c r="B70" s="5" t="s">
        <v>660</v>
      </c>
      <c r="C70" s="5" t="s">
        <v>698</v>
      </c>
      <c r="D70" s="5" t="s">
        <v>662</v>
      </c>
      <c r="E70" s="2">
        <f>IF(WORKDAY(DataBase-1,37,Feriados)&gt;FimObra,"",WORKDAY(DataBase-1,37,Feriados))</f>
        <v>46373</v>
      </c>
      <c r="F70" s="13"/>
      <c r="G70" s="1"/>
      <c r="H70" s="1"/>
      <c r="I70" s="1"/>
      <c r="J70" s="1"/>
      <c r="K70" s="1"/>
      <c r="L70" s="5" t="str">
        <f t="shared" ca="1" si="2"/>
        <v>Programado</v>
      </c>
    </row>
    <row r="71" spans="1:12" x14ac:dyDescent="0.35">
      <c r="A71" s="17">
        <v>67</v>
      </c>
      <c r="B71" s="5" t="s">
        <v>660</v>
      </c>
      <c r="C71" s="5" t="s">
        <v>699</v>
      </c>
      <c r="D71" s="5" t="s">
        <v>662</v>
      </c>
      <c r="E71" s="2">
        <f>IF(WORKDAY(DataBase-1,38,Feriados)&gt;FimObra,"",WORKDAY(DataBase-1,38,Feriados))</f>
        <v>46374</v>
      </c>
      <c r="F71" s="13"/>
      <c r="G71" s="1"/>
      <c r="H71" s="1"/>
      <c r="I71" s="1"/>
      <c r="J71" s="1"/>
      <c r="K71" s="1"/>
      <c r="L71" s="5" t="str">
        <f t="shared" ca="1" si="2"/>
        <v>Programado</v>
      </c>
    </row>
    <row r="72" spans="1:12" x14ac:dyDescent="0.35">
      <c r="A72" s="17">
        <v>68</v>
      </c>
      <c r="B72" s="5" t="s">
        <v>660</v>
      </c>
      <c r="C72" s="5" t="s">
        <v>700</v>
      </c>
      <c r="D72" s="5" t="s">
        <v>662</v>
      </c>
      <c r="E72" s="2">
        <f>IF(WORKDAY(DataBase-1,39,Feriados)&gt;FimObra,"",WORKDAY(DataBase-1,39,Feriados))</f>
        <v>46377</v>
      </c>
      <c r="F72" s="13"/>
      <c r="G72" s="1"/>
      <c r="H72" s="1"/>
      <c r="I72" s="1"/>
      <c r="J72" s="1"/>
      <c r="K72" s="1"/>
      <c r="L72" s="5" t="str">
        <f t="shared" ca="1" si="2"/>
        <v>Programado</v>
      </c>
    </row>
    <row r="73" spans="1:12" x14ac:dyDescent="0.35">
      <c r="A73" s="17">
        <v>69</v>
      </c>
      <c r="B73" s="5" t="s">
        <v>660</v>
      </c>
      <c r="C73" s="5" t="s">
        <v>701</v>
      </c>
      <c r="D73" s="5" t="s">
        <v>662</v>
      </c>
      <c r="E73" s="2">
        <f>IF(WORKDAY(DataBase-1,40,Feriados)&gt;FimObra,"",WORKDAY(DataBase-1,40,Feriados))</f>
        <v>46378</v>
      </c>
      <c r="F73" s="13"/>
      <c r="G73" s="1"/>
      <c r="H73" s="1"/>
      <c r="I73" s="1"/>
      <c r="J73" s="1"/>
      <c r="K73" s="1"/>
      <c r="L73" s="5" t="str">
        <f t="shared" ca="1" si="2"/>
        <v>Programado</v>
      </c>
    </row>
    <row r="74" spans="1:12" x14ac:dyDescent="0.35">
      <c r="A74" s="17">
        <v>70</v>
      </c>
      <c r="B74" s="5" t="s">
        <v>660</v>
      </c>
      <c r="C74" s="5" t="s">
        <v>702</v>
      </c>
      <c r="D74" s="5" t="s">
        <v>662</v>
      </c>
      <c r="E74" s="2">
        <f>IF(WORKDAY(DataBase-1,41,Feriados)&gt;FimObra,"",WORKDAY(DataBase-1,41,Feriados))</f>
        <v>46379</v>
      </c>
      <c r="F74" s="13"/>
      <c r="G74" s="1"/>
      <c r="H74" s="1"/>
      <c r="I74" s="1"/>
      <c r="J74" s="1"/>
      <c r="K74" s="1"/>
      <c r="L74" s="5" t="str">
        <f t="shared" ca="1" si="2"/>
        <v>Programado</v>
      </c>
    </row>
    <row r="75" spans="1:12" x14ac:dyDescent="0.35">
      <c r="A75" s="17">
        <v>71</v>
      </c>
      <c r="B75" s="5" t="s">
        <v>660</v>
      </c>
      <c r="C75" s="5" t="s">
        <v>703</v>
      </c>
      <c r="D75" s="5" t="s">
        <v>662</v>
      </c>
      <c r="E75" s="2">
        <f>IF(WORKDAY(DataBase-1,42,Feriados)&gt;FimObra,"",WORKDAY(DataBase-1,42,Feriados))</f>
        <v>46380</v>
      </c>
      <c r="F75" s="13"/>
      <c r="G75" s="1"/>
      <c r="H75" s="1"/>
      <c r="I75" s="1"/>
      <c r="J75" s="1"/>
      <c r="K75" s="1"/>
      <c r="L75" s="5" t="str">
        <f t="shared" ca="1" si="2"/>
        <v>Programado</v>
      </c>
    </row>
    <row r="76" spans="1:12" x14ac:dyDescent="0.35">
      <c r="A76" s="17">
        <v>72</v>
      </c>
      <c r="B76" s="5" t="s">
        <v>660</v>
      </c>
      <c r="C76" s="5" t="s">
        <v>704</v>
      </c>
      <c r="D76" s="5" t="s">
        <v>662</v>
      </c>
      <c r="E76" s="2">
        <f>IF(WORKDAY(DataBase-1,43,Feriados)&gt;FimObra,"",WORKDAY(DataBase-1,43,Feriados))</f>
        <v>46384</v>
      </c>
      <c r="F76" s="13"/>
      <c r="G76" s="1"/>
      <c r="H76" s="1"/>
      <c r="I76" s="1"/>
      <c r="J76" s="1"/>
      <c r="K76" s="1"/>
      <c r="L76" s="5" t="str">
        <f t="shared" ca="1" si="2"/>
        <v>Programado</v>
      </c>
    </row>
    <row r="77" spans="1:12" x14ac:dyDescent="0.35">
      <c r="A77" s="17">
        <v>73</v>
      </c>
      <c r="B77" s="5" t="s">
        <v>660</v>
      </c>
      <c r="C77" s="5" t="s">
        <v>705</v>
      </c>
      <c r="D77" s="5" t="s">
        <v>662</v>
      </c>
      <c r="E77" s="2">
        <f>IF(WORKDAY(DataBase-1,44,Feriados)&gt;FimObra,"",WORKDAY(DataBase-1,44,Feriados))</f>
        <v>46385</v>
      </c>
      <c r="F77" s="13"/>
      <c r="G77" s="1"/>
      <c r="H77" s="1"/>
      <c r="I77" s="1"/>
      <c r="J77" s="1"/>
      <c r="K77" s="1"/>
      <c r="L77" s="5" t="str">
        <f t="shared" ca="1" si="2"/>
        <v>Programado</v>
      </c>
    </row>
    <row r="78" spans="1:12" x14ac:dyDescent="0.35">
      <c r="A78" s="17">
        <v>74</v>
      </c>
      <c r="B78" s="5" t="s">
        <v>660</v>
      </c>
      <c r="C78" s="5" t="s">
        <v>706</v>
      </c>
      <c r="D78" s="5" t="s">
        <v>662</v>
      </c>
      <c r="E78" s="2">
        <f>IF(WORKDAY(DataBase-1,45,Feriados)&gt;FimObra,"",WORKDAY(DataBase-1,45,Feriados))</f>
        <v>46386</v>
      </c>
      <c r="F78" s="13"/>
      <c r="G78" s="1"/>
      <c r="H78" s="1"/>
      <c r="I78" s="1"/>
      <c r="J78" s="1"/>
      <c r="K78" s="1"/>
      <c r="L78" s="5" t="str">
        <f t="shared" ca="1" si="2"/>
        <v>Programado</v>
      </c>
    </row>
    <row r="79" spans="1:12" x14ac:dyDescent="0.35">
      <c r="A79" s="17">
        <v>75</v>
      </c>
      <c r="B79" s="5" t="s">
        <v>660</v>
      </c>
      <c r="C79" s="5" t="s">
        <v>707</v>
      </c>
      <c r="D79" s="5" t="s">
        <v>662</v>
      </c>
      <c r="E79" s="2">
        <f>IF(WORKDAY(DataBase-1,46,Feriados)&gt;FimObra,"",WORKDAY(DataBase-1,46,Feriados))</f>
        <v>46387</v>
      </c>
      <c r="F79" s="13"/>
      <c r="G79" s="1"/>
      <c r="H79" s="1"/>
      <c r="I79" s="1"/>
      <c r="J79" s="1"/>
      <c r="K79" s="1"/>
      <c r="L79" s="5" t="str">
        <f t="shared" ca="1" si="2"/>
        <v>Programado</v>
      </c>
    </row>
    <row r="80" spans="1:12" x14ac:dyDescent="0.35">
      <c r="A80" s="17">
        <v>76</v>
      </c>
      <c r="B80" s="5" t="s">
        <v>660</v>
      </c>
      <c r="C80" s="5" t="s">
        <v>708</v>
      </c>
      <c r="D80" s="5" t="s">
        <v>662</v>
      </c>
      <c r="E80" s="2">
        <f>IF(WORKDAY(DataBase-1,47,Feriados)&gt;FimObra,"",WORKDAY(DataBase-1,47,Feriados))</f>
        <v>46391</v>
      </c>
      <c r="F80" s="13"/>
      <c r="G80" s="1"/>
      <c r="H80" s="1"/>
      <c r="I80" s="1"/>
      <c r="J80" s="1"/>
      <c r="K80" s="1"/>
      <c r="L80" s="5" t="str">
        <f t="shared" ca="1" si="2"/>
        <v>Programado</v>
      </c>
    </row>
    <row r="81" spans="1:12" x14ac:dyDescent="0.35">
      <c r="A81" s="17">
        <v>77</v>
      </c>
      <c r="B81" s="5" t="s">
        <v>660</v>
      </c>
      <c r="C81" s="5" t="s">
        <v>709</v>
      </c>
      <c r="D81" s="5" t="s">
        <v>662</v>
      </c>
      <c r="E81" s="2">
        <f>IF(WORKDAY(DataBase-1,48,Feriados)&gt;FimObra,"",WORKDAY(DataBase-1,48,Feriados))</f>
        <v>46392</v>
      </c>
      <c r="F81" s="13"/>
      <c r="G81" s="1"/>
      <c r="H81" s="1"/>
      <c r="I81" s="1"/>
      <c r="J81" s="1"/>
      <c r="K81" s="1"/>
      <c r="L81" s="5" t="str">
        <f t="shared" ca="1" si="2"/>
        <v>Programado</v>
      </c>
    </row>
    <row r="82" spans="1:12" x14ac:dyDescent="0.35">
      <c r="A82" s="17">
        <v>78</v>
      </c>
      <c r="B82" s="5" t="s">
        <v>660</v>
      </c>
      <c r="C82" s="5" t="s">
        <v>710</v>
      </c>
      <c r="D82" s="5" t="s">
        <v>662</v>
      </c>
      <c r="E82" s="2">
        <f>IF(WORKDAY(DataBase-1,49,Feriados)&gt;FimObra,"",WORKDAY(DataBase-1,49,Feriados))</f>
        <v>46393</v>
      </c>
      <c r="F82" s="13"/>
      <c r="G82" s="1"/>
      <c r="H82" s="1"/>
      <c r="I82" s="1"/>
      <c r="J82" s="1"/>
      <c r="K82" s="1"/>
      <c r="L82" s="5" t="str">
        <f t="shared" ca="1" si="2"/>
        <v>Programado</v>
      </c>
    </row>
    <row r="83" spans="1:12" x14ac:dyDescent="0.35">
      <c r="A83" s="17">
        <v>79</v>
      </c>
      <c r="B83" s="5" t="s">
        <v>660</v>
      </c>
      <c r="C83" s="5" t="s">
        <v>711</v>
      </c>
      <c r="D83" s="5" t="s">
        <v>662</v>
      </c>
      <c r="E83" s="2">
        <f>IF(WORKDAY(DataBase-1,50,Feriados)&gt;FimObra,"",WORKDAY(DataBase-1,50,Feriados))</f>
        <v>46394</v>
      </c>
      <c r="F83" s="13"/>
      <c r="G83" s="1"/>
      <c r="H83" s="1"/>
      <c r="I83" s="1"/>
      <c r="J83" s="1"/>
      <c r="K83" s="1"/>
      <c r="L83" s="5" t="str">
        <f t="shared" ca="1" si="2"/>
        <v>Programado</v>
      </c>
    </row>
    <row r="84" spans="1:12" x14ac:dyDescent="0.35">
      <c r="A84" s="17">
        <v>80</v>
      </c>
      <c r="B84" s="5" t="s">
        <v>660</v>
      </c>
      <c r="C84" s="5" t="s">
        <v>712</v>
      </c>
      <c r="D84" s="5" t="s">
        <v>662</v>
      </c>
      <c r="E84" s="2">
        <f>IF(WORKDAY(DataBase-1,51,Feriados)&gt;FimObra,"",WORKDAY(DataBase-1,51,Feriados))</f>
        <v>46395</v>
      </c>
      <c r="F84" s="13"/>
      <c r="G84" s="1"/>
      <c r="H84" s="1"/>
      <c r="I84" s="1"/>
      <c r="J84" s="1"/>
      <c r="K84" s="1"/>
      <c r="L84" s="5" t="str">
        <f t="shared" ca="1" si="2"/>
        <v>Programado</v>
      </c>
    </row>
    <row r="85" spans="1:12" x14ac:dyDescent="0.35">
      <c r="A85" s="17">
        <v>81</v>
      </c>
      <c r="B85" s="5" t="s">
        <v>660</v>
      </c>
      <c r="C85" s="5" t="s">
        <v>713</v>
      </c>
      <c r="D85" s="5" t="s">
        <v>662</v>
      </c>
      <c r="E85" s="2">
        <f>IF(WORKDAY(DataBase-1,52,Feriados)&gt;FimObra,"",WORKDAY(DataBase-1,52,Feriados))</f>
        <v>46398</v>
      </c>
      <c r="F85" s="13"/>
      <c r="G85" s="1"/>
      <c r="H85" s="1"/>
      <c r="I85" s="1"/>
      <c r="J85" s="1"/>
      <c r="K85" s="1"/>
      <c r="L85" s="5" t="str">
        <f t="shared" ca="1" si="2"/>
        <v>Programado</v>
      </c>
    </row>
    <row r="86" spans="1:12" x14ac:dyDescent="0.35">
      <c r="A86" s="17">
        <v>82</v>
      </c>
      <c r="B86" s="5" t="s">
        <v>660</v>
      </c>
      <c r="C86" s="5" t="s">
        <v>714</v>
      </c>
      <c r="D86" s="5" t="s">
        <v>662</v>
      </c>
      <c r="E86" s="2">
        <f>IF(WORKDAY(DataBase-1,53,Feriados)&gt;FimObra,"",WORKDAY(DataBase-1,53,Feriados))</f>
        <v>46399</v>
      </c>
      <c r="F86" s="13"/>
      <c r="G86" s="1"/>
      <c r="H86" s="1"/>
      <c r="I86" s="1"/>
      <c r="J86" s="1"/>
      <c r="K86" s="1"/>
      <c r="L86" s="5" t="str">
        <f t="shared" ca="1" si="2"/>
        <v>Programado</v>
      </c>
    </row>
    <row r="87" spans="1:12" x14ac:dyDescent="0.35">
      <c r="A87" s="17">
        <v>83</v>
      </c>
      <c r="B87" s="5" t="s">
        <v>660</v>
      </c>
      <c r="C87" s="5" t="s">
        <v>715</v>
      </c>
      <c r="D87" s="5" t="s">
        <v>662</v>
      </c>
      <c r="E87" s="2">
        <f>IF(WORKDAY(DataBase-1,54,Feriados)&gt;FimObra,"",WORKDAY(DataBase-1,54,Feriados))</f>
        <v>46400</v>
      </c>
      <c r="F87" s="13"/>
      <c r="G87" s="1"/>
      <c r="H87" s="1"/>
      <c r="I87" s="1"/>
      <c r="J87" s="1"/>
      <c r="K87" s="1"/>
      <c r="L87" s="5" t="str">
        <f t="shared" ca="1" si="2"/>
        <v>Programado</v>
      </c>
    </row>
    <row r="88" spans="1:12" x14ac:dyDescent="0.35">
      <c r="A88" s="17">
        <v>84</v>
      </c>
      <c r="B88" s="5" t="s">
        <v>660</v>
      </c>
      <c r="C88" s="5" t="s">
        <v>716</v>
      </c>
      <c r="D88" s="5" t="s">
        <v>662</v>
      </c>
      <c r="E88" s="2">
        <f>IF(WORKDAY(DataBase-1,55,Feriados)&gt;FimObra,"",WORKDAY(DataBase-1,55,Feriados))</f>
        <v>46401</v>
      </c>
      <c r="F88" s="13"/>
      <c r="G88" s="1"/>
      <c r="H88" s="1"/>
      <c r="I88" s="1"/>
      <c r="J88" s="1"/>
      <c r="K88" s="1"/>
      <c r="L88" s="5" t="str">
        <f t="shared" ca="1" si="2"/>
        <v>Programado</v>
      </c>
    </row>
    <row r="89" spans="1:12" x14ac:dyDescent="0.35">
      <c r="A89" s="17">
        <v>85</v>
      </c>
      <c r="B89" s="5" t="s">
        <v>660</v>
      </c>
      <c r="C89" s="5" t="s">
        <v>717</v>
      </c>
      <c r="D89" s="5" t="s">
        <v>662</v>
      </c>
      <c r="E89" s="2">
        <f>IF(WORKDAY(DataBase-1,56,Feriados)&gt;FimObra,"",WORKDAY(DataBase-1,56,Feriados))</f>
        <v>46402</v>
      </c>
      <c r="F89" s="13"/>
      <c r="G89" s="1"/>
      <c r="H89" s="1"/>
      <c r="I89" s="1"/>
      <c r="J89" s="1"/>
      <c r="K89" s="1"/>
      <c r="L89" s="5" t="str">
        <f t="shared" ca="1" si="2"/>
        <v>Programado</v>
      </c>
    </row>
    <row r="90" spans="1:12" x14ac:dyDescent="0.35">
      <c r="A90" s="17">
        <v>86</v>
      </c>
      <c r="B90" s="5" t="s">
        <v>660</v>
      </c>
      <c r="C90" s="5" t="s">
        <v>718</v>
      </c>
      <c r="D90" s="5" t="s">
        <v>662</v>
      </c>
      <c r="E90" s="2">
        <f>IF(WORKDAY(DataBase-1,57,Feriados)&gt;FimObra,"",WORKDAY(DataBase-1,57,Feriados))</f>
        <v>46405</v>
      </c>
      <c r="F90" s="13"/>
      <c r="G90" s="1"/>
      <c r="H90" s="1"/>
      <c r="I90" s="1"/>
      <c r="J90" s="1"/>
      <c r="K90" s="1"/>
      <c r="L90" s="5" t="str">
        <f t="shared" ca="1" si="2"/>
        <v>Programado</v>
      </c>
    </row>
    <row r="91" spans="1:12" x14ac:dyDescent="0.35">
      <c r="A91" s="17">
        <v>87</v>
      </c>
      <c r="B91" s="5" t="s">
        <v>660</v>
      </c>
      <c r="C91" s="5" t="s">
        <v>719</v>
      </c>
      <c r="D91" s="5" t="s">
        <v>662</v>
      </c>
      <c r="E91" s="2">
        <f>IF(WORKDAY(DataBase-1,58,Feriados)&gt;FimObra,"",WORKDAY(DataBase-1,58,Feriados))</f>
        <v>46406</v>
      </c>
      <c r="F91" s="13"/>
      <c r="G91" s="1"/>
      <c r="H91" s="1"/>
      <c r="I91" s="1"/>
      <c r="J91" s="1"/>
      <c r="K91" s="1"/>
      <c r="L91" s="5" t="str">
        <f t="shared" ca="1" si="2"/>
        <v>Programado</v>
      </c>
    </row>
    <row r="92" spans="1:12" x14ac:dyDescent="0.35">
      <c r="A92" s="17">
        <v>88</v>
      </c>
      <c r="B92" s="5" t="s">
        <v>660</v>
      </c>
      <c r="C92" s="5" t="s">
        <v>720</v>
      </c>
      <c r="D92" s="5" t="s">
        <v>662</v>
      </c>
      <c r="E92" s="2">
        <f>IF(WORKDAY(DataBase-1,59,Feriados)&gt;FimObra,"",WORKDAY(DataBase-1,59,Feriados))</f>
        <v>46407</v>
      </c>
      <c r="F92" s="13"/>
      <c r="G92" s="1"/>
      <c r="H92" s="1"/>
      <c r="I92" s="1"/>
      <c r="J92" s="1"/>
      <c r="K92" s="1"/>
      <c r="L92" s="5" t="str">
        <f t="shared" ca="1" si="2"/>
        <v>Programado</v>
      </c>
    </row>
    <row r="93" spans="1:12" x14ac:dyDescent="0.35">
      <c r="A93" s="17">
        <v>89</v>
      </c>
      <c r="B93" s="5" t="s">
        <v>660</v>
      </c>
      <c r="C93" s="5" t="s">
        <v>721</v>
      </c>
      <c r="D93" s="5" t="s">
        <v>662</v>
      </c>
      <c r="E93" s="2">
        <f>IF(WORKDAY(DataBase-1,60,Feriados)&gt;FimObra,"",WORKDAY(DataBase-1,60,Feriados))</f>
        <v>46408</v>
      </c>
      <c r="F93" s="13"/>
      <c r="G93" s="1"/>
      <c r="H93" s="1"/>
      <c r="I93" s="1"/>
      <c r="J93" s="1"/>
      <c r="K93" s="1"/>
      <c r="L93" s="5" t="str">
        <f t="shared" ca="1" si="2"/>
        <v>Programado</v>
      </c>
    </row>
    <row r="94" spans="1:12" x14ac:dyDescent="0.35">
      <c r="A94" s="17">
        <v>90</v>
      </c>
      <c r="B94" s="5" t="s">
        <v>660</v>
      </c>
      <c r="C94" s="5" t="s">
        <v>722</v>
      </c>
      <c r="D94" s="5" t="s">
        <v>662</v>
      </c>
      <c r="E94" s="2">
        <f>IF(WORKDAY(DataBase-1,61,Feriados)&gt;FimObra,"",WORKDAY(DataBase-1,61,Feriados))</f>
        <v>46409</v>
      </c>
      <c r="F94" s="13"/>
      <c r="G94" s="1"/>
      <c r="H94" s="1"/>
      <c r="I94" s="1"/>
      <c r="J94" s="1"/>
      <c r="K94" s="1"/>
      <c r="L94" s="5" t="str">
        <f t="shared" ca="1" si="2"/>
        <v>Programado</v>
      </c>
    </row>
    <row r="95" spans="1:12" x14ac:dyDescent="0.35">
      <c r="A95" s="17">
        <v>91</v>
      </c>
      <c r="B95" s="5" t="s">
        <v>660</v>
      </c>
      <c r="C95" s="5" t="s">
        <v>723</v>
      </c>
      <c r="D95" s="5" t="s">
        <v>662</v>
      </c>
      <c r="E95" s="2">
        <f>IF(WORKDAY(DataBase-1,62,Feriados)&gt;FimObra,"",WORKDAY(DataBase-1,62,Feriados))</f>
        <v>46412</v>
      </c>
      <c r="F95" s="13"/>
      <c r="G95" s="1"/>
      <c r="H95" s="1"/>
      <c r="I95" s="1"/>
      <c r="J95" s="1"/>
      <c r="K95" s="1"/>
      <c r="L95" s="5" t="str">
        <f t="shared" ca="1" si="2"/>
        <v>Programado</v>
      </c>
    </row>
    <row r="96" spans="1:12" x14ac:dyDescent="0.35">
      <c r="A96" s="17">
        <v>92</v>
      </c>
      <c r="B96" s="5" t="s">
        <v>660</v>
      </c>
      <c r="C96" s="5" t="s">
        <v>724</v>
      </c>
      <c r="D96" s="5" t="s">
        <v>662</v>
      </c>
      <c r="E96" s="2">
        <f>IF(WORKDAY(DataBase-1,63,Feriados)&gt;FimObra,"",WORKDAY(DataBase-1,63,Feriados))</f>
        <v>46413</v>
      </c>
      <c r="F96" s="13"/>
      <c r="G96" s="1"/>
      <c r="H96" s="1"/>
      <c r="I96" s="1"/>
      <c r="J96" s="1"/>
      <c r="K96" s="1"/>
      <c r="L96" s="5" t="str">
        <f t="shared" ca="1" si="2"/>
        <v>Programado</v>
      </c>
    </row>
    <row r="97" spans="1:12" x14ac:dyDescent="0.35">
      <c r="A97" s="17">
        <v>93</v>
      </c>
      <c r="B97" s="5" t="s">
        <v>660</v>
      </c>
      <c r="C97" s="5" t="s">
        <v>725</v>
      </c>
      <c r="D97" s="5" t="s">
        <v>662</v>
      </c>
      <c r="E97" s="2">
        <f>IF(WORKDAY(DataBase-1,64,Feriados)&gt;FimObra,"",WORKDAY(DataBase-1,64,Feriados))</f>
        <v>46414</v>
      </c>
      <c r="F97" s="13"/>
      <c r="G97" s="1"/>
      <c r="H97" s="1"/>
      <c r="I97" s="1"/>
      <c r="J97" s="1"/>
      <c r="K97" s="1"/>
      <c r="L97" s="5" t="str">
        <f t="shared" ca="1" si="2"/>
        <v>Programado</v>
      </c>
    </row>
    <row r="98" spans="1:12" x14ac:dyDescent="0.35">
      <c r="A98" s="17">
        <v>94</v>
      </c>
      <c r="B98" s="5" t="s">
        <v>660</v>
      </c>
      <c r="C98" s="5" t="s">
        <v>726</v>
      </c>
      <c r="D98" s="5" t="s">
        <v>662</v>
      </c>
      <c r="E98" s="2">
        <f>IF(WORKDAY(DataBase-1,65,Feriados)&gt;FimObra,"",WORKDAY(DataBase-1,65,Feriados))</f>
        <v>46415</v>
      </c>
      <c r="F98" s="13"/>
      <c r="G98" s="1"/>
      <c r="H98" s="1"/>
      <c r="I98" s="1"/>
      <c r="J98" s="1"/>
      <c r="K98" s="1"/>
      <c r="L98" s="5" t="str">
        <f t="shared" ca="1" si="2"/>
        <v>Programado</v>
      </c>
    </row>
    <row r="99" spans="1:12" x14ac:dyDescent="0.35">
      <c r="A99" s="17">
        <v>95</v>
      </c>
      <c r="B99" s="5" t="s">
        <v>660</v>
      </c>
      <c r="C99" s="5" t="s">
        <v>727</v>
      </c>
      <c r="D99" s="5" t="s">
        <v>662</v>
      </c>
      <c r="E99" s="2" t="str">
        <f>IF(WORKDAY(DataBase-1,66,Feriados)&gt;FimObra,"",WORKDAY(DataBase-1,66,Feriados))</f>
        <v/>
      </c>
      <c r="F99" s="13"/>
      <c r="G99" s="1"/>
      <c r="H99" s="1"/>
      <c r="I99" s="1"/>
      <c r="J99" s="1"/>
      <c r="K99" s="1"/>
      <c r="L99" s="5" t="str">
        <f t="shared" si="2"/>
        <v/>
      </c>
    </row>
    <row r="100" spans="1:12" x14ac:dyDescent="0.35">
      <c r="A100" s="17">
        <v>96</v>
      </c>
      <c r="B100" s="5" t="s">
        <v>660</v>
      </c>
      <c r="C100" s="5" t="s">
        <v>728</v>
      </c>
      <c r="D100" s="5" t="s">
        <v>662</v>
      </c>
      <c r="E100" s="2" t="str">
        <f>IF(WORKDAY(DataBase-1,67,Feriados)&gt;FimObra,"",WORKDAY(DataBase-1,67,Feriados))</f>
        <v/>
      </c>
      <c r="F100" s="13"/>
      <c r="G100" s="1"/>
      <c r="H100" s="1"/>
      <c r="I100" s="1"/>
      <c r="J100" s="1"/>
      <c r="K100" s="1"/>
      <c r="L100" s="5" t="str">
        <f t="shared" si="2"/>
        <v/>
      </c>
    </row>
    <row r="101" spans="1:12" x14ac:dyDescent="0.35">
      <c r="A101" s="17">
        <v>97</v>
      </c>
      <c r="B101" s="5" t="s">
        <v>660</v>
      </c>
      <c r="C101" s="5" t="s">
        <v>729</v>
      </c>
      <c r="D101" s="5" t="s">
        <v>662</v>
      </c>
      <c r="E101" s="2" t="str">
        <f>IF(WORKDAY(DataBase-1,68,Feriados)&gt;FimObra,"",WORKDAY(DataBase-1,68,Feriados))</f>
        <v/>
      </c>
      <c r="F101" s="13"/>
      <c r="G101" s="1"/>
      <c r="H101" s="1"/>
      <c r="I101" s="1"/>
      <c r="J101" s="1"/>
      <c r="K101" s="1"/>
      <c r="L101" s="5" t="str">
        <f t="shared" ref="L101:L132" si="3">IF(E101="","",IF(F101&lt;&gt;"",IF(F101&gt;E101,"Enviado com atraso","Enviado no prazo"),IF(DataRef&gt;E101,"ATRASADO",IF(DataRef=E101,"ENVIAR HOJE","Programado"))))</f>
        <v/>
      </c>
    </row>
    <row r="102" spans="1:12" x14ac:dyDescent="0.35">
      <c r="A102" s="17">
        <v>98</v>
      </c>
      <c r="B102" s="5" t="s">
        <v>660</v>
      </c>
      <c r="C102" s="5" t="s">
        <v>730</v>
      </c>
      <c r="D102" s="5" t="s">
        <v>662</v>
      </c>
      <c r="E102" s="2" t="str">
        <f>IF(WORKDAY(DataBase-1,69,Feriados)&gt;FimObra,"",WORKDAY(DataBase-1,69,Feriados))</f>
        <v/>
      </c>
      <c r="F102" s="13"/>
      <c r="G102" s="1"/>
      <c r="H102" s="1"/>
      <c r="I102" s="1"/>
      <c r="J102" s="1"/>
      <c r="K102" s="1"/>
      <c r="L102" s="5" t="str">
        <f t="shared" si="3"/>
        <v/>
      </c>
    </row>
    <row r="103" spans="1:12" x14ac:dyDescent="0.35">
      <c r="A103" s="17">
        <v>99</v>
      </c>
      <c r="B103" s="5" t="s">
        <v>660</v>
      </c>
      <c r="C103" s="5" t="s">
        <v>731</v>
      </c>
      <c r="D103" s="5" t="s">
        <v>662</v>
      </c>
      <c r="E103" s="2" t="str">
        <f>IF(WORKDAY(DataBase-1,70,Feriados)&gt;FimObra,"",WORKDAY(DataBase-1,70,Feriados))</f>
        <v/>
      </c>
      <c r="F103" s="13"/>
      <c r="G103" s="1"/>
      <c r="H103" s="1"/>
      <c r="I103" s="1"/>
      <c r="J103" s="1"/>
      <c r="K103" s="1"/>
      <c r="L103" s="5" t="str">
        <f t="shared" si="3"/>
        <v/>
      </c>
    </row>
    <row r="104" spans="1:12" x14ac:dyDescent="0.35">
      <c r="A104" s="17">
        <v>100</v>
      </c>
      <c r="B104" s="5" t="s">
        <v>660</v>
      </c>
      <c r="C104" s="5" t="s">
        <v>732</v>
      </c>
      <c r="D104" s="5" t="s">
        <v>662</v>
      </c>
      <c r="E104" s="2" t="str">
        <f>IF(WORKDAY(DataBase-1,71,Feriados)&gt;FimObra,"",WORKDAY(DataBase-1,71,Feriados))</f>
        <v/>
      </c>
      <c r="F104" s="13"/>
      <c r="G104" s="1"/>
      <c r="H104" s="1"/>
      <c r="I104" s="1"/>
      <c r="J104" s="1"/>
      <c r="K104" s="1"/>
      <c r="L104" s="5" t="str">
        <f t="shared" si="3"/>
        <v/>
      </c>
    </row>
    <row r="105" spans="1:12" x14ac:dyDescent="0.35">
      <c r="A105" s="17">
        <v>101</v>
      </c>
      <c r="B105" s="5" t="s">
        <v>660</v>
      </c>
      <c r="C105" s="5" t="s">
        <v>733</v>
      </c>
      <c r="D105" s="5" t="s">
        <v>662</v>
      </c>
      <c r="E105" s="2" t="str">
        <f>IF(WORKDAY(DataBase-1,72,Feriados)&gt;FimObra,"",WORKDAY(DataBase-1,72,Feriados))</f>
        <v/>
      </c>
      <c r="F105" s="13"/>
      <c r="G105" s="1"/>
      <c r="H105" s="1"/>
      <c r="I105" s="1"/>
      <c r="J105" s="1"/>
      <c r="K105" s="1"/>
      <c r="L105" s="5" t="str">
        <f t="shared" si="3"/>
        <v/>
      </c>
    </row>
    <row r="106" spans="1:12" x14ac:dyDescent="0.35">
      <c r="A106" s="17">
        <v>102</v>
      </c>
      <c r="B106" s="5" t="s">
        <v>660</v>
      </c>
      <c r="C106" s="5" t="s">
        <v>734</v>
      </c>
      <c r="D106" s="5" t="s">
        <v>662</v>
      </c>
      <c r="E106" s="2" t="str">
        <f>IF(WORKDAY(DataBase-1,73,Feriados)&gt;FimObra,"",WORKDAY(DataBase-1,73,Feriados))</f>
        <v/>
      </c>
      <c r="F106" s="13"/>
      <c r="G106" s="1"/>
      <c r="H106" s="1"/>
      <c r="I106" s="1"/>
      <c r="J106" s="1"/>
      <c r="K106" s="1"/>
      <c r="L106" s="5" t="str">
        <f t="shared" si="3"/>
        <v/>
      </c>
    </row>
    <row r="107" spans="1:12" x14ac:dyDescent="0.35">
      <c r="A107" s="17">
        <v>103</v>
      </c>
      <c r="B107" s="5" t="s">
        <v>660</v>
      </c>
      <c r="C107" s="5" t="s">
        <v>735</v>
      </c>
      <c r="D107" s="5" t="s">
        <v>662</v>
      </c>
      <c r="E107" s="2" t="str">
        <f>IF(WORKDAY(DataBase-1,74,Feriados)&gt;FimObra,"",WORKDAY(DataBase-1,74,Feriados))</f>
        <v/>
      </c>
      <c r="F107" s="13"/>
      <c r="G107" s="1"/>
      <c r="H107" s="1"/>
      <c r="I107" s="1"/>
      <c r="J107" s="1"/>
      <c r="K107" s="1"/>
      <c r="L107" s="5" t="str">
        <f t="shared" si="3"/>
        <v/>
      </c>
    </row>
    <row r="108" spans="1:12" x14ac:dyDescent="0.35">
      <c r="A108" s="17">
        <v>104</v>
      </c>
      <c r="B108" s="5" t="s">
        <v>660</v>
      </c>
      <c r="C108" s="5" t="s">
        <v>736</v>
      </c>
      <c r="D108" s="5" t="s">
        <v>662</v>
      </c>
      <c r="E108" s="2" t="str">
        <f>IF(WORKDAY(DataBase-1,75,Feriados)&gt;FimObra,"",WORKDAY(DataBase-1,75,Feriados))</f>
        <v/>
      </c>
      <c r="F108" s="13"/>
      <c r="G108" s="1"/>
      <c r="H108" s="1"/>
      <c r="I108" s="1"/>
      <c r="J108" s="1"/>
      <c r="K108" s="1"/>
      <c r="L108" s="5" t="str">
        <f t="shared" si="3"/>
        <v/>
      </c>
    </row>
    <row r="109" spans="1:12" x14ac:dyDescent="0.35">
      <c r="A109" s="17">
        <v>105</v>
      </c>
      <c r="B109" s="5" t="s">
        <v>660</v>
      </c>
      <c r="C109" s="5" t="s">
        <v>737</v>
      </c>
      <c r="D109" s="5" t="s">
        <v>662</v>
      </c>
      <c r="E109" s="2" t="str">
        <f>IF(WORKDAY(DataBase-1,76,Feriados)&gt;FimObra,"",WORKDAY(DataBase-1,76,Feriados))</f>
        <v/>
      </c>
      <c r="F109" s="13"/>
      <c r="G109" s="1"/>
      <c r="H109" s="1"/>
      <c r="I109" s="1"/>
      <c r="J109" s="1"/>
      <c r="K109" s="1"/>
      <c r="L109" s="5" t="str">
        <f t="shared" si="3"/>
        <v/>
      </c>
    </row>
    <row r="110" spans="1:12" x14ac:dyDescent="0.35">
      <c r="A110" s="17">
        <v>106</v>
      </c>
      <c r="B110" s="5" t="s">
        <v>660</v>
      </c>
      <c r="C110" s="5" t="s">
        <v>738</v>
      </c>
      <c r="D110" s="5" t="s">
        <v>662</v>
      </c>
      <c r="E110" s="2" t="str">
        <f>IF(WORKDAY(DataBase-1,77,Feriados)&gt;FimObra,"",WORKDAY(DataBase-1,77,Feriados))</f>
        <v/>
      </c>
      <c r="F110" s="13"/>
      <c r="G110" s="1"/>
      <c r="H110" s="1"/>
      <c r="I110" s="1"/>
      <c r="J110" s="1"/>
      <c r="K110" s="1"/>
      <c r="L110" s="5" t="str">
        <f t="shared" si="3"/>
        <v/>
      </c>
    </row>
    <row r="111" spans="1:12" x14ac:dyDescent="0.35">
      <c r="A111" s="17">
        <v>107</v>
      </c>
      <c r="B111" s="5" t="s">
        <v>660</v>
      </c>
      <c r="C111" s="5" t="s">
        <v>739</v>
      </c>
      <c r="D111" s="5" t="s">
        <v>662</v>
      </c>
      <c r="E111" s="2" t="str">
        <f>IF(WORKDAY(DataBase-1,78,Feriados)&gt;FimObra,"",WORKDAY(DataBase-1,78,Feriados))</f>
        <v/>
      </c>
      <c r="F111" s="13"/>
      <c r="G111" s="1"/>
      <c r="H111" s="1"/>
      <c r="I111" s="1"/>
      <c r="J111" s="1"/>
      <c r="K111" s="1"/>
      <c r="L111" s="5" t="str">
        <f t="shared" si="3"/>
        <v/>
      </c>
    </row>
    <row r="112" spans="1:12" x14ac:dyDescent="0.35">
      <c r="A112" s="17">
        <v>108</v>
      </c>
      <c r="B112" s="5" t="s">
        <v>660</v>
      </c>
      <c r="C112" s="5" t="s">
        <v>740</v>
      </c>
      <c r="D112" s="5" t="s">
        <v>662</v>
      </c>
      <c r="E112" s="2" t="str">
        <f>IF(WORKDAY(DataBase-1,79,Feriados)&gt;FimObra,"",WORKDAY(DataBase-1,79,Feriados))</f>
        <v/>
      </c>
      <c r="F112" s="13"/>
      <c r="G112" s="1"/>
      <c r="H112" s="1"/>
      <c r="I112" s="1"/>
      <c r="J112" s="1"/>
      <c r="K112" s="1"/>
      <c r="L112" s="5" t="str">
        <f t="shared" si="3"/>
        <v/>
      </c>
    </row>
    <row r="113" spans="1:12" x14ac:dyDescent="0.35">
      <c r="A113" s="17">
        <v>109</v>
      </c>
      <c r="B113" s="5" t="s">
        <v>660</v>
      </c>
      <c r="C113" s="5" t="s">
        <v>741</v>
      </c>
      <c r="D113" s="5" t="s">
        <v>662</v>
      </c>
      <c r="E113" s="2" t="str">
        <f>IF(WORKDAY(DataBase-1,80,Feriados)&gt;FimObra,"",WORKDAY(DataBase-1,80,Feriados))</f>
        <v/>
      </c>
      <c r="F113" s="13"/>
      <c r="G113" s="1"/>
      <c r="H113" s="1"/>
      <c r="I113" s="1"/>
      <c r="J113" s="1"/>
      <c r="K113" s="1"/>
      <c r="L113" s="5" t="str">
        <f t="shared" si="3"/>
        <v/>
      </c>
    </row>
    <row r="114" spans="1:12" x14ac:dyDescent="0.35">
      <c r="A114" s="17">
        <v>110</v>
      </c>
      <c r="B114" s="5" t="s">
        <v>660</v>
      </c>
      <c r="C114" s="5" t="s">
        <v>742</v>
      </c>
      <c r="D114" s="5" t="s">
        <v>662</v>
      </c>
      <c r="E114" s="2" t="str">
        <f>IF(WORKDAY(DataBase-1,81,Feriados)&gt;FimObra,"",WORKDAY(DataBase-1,81,Feriados))</f>
        <v/>
      </c>
      <c r="F114" s="13"/>
      <c r="G114" s="1"/>
      <c r="H114" s="1"/>
      <c r="I114" s="1"/>
      <c r="J114" s="1"/>
      <c r="K114" s="1"/>
      <c r="L114" s="5" t="str">
        <f t="shared" si="3"/>
        <v/>
      </c>
    </row>
    <row r="115" spans="1:12" x14ac:dyDescent="0.35">
      <c r="A115" s="17">
        <v>111</v>
      </c>
      <c r="B115" s="5" t="s">
        <v>660</v>
      </c>
      <c r="C115" s="5" t="s">
        <v>743</v>
      </c>
      <c r="D115" s="5" t="s">
        <v>662</v>
      </c>
      <c r="E115" s="2" t="str">
        <f>IF(WORKDAY(DataBase-1,82,Feriados)&gt;FimObra,"",WORKDAY(DataBase-1,82,Feriados))</f>
        <v/>
      </c>
      <c r="F115" s="13"/>
      <c r="G115" s="1"/>
      <c r="H115" s="1"/>
      <c r="I115" s="1"/>
      <c r="J115" s="1"/>
      <c r="K115" s="1"/>
      <c r="L115" s="5" t="str">
        <f t="shared" si="3"/>
        <v/>
      </c>
    </row>
    <row r="116" spans="1:12" x14ac:dyDescent="0.35">
      <c r="A116" s="17">
        <v>112</v>
      </c>
      <c r="B116" s="5" t="s">
        <v>660</v>
      </c>
      <c r="C116" s="5" t="s">
        <v>744</v>
      </c>
      <c r="D116" s="5" t="s">
        <v>662</v>
      </c>
      <c r="E116" s="2" t="str">
        <f>IF(WORKDAY(DataBase-1,83,Feriados)&gt;FimObra,"",WORKDAY(DataBase-1,83,Feriados))</f>
        <v/>
      </c>
      <c r="F116" s="13"/>
      <c r="G116" s="1"/>
      <c r="H116" s="1"/>
      <c r="I116" s="1"/>
      <c r="J116" s="1"/>
      <c r="K116" s="1"/>
      <c r="L116" s="5" t="str">
        <f t="shared" si="3"/>
        <v/>
      </c>
    </row>
    <row r="117" spans="1:12" x14ac:dyDescent="0.35">
      <c r="A117" s="17">
        <v>113</v>
      </c>
      <c r="B117" s="5" t="s">
        <v>660</v>
      </c>
      <c r="C117" s="5" t="s">
        <v>745</v>
      </c>
      <c r="D117" s="5" t="s">
        <v>662</v>
      </c>
      <c r="E117" s="2" t="str">
        <f>IF(WORKDAY(DataBase-1,84,Feriados)&gt;FimObra,"",WORKDAY(DataBase-1,84,Feriados))</f>
        <v/>
      </c>
      <c r="F117" s="13"/>
      <c r="G117" s="1"/>
      <c r="H117" s="1"/>
      <c r="I117" s="1"/>
      <c r="J117" s="1"/>
      <c r="K117" s="1"/>
      <c r="L117" s="5" t="str">
        <f t="shared" si="3"/>
        <v/>
      </c>
    </row>
    <row r="118" spans="1:12" x14ac:dyDescent="0.35">
      <c r="A118" s="17">
        <v>114</v>
      </c>
      <c r="B118" s="5" t="s">
        <v>660</v>
      </c>
      <c r="C118" s="5" t="s">
        <v>746</v>
      </c>
      <c r="D118" s="5" t="s">
        <v>662</v>
      </c>
      <c r="E118" s="2" t="str">
        <f>IF(WORKDAY(DataBase-1,85,Feriados)&gt;FimObra,"",WORKDAY(DataBase-1,85,Feriados))</f>
        <v/>
      </c>
      <c r="F118" s="13"/>
      <c r="G118" s="1"/>
      <c r="H118" s="1"/>
      <c r="I118" s="1"/>
      <c r="J118" s="1"/>
      <c r="K118" s="1"/>
      <c r="L118" s="5" t="str">
        <f t="shared" si="3"/>
        <v/>
      </c>
    </row>
    <row r="119" spans="1:12" x14ac:dyDescent="0.35">
      <c r="A119" s="17">
        <v>115</v>
      </c>
      <c r="B119" s="5" t="s">
        <v>660</v>
      </c>
      <c r="C119" s="5" t="s">
        <v>747</v>
      </c>
      <c r="D119" s="5" t="s">
        <v>662</v>
      </c>
      <c r="E119" s="2" t="str">
        <f>IF(WORKDAY(DataBase-1,86,Feriados)&gt;FimObra,"",WORKDAY(DataBase-1,86,Feriados))</f>
        <v/>
      </c>
      <c r="F119" s="13"/>
      <c r="G119" s="1"/>
      <c r="H119" s="1"/>
      <c r="I119" s="1"/>
      <c r="J119" s="1"/>
      <c r="K119" s="1"/>
      <c r="L119" s="5" t="str">
        <f t="shared" si="3"/>
        <v/>
      </c>
    </row>
    <row r="120" spans="1:12" x14ac:dyDescent="0.35">
      <c r="A120" s="17">
        <v>116</v>
      </c>
      <c r="B120" s="5" t="s">
        <v>660</v>
      </c>
      <c r="C120" s="5" t="s">
        <v>748</v>
      </c>
      <c r="D120" s="5" t="s">
        <v>662</v>
      </c>
      <c r="E120" s="2" t="str">
        <f>IF(WORKDAY(DataBase-1,87,Feriados)&gt;FimObra,"",WORKDAY(DataBase-1,87,Feriados))</f>
        <v/>
      </c>
      <c r="F120" s="13"/>
      <c r="G120" s="1"/>
      <c r="H120" s="1"/>
      <c r="I120" s="1"/>
      <c r="J120" s="1"/>
      <c r="K120" s="1"/>
      <c r="L120" s="5" t="str">
        <f t="shared" si="3"/>
        <v/>
      </c>
    </row>
    <row r="121" spans="1:12" x14ac:dyDescent="0.35">
      <c r="A121" s="17">
        <v>117</v>
      </c>
      <c r="B121" s="5" t="s">
        <v>660</v>
      </c>
      <c r="C121" s="5" t="s">
        <v>749</v>
      </c>
      <c r="D121" s="5" t="s">
        <v>662</v>
      </c>
      <c r="E121" s="2" t="str">
        <f>IF(WORKDAY(DataBase-1,88,Feriados)&gt;FimObra,"",WORKDAY(DataBase-1,88,Feriados))</f>
        <v/>
      </c>
      <c r="F121" s="13"/>
      <c r="G121" s="1"/>
      <c r="H121" s="1"/>
      <c r="I121" s="1"/>
      <c r="J121" s="1"/>
      <c r="K121" s="1"/>
      <c r="L121" s="5" t="str">
        <f t="shared" si="3"/>
        <v/>
      </c>
    </row>
    <row r="122" spans="1:12" x14ac:dyDescent="0.35">
      <c r="A122" s="17">
        <v>118</v>
      </c>
      <c r="B122" s="5" t="s">
        <v>660</v>
      </c>
      <c r="C122" s="5" t="s">
        <v>750</v>
      </c>
      <c r="D122" s="5" t="s">
        <v>662</v>
      </c>
      <c r="E122" s="2" t="str">
        <f>IF(WORKDAY(DataBase-1,89,Feriados)&gt;FimObra,"",WORKDAY(DataBase-1,89,Feriados))</f>
        <v/>
      </c>
      <c r="F122" s="13"/>
      <c r="G122" s="1"/>
      <c r="H122" s="1"/>
      <c r="I122" s="1"/>
      <c r="J122" s="1"/>
      <c r="K122" s="1"/>
      <c r="L122" s="5" t="str">
        <f t="shared" si="3"/>
        <v/>
      </c>
    </row>
    <row r="123" spans="1:12" x14ac:dyDescent="0.35">
      <c r="A123" s="17">
        <v>119</v>
      </c>
      <c r="B123" s="5" t="s">
        <v>660</v>
      </c>
      <c r="C123" s="5" t="s">
        <v>751</v>
      </c>
      <c r="D123" s="5" t="s">
        <v>662</v>
      </c>
      <c r="E123" s="2" t="str">
        <f>IF(WORKDAY(DataBase-1,90,Feriados)&gt;FimObra,"",WORKDAY(DataBase-1,90,Feriados))</f>
        <v/>
      </c>
      <c r="F123" s="13"/>
      <c r="G123" s="1"/>
      <c r="H123" s="1"/>
      <c r="I123" s="1"/>
      <c r="J123" s="1"/>
      <c r="K123" s="1"/>
      <c r="L123" s="5" t="str">
        <f t="shared" si="3"/>
        <v/>
      </c>
    </row>
    <row r="124" spans="1:12" x14ac:dyDescent="0.35">
      <c r="A124" s="17">
        <v>120</v>
      </c>
      <c r="B124" s="5" t="s">
        <v>660</v>
      </c>
      <c r="C124" s="5" t="s">
        <v>752</v>
      </c>
      <c r="D124" s="5" t="s">
        <v>662</v>
      </c>
      <c r="E124" s="2" t="str">
        <f>IF(WORKDAY(DataBase-1,91,Feriados)&gt;FimObra,"",WORKDAY(DataBase-1,91,Feriados))</f>
        <v/>
      </c>
      <c r="F124" s="13"/>
      <c r="G124" s="1"/>
      <c r="H124" s="1"/>
      <c r="I124" s="1"/>
      <c r="J124" s="1"/>
      <c r="K124" s="1"/>
      <c r="L124" s="5" t="str">
        <f t="shared" si="3"/>
        <v/>
      </c>
    </row>
    <row r="125" spans="1:12" x14ac:dyDescent="0.35">
      <c r="A125" s="17">
        <v>121</v>
      </c>
      <c r="B125" s="5" t="s">
        <v>660</v>
      </c>
      <c r="C125" s="5" t="s">
        <v>753</v>
      </c>
      <c r="D125" s="5" t="s">
        <v>662</v>
      </c>
      <c r="E125" s="2" t="str">
        <f>IF(WORKDAY(DataBase-1,92,Feriados)&gt;FimObra,"",WORKDAY(DataBase-1,92,Feriados))</f>
        <v/>
      </c>
      <c r="F125" s="13"/>
      <c r="G125" s="1"/>
      <c r="H125" s="1"/>
      <c r="I125" s="1"/>
      <c r="J125" s="1"/>
      <c r="K125" s="1"/>
      <c r="L125" s="5" t="str">
        <f t="shared" si="3"/>
        <v/>
      </c>
    </row>
    <row r="126" spans="1:12" x14ac:dyDescent="0.35">
      <c r="A126" s="17">
        <v>122</v>
      </c>
      <c r="B126" s="5" t="s">
        <v>660</v>
      </c>
      <c r="C126" s="5" t="s">
        <v>754</v>
      </c>
      <c r="D126" s="5" t="s">
        <v>662</v>
      </c>
      <c r="E126" s="2" t="str">
        <f>IF(WORKDAY(DataBase-1,93,Feriados)&gt;FimObra,"",WORKDAY(DataBase-1,93,Feriados))</f>
        <v/>
      </c>
      <c r="F126" s="13"/>
      <c r="G126" s="1"/>
      <c r="H126" s="1"/>
      <c r="I126" s="1"/>
      <c r="J126" s="1"/>
      <c r="K126" s="1"/>
      <c r="L126" s="5" t="str">
        <f t="shared" si="3"/>
        <v/>
      </c>
    </row>
    <row r="127" spans="1:12" x14ac:dyDescent="0.35">
      <c r="A127" s="17">
        <v>123</v>
      </c>
      <c r="B127" s="5" t="s">
        <v>660</v>
      </c>
      <c r="C127" s="5" t="s">
        <v>755</v>
      </c>
      <c r="D127" s="5" t="s">
        <v>662</v>
      </c>
      <c r="E127" s="2" t="str">
        <f>IF(WORKDAY(DataBase-1,94,Feriados)&gt;FimObra,"",WORKDAY(DataBase-1,94,Feriados))</f>
        <v/>
      </c>
      <c r="F127" s="13"/>
      <c r="G127" s="1"/>
      <c r="H127" s="1"/>
      <c r="I127" s="1"/>
      <c r="J127" s="1"/>
      <c r="K127" s="1"/>
      <c r="L127" s="5" t="str">
        <f t="shared" si="3"/>
        <v/>
      </c>
    </row>
    <row r="128" spans="1:12" x14ac:dyDescent="0.35">
      <c r="A128" s="17">
        <v>124</v>
      </c>
      <c r="B128" s="5" t="s">
        <v>660</v>
      </c>
      <c r="C128" s="5" t="s">
        <v>756</v>
      </c>
      <c r="D128" s="5" t="s">
        <v>662</v>
      </c>
      <c r="E128" s="2" t="str">
        <f>IF(WORKDAY(DataBase-1,95,Feriados)&gt;FimObra,"",WORKDAY(DataBase-1,95,Feriados))</f>
        <v/>
      </c>
      <c r="F128" s="13"/>
      <c r="G128" s="1"/>
      <c r="H128" s="1"/>
      <c r="I128" s="1"/>
      <c r="J128" s="1"/>
      <c r="K128" s="1"/>
      <c r="L128" s="5" t="str">
        <f t="shared" si="3"/>
        <v/>
      </c>
    </row>
    <row r="129" spans="1:12" x14ac:dyDescent="0.35">
      <c r="A129" s="17">
        <v>125</v>
      </c>
      <c r="B129" s="5" t="s">
        <v>660</v>
      </c>
      <c r="C129" s="5" t="s">
        <v>757</v>
      </c>
      <c r="D129" s="5" t="s">
        <v>662</v>
      </c>
      <c r="E129" s="2" t="str">
        <f>IF(WORKDAY(DataBase-1,96,Feriados)&gt;FimObra,"",WORKDAY(DataBase-1,96,Feriados))</f>
        <v/>
      </c>
      <c r="F129" s="13"/>
      <c r="G129" s="1"/>
      <c r="H129" s="1"/>
      <c r="I129" s="1"/>
      <c r="J129" s="1"/>
      <c r="K129" s="1"/>
      <c r="L129" s="5" t="str">
        <f t="shared" si="3"/>
        <v/>
      </c>
    </row>
    <row r="130" spans="1:12" x14ac:dyDescent="0.35">
      <c r="A130" s="17">
        <v>126</v>
      </c>
      <c r="B130" s="5" t="s">
        <v>660</v>
      </c>
      <c r="C130" s="5" t="s">
        <v>758</v>
      </c>
      <c r="D130" s="5" t="s">
        <v>662</v>
      </c>
      <c r="E130" s="2" t="str">
        <f>IF(WORKDAY(DataBase-1,97,Feriados)&gt;FimObra,"",WORKDAY(DataBase-1,97,Feriados))</f>
        <v/>
      </c>
      <c r="F130" s="13"/>
      <c r="G130" s="1"/>
      <c r="H130" s="1"/>
      <c r="I130" s="1"/>
      <c r="J130" s="1"/>
      <c r="K130" s="1"/>
      <c r="L130" s="5" t="str">
        <f t="shared" si="3"/>
        <v/>
      </c>
    </row>
    <row r="131" spans="1:12" x14ac:dyDescent="0.35">
      <c r="A131" s="17">
        <v>127</v>
      </c>
      <c r="B131" s="5" t="s">
        <v>660</v>
      </c>
      <c r="C131" s="5" t="s">
        <v>759</v>
      </c>
      <c r="D131" s="5" t="s">
        <v>662</v>
      </c>
      <c r="E131" s="2" t="str">
        <f>IF(WORKDAY(DataBase-1,98,Feriados)&gt;FimObra,"",WORKDAY(DataBase-1,98,Feriados))</f>
        <v/>
      </c>
      <c r="F131" s="13"/>
      <c r="G131" s="1"/>
      <c r="H131" s="1"/>
      <c r="I131" s="1"/>
      <c r="J131" s="1"/>
      <c r="K131" s="1"/>
      <c r="L131" s="5" t="str">
        <f t="shared" si="3"/>
        <v/>
      </c>
    </row>
    <row r="132" spans="1:12" x14ac:dyDescent="0.35">
      <c r="A132" s="17">
        <v>128</v>
      </c>
      <c r="B132" s="5" t="s">
        <v>660</v>
      </c>
      <c r="C132" s="5" t="s">
        <v>760</v>
      </c>
      <c r="D132" s="5" t="s">
        <v>662</v>
      </c>
      <c r="E132" s="2" t="str">
        <f>IF(WORKDAY(DataBase-1,99,Feriados)&gt;FimObra,"",WORKDAY(DataBase-1,99,Feriados))</f>
        <v/>
      </c>
      <c r="F132" s="13"/>
      <c r="G132" s="1"/>
      <c r="H132" s="1"/>
      <c r="I132" s="1"/>
      <c r="J132" s="1"/>
      <c r="K132" s="1"/>
      <c r="L132" s="5" t="str">
        <f t="shared" si="3"/>
        <v/>
      </c>
    </row>
    <row r="133" spans="1:12" x14ac:dyDescent="0.35">
      <c r="A133" s="17">
        <v>129</v>
      </c>
      <c r="B133" s="5" t="s">
        <v>660</v>
      </c>
      <c r="C133" s="5" t="s">
        <v>761</v>
      </c>
      <c r="D133" s="5" t="s">
        <v>662</v>
      </c>
      <c r="E133" s="2" t="str">
        <f>IF(WORKDAY(DataBase-1,100,Feriados)&gt;FimObra,"",WORKDAY(DataBase-1,100,Feriados))</f>
        <v/>
      </c>
      <c r="F133" s="13"/>
      <c r="G133" s="1"/>
      <c r="H133" s="1"/>
      <c r="I133" s="1"/>
      <c r="J133" s="1"/>
      <c r="K133" s="1"/>
      <c r="L133" s="5" t="str">
        <f t="shared" ref="L133:L164" si="4">IF(E133="","",IF(F133&lt;&gt;"",IF(F133&gt;E133,"Enviado com atraso","Enviado no prazo"),IF(DataRef&gt;E133,"ATRASADO",IF(DataRef=E133,"ENVIAR HOJE","Programado"))))</f>
        <v/>
      </c>
    </row>
    <row r="134" spans="1:12" x14ac:dyDescent="0.35">
      <c r="A134" s="17">
        <v>130</v>
      </c>
      <c r="B134" s="5" t="s">
        <v>660</v>
      </c>
      <c r="C134" s="5" t="s">
        <v>762</v>
      </c>
      <c r="D134" s="5" t="s">
        <v>662</v>
      </c>
      <c r="E134" s="2" t="str">
        <f>IF(WORKDAY(DataBase-1,101,Feriados)&gt;FimObra,"",WORKDAY(DataBase-1,101,Feriados))</f>
        <v/>
      </c>
      <c r="F134" s="13"/>
      <c r="G134" s="1"/>
      <c r="H134" s="1"/>
      <c r="I134" s="1"/>
      <c r="J134" s="1"/>
      <c r="K134" s="1"/>
      <c r="L134" s="5" t="str">
        <f t="shared" si="4"/>
        <v/>
      </c>
    </row>
    <row r="135" spans="1:12" x14ac:dyDescent="0.35">
      <c r="A135" s="17">
        <v>131</v>
      </c>
      <c r="B135" s="5" t="s">
        <v>660</v>
      </c>
      <c r="C135" s="5" t="s">
        <v>763</v>
      </c>
      <c r="D135" s="5" t="s">
        <v>662</v>
      </c>
      <c r="E135" s="2" t="str">
        <f>IF(WORKDAY(DataBase-1,102,Feriados)&gt;FimObra,"",WORKDAY(DataBase-1,102,Feriados))</f>
        <v/>
      </c>
      <c r="F135" s="13"/>
      <c r="G135" s="1"/>
      <c r="H135" s="1"/>
      <c r="I135" s="1"/>
      <c r="J135" s="1"/>
      <c r="K135" s="1"/>
      <c r="L135" s="5" t="str">
        <f t="shared" si="4"/>
        <v/>
      </c>
    </row>
    <row r="136" spans="1:12" x14ac:dyDescent="0.35">
      <c r="A136" s="17">
        <v>132</v>
      </c>
      <c r="B136" s="5" t="s">
        <v>660</v>
      </c>
      <c r="C136" s="5" t="s">
        <v>764</v>
      </c>
      <c r="D136" s="5" t="s">
        <v>662</v>
      </c>
      <c r="E136" s="2" t="str">
        <f>IF(WORKDAY(DataBase-1,103,Feriados)&gt;FimObra,"",WORKDAY(DataBase-1,103,Feriados))</f>
        <v/>
      </c>
      <c r="F136" s="13"/>
      <c r="G136" s="1"/>
      <c r="H136" s="1"/>
      <c r="I136" s="1"/>
      <c r="J136" s="1"/>
      <c r="K136" s="1"/>
      <c r="L136" s="5" t="str">
        <f t="shared" si="4"/>
        <v/>
      </c>
    </row>
    <row r="137" spans="1:12" x14ac:dyDescent="0.35">
      <c r="A137" s="17">
        <v>133</v>
      </c>
      <c r="B137" s="5" t="s">
        <v>660</v>
      </c>
      <c r="C137" s="5" t="s">
        <v>765</v>
      </c>
      <c r="D137" s="5" t="s">
        <v>662</v>
      </c>
      <c r="E137" s="2" t="str">
        <f>IF(WORKDAY(DataBase-1,104,Feriados)&gt;FimObra,"",WORKDAY(DataBase-1,104,Feriados))</f>
        <v/>
      </c>
      <c r="F137" s="13"/>
      <c r="G137" s="1"/>
      <c r="H137" s="1"/>
      <c r="I137" s="1"/>
      <c r="J137" s="1"/>
      <c r="K137" s="1"/>
      <c r="L137" s="5" t="str">
        <f t="shared" si="4"/>
        <v/>
      </c>
    </row>
    <row r="138" spans="1:12" x14ac:dyDescent="0.35">
      <c r="A138" s="17">
        <v>134</v>
      </c>
      <c r="B138" s="5" t="s">
        <v>660</v>
      </c>
      <c r="C138" s="5" t="s">
        <v>766</v>
      </c>
      <c r="D138" s="5" t="s">
        <v>662</v>
      </c>
      <c r="E138" s="2" t="str">
        <f>IF(WORKDAY(DataBase-1,105,Feriados)&gt;FimObra,"",WORKDAY(DataBase-1,105,Feriados))</f>
        <v/>
      </c>
      <c r="F138" s="13"/>
      <c r="G138" s="1"/>
      <c r="H138" s="1"/>
      <c r="I138" s="1"/>
      <c r="J138" s="1"/>
      <c r="K138" s="1"/>
      <c r="L138" s="5" t="str">
        <f t="shared" si="4"/>
        <v/>
      </c>
    </row>
    <row r="139" spans="1:12" x14ac:dyDescent="0.35">
      <c r="A139" s="17">
        <v>135</v>
      </c>
      <c r="B139" s="5" t="s">
        <v>660</v>
      </c>
      <c r="C139" s="5" t="s">
        <v>767</v>
      </c>
      <c r="D139" s="5" t="s">
        <v>662</v>
      </c>
      <c r="E139" s="2" t="str">
        <f>IF(WORKDAY(DataBase-1,106,Feriados)&gt;FimObra,"",WORKDAY(DataBase-1,106,Feriados))</f>
        <v/>
      </c>
      <c r="F139" s="13"/>
      <c r="G139" s="1"/>
      <c r="H139" s="1"/>
      <c r="I139" s="1"/>
      <c r="J139" s="1"/>
      <c r="K139" s="1"/>
      <c r="L139" s="5" t="str">
        <f t="shared" si="4"/>
        <v/>
      </c>
    </row>
    <row r="140" spans="1:12" x14ac:dyDescent="0.35">
      <c r="A140" s="17">
        <v>136</v>
      </c>
      <c r="B140" s="5" t="s">
        <v>660</v>
      </c>
      <c r="C140" s="5" t="s">
        <v>768</v>
      </c>
      <c r="D140" s="5" t="s">
        <v>662</v>
      </c>
      <c r="E140" s="2" t="str">
        <f>IF(WORKDAY(DataBase-1,107,Feriados)&gt;FimObra,"",WORKDAY(DataBase-1,107,Feriados))</f>
        <v/>
      </c>
      <c r="F140" s="13"/>
      <c r="G140" s="1"/>
      <c r="H140" s="1"/>
      <c r="I140" s="1"/>
      <c r="J140" s="1"/>
      <c r="K140" s="1"/>
      <c r="L140" s="5" t="str">
        <f t="shared" si="4"/>
        <v/>
      </c>
    </row>
    <row r="141" spans="1:12" x14ac:dyDescent="0.35">
      <c r="A141" s="17">
        <v>137</v>
      </c>
      <c r="B141" s="5" t="s">
        <v>660</v>
      </c>
      <c r="C141" s="5" t="s">
        <v>769</v>
      </c>
      <c r="D141" s="5" t="s">
        <v>662</v>
      </c>
      <c r="E141" s="2" t="str">
        <f>IF(WORKDAY(DataBase-1,108,Feriados)&gt;FimObra,"",WORKDAY(DataBase-1,108,Feriados))</f>
        <v/>
      </c>
      <c r="F141" s="13"/>
      <c r="G141" s="1"/>
      <c r="H141" s="1"/>
      <c r="I141" s="1"/>
      <c r="J141" s="1"/>
      <c r="K141" s="1"/>
      <c r="L141" s="5" t="str">
        <f t="shared" si="4"/>
        <v/>
      </c>
    </row>
    <row r="142" spans="1:12" x14ac:dyDescent="0.35">
      <c r="A142" s="17">
        <v>138</v>
      </c>
      <c r="B142" s="5" t="s">
        <v>660</v>
      </c>
      <c r="C142" s="5" t="s">
        <v>770</v>
      </c>
      <c r="D142" s="5" t="s">
        <v>662</v>
      </c>
      <c r="E142" s="2" t="str">
        <f>IF(WORKDAY(DataBase-1,109,Feriados)&gt;FimObra,"",WORKDAY(DataBase-1,109,Feriados))</f>
        <v/>
      </c>
      <c r="F142" s="13"/>
      <c r="G142" s="1"/>
      <c r="H142" s="1"/>
      <c r="I142" s="1"/>
      <c r="J142" s="1"/>
      <c r="K142" s="1"/>
      <c r="L142" s="5" t="str">
        <f t="shared" si="4"/>
        <v/>
      </c>
    </row>
    <row r="143" spans="1:12" x14ac:dyDescent="0.35">
      <c r="A143" s="17">
        <v>139</v>
      </c>
      <c r="B143" s="5" t="s">
        <v>660</v>
      </c>
      <c r="C143" s="5" t="s">
        <v>771</v>
      </c>
      <c r="D143" s="5" t="s">
        <v>662</v>
      </c>
      <c r="E143" s="2" t="str">
        <f>IF(WORKDAY(DataBase-1,110,Feriados)&gt;FimObra,"",WORKDAY(DataBase-1,110,Feriados))</f>
        <v/>
      </c>
      <c r="F143" s="13"/>
      <c r="G143" s="1"/>
      <c r="H143" s="1"/>
      <c r="I143" s="1"/>
      <c r="J143" s="1"/>
      <c r="K143" s="1"/>
      <c r="L143" s="5" t="str">
        <f t="shared" si="4"/>
        <v/>
      </c>
    </row>
    <row r="144" spans="1:12" x14ac:dyDescent="0.35">
      <c r="A144" s="17" t="str">
        <f t="shared" ref="A144:A173" si="5">IF(B144="","",ROW()-4)</f>
        <v/>
      </c>
      <c r="B144" s="1"/>
      <c r="C144" s="1"/>
      <c r="D144" s="1"/>
      <c r="E144" s="13"/>
      <c r="F144" s="13"/>
      <c r="G144" s="1"/>
      <c r="H144" s="1"/>
      <c r="I144" s="1"/>
      <c r="J144" s="1"/>
      <c r="K144" s="1"/>
      <c r="L144" s="5" t="str">
        <f t="shared" si="4"/>
        <v/>
      </c>
    </row>
    <row r="145" spans="1:12" x14ac:dyDescent="0.35">
      <c r="A145" s="17" t="str">
        <f t="shared" si="5"/>
        <v/>
      </c>
      <c r="B145" s="1"/>
      <c r="C145" s="1"/>
      <c r="D145" s="1"/>
      <c r="E145" s="13"/>
      <c r="F145" s="13"/>
      <c r="G145" s="1"/>
      <c r="H145" s="1"/>
      <c r="I145" s="1"/>
      <c r="J145" s="1"/>
      <c r="K145" s="1"/>
      <c r="L145" s="5" t="str">
        <f t="shared" si="4"/>
        <v/>
      </c>
    </row>
    <row r="146" spans="1:12" x14ac:dyDescent="0.35">
      <c r="A146" s="17" t="str">
        <f t="shared" si="5"/>
        <v/>
      </c>
      <c r="B146" s="1"/>
      <c r="C146" s="1"/>
      <c r="D146" s="1"/>
      <c r="E146" s="13"/>
      <c r="F146" s="13"/>
      <c r="G146" s="1"/>
      <c r="H146" s="1"/>
      <c r="I146" s="1"/>
      <c r="J146" s="1"/>
      <c r="K146" s="1"/>
      <c r="L146" s="5" t="str">
        <f t="shared" si="4"/>
        <v/>
      </c>
    </row>
    <row r="147" spans="1:12" x14ac:dyDescent="0.35">
      <c r="A147" s="17" t="str">
        <f t="shared" si="5"/>
        <v/>
      </c>
      <c r="B147" s="1"/>
      <c r="C147" s="1"/>
      <c r="D147" s="1"/>
      <c r="E147" s="13"/>
      <c r="F147" s="13"/>
      <c r="G147" s="1"/>
      <c r="H147" s="1"/>
      <c r="I147" s="1"/>
      <c r="J147" s="1"/>
      <c r="K147" s="1"/>
      <c r="L147" s="5" t="str">
        <f t="shared" si="4"/>
        <v/>
      </c>
    </row>
    <row r="148" spans="1:12" x14ac:dyDescent="0.35">
      <c r="A148" s="17" t="str">
        <f t="shared" si="5"/>
        <v/>
      </c>
      <c r="B148" s="1"/>
      <c r="C148" s="1"/>
      <c r="D148" s="1"/>
      <c r="E148" s="13"/>
      <c r="F148" s="13"/>
      <c r="G148" s="1"/>
      <c r="H148" s="1"/>
      <c r="I148" s="1"/>
      <c r="J148" s="1"/>
      <c r="K148" s="1"/>
      <c r="L148" s="5" t="str">
        <f t="shared" si="4"/>
        <v/>
      </c>
    </row>
    <row r="149" spans="1:12" x14ac:dyDescent="0.35">
      <c r="A149" s="17" t="str">
        <f t="shared" si="5"/>
        <v/>
      </c>
      <c r="B149" s="1"/>
      <c r="C149" s="1"/>
      <c r="D149" s="1"/>
      <c r="E149" s="13"/>
      <c r="F149" s="13"/>
      <c r="G149" s="1"/>
      <c r="H149" s="1"/>
      <c r="I149" s="1"/>
      <c r="J149" s="1"/>
      <c r="K149" s="1"/>
      <c r="L149" s="5" t="str">
        <f t="shared" si="4"/>
        <v/>
      </c>
    </row>
    <row r="150" spans="1:12" x14ac:dyDescent="0.35">
      <c r="A150" s="17" t="str">
        <f t="shared" si="5"/>
        <v/>
      </c>
      <c r="B150" s="1"/>
      <c r="C150" s="1"/>
      <c r="D150" s="1"/>
      <c r="E150" s="13"/>
      <c r="F150" s="13"/>
      <c r="G150" s="1"/>
      <c r="H150" s="1"/>
      <c r="I150" s="1"/>
      <c r="J150" s="1"/>
      <c r="K150" s="1"/>
      <c r="L150" s="5" t="str">
        <f t="shared" si="4"/>
        <v/>
      </c>
    </row>
    <row r="151" spans="1:12" x14ac:dyDescent="0.35">
      <c r="A151" s="17" t="str">
        <f t="shared" si="5"/>
        <v/>
      </c>
      <c r="B151" s="1"/>
      <c r="C151" s="1"/>
      <c r="D151" s="1"/>
      <c r="E151" s="13"/>
      <c r="F151" s="13"/>
      <c r="G151" s="1"/>
      <c r="H151" s="1"/>
      <c r="I151" s="1"/>
      <c r="J151" s="1"/>
      <c r="K151" s="1"/>
      <c r="L151" s="5" t="str">
        <f t="shared" si="4"/>
        <v/>
      </c>
    </row>
    <row r="152" spans="1:12" x14ac:dyDescent="0.35">
      <c r="A152" s="17" t="str">
        <f t="shared" si="5"/>
        <v/>
      </c>
      <c r="B152" s="1"/>
      <c r="C152" s="1"/>
      <c r="D152" s="1"/>
      <c r="E152" s="13"/>
      <c r="F152" s="13"/>
      <c r="G152" s="1"/>
      <c r="H152" s="1"/>
      <c r="I152" s="1"/>
      <c r="J152" s="1"/>
      <c r="K152" s="1"/>
      <c r="L152" s="5" t="str">
        <f t="shared" si="4"/>
        <v/>
      </c>
    </row>
    <row r="153" spans="1:12" x14ac:dyDescent="0.35">
      <c r="A153" s="17" t="str">
        <f t="shared" si="5"/>
        <v/>
      </c>
      <c r="B153" s="1"/>
      <c r="C153" s="1"/>
      <c r="D153" s="1"/>
      <c r="E153" s="13"/>
      <c r="F153" s="13"/>
      <c r="G153" s="1"/>
      <c r="H153" s="1"/>
      <c r="I153" s="1"/>
      <c r="J153" s="1"/>
      <c r="K153" s="1"/>
      <c r="L153" s="5" t="str">
        <f t="shared" si="4"/>
        <v/>
      </c>
    </row>
    <row r="154" spans="1:12" x14ac:dyDescent="0.35">
      <c r="A154" s="17" t="str">
        <f t="shared" si="5"/>
        <v/>
      </c>
      <c r="B154" s="1"/>
      <c r="C154" s="1"/>
      <c r="D154" s="1"/>
      <c r="E154" s="13"/>
      <c r="F154" s="13"/>
      <c r="G154" s="1"/>
      <c r="H154" s="1"/>
      <c r="I154" s="1"/>
      <c r="J154" s="1"/>
      <c r="K154" s="1"/>
      <c r="L154" s="5" t="str">
        <f t="shared" si="4"/>
        <v/>
      </c>
    </row>
    <row r="155" spans="1:12" x14ac:dyDescent="0.35">
      <c r="A155" s="17" t="str">
        <f t="shared" si="5"/>
        <v/>
      </c>
      <c r="B155" s="1"/>
      <c r="C155" s="1"/>
      <c r="D155" s="1"/>
      <c r="E155" s="13"/>
      <c r="F155" s="13"/>
      <c r="G155" s="1"/>
      <c r="H155" s="1"/>
      <c r="I155" s="1"/>
      <c r="J155" s="1"/>
      <c r="K155" s="1"/>
      <c r="L155" s="5" t="str">
        <f t="shared" si="4"/>
        <v/>
      </c>
    </row>
    <row r="156" spans="1:12" x14ac:dyDescent="0.35">
      <c r="A156" s="17" t="str">
        <f t="shared" si="5"/>
        <v/>
      </c>
      <c r="B156" s="1"/>
      <c r="C156" s="1"/>
      <c r="D156" s="1"/>
      <c r="E156" s="13"/>
      <c r="F156" s="13"/>
      <c r="G156" s="1"/>
      <c r="H156" s="1"/>
      <c r="I156" s="1"/>
      <c r="J156" s="1"/>
      <c r="K156" s="1"/>
      <c r="L156" s="5" t="str">
        <f t="shared" si="4"/>
        <v/>
      </c>
    </row>
    <row r="157" spans="1:12" x14ac:dyDescent="0.35">
      <c r="A157" s="17" t="str">
        <f t="shared" si="5"/>
        <v/>
      </c>
      <c r="B157" s="1"/>
      <c r="C157" s="1"/>
      <c r="D157" s="1"/>
      <c r="E157" s="13"/>
      <c r="F157" s="13"/>
      <c r="G157" s="1"/>
      <c r="H157" s="1"/>
      <c r="I157" s="1"/>
      <c r="J157" s="1"/>
      <c r="K157" s="1"/>
      <c r="L157" s="5" t="str">
        <f t="shared" si="4"/>
        <v/>
      </c>
    </row>
    <row r="158" spans="1:12" x14ac:dyDescent="0.35">
      <c r="A158" s="17" t="str">
        <f t="shared" si="5"/>
        <v/>
      </c>
      <c r="B158" s="1"/>
      <c r="C158" s="1"/>
      <c r="D158" s="1"/>
      <c r="E158" s="13"/>
      <c r="F158" s="13"/>
      <c r="G158" s="1"/>
      <c r="H158" s="1"/>
      <c r="I158" s="1"/>
      <c r="J158" s="1"/>
      <c r="K158" s="1"/>
      <c r="L158" s="5" t="str">
        <f t="shared" si="4"/>
        <v/>
      </c>
    </row>
    <row r="159" spans="1:12" x14ac:dyDescent="0.35">
      <c r="A159" s="17" t="str">
        <f t="shared" si="5"/>
        <v/>
      </c>
      <c r="B159" s="1"/>
      <c r="C159" s="1"/>
      <c r="D159" s="1"/>
      <c r="E159" s="13"/>
      <c r="F159" s="13"/>
      <c r="G159" s="1"/>
      <c r="H159" s="1"/>
      <c r="I159" s="1"/>
      <c r="J159" s="1"/>
      <c r="K159" s="1"/>
      <c r="L159" s="5" t="str">
        <f t="shared" si="4"/>
        <v/>
      </c>
    </row>
    <row r="160" spans="1:12" x14ac:dyDescent="0.35">
      <c r="A160" s="17" t="str">
        <f t="shared" si="5"/>
        <v/>
      </c>
      <c r="B160" s="1"/>
      <c r="C160" s="1"/>
      <c r="D160" s="1"/>
      <c r="E160" s="13"/>
      <c r="F160" s="13"/>
      <c r="G160" s="1"/>
      <c r="H160" s="1"/>
      <c r="I160" s="1"/>
      <c r="J160" s="1"/>
      <c r="K160" s="1"/>
      <c r="L160" s="5" t="str">
        <f t="shared" si="4"/>
        <v/>
      </c>
    </row>
    <row r="161" spans="1:12" x14ac:dyDescent="0.35">
      <c r="A161" s="17" t="str">
        <f t="shared" si="5"/>
        <v/>
      </c>
      <c r="B161" s="1"/>
      <c r="C161" s="1"/>
      <c r="D161" s="1"/>
      <c r="E161" s="13"/>
      <c r="F161" s="13"/>
      <c r="G161" s="1"/>
      <c r="H161" s="1"/>
      <c r="I161" s="1"/>
      <c r="J161" s="1"/>
      <c r="K161" s="1"/>
      <c r="L161" s="5" t="str">
        <f t="shared" si="4"/>
        <v/>
      </c>
    </row>
    <row r="162" spans="1:12" x14ac:dyDescent="0.35">
      <c r="A162" s="17" t="str">
        <f t="shared" si="5"/>
        <v/>
      </c>
      <c r="B162" s="1"/>
      <c r="C162" s="1"/>
      <c r="D162" s="1"/>
      <c r="E162" s="13"/>
      <c r="F162" s="13"/>
      <c r="G162" s="1"/>
      <c r="H162" s="1"/>
      <c r="I162" s="1"/>
      <c r="J162" s="1"/>
      <c r="K162" s="1"/>
      <c r="L162" s="5" t="str">
        <f t="shared" si="4"/>
        <v/>
      </c>
    </row>
    <row r="163" spans="1:12" x14ac:dyDescent="0.35">
      <c r="A163" s="17" t="str">
        <f t="shared" si="5"/>
        <v/>
      </c>
      <c r="B163" s="1"/>
      <c r="C163" s="1"/>
      <c r="D163" s="1"/>
      <c r="E163" s="13"/>
      <c r="F163" s="13"/>
      <c r="G163" s="1"/>
      <c r="H163" s="1"/>
      <c r="I163" s="1"/>
      <c r="J163" s="1"/>
      <c r="K163" s="1"/>
      <c r="L163" s="5" t="str">
        <f t="shared" si="4"/>
        <v/>
      </c>
    </row>
    <row r="164" spans="1:12" x14ac:dyDescent="0.35">
      <c r="A164" s="17" t="str">
        <f t="shared" si="5"/>
        <v/>
      </c>
      <c r="B164" s="1"/>
      <c r="C164" s="1"/>
      <c r="D164" s="1"/>
      <c r="E164" s="13"/>
      <c r="F164" s="13"/>
      <c r="G164" s="1"/>
      <c r="H164" s="1"/>
      <c r="I164" s="1"/>
      <c r="J164" s="1"/>
      <c r="K164" s="1"/>
      <c r="L164" s="5" t="str">
        <f t="shared" si="4"/>
        <v/>
      </c>
    </row>
    <row r="165" spans="1:12" x14ac:dyDescent="0.35">
      <c r="A165" s="17" t="str">
        <f t="shared" si="5"/>
        <v/>
      </c>
      <c r="B165" s="1"/>
      <c r="C165" s="1"/>
      <c r="D165" s="1"/>
      <c r="E165" s="13"/>
      <c r="F165" s="13"/>
      <c r="G165" s="1"/>
      <c r="H165" s="1"/>
      <c r="I165" s="1"/>
      <c r="J165" s="1"/>
      <c r="K165" s="1"/>
      <c r="L165" s="5" t="str">
        <f t="shared" ref="L165:L173" si="6">IF(E165="","",IF(F165&lt;&gt;"",IF(F165&gt;E165,"Enviado com atraso","Enviado no prazo"),IF(DataRef&gt;E165,"ATRASADO",IF(DataRef=E165,"ENVIAR HOJE","Programado"))))</f>
        <v/>
      </c>
    </row>
    <row r="166" spans="1:12" x14ac:dyDescent="0.35">
      <c r="A166" s="17" t="str">
        <f t="shared" si="5"/>
        <v/>
      </c>
      <c r="B166" s="1"/>
      <c r="C166" s="1"/>
      <c r="D166" s="1"/>
      <c r="E166" s="13"/>
      <c r="F166" s="13"/>
      <c r="G166" s="1"/>
      <c r="H166" s="1"/>
      <c r="I166" s="1"/>
      <c r="J166" s="1"/>
      <c r="K166" s="1"/>
      <c r="L166" s="5" t="str">
        <f t="shared" si="6"/>
        <v/>
      </c>
    </row>
    <row r="167" spans="1:12" x14ac:dyDescent="0.35">
      <c r="A167" s="17" t="str">
        <f t="shared" si="5"/>
        <v/>
      </c>
      <c r="B167" s="1"/>
      <c r="C167" s="1"/>
      <c r="D167" s="1"/>
      <c r="E167" s="13"/>
      <c r="F167" s="13"/>
      <c r="G167" s="1"/>
      <c r="H167" s="1"/>
      <c r="I167" s="1"/>
      <c r="J167" s="1"/>
      <c r="K167" s="1"/>
      <c r="L167" s="5" t="str">
        <f t="shared" si="6"/>
        <v/>
      </c>
    </row>
    <row r="168" spans="1:12" x14ac:dyDescent="0.35">
      <c r="A168" s="17" t="str">
        <f t="shared" si="5"/>
        <v/>
      </c>
      <c r="B168" s="1"/>
      <c r="C168" s="1"/>
      <c r="D168" s="1"/>
      <c r="E168" s="13"/>
      <c r="F168" s="13"/>
      <c r="G168" s="1"/>
      <c r="H168" s="1"/>
      <c r="I168" s="1"/>
      <c r="J168" s="1"/>
      <c r="K168" s="1"/>
      <c r="L168" s="5" t="str">
        <f t="shared" si="6"/>
        <v/>
      </c>
    </row>
    <row r="169" spans="1:12" x14ac:dyDescent="0.35">
      <c r="A169" s="17" t="str">
        <f t="shared" si="5"/>
        <v/>
      </c>
      <c r="B169" s="1"/>
      <c r="C169" s="1"/>
      <c r="D169" s="1"/>
      <c r="E169" s="13"/>
      <c r="F169" s="13"/>
      <c r="G169" s="1"/>
      <c r="H169" s="1"/>
      <c r="I169" s="1"/>
      <c r="J169" s="1"/>
      <c r="K169" s="1"/>
      <c r="L169" s="5" t="str">
        <f t="shared" si="6"/>
        <v/>
      </c>
    </row>
    <row r="170" spans="1:12" x14ac:dyDescent="0.35">
      <c r="A170" s="17" t="str">
        <f t="shared" si="5"/>
        <v/>
      </c>
      <c r="B170" s="1"/>
      <c r="C170" s="1"/>
      <c r="D170" s="1"/>
      <c r="E170" s="13"/>
      <c r="F170" s="13"/>
      <c r="G170" s="1"/>
      <c r="H170" s="1"/>
      <c r="I170" s="1"/>
      <c r="J170" s="1"/>
      <c r="K170" s="1"/>
      <c r="L170" s="5" t="str">
        <f t="shared" si="6"/>
        <v/>
      </c>
    </row>
    <row r="171" spans="1:12" x14ac:dyDescent="0.35">
      <c r="A171" s="17" t="str">
        <f t="shared" si="5"/>
        <v/>
      </c>
      <c r="B171" s="1"/>
      <c r="C171" s="1"/>
      <c r="D171" s="1"/>
      <c r="E171" s="13"/>
      <c r="F171" s="13"/>
      <c r="G171" s="1"/>
      <c r="H171" s="1"/>
      <c r="I171" s="1"/>
      <c r="J171" s="1"/>
      <c r="K171" s="1"/>
      <c r="L171" s="5" t="str">
        <f t="shared" si="6"/>
        <v/>
      </c>
    </row>
    <row r="172" spans="1:12" x14ac:dyDescent="0.35">
      <c r="A172" s="17" t="str">
        <f t="shared" si="5"/>
        <v/>
      </c>
      <c r="B172" s="1"/>
      <c r="C172" s="1"/>
      <c r="D172" s="1"/>
      <c r="E172" s="13"/>
      <c r="F172" s="13"/>
      <c r="G172" s="1"/>
      <c r="H172" s="1"/>
      <c r="I172" s="1"/>
      <c r="J172" s="1"/>
      <c r="K172" s="1"/>
      <c r="L172" s="5" t="str">
        <f t="shared" si="6"/>
        <v/>
      </c>
    </row>
    <row r="173" spans="1:12" x14ac:dyDescent="0.35">
      <c r="A173" s="17" t="str">
        <f t="shared" si="5"/>
        <v/>
      </c>
      <c r="B173" s="1"/>
      <c r="C173" s="1"/>
      <c r="D173" s="1"/>
      <c r="E173" s="13"/>
      <c r="F173" s="13"/>
      <c r="G173" s="1"/>
      <c r="H173" s="1"/>
      <c r="I173" s="1"/>
      <c r="J173" s="1"/>
      <c r="K173" s="1"/>
      <c r="L173" s="5" t="str">
        <f t="shared" si="6"/>
        <v/>
      </c>
    </row>
    <row r="175" spans="1:12" ht="52" x14ac:dyDescent="0.35">
      <c r="C175" s="24" t="s">
        <v>772</v>
      </c>
    </row>
  </sheetData>
  <autoFilter ref="A4:L173" xr:uid="{00000000-0009-0000-0000-00000B000000}"/>
  <conditionalFormatting sqref="L5:L173">
    <cfRule type="cellIs" dxfId="1" priority="2" operator="equal">
      <formula>"ATRASADO"</formula>
    </cfRule>
    <cfRule type="cellIs" dxfId="0" priority="3" operator="equal">
      <formula>"ENVIAR HOJE"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LISTAS!$G$5:$G$10</xm:f>
          </x14:formula1>
          <x14:formula2>
            <xm:f>0</xm:f>
          </x14:formula2>
          <xm:sqref>B5:B173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  <pageSetUpPr fitToPage="1"/>
  </sheetPr>
  <dimension ref="A1:E61"/>
  <sheetViews>
    <sheetView showGridLines="0" topLeftCell="A3" zoomScaleNormal="100" workbookViewId="0"/>
  </sheetViews>
  <sheetFormatPr defaultColWidth="8.6328125" defaultRowHeight="14.5" x14ac:dyDescent="0.35"/>
  <cols>
    <col min="1" max="1" width="4" customWidth="1"/>
    <col min="2" max="2" width="46" customWidth="1"/>
    <col min="3" max="4" width="16" customWidth="1"/>
    <col min="5" max="5" width="18" customWidth="1"/>
  </cols>
  <sheetData>
    <row r="1" spans="1:5" ht="18" x14ac:dyDescent="0.4">
      <c r="A1" s="6" t="s">
        <v>773</v>
      </c>
    </row>
    <row r="2" spans="1:5" x14ac:dyDescent="0.35">
      <c r="A2" s="7" t="s">
        <v>774</v>
      </c>
    </row>
    <row r="4" spans="1:5" x14ac:dyDescent="0.35">
      <c r="B4" s="10" t="s">
        <v>56</v>
      </c>
      <c r="C4" s="42" t="str">
        <f>PAINEL!C5</f>
        <v>DP Macaé 3 – Intervenção estrutural + reforma light</v>
      </c>
      <c r="D4" s="42"/>
      <c r="E4" s="42"/>
    </row>
    <row r="5" spans="1:5" x14ac:dyDescent="0.35">
      <c r="B5" s="10" t="s">
        <v>775</v>
      </c>
      <c r="C5" s="13">
        <f ca="1">DataRef</f>
        <v>46318</v>
      </c>
    </row>
    <row r="6" spans="1:5" x14ac:dyDescent="0.35">
      <c r="B6" s="10" t="s">
        <v>776</v>
      </c>
      <c r="C6" s="2">
        <f ca="1">C5-WEEKDAY(C5,2)+1</f>
        <v>46314</v>
      </c>
    </row>
    <row r="7" spans="1:5" x14ac:dyDescent="0.35">
      <c r="B7" s="10" t="s">
        <v>777</v>
      </c>
      <c r="C7" s="2">
        <f ca="1">C6+4</f>
        <v>46318</v>
      </c>
    </row>
    <row r="9" spans="1:5" x14ac:dyDescent="0.35">
      <c r="B9" s="8" t="s">
        <v>778</v>
      </c>
      <c r="C9" s="9"/>
      <c r="D9" s="9"/>
      <c r="E9" s="9"/>
    </row>
    <row r="10" spans="1:5" x14ac:dyDescent="0.35">
      <c r="B10" s="10" t="s">
        <v>779</v>
      </c>
      <c r="C10" s="44">
        <f ca="1">SUMPRODUCT(CRONOGRAMA!M5:M32,CRONOGRAMA!U5:U32)</f>
        <v>0</v>
      </c>
      <c r="D10" s="44"/>
      <c r="E10" s="44"/>
    </row>
    <row r="11" spans="1:5" x14ac:dyDescent="0.35">
      <c r="B11" s="10" t="s">
        <v>780</v>
      </c>
      <c r="C11" s="44">
        <f>SUMPRODUCT(CRONOGRAMA!M5:M32,CRONOGRAMA!O5:O32)</f>
        <v>0</v>
      </c>
      <c r="D11" s="44"/>
      <c r="E11" s="44"/>
    </row>
    <row r="12" spans="1:5" x14ac:dyDescent="0.35">
      <c r="B12" s="10" t="s">
        <v>118</v>
      </c>
      <c r="C12" s="45">
        <f ca="1">(C11-C10)*100</f>
        <v>0</v>
      </c>
      <c r="D12" s="45"/>
      <c r="E12" s="45"/>
    </row>
    <row r="13" spans="1:5" x14ac:dyDescent="0.35">
      <c r="B13" s="10" t="s">
        <v>781</v>
      </c>
      <c r="C13" s="42" t="str">
        <f>COUNTIF(CRONOGRAMA!N5:N32,"Concluído")&amp;" de "&amp;COUNTA(CRONOGRAMA!A5:A32)&amp;" atividades"</f>
        <v>0 de 28 atividades</v>
      </c>
      <c r="D13" s="42"/>
      <c r="E13" s="42"/>
    </row>
    <row r="14" spans="1:5" x14ac:dyDescent="0.35">
      <c r="B14" s="10" t="s">
        <v>782</v>
      </c>
      <c r="C14" s="41">
        <f>FimObra</f>
        <v>46415</v>
      </c>
      <c r="D14" s="41"/>
      <c r="E14" s="41"/>
    </row>
    <row r="15" spans="1:5" x14ac:dyDescent="0.35">
      <c r="B15" s="10" t="s">
        <v>783</v>
      </c>
      <c r="C15" s="42" t="str">
        <f>IF(CRONOGRAMA!N10&lt;&gt;"Concluído","Escoramento da viga principal em execução – demolições aguardando",IFERROR(INDEX(PENDENCIAS!C5:C200,MATCH(1,PENDENCIAS!N5:N200,0)),"Nenhum"))</f>
        <v>Escoramento da viga principal em execução – demolições aguardando</v>
      </c>
      <c r="D15" s="42"/>
      <c r="E15" s="42"/>
    </row>
    <row r="17" spans="1:5" x14ac:dyDescent="0.35">
      <c r="B17" s="8" t="s">
        <v>784</v>
      </c>
      <c r="C17" s="37" t="s">
        <v>785</v>
      </c>
      <c r="D17" s="9"/>
      <c r="E17" s="9"/>
    </row>
    <row r="18" spans="1:5" x14ac:dyDescent="0.35">
      <c r="A18" s="38">
        <v>1</v>
      </c>
      <c r="B18" s="5" t="str">
        <f>IFERROR(INDEX(CRONOGRAMA!$D$5:$D$32,MATCH(A18,CRONOGRAMA!$V$5:$V$32,0)),"")</f>
        <v/>
      </c>
      <c r="C18" s="2" t="str">
        <f>IF(B18="","",INDEX(CRONOGRAMA!$Q$5:$Q$32,MATCH(A18,CRONOGRAMA!$V$5:$V$32,0)))</f>
        <v/>
      </c>
    </row>
    <row r="19" spans="1:5" x14ac:dyDescent="0.35">
      <c r="A19" s="38">
        <v>2</v>
      </c>
      <c r="B19" s="5" t="str">
        <f>IFERROR(INDEX(CRONOGRAMA!$D$5:$D$32,MATCH(A19,CRONOGRAMA!$V$5:$V$32,0)),"")</f>
        <v/>
      </c>
      <c r="C19" s="2" t="str">
        <f>IF(B19="","",INDEX(CRONOGRAMA!$Q$5:$Q$32,MATCH(A19,CRONOGRAMA!$V$5:$V$32,0)))</f>
        <v/>
      </c>
    </row>
    <row r="20" spans="1:5" x14ac:dyDescent="0.35">
      <c r="A20" s="38">
        <v>3</v>
      </c>
      <c r="B20" s="5" t="str">
        <f>IFERROR(INDEX(CRONOGRAMA!$D$5:$D$32,MATCH(A20,CRONOGRAMA!$V$5:$V$32,0)),"")</f>
        <v/>
      </c>
      <c r="C20" s="2" t="str">
        <f>IF(B20="","",INDEX(CRONOGRAMA!$Q$5:$Q$32,MATCH(A20,CRONOGRAMA!$V$5:$V$32,0)))</f>
        <v/>
      </c>
    </row>
    <row r="21" spans="1:5" x14ac:dyDescent="0.35">
      <c r="A21" s="38">
        <v>4</v>
      </c>
      <c r="B21" s="5" t="str">
        <f>IFERROR(INDEX(CRONOGRAMA!$D$5:$D$32,MATCH(A21,CRONOGRAMA!$V$5:$V$32,0)),"")</f>
        <v/>
      </c>
      <c r="C21" s="2" t="str">
        <f>IF(B21="","",INDEX(CRONOGRAMA!$Q$5:$Q$32,MATCH(A21,CRONOGRAMA!$V$5:$V$32,0)))</f>
        <v/>
      </c>
    </row>
    <row r="22" spans="1:5" x14ac:dyDescent="0.35">
      <c r="A22" s="38">
        <v>5</v>
      </c>
      <c r="B22" s="5" t="str">
        <f>IFERROR(INDEX(CRONOGRAMA!$D$5:$D$32,MATCH(A22,CRONOGRAMA!$V$5:$V$32,0)),"")</f>
        <v/>
      </c>
      <c r="C22" s="2" t="str">
        <f>IF(B22="","",INDEX(CRONOGRAMA!$Q$5:$Q$32,MATCH(A22,CRONOGRAMA!$V$5:$V$32,0)))</f>
        <v/>
      </c>
    </row>
    <row r="23" spans="1:5" x14ac:dyDescent="0.35">
      <c r="A23" s="38">
        <v>6</v>
      </c>
      <c r="B23" s="5" t="str">
        <f>IFERROR(INDEX(CRONOGRAMA!$D$5:$D$32,MATCH(A23,CRONOGRAMA!$V$5:$V$32,0)),"")</f>
        <v/>
      </c>
      <c r="C23" s="2" t="str">
        <f>IF(B23="","",INDEX(CRONOGRAMA!$Q$5:$Q$32,MATCH(A23,CRONOGRAMA!$V$5:$V$32,0)))</f>
        <v/>
      </c>
    </row>
    <row r="24" spans="1:5" x14ac:dyDescent="0.35">
      <c r="A24" s="38">
        <v>7</v>
      </c>
      <c r="B24" s="5" t="str">
        <f>IFERROR(INDEX(CRONOGRAMA!$D$5:$D$32,MATCH(A24,CRONOGRAMA!$V$5:$V$32,0)),"")</f>
        <v/>
      </c>
      <c r="C24" s="2" t="str">
        <f>IF(B24="","",INDEX(CRONOGRAMA!$Q$5:$Q$32,MATCH(A24,CRONOGRAMA!$V$5:$V$32,0)))</f>
        <v/>
      </c>
    </row>
    <row r="25" spans="1:5" x14ac:dyDescent="0.35">
      <c r="A25" s="38">
        <v>8</v>
      </c>
      <c r="B25" s="5" t="str">
        <f>IFERROR(INDEX(CRONOGRAMA!$D$5:$D$32,MATCH(A25,CRONOGRAMA!$V$5:$V$32,0)),"")</f>
        <v/>
      </c>
      <c r="C25" s="2" t="str">
        <f>IF(B25="","",INDEX(CRONOGRAMA!$Q$5:$Q$32,MATCH(A25,CRONOGRAMA!$V$5:$V$32,0)))</f>
        <v/>
      </c>
    </row>
    <row r="27" spans="1:5" x14ac:dyDescent="0.35">
      <c r="B27" s="8" t="s">
        <v>786</v>
      </c>
      <c r="C27" s="37" t="s">
        <v>114</v>
      </c>
      <c r="D27" s="37" t="s">
        <v>787</v>
      </c>
      <c r="E27" s="9"/>
    </row>
    <row r="28" spans="1:5" ht="25" x14ac:dyDescent="0.35">
      <c r="A28" s="38">
        <v>1</v>
      </c>
      <c r="B28" s="5" t="str">
        <f>IFERROR(INDEX(CRONOGRAMA!$D$5:$D$32,MATCH(A28,CRONOGRAMA!$W$5:$W$32,0)),"")</f>
        <v>Escoramento provisório sob a treliça (P2/P3 e vão P3–P4); macaco só para encunhar</v>
      </c>
      <c r="C28" s="39">
        <f>IF(B28="","",INDEX(CRONOGRAMA!$O$5:$O$32,MATCH(A28,CRONOGRAMA!$W$5:$W$32,0)))</f>
        <v>0</v>
      </c>
      <c r="D28" s="2">
        <f>IF(B28="","",INDEX(CRONOGRAMA!$K$5:$K$32,MATCH(A28,CRONOGRAMA!$W$5:$W$32,0)))</f>
        <v>46330</v>
      </c>
    </row>
    <row r="29" spans="1:5" x14ac:dyDescent="0.35">
      <c r="A29" s="38">
        <v>2</v>
      </c>
      <c r="B29" s="5" t="str">
        <f>IFERROR(INDEX(CRONOGRAMA!$D$5:$D$32,MATCH(A29,CRONOGRAMA!$W$5:$W$32,0)),"")</f>
        <v/>
      </c>
      <c r="C29" s="39" t="str">
        <f>IF(B29="","",INDEX(CRONOGRAMA!$O$5:$O$32,MATCH(A29,CRONOGRAMA!$W$5:$W$32,0)))</f>
        <v/>
      </c>
      <c r="D29" s="2" t="str">
        <f>IF(B29="","",INDEX(CRONOGRAMA!$K$5:$K$32,MATCH(A29,CRONOGRAMA!$W$5:$W$32,0)))</f>
        <v/>
      </c>
    </row>
    <row r="30" spans="1:5" x14ac:dyDescent="0.35">
      <c r="A30" s="38">
        <v>3</v>
      </c>
      <c r="B30" s="5" t="str">
        <f>IFERROR(INDEX(CRONOGRAMA!$D$5:$D$32,MATCH(A30,CRONOGRAMA!$W$5:$W$32,0)),"")</f>
        <v/>
      </c>
      <c r="C30" s="39" t="str">
        <f>IF(B30="","",INDEX(CRONOGRAMA!$O$5:$O$32,MATCH(A30,CRONOGRAMA!$W$5:$W$32,0)))</f>
        <v/>
      </c>
      <c r="D30" s="2" t="str">
        <f>IF(B30="","",INDEX(CRONOGRAMA!$K$5:$K$32,MATCH(A30,CRONOGRAMA!$W$5:$W$32,0)))</f>
        <v/>
      </c>
    </row>
    <row r="31" spans="1:5" x14ac:dyDescent="0.35">
      <c r="A31" s="38">
        <v>4</v>
      </c>
      <c r="B31" s="5" t="str">
        <f>IFERROR(INDEX(CRONOGRAMA!$D$5:$D$32,MATCH(A31,CRONOGRAMA!$W$5:$W$32,0)),"")</f>
        <v/>
      </c>
      <c r="C31" s="39" t="str">
        <f>IF(B31="","",INDEX(CRONOGRAMA!$O$5:$O$32,MATCH(A31,CRONOGRAMA!$W$5:$W$32,0)))</f>
        <v/>
      </c>
      <c r="D31" s="2" t="str">
        <f>IF(B31="","",INDEX(CRONOGRAMA!$K$5:$K$32,MATCH(A31,CRONOGRAMA!$W$5:$W$32,0)))</f>
        <v/>
      </c>
    </row>
    <row r="32" spans="1:5" x14ac:dyDescent="0.35">
      <c r="A32" s="38">
        <v>5</v>
      </c>
      <c r="B32" s="5" t="str">
        <f>IFERROR(INDEX(CRONOGRAMA!$D$5:$D$32,MATCH(A32,CRONOGRAMA!$W$5:$W$32,0)),"")</f>
        <v/>
      </c>
      <c r="C32" s="39" t="str">
        <f>IF(B32="","",INDEX(CRONOGRAMA!$O$5:$O$32,MATCH(A32,CRONOGRAMA!$W$5:$W$32,0)))</f>
        <v/>
      </c>
      <c r="D32" s="2" t="str">
        <f>IF(B32="","",INDEX(CRONOGRAMA!$K$5:$K$32,MATCH(A32,CRONOGRAMA!$W$5:$W$32,0)))</f>
        <v/>
      </c>
    </row>
    <row r="33" spans="1:5" x14ac:dyDescent="0.35">
      <c r="A33" s="38">
        <v>6</v>
      </c>
      <c r="B33" s="5" t="str">
        <f>IFERROR(INDEX(CRONOGRAMA!$D$5:$D$32,MATCH(A33,CRONOGRAMA!$W$5:$W$32,0)),"")</f>
        <v/>
      </c>
      <c r="C33" s="39" t="str">
        <f>IF(B33="","",INDEX(CRONOGRAMA!$O$5:$O$32,MATCH(A33,CRONOGRAMA!$W$5:$W$32,0)))</f>
        <v/>
      </c>
      <c r="D33" s="2" t="str">
        <f>IF(B33="","",INDEX(CRONOGRAMA!$K$5:$K$32,MATCH(A33,CRONOGRAMA!$W$5:$W$32,0)))</f>
        <v/>
      </c>
    </row>
    <row r="34" spans="1:5" x14ac:dyDescent="0.35">
      <c r="A34" s="38">
        <v>7</v>
      </c>
      <c r="B34" s="5" t="str">
        <f>IFERROR(INDEX(CRONOGRAMA!$D$5:$D$32,MATCH(A34,CRONOGRAMA!$W$5:$W$32,0)),"")</f>
        <v/>
      </c>
      <c r="C34" s="39" t="str">
        <f>IF(B34="","",INDEX(CRONOGRAMA!$O$5:$O$32,MATCH(A34,CRONOGRAMA!$W$5:$W$32,0)))</f>
        <v/>
      </c>
      <c r="D34" s="2" t="str">
        <f>IF(B34="","",INDEX(CRONOGRAMA!$K$5:$K$32,MATCH(A34,CRONOGRAMA!$W$5:$W$32,0)))</f>
        <v/>
      </c>
    </row>
    <row r="35" spans="1:5" x14ac:dyDescent="0.35">
      <c r="A35" s="38">
        <v>8</v>
      </c>
      <c r="B35" s="5" t="str">
        <f>IFERROR(INDEX(CRONOGRAMA!$D$5:$D$32,MATCH(A35,CRONOGRAMA!$W$5:$W$32,0)),"")</f>
        <v/>
      </c>
      <c r="C35" s="39" t="str">
        <f>IF(B35="","",INDEX(CRONOGRAMA!$O$5:$O$32,MATCH(A35,CRONOGRAMA!$W$5:$W$32,0)))</f>
        <v/>
      </c>
      <c r="D35" s="2" t="str">
        <f>IF(B35="","",INDEX(CRONOGRAMA!$K$5:$K$32,MATCH(A35,CRONOGRAMA!$W$5:$W$32,0)))</f>
        <v/>
      </c>
    </row>
    <row r="37" spans="1:5" x14ac:dyDescent="0.35">
      <c r="B37" s="8" t="s">
        <v>788</v>
      </c>
      <c r="C37" s="37" t="s">
        <v>533</v>
      </c>
      <c r="D37" s="37" t="s">
        <v>789</v>
      </c>
      <c r="E37" s="9"/>
    </row>
    <row r="38" spans="1:5" ht="25" x14ac:dyDescent="0.35">
      <c r="A38" s="38">
        <v>1</v>
      </c>
      <c r="B38" s="5" t="str">
        <f ca="1">IFERROR(INDEX(CRONOGRAMA!$D$5:$D$32,MATCH(A38,CRONOGRAMA!$X$5:$X$32,0)),"")</f>
        <v>Reunião de partida no local: identificar P1–P4, treliça e faixa de piso afetada</v>
      </c>
      <c r="C38" s="2">
        <f ca="1">IF(B38="","",INDEX(CRONOGRAMA!$J$5:$J$32,MATCH(A38,CRONOGRAMA!$X$5:$X$32,0)))</f>
        <v>46321</v>
      </c>
      <c r="D38" s="2">
        <f ca="1">IF(B38="","",INDEX(CRONOGRAMA!$K$5:$K$32,MATCH(A38,CRONOGRAMA!$X$5:$X$32,0)))</f>
        <v>46321</v>
      </c>
    </row>
    <row r="39" spans="1:5" ht="25" x14ac:dyDescent="0.35">
      <c r="A39" s="38">
        <v>2</v>
      </c>
      <c r="B39" s="5" t="str">
        <f ca="1">IFERROR(INDEX(CRONOGRAMA!$D$5:$D$32,MATCH(A39,CRONOGRAMA!$X$5:$X$32,0)),"")</f>
        <v>Pontos de acompanhamento fotográfico, relatório "antes da obra" e marcos de nível</v>
      </c>
      <c r="C39" s="2">
        <f ca="1">IF(B39="","",INDEX(CRONOGRAMA!$J$5:$J$32,MATCH(A39,CRONOGRAMA!$X$5:$X$32,0)))</f>
        <v>46322</v>
      </c>
      <c r="D39" s="2">
        <f ca="1">IF(B39="","",INDEX(CRONOGRAMA!$K$5:$K$32,MATCH(A39,CRONOGRAMA!$X$5:$X$32,0)))</f>
        <v>46323</v>
      </c>
    </row>
    <row r="40" spans="1:5" x14ac:dyDescent="0.35">
      <c r="A40" s="38">
        <v>3</v>
      </c>
      <c r="B40" s="5" t="str">
        <f ca="1">IFERROR(INDEX(CRONOGRAMA!$D$5:$D$32,MATCH(A40,CRONOGRAMA!$X$5:$X$32,0)),"")</f>
        <v>Instalar divisória de fechamento da área</v>
      </c>
      <c r="C40" s="2">
        <f ca="1">IF(B40="","",INDEX(CRONOGRAMA!$J$5:$J$32,MATCH(A40,CRONOGRAMA!$X$5:$X$32,0)))</f>
        <v>46322</v>
      </c>
      <c r="D40" s="2">
        <f ca="1">IF(B40="","",INDEX(CRONOGRAMA!$K$5:$K$32,MATCH(A40,CRONOGRAMA!$X$5:$X$32,0)))</f>
        <v>46323</v>
      </c>
    </row>
    <row r="41" spans="1:5" ht="25" x14ac:dyDescent="0.35">
      <c r="A41" s="38">
        <v>4</v>
      </c>
      <c r="B41" s="5" t="str">
        <f ca="1">IFERROR(INDEX(CRONOGRAMA!$D$5:$D$32,MATCH(A41,CRONOGRAMA!$X$5:$X$32,0)),"")</f>
        <v>Remover produtos, virar o balcão e mudar o mobiliário da área afetada</v>
      </c>
      <c r="C41" s="2">
        <f ca="1">IF(B41="","",INDEX(CRONOGRAMA!$J$5:$J$32,MATCH(A41,CRONOGRAMA!$X$5:$X$32,0)))</f>
        <v>46324</v>
      </c>
      <c r="D41" s="2">
        <f ca="1">IF(B41="","",INDEX(CRONOGRAMA!$K$5:$K$32,MATCH(A41,CRONOGRAMA!$X$5:$X$32,0)))</f>
        <v>46329</v>
      </c>
    </row>
    <row r="42" spans="1:5" ht="25" x14ac:dyDescent="0.35">
      <c r="A42" s="38">
        <v>5</v>
      </c>
      <c r="B42" s="5" t="str">
        <f ca="1">IFERROR(INDEX(CRONOGRAMA!$D$5:$D$32,MATCH(A42,CRONOGRAMA!$X$5:$X$32,0)),"")</f>
        <v>Aliviar a carga do mezanino (retirar estoque do depósito)</v>
      </c>
      <c r="C42" s="2">
        <f ca="1">IF(B42="","",INDEX(CRONOGRAMA!$J$5:$J$32,MATCH(A42,CRONOGRAMA!$X$5:$X$32,0)))</f>
        <v>46324</v>
      </c>
      <c r="D42" s="2">
        <f ca="1">IF(B42="","",INDEX(CRONOGRAMA!$K$5:$K$32,MATCH(A42,CRONOGRAMA!$X$5:$X$32,0)))</f>
        <v>46324</v>
      </c>
    </row>
    <row r="43" spans="1:5" ht="25" x14ac:dyDescent="0.35">
      <c r="A43" s="38">
        <v>6</v>
      </c>
      <c r="B43" s="5" t="str">
        <f ca="1">IFERROR(INDEX(CRONOGRAMA!$D$5:$D$32,MATCH(A43,CRONOGRAMA!$X$5:$X$32,0)),"")</f>
        <v>Escoramento provisório sob a treliça (P2/P3 e vão P3–P4); macaco só para encunhar</v>
      </c>
      <c r="C43" s="2">
        <f ca="1">IF(B43="","",INDEX(CRONOGRAMA!$J$5:$J$32,MATCH(A43,CRONOGRAMA!$X$5:$X$32,0)))</f>
        <v>46325</v>
      </c>
      <c r="D43" s="2">
        <f ca="1">IF(B43="","",INDEX(CRONOGRAMA!$K$5:$K$32,MATCH(A43,CRONOGRAMA!$X$5:$X$32,0)))</f>
        <v>46330</v>
      </c>
    </row>
    <row r="44" spans="1:5" x14ac:dyDescent="0.35">
      <c r="A44" s="38">
        <v>7</v>
      </c>
      <c r="B44" s="5" t="str">
        <f ca="1">IFERROR(INDEX(CRONOGRAMA!$D$5:$D$32,MATCH(A44,CRONOGRAMA!$X$5:$X$32,0)),"")</f>
        <v/>
      </c>
      <c r="C44" s="2" t="str">
        <f ca="1">IF(B44="","",INDEX(CRONOGRAMA!$J$5:$J$32,MATCH(A44,CRONOGRAMA!$X$5:$X$32,0)))</f>
        <v/>
      </c>
      <c r="D44" s="2" t="str">
        <f ca="1">IF(B44="","",INDEX(CRONOGRAMA!$K$5:$K$32,MATCH(A44,CRONOGRAMA!$X$5:$X$32,0)))</f>
        <v/>
      </c>
    </row>
    <row r="45" spans="1:5" x14ac:dyDescent="0.35">
      <c r="A45" s="38">
        <v>8</v>
      </c>
      <c r="B45" s="5" t="str">
        <f ca="1">IFERROR(INDEX(CRONOGRAMA!$D$5:$D$32,MATCH(A45,CRONOGRAMA!$X$5:$X$32,0)),"")</f>
        <v/>
      </c>
      <c r="C45" s="2" t="str">
        <f ca="1">IF(B45="","",INDEX(CRONOGRAMA!$J$5:$J$32,MATCH(A45,CRONOGRAMA!$X$5:$X$32,0)))</f>
        <v/>
      </c>
      <c r="D45" s="2" t="str">
        <f ca="1">IF(B45="","",INDEX(CRONOGRAMA!$K$5:$K$32,MATCH(A45,CRONOGRAMA!$X$5:$X$32,0)))</f>
        <v/>
      </c>
    </row>
    <row r="47" spans="1:5" x14ac:dyDescent="0.35">
      <c r="B47" s="8" t="s">
        <v>790</v>
      </c>
      <c r="C47" s="37" t="s">
        <v>567</v>
      </c>
      <c r="D47" s="37" t="s">
        <v>569</v>
      </c>
      <c r="E47" s="9"/>
    </row>
    <row r="48" spans="1:5" ht="25" x14ac:dyDescent="0.35">
      <c r="A48" s="38">
        <v>1</v>
      </c>
      <c r="B48" s="5" t="str">
        <f>IFERROR(INDEX(PENDENCIAS!$C$5:$C$200,MATCH(A48,PENDENCIAS!$N$5:$N$200,0)),"")</f>
        <v>Autorização formal de baixa de patrimônio para descarte de gôndolas e geladeira</v>
      </c>
      <c r="C48" s="2" t="str">
        <f>IF(B48="","",IF(INDEX(PENDENCIAS!$I$5:$I$200,MATCH(A48,PENDENCIAS!$N$5:$N$200,0))="","a definir",INDEX(PENDENCIAS!$I$5:$I$200,MATCH(A48,PENDENCIAS!$N$5:$N$200,0))))</f>
        <v>a definir</v>
      </c>
      <c r="D48" s="14">
        <f ca="1">IF(B48="","",INDEX(PENDENCIAS!$L$5:$L$200,MATCH(A48,PENDENCIAS!$N$5:$N$200,0)))</f>
        <v>0</v>
      </c>
    </row>
    <row r="49" spans="1:5" ht="25" x14ac:dyDescent="0.35">
      <c r="A49" s="38">
        <v>2</v>
      </c>
      <c r="B49" s="5" t="str">
        <f>IFERROR(INDEX(PENDENCIAS!$C$5:$C$200,MATCH(A49,PENDENCIAS!$N$5:$N$200,0)),"")</f>
        <v>Confirmar se o vidro a retirar é de fachada; se for, obter autorização do Best Center / condomínio</v>
      </c>
      <c r="C49" s="2" t="str">
        <f>IF(B49="","",IF(INDEX(PENDENCIAS!$I$5:$I$200,MATCH(A49,PENDENCIAS!$N$5:$N$200,0))="","a definir",INDEX(PENDENCIAS!$I$5:$I$200,MATCH(A49,PENDENCIAS!$N$5:$N$200,0))))</f>
        <v>a definir</v>
      </c>
      <c r="D49" s="14">
        <f ca="1">IF(B49="","",INDEX(PENDENCIAS!$L$5:$L$200,MATCH(A49,PENDENCIAS!$N$5:$N$200,0)))</f>
        <v>0</v>
      </c>
    </row>
    <row r="50" spans="1:5" ht="25" x14ac:dyDescent="0.35">
      <c r="A50" s="38">
        <v>3</v>
      </c>
      <c r="B50" s="5" t="str">
        <f>IFERROR(INDEX(PENDENCIAS!$C$5:$C$200,MATCH(A50,PENDENCIAS!$N$5:$N$200,0)),"")</f>
        <v>Registrar formalmente que Mall, estacionamento e drenagem do centro comercial estão fora do escopo</v>
      </c>
      <c r="C50" s="2" t="str">
        <f>IF(B50="","",IF(INDEX(PENDENCIAS!$I$5:$I$200,MATCH(A50,PENDENCIAS!$N$5:$N$200,0))="","a definir",INDEX(PENDENCIAS!$I$5:$I$200,MATCH(A50,PENDENCIAS!$N$5:$N$200,0))))</f>
        <v>a definir</v>
      </c>
      <c r="D50" s="14">
        <f ca="1">IF(B50="","",INDEX(PENDENCIAS!$L$5:$L$200,MATCH(A50,PENDENCIAS!$N$5:$N$200,0)))</f>
        <v>0</v>
      </c>
    </row>
    <row r="51" spans="1:5" ht="25" x14ac:dyDescent="0.35">
      <c r="A51" s="38">
        <v>4</v>
      </c>
      <c r="B51" s="5" t="str">
        <f>IFERROR(INDEX(PENDENCIAS!$C$5:$C$200,MATCH(A51,PENDENCIAS!$N$5:$N$200,0)),"")</f>
        <v>Definir qual banheiro será desmobilizado: térreo ou WC do mezanino</v>
      </c>
      <c r="C51" s="2" t="str">
        <f>IF(B51="","",IF(INDEX(PENDENCIAS!$I$5:$I$200,MATCH(A51,PENDENCIAS!$N$5:$N$200,0))="","a definir",INDEX(PENDENCIAS!$I$5:$I$200,MATCH(A51,PENDENCIAS!$N$5:$N$200,0))))</f>
        <v>a definir</v>
      </c>
      <c r="D51" s="14">
        <f ca="1">IF(B51="","",INDEX(PENDENCIAS!$L$5:$L$200,MATCH(A51,PENDENCIAS!$N$5:$N$200,0)))</f>
        <v>0</v>
      </c>
    </row>
    <row r="52" spans="1:5" x14ac:dyDescent="0.35">
      <c r="A52" s="38">
        <v>5</v>
      </c>
      <c r="B52" s="5" t="str">
        <f>IFERROR(INDEX(PENDENCIAS!$C$5:$C$200,MATCH(A52,PENDENCIAS!$N$5:$N$200,0)),"")</f>
        <v/>
      </c>
      <c r="C52" s="2" t="str">
        <f>IF(B52="","",IF(INDEX(PENDENCIAS!$I$5:$I$200,MATCH(A52,PENDENCIAS!$N$5:$N$200,0))="","a definir",INDEX(PENDENCIAS!$I$5:$I$200,MATCH(A52,PENDENCIAS!$N$5:$N$200,0))))</f>
        <v/>
      </c>
      <c r="D52" s="14" t="str">
        <f>IF(B52="","",INDEX(PENDENCIAS!$L$5:$L$200,MATCH(A52,PENDENCIAS!$N$5:$N$200,0)))</f>
        <v/>
      </c>
    </row>
    <row r="53" spans="1:5" x14ac:dyDescent="0.35">
      <c r="A53" s="38">
        <v>6</v>
      </c>
      <c r="B53" s="5" t="str">
        <f>IFERROR(INDEX(PENDENCIAS!$C$5:$C$200,MATCH(A53,PENDENCIAS!$N$5:$N$200,0)),"")</f>
        <v/>
      </c>
      <c r="C53" s="2" t="str">
        <f>IF(B53="","",IF(INDEX(PENDENCIAS!$I$5:$I$200,MATCH(A53,PENDENCIAS!$N$5:$N$200,0))="","a definir",INDEX(PENDENCIAS!$I$5:$I$200,MATCH(A53,PENDENCIAS!$N$5:$N$200,0))))</f>
        <v/>
      </c>
      <c r="D53" s="14" t="str">
        <f>IF(B53="","",INDEX(PENDENCIAS!$L$5:$L$200,MATCH(A53,PENDENCIAS!$N$5:$N$200,0)))</f>
        <v/>
      </c>
    </row>
    <row r="54" spans="1:5" x14ac:dyDescent="0.35">
      <c r="A54" s="38">
        <v>7</v>
      </c>
      <c r="B54" s="5" t="str">
        <f>IFERROR(INDEX(PENDENCIAS!$C$5:$C$200,MATCH(A54,PENDENCIAS!$N$5:$N$200,0)),"")</f>
        <v/>
      </c>
      <c r="C54" s="2" t="str">
        <f>IF(B54="","",IF(INDEX(PENDENCIAS!$I$5:$I$200,MATCH(A54,PENDENCIAS!$N$5:$N$200,0))="","a definir",INDEX(PENDENCIAS!$I$5:$I$200,MATCH(A54,PENDENCIAS!$N$5:$N$200,0))))</f>
        <v/>
      </c>
      <c r="D54" s="14" t="str">
        <f>IF(B54="","",INDEX(PENDENCIAS!$L$5:$L$200,MATCH(A54,PENDENCIAS!$N$5:$N$200,0)))</f>
        <v/>
      </c>
    </row>
    <row r="55" spans="1:5" x14ac:dyDescent="0.35">
      <c r="A55" s="38">
        <v>8</v>
      </c>
      <c r="B55" s="5" t="str">
        <f>IFERROR(INDEX(PENDENCIAS!$C$5:$C$200,MATCH(A55,PENDENCIAS!$N$5:$N$200,0)),"")</f>
        <v/>
      </c>
      <c r="C55" s="2" t="str">
        <f>IF(B55="","",IF(INDEX(PENDENCIAS!$I$5:$I$200,MATCH(A55,PENDENCIAS!$N$5:$N$200,0))="","a definir",INDEX(PENDENCIAS!$I$5:$I$200,MATCH(A55,PENDENCIAS!$N$5:$N$200,0))))</f>
        <v/>
      </c>
      <c r="D55" s="14" t="str">
        <f>IF(B55="","",INDEX(PENDENCIAS!$L$5:$L$200,MATCH(A55,PENDENCIAS!$N$5:$N$200,0)))</f>
        <v/>
      </c>
    </row>
    <row r="57" spans="1:5" x14ac:dyDescent="0.35">
      <c r="B57" s="8" t="s">
        <v>791</v>
      </c>
      <c r="C57" s="9"/>
      <c r="D57" s="9"/>
      <c r="E57" s="9"/>
    </row>
    <row r="58" spans="1:5" x14ac:dyDescent="0.35">
      <c r="B58" s="10" t="s">
        <v>792</v>
      </c>
      <c r="C58" s="43"/>
      <c r="D58" s="43"/>
      <c r="E58" s="43"/>
    </row>
    <row r="59" spans="1:5" ht="45" customHeight="1" x14ac:dyDescent="0.35">
      <c r="B59" s="10" t="s">
        <v>793</v>
      </c>
      <c r="C59" s="43"/>
      <c r="D59" s="43"/>
      <c r="E59" s="43"/>
    </row>
    <row r="61" spans="1:5" ht="26" x14ac:dyDescent="0.35">
      <c r="B61" s="24" t="s">
        <v>794</v>
      </c>
    </row>
  </sheetData>
  <mergeCells count="9">
    <mergeCell ref="C14:E14"/>
    <mergeCell ref="C15:E15"/>
    <mergeCell ref="C58:E58"/>
    <mergeCell ref="C59:E59"/>
    <mergeCell ref="C4:E4"/>
    <mergeCell ref="C10:E10"/>
    <mergeCell ref="C11:E11"/>
    <mergeCell ref="C12:E12"/>
    <mergeCell ref="C13:E1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J26"/>
  <sheetViews>
    <sheetView showGridLines="0" zoomScaleNormal="100" workbookViewId="0"/>
  </sheetViews>
  <sheetFormatPr defaultColWidth="8.6328125" defaultRowHeight="14.5" x14ac:dyDescent="0.35"/>
  <cols>
    <col min="1" max="2" width="18" customWidth="1"/>
    <col min="3" max="3" width="22" customWidth="1"/>
    <col min="4" max="4" width="10" customWidth="1"/>
    <col min="5" max="5" width="14" customWidth="1"/>
    <col min="6" max="6" width="34" customWidth="1"/>
    <col min="7" max="7" width="22" customWidth="1"/>
    <col min="8" max="8" width="18" customWidth="1"/>
    <col min="9" max="9" width="22" customWidth="1"/>
    <col min="10" max="10" width="30" customWidth="1"/>
  </cols>
  <sheetData>
    <row r="1" spans="1:10" ht="18" x14ac:dyDescent="0.4">
      <c r="A1" s="6" t="s">
        <v>795</v>
      </c>
    </row>
    <row r="2" spans="1:10" x14ac:dyDescent="0.35">
      <c r="A2" s="7" t="s">
        <v>796</v>
      </c>
    </row>
    <row r="4" spans="1:10" x14ac:dyDescent="0.35">
      <c r="A4" s="15" t="s">
        <v>797</v>
      </c>
      <c r="B4" s="15" t="s">
        <v>798</v>
      </c>
      <c r="C4" s="15" t="s">
        <v>799</v>
      </c>
      <c r="D4" s="15" t="s">
        <v>800</v>
      </c>
      <c r="E4" s="15" t="s">
        <v>801</v>
      </c>
      <c r="F4" s="15" t="s">
        <v>204</v>
      </c>
      <c r="G4" s="15" t="s">
        <v>802</v>
      </c>
      <c r="H4" s="15" t="s">
        <v>803</v>
      </c>
      <c r="I4" s="15" t="s">
        <v>545</v>
      </c>
      <c r="J4" s="15" t="s">
        <v>804</v>
      </c>
    </row>
    <row r="5" spans="1:10" x14ac:dyDescent="0.35">
      <c r="A5" s="5" t="s">
        <v>128</v>
      </c>
      <c r="B5" s="5" t="s">
        <v>577</v>
      </c>
      <c r="C5" s="5" t="s">
        <v>572</v>
      </c>
      <c r="D5" s="5" t="s">
        <v>512</v>
      </c>
      <c r="E5" s="13">
        <v>46328</v>
      </c>
      <c r="F5" s="1" t="s">
        <v>805</v>
      </c>
      <c r="G5" s="5" t="s">
        <v>660</v>
      </c>
      <c r="H5" s="5" t="s">
        <v>806</v>
      </c>
      <c r="I5" s="5" t="s">
        <v>216</v>
      </c>
      <c r="J5" s="5" t="s">
        <v>510</v>
      </c>
    </row>
    <row r="6" spans="1:10" x14ac:dyDescent="0.35">
      <c r="A6" s="5" t="s">
        <v>140</v>
      </c>
      <c r="B6" s="5" t="s">
        <v>807</v>
      </c>
      <c r="C6" s="5" t="s">
        <v>445</v>
      </c>
      <c r="D6" s="5" t="s">
        <v>576</v>
      </c>
      <c r="E6" s="13">
        <v>46341</v>
      </c>
      <c r="F6" s="1" t="s">
        <v>808</v>
      </c>
      <c r="G6" s="5" t="s">
        <v>624</v>
      </c>
      <c r="H6" s="5" t="s">
        <v>528</v>
      </c>
      <c r="I6" s="5" t="s">
        <v>301</v>
      </c>
      <c r="J6" s="5" t="s">
        <v>575</v>
      </c>
    </row>
    <row r="7" spans="1:10" x14ac:dyDescent="0.35">
      <c r="A7" s="5" t="s">
        <v>809</v>
      </c>
      <c r="B7" s="5" t="s">
        <v>810</v>
      </c>
      <c r="C7" s="5" t="s">
        <v>580</v>
      </c>
      <c r="E7" s="13">
        <v>46346</v>
      </c>
      <c r="F7" s="1" t="s">
        <v>811</v>
      </c>
      <c r="G7" s="5" t="s">
        <v>642</v>
      </c>
      <c r="H7" s="5" t="s">
        <v>812</v>
      </c>
      <c r="J7" s="5" t="s">
        <v>583</v>
      </c>
    </row>
    <row r="8" spans="1:10" x14ac:dyDescent="0.35">
      <c r="A8" s="5" t="s">
        <v>813</v>
      </c>
      <c r="C8" s="5" t="s">
        <v>591</v>
      </c>
      <c r="E8" s="13">
        <v>46381</v>
      </c>
      <c r="F8" s="1" t="s">
        <v>814</v>
      </c>
      <c r="G8" s="5" t="s">
        <v>649</v>
      </c>
      <c r="H8" s="5" t="s">
        <v>815</v>
      </c>
      <c r="J8" s="5" t="s">
        <v>816</v>
      </c>
    </row>
    <row r="9" spans="1:10" x14ac:dyDescent="0.35">
      <c r="C9" s="5" t="s">
        <v>595</v>
      </c>
      <c r="E9" s="13">
        <v>46388</v>
      </c>
      <c r="F9" s="1" t="s">
        <v>817</v>
      </c>
      <c r="G9" s="5" t="s">
        <v>657</v>
      </c>
      <c r="J9" s="5" t="s">
        <v>608</v>
      </c>
    </row>
    <row r="10" spans="1:10" x14ac:dyDescent="0.35">
      <c r="C10" s="5" t="s">
        <v>598</v>
      </c>
      <c r="E10" s="13">
        <v>46426</v>
      </c>
      <c r="F10" s="1" t="s">
        <v>818</v>
      </c>
      <c r="G10" s="5" t="s">
        <v>819</v>
      </c>
      <c r="J10" s="5" t="s">
        <v>588</v>
      </c>
    </row>
    <row r="11" spans="1:10" x14ac:dyDescent="0.35">
      <c r="C11" s="5" t="s">
        <v>605</v>
      </c>
      <c r="E11" s="13">
        <v>46427</v>
      </c>
      <c r="F11" s="1" t="s">
        <v>818</v>
      </c>
      <c r="J11" s="5" t="s">
        <v>820</v>
      </c>
    </row>
    <row r="12" spans="1:10" x14ac:dyDescent="0.35">
      <c r="C12" s="5" t="s">
        <v>611</v>
      </c>
      <c r="E12" s="13">
        <v>46472</v>
      </c>
      <c r="F12" s="1" t="s">
        <v>821</v>
      </c>
      <c r="J12" s="5" t="s">
        <v>822</v>
      </c>
    </row>
    <row r="13" spans="1:10" x14ac:dyDescent="0.35">
      <c r="E13" s="13">
        <v>46498</v>
      </c>
      <c r="F13" s="1" t="s">
        <v>823</v>
      </c>
      <c r="J13" s="5" t="s">
        <v>594</v>
      </c>
    </row>
    <row r="14" spans="1:10" x14ac:dyDescent="0.35">
      <c r="E14" s="13">
        <v>46500</v>
      </c>
      <c r="F14" s="1" t="s">
        <v>824</v>
      </c>
    </row>
    <row r="15" spans="1:10" x14ac:dyDescent="0.35">
      <c r="E15" s="13"/>
      <c r="F15" s="1"/>
    </row>
    <row r="16" spans="1:10" x14ac:dyDescent="0.35">
      <c r="E16" s="13"/>
      <c r="F16" s="1"/>
    </row>
    <row r="17" spans="5:6" x14ac:dyDescent="0.35">
      <c r="E17" s="13"/>
      <c r="F17" s="1"/>
    </row>
    <row r="18" spans="5:6" x14ac:dyDescent="0.35">
      <c r="E18" s="13"/>
      <c r="F18" s="1"/>
    </row>
    <row r="19" spans="5:6" x14ac:dyDescent="0.35">
      <c r="E19" s="13"/>
      <c r="F19" s="1"/>
    </row>
    <row r="20" spans="5:6" x14ac:dyDescent="0.35">
      <c r="E20" s="13"/>
      <c r="F20" s="1"/>
    </row>
    <row r="21" spans="5:6" x14ac:dyDescent="0.35">
      <c r="E21" s="13"/>
      <c r="F21" s="1"/>
    </row>
    <row r="22" spans="5:6" x14ac:dyDescent="0.35">
      <c r="E22" s="13"/>
      <c r="F22" s="1"/>
    </row>
    <row r="23" spans="5:6" x14ac:dyDescent="0.35">
      <c r="E23" s="13"/>
      <c r="F23" s="1"/>
    </row>
    <row r="24" spans="5:6" x14ac:dyDescent="0.35">
      <c r="E24" s="13"/>
      <c r="F24" s="1"/>
    </row>
    <row r="26" spans="5:6" ht="78" x14ac:dyDescent="0.35">
      <c r="E26" s="24" t="s">
        <v>825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7</vt:i4>
      </vt:variant>
    </vt:vector>
  </HeadingPairs>
  <TitlesOfParts>
    <vt:vector size="21" baseType="lpstr">
      <vt:lpstr>LEIA_ME</vt:lpstr>
      <vt:lpstr>PAINEL</vt:lpstr>
      <vt:lpstr>CRONOGRAMA</vt:lpstr>
      <vt:lpstr>CURVA_S</vt:lpstr>
      <vt:lpstr>ORCAMENTO</vt:lpstr>
      <vt:lpstr>CONFLITOS</vt:lpstr>
      <vt:lpstr>RDO</vt:lpstr>
      <vt:lpstr>COMPRAS</vt:lpstr>
      <vt:lpstr>LOCACOES</vt:lpstr>
      <vt:lpstr>MEDICOES</vt:lpstr>
      <vt:lpstr>PENDENCIAS</vt:lpstr>
      <vt:lpstr>COMUNICACAO</vt:lpstr>
      <vt:lpstr>RELATORIO_CLIENTE</vt:lpstr>
      <vt:lpstr>LISTAS</vt:lpstr>
      <vt:lpstr>RELATORIO_CLIENTE!Area_de_impressao</vt:lpstr>
      <vt:lpstr>DataBase</vt:lpstr>
      <vt:lpstr>DataRef</vt:lpstr>
      <vt:lpstr>Feriados</vt:lpstr>
      <vt:lpstr>FimObra</vt:lpstr>
      <vt:lpstr>RelSeg</vt:lpstr>
      <vt:lpstr>RelSex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Maia</cp:lastModifiedBy>
  <cp:revision>1</cp:revision>
  <dcterms:created xsi:type="dcterms:W3CDTF">2026-10-23T17:31:45Z</dcterms:created>
  <dcterms:modified xsi:type="dcterms:W3CDTF">2026-10-23T17:50:03Z</dcterms:modified>
  <dc:language>en-US</dc:language>
</cp:coreProperties>
</file>