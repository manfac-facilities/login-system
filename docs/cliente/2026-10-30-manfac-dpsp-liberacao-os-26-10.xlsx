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274411\Downloads\"/>
    </mc:Choice>
  </mc:AlternateContent>
  <xr:revisionPtr revIDLastSave="0" documentId="13_ncr:1_{27E87EFC-FEC0-4774-9556-EEE5FC7D1C6F}" xr6:coauthVersionLast="47" xr6:coauthVersionMax="47" xr10:uidLastSave="{00000000-0000-0000-0000-000000000000}"/>
  <bookViews>
    <workbookView xWindow="-20520" yWindow="-15" windowWidth="20640" windowHeight="11040" tabRatio="500" activeTab="1" xr2:uid="{00000000-000D-0000-FFFF-FFFF00000000}"/>
  </bookViews>
  <sheets>
    <sheet name="RESUMO" sheetId="1" r:id="rId1"/>
    <sheet name="BASE" sheetId="2" r:id="rId2"/>
    <sheet name="LIBERADAS 21-10" sheetId="3" r:id="rId3"/>
    <sheet name="LP" sheetId="4" r:id="rId4"/>
  </sheets>
  <definedNames>
    <definedName name="_xlnm._FilterDatabase" localSheetId="1" hidden="1">BASE!$A$5:$P$81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3" l="1"/>
  <c r="I7" i="3"/>
  <c r="K6" i="3"/>
  <c r="I6" i="3"/>
  <c r="I8" i="3" s="1"/>
  <c r="J82" i="2"/>
  <c r="I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46" i="1" s="1"/>
  <c r="G9" i="2"/>
  <c r="G45" i="1" s="1"/>
  <c r="G8" i="2"/>
  <c r="G44" i="1" s="1"/>
  <c r="G42" i="1"/>
  <c r="G7" i="2"/>
  <c r="G41" i="1" s="1"/>
  <c r="G6" i="2"/>
  <c r="G39" i="1" s="1"/>
  <c r="J48" i="1"/>
  <c r="G48" i="1"/>
  <c r="F48" i="1"/>
  <c r="D48" i="1"/>
  <c r="C48" i="1"/>
  <c r="B48" i="1"/>
  <c r="J47" i="1"/>
  <c r="G47" i="1"/>
  <c r="F47" i="1"/>
  <c r="D47" i="1"/>
  <c r="C47" i="1"/>
  <c r="B47" i="1"/>
  <c r="J46" i="1"/>
  <c r="F46" i="1"/>
  <c r="D46" i="1"/>
  <c r="C46" i="1"/>
  <c r="B46" i="1"/>
  <c r="J45" i="1"/>
  <c r="F45" i="1"/>
  <c r="D45" i="1"/>
  <c r="C45" i="1"/>
  <c r="B45" i="1"/>
  <c r="J44" i="1"/>
  <c r="F44" i="1"/>
  <c r="D44" i="1"/>
  <c r="C44" i="1"/>
  <c r="B44" i="1"/>
  <c r="J43" i="1"/>
  <c r="G43" i="1"/>
  <c r="F43" i="1"/>
  <c r="D43" i="1"/>
  <c r="C43" i="1"/>
  <c r="B43" i="1"/>
  <c r="J42" i="1"/>
  <c r="F42" i="1"/>
  <c r="D42" i="1"/>
  <c r="C42" i="1"/>
  <c r="B42" i="1"/>
  <c r="J41" i="1"/>
  <c r="F41" i="1"/>
  <c r="D41" i="1"/>
  <c r="C41" i="1"/>
  <c r="B41" i="1"/>
  <c r="J40" i="1"/>
  <c r="G40" i="1"/>
  <c r="F40" i="1"/>
  <c r="D40" i="1"/>
  <c r="C40" i="1"/>
  <c r="B40" i="1"/>
  <c r="J39" i="1"/>
  <c r="J49" i="1" s="1"/>
  <c r="F39" i="1"/>
  <c r="D39" i="1"/>
  <c r="C39" i="1"/>
  <c r="B39" i="1"/>
  <c r="D34" i="1"/>
  <c r="F34" i="1" s="1"/>
  <c r="C34" i="1"/>
  <c r="D33" i="1"/>
  <c r="F33" i="1" s="1"/>
  <c r="C33" i="1"/>
  <c r="D32" i="1"/>
  <c r="F32" i="1" s="1"/>
  <c r="C32" i="1"/>
  <c r="D31" i="1"/>
  <c r="F31" i="1" s="1"/>
  <c r="C31" i="1"/>
  <c r="D30" i="1"/>
  <c r="C30" i="1"/>
  <c r="L14" i="1"/>
  <c r="L11" i="1"/>
  <c r="J7" i="1" s="1"/>
  <c r="D11" i="1"/>
  <c r="C11" i="1"/>
  <c r="B7" i="1" s="1"/>
  <c r="L10" i="1"/>
  <c r="F11" i="1" l="1"/>
  <c r="B6" i="1"/>
  <c r="C35" i="1"/>
  <c r="H47" i="1"/>
  <c r="L12" i="1"/>
  <c r="L13" i="1" s="1"/>
  <c r="J6" i="1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H45" i="2"/>
  <c r="I45" i="2"/>
  <c r="H44" i="2"/>
  <c r="I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H28" i="2"/>
  <c r="I28" i="2"/>
  <c r="I27" i="2"/>
  <c r="H27" i="2"/>
  <c r="H26" i="2"/>
  <c r="I26" i="2"/>
  <c r="H25" i="2"/>
  <c r="I25" i="2"/>
  <c r="I24" i="2"/>
  <c r="H24" i="2"/>
  <c r="I23" i="2"/>
  <c r="H23" i="2"/>
  <c r="I22" i="2"/>
  <c r="H22" i="2"/>
  <c r="I21" i="2"/>
  <c r="H21" i="2"/>
  <c r="I20" i="2"/>
  <c r="H20" i="2"/>
  <c r="I19" i="2"/>
  <c r="H19" i="2"/>
  <c r="H18" i="2"/>
  <c r="I18" i="2"/>
  <c r="I17" i="2"/>
  <c r="H17" i="2"/>
  <c r="I16" i="2"/>
  <c r="H16" i="2"/>
  <c r="I15" i="2"/>
  <c r="H15" i="2"/>
  <c r="I14" i="2"/>
  <c r="H14" i="2"/>
  <c r="I13" i="2"/>
  <c r="H13" i="2"/>
  <c r="I12" i="2"/>
  <c r="H12" i="2"/>
  <c r="H11" i="2"/>
  <c r="I11" i="2"/>
  <c r="H48" i="1"/>
  <c r="I10" i="2"/>
  <c r="H46" i="1" s="1"/>
  <c r="H10" i="2"/>
  <c r="I9" i="2"/>
  <c r="H45" i="1" s="1"/>
  <c r="H9" i="2"/>
  <c r="I8" i="2"/>
  <c r="H44" i="1" s="1"/>
  <c r="H8" i="2"/>
  <c r="H43" i="1"/>
  <c r="H42" i="1"/>
  <c r="I7" i="2"/>
  <c r="H41" i="1" s="1"/>
  <c r="H7" i="2"/>
  <c r="H40" i="1"/>
  <c r="I6" i="2"/>
  <c r="H6" i="2"/>
  <c r="D35" i="1"/>
  <c r="F30" i="1"/>
  <c r="F35" i="1" s="1"/>
  <c r="G31" i="1" l="1"/>
  <c r="G34" i="1"/>
  <c r="G33" i="1"/>
  <c r="H39" i="1"/>
  <c r="G30" i="1"/>
  <c r="G32" i="1"/>
  <c r="D19" i="1"/>
  <c r="C21" i="1"/>
  <c r="D20" i="1"/>
  <c r="C23" i="1"/>
  <c r="C13" i="1" s="1"/>
  <c r="C19" i="1"/>
  <c r="D22" i="1"/>
  <c r="C20" i="1"/>
  <c r="C22" i="1"/>
  <c r="C24" i="1"/>
  <c r="D23" i="1"/>
  <c r="D21" i="1"/>
  <c r="D24" i="1"/>
  <c r="C12" i="1" l="1"/>
  <c r="F7" i="1" s="1"/>
  <c r="D25" i="1"/>
  <c r="D13" i="1"/>
  <c r="F13" i="1" s="1"/>
  <c r="D26" i="1"/>
  <c r="D12" i="1"/>
  <c r="G35" i="1"/>
  <c r="C25" i="1"/>
  <c r="F22" i="1" l="1"/>
  <c r="F24" i="1"/>
  <c r="F20" i="1"/>
  <c r="F12" i="1"/>
  <c r="F6" i="1"/>
  <c r="F23" i="1"/>
  <c r="F21" i="1"/>
  <c r="F19" i="1"/>
  <c r="F26" i="1" l="1"/>
  <c r="F25" i="1"/>
</calcChain>
</file>

<file path=xl/sharedStrings.xml><?xml version="1.0" encoding="utf-8"?>
<sst xmlns="http://schemas.openxmlformats.org/spreadsheetml/2006/main" count="875" uniqueCount="317">
  <si>
    <t>OS EXECUTADAS AGUARDANDO LIBERAÇÃO — MANFAC x DPSP</t>
  </si>
  <si>
    <t>Contrato DPSP Facilities | Regional RJ Zona Sul + Lagos</t>
  </si>
  <si>
    <t>Data-base:</t>
  </si>
  <si>
    <t>OS AGUARDANDO LIBERAÇÃO</t>
  </si>
  <si>
    <t>HÁ MAIS DE 30 DIAS</t>
  </si>
  <si>
    <t>LIBERADO EM 21/10</t>
  </si>
  <si>
    <t>1. VALOR AGUARDANDO LIBERAÇÃO DE PEDIDO</t>
  </si>
  <si>
    <t>2. LIBERADO NO FECHAMENTO DA JANELA</t>
  </si>
  <si>
    <t>Situação</t>
  </si>
  <si>
    <t>Qtd OS</t>
  </si>
  <si>
    <t>Valor (R$)</t>
  </si>
  <si>
    <t>% do valor</t>
  </si>
  <si>
    <t>Data da liberação</t>
  </si>
  <si>
    <t>OS executadas aguardando liberação de pedido</t>
  </si>
  <si>
    <t>OS liberadas</t>
  </si>
  <si>
    <t xml:space="preserve">   dos quais: aguardando há mais de 30 dias</t>
  </si>
  <si>
    <t>Valor liberado</t>
  </si>
  <si>
    <t xml:space="preserve">   dos quais: aguardando há mais de 90 dias</t>
  </si>
  <si>
    <t>% do valor pendente</t>
  </si>
  <si>
    <t>Dias que aguardaram (média)</t>
  </si>
  <si>
    <t>3. HÁ QUANTO TEMPO AS OS AGUARDAM LIBERAÇÃO</t>
  </si>
  <si>
    <t>Faixa</t>
  </si>
  <si>
    <t>% valor</t>
  </si>
  <si>
    <t>Farol</t>
  </si>
  <si>
    <t>0–15 dias</t>
  </si>
  <si>
    <t>VERDE</t>
  </si>
  <si>
    <t>16–30 dias</t>
  </si>
  <si>
    <t>AMARELO</t>
  </si>
  <si>
    <t>31–60 dias</t>
  </si>
  <si>
    <t>VERMELHO</t>
  </si>
  <si>
    <t>61–90 dias</t>
  </si>
  <si>
    <t>Acima de 90 dias</t>
  </si>
  <si>
    <t>Data a informar</t>
  </si>
  <si>
    <t>—</t>
  </si>
  <si>
    <t>TOTAL</t>
  </si>
  <si>
    <t>Aguardando há mais de 30 dias</t>
  </si>
  <si>
    <t>4. OS AGUARDANDO LIBERAÇÃO POR ANALISTA DPSP</t>
  </si>
  <si>
    <t>Analista</t>
  </si>
  <si>
    <t>Acima de 30 dias (R$)</t>
  </si>
  <si>
    <t>LEANDRO</t>
  </si>
  <si>
    <t>AMANDA</t>
  </si>
  <si>
    <t>JUAN</t>
  </si>
  <si>
    <t>ALINE</t>
  </si>
  <si>
    <t>(não informado)</t>
  </si>
  <si>
    <t>5. AS 10 OS HÁ MAIS TEMPO AGUARDANDO LIBERAÇÃO</t>
  </si>
  <si>
    <t>OS · Loja</t>
  </si>
  <si>
    <t>Tipo</t>
  </si>
  <si>
    <t>Finalização</t>
  </si>
  <si>
    <t>Dias aguardando</t>
  </si>
  <si>
    <t>1125-016236</t>
  </si>
  <si>
    <t>1125-015968</t>
  </si>
  <si>
    <t>0326-009215</t>
  </si>
  <si>
    <t>0426-016931</t>
  </si>
  <si>
    <t>0426-016925</t>
  </si>
  <si>
    <t>1125-010536</t>
  </si>
  <si>
    <t>0326-012395</t>
  </si>
  <si>
    <t>0526-019340</t>
  </si>
  <si>
    <t>0526-013810</t>
  </si>
  <si>
    <t>0126-011045</t>
  </si>
  <si>
    <t>TOTAL TOP 10</t>
  </si>
  <si>
    <t>Fontes: base MANFAC de OS pendentes de faturamento (posição 22/10/2026) e planilha de liberação de pedido e folha DPSP de 21/10/2026.</t>
  </si>
  <si>
    <t>BASE — OS EXECUTADAS AGUARDANDO LIBERAÇÃO DE PEDIDO</t>
  </si>
  <si>
    <t>Serviços finalizados pela MANFAC e resolvidos no DESK, aguardando liberação de pedido/folha pela DPSP | Regional RJ Zona Sul + Lagos</t>
  </si>
  <si>
    <t>Nº OS</t>
  </si>
  <si>
    <t>Loja</t>
  </si>
  <si>
    <t>Descrição do chamado</t>
  </si>
  <si>
    <t>Analista DPSP</t>
  </si>
  <si>
    <t>Data finalização</t>
  </si>
  <si>
    <t>Status obra</t>
  </si>
  <si>
    <t>Status DESK</t>
  </si>
  <si>
    <t>DP MACAE 3</t>
  </si>
  <si>
    <t>NOBREAK</t>
  </si>
  <si>
    <t>Escopo Base - Adequação Elétrica para Nobreak 6kva-Itens que serão alimentados pelo quadro de emergência: 100% dos computadores da loja e dispositivos de TI (impressoras, tira teima, ponto eletrônico e servidor), geladeira de medicamento, câmeras + rack/servidor de CFTV e Parte da iluminação (definir com analista a quantidade de luminárias)-Remanejamento de circuitos para quadro de emergência com chave reversora que será alimentado pelo nobreak-Instalação de quadro bypass -Instalação e Balanceamento de cargas no quadro bypass e emergência-Verificar se as geladeiras, Kibon, Redbull estão no mesmo circuito do caixa.. caso contrário, criar um circuito independente</t>
  </si>
  <si>
    <t>FINALIZADO</t>
  </si>
  <si>
    <t>Resolvido</t>
  </si>
  <si>
    <t>DP GLORIA</t>
  </si>
  <si>
    <t>ELETRICA</t>
  </si>
  <si>
    <t>Solicito instalação de uma tomada 220:v na cozinha, pois estamos usando o microondas emprestado de outra filial na sala de treinamentos porque não tem tomada 220v na cozinha da filial.</t>
  </si>
  <si>
    <t>DP BARRA DA TIJUCA 8</t>
  </si>
  <si>
    <t>TELHADO</t>
  </si>
  <si>
    <t>Forro soltando com o vento causando danos na estrutura da loja</t>
  </si>
  <si>
    <t>DP SENADOR DANTAS 2</t>
  </si>
  <si>
    <t>CIVIL</t>
  </si>
  <si>
    <t>SOLICITO AJUDA COM FIXAÇÃO DE UM PROJETOR E TELA QUE TEMOS NO POLO SENAOR DANTAS O PROJETOR NO TETO E A TELA DE PROJEÇÃO TAMBEM NO TETO.</t>
  </si>
  <si>
    <t>DP PADRE MIGUEL</t>
  </si>
  <si>
    <t>FIXAÇÃO DE 08 BRAÇO DE MONITOR DO CAIXA E BALCÃO DE MEDICAMENTO</t>
  </si>
  <si>
    <t>0426-012516</t>
  </si>
  <si>
    <t>DP MACAE 2</t>
  </si>
  <si>
    <t>CAPEX</t>
  </si>
  <si>
    <t>Mão de obra para reforma Light</t>
  </si>
  <si>
    <t>0626-005880</t>
  </si>
  <si>
    <t>DP BARRA DA TIJUCA 10</t>
  </si>
  <si>
    <t>Mão de obra para pintura da fachada.</t>
  </si>
  <si>
    <t>0726-009420</t>
  </si>
  <si>
    <t>DP RECREIO 1</t>
  </si>
  <si>
    <t>TRANSPORTE</t>
  </si>
  <si>
    <t>remoção de entulho</t>
  </si>
  <si>
    <t>0726-011532</t>
  </si>
  <si>
    <t>DPA BARRA DA TIJUCA 6</t>
  </si>
  <si>
    <t>0826-006388</t>
  </si>
  <si>
    <t>DP LEME</t>
  </si>
  <si>
    <t>Solicito bandejamento em vários pontos da área de vendas.</t>
  </si>
  <si>
    <t>0226-011338</t>
  </si>
  <si>
    <t>DP MARICA 1</t>
  </si>
  <si>
    <t>Solicito a tapagem,de um buraco que temos no segundo estoque e atrás do paredao de Dermo. Buraco do palco,pois estamos enfrentando problemas com ratazanas.. Loja precisando de desratização, além dessa tapagem.</t>
  </si>
  <si>
    <t>0526-016397</t>
  </si>
  <si>
    <t>Troca do forro da marquise. ( Aditivo)</t>
  </si>
  <si>
    <t>0626-012206</t>
  </si>
  <si>
    <t>DP SENADOR DANTAS 1</t>
  </si>
  <si>
    <t>SERRALHERIA</t>
  </si>
  <si>
    <t>Solicito substituição da fechadura de 05 armários do PC pois as mesmas estão com defeito.</t>
  </si>
  <si>
    <t>0926-010494</t>
  </si>
  <si>
    <t>DP COPACABANA 12</t>
  </si>
  <si>
    <t>HIDRAULICA</t>
  </si>
  <si>
    <t>Troca das 3 tampas de esgoto.</t>
  </si>
  <si>
    <t>0726-018016</t>
  </si>
  <si>
    <t>DP ICARAI 5</t>
  </si>
  <si>
    <t>Solicito instalação de um novo ponto de tomada na voltagem 110. para a instalação de um novo refrigerador.</t>
  </si>
  <si>
    <t>0226-011039</t>
  </si>
  <si>
    <t>DP SAO GONCALO 1</t>
  </si>
  <si>
    <t>Na abertura de loja do dia 17/02/2026 o funcionário se confundiu com as chaves e tentou destrancar o tambor da porta 4 (porta de vitrine) com a chave da trava, quebrando a chave ao meio e permanecendo a metade da chave dentro do tambor, impossibilitando a abertura da porta. Solicitamos manutenção no tambor para realizarmos a abertura da loja normalmente.</t>
  </si>
  <si>
    <t>0326-018781</t>
  </si>
  <si>
    <t>Chave tambor 4 quebrada</t>
  </si>
  <si>
    <t>0426-017866</t>
  </si>
  <si>
    <t>Cheve do tambor quebrada antes de abrir a porta</t>
  </si>
  <si>
    <t>0526-008051</t>
  </si>
  <si>
    <t>DP SAO GONCALO 3</t>
  </si>
  <si>
    <t>Solicito conserto na porta principal de aço. Chave quebrada na abertura de loja</t>
  </si>
  <si>
    <t>0526-013041</t>
  </si>
  <si>
    <t>DP RIO BONITO</t>
  </si>
  <si>
    <t>Bom dia, solicito ajuda para portado meio de loja quebrada, sem conseguir abrir</t>
  </si>
  <si>
    <t>0826-011936</t>
  </si>
  <si>
    <t>DP BACAXA</t>
  </si>
  <si>
    <t>bom dia solicito suporte urgente para a troca do tambor da porta de entrada, a chave quebrou dentro do tambor impossibilitando a abertura da porta</t>
  </si>
  <si>
    <t>0826-011526</t>
  </si>
  <si>
    <t>DP BARRA DA TIJUCA 5</t>
  </si>
  <si>
    <t>Pintura da fachada.</t>
  </si>
  <si>
    <t>0626-004592</t>
  </si>
  <si>
    <t>DP IPANEMA 1</t>
  </si>
  <si>
    <t>Boa tarde! Solicito a instalação de um novo ponto de tomada para a instalação da geladeira de medicamentos</t>
  </si>
  <si>
    <t>0626-006632</t>
  </si>
  <si>
    <t>DP CATETE 3</t>
  </si>
  <si>
    <t>Bom dia, tudo bem? Solicito a vinda de um técnico urgentemente em loja, pois a chave quebrou dentro do tambor e não temos a cópia. Att, Gerência.</t>
  </si>
  <si>
    <t>0826-004733</t>
  </si>
  <si>
    <t>DP CATETE 2</t>
  </si>
  <si>
    <t>Solicito a pintura das fachadas laterais, o reparo das escadas e a pintura do piso.</t>
  </si>
  <si>
    <t>0526-008209</t>
  </si>
  <si>
    <t>JATEAMENTO - PLANTÃO PEDRO</t>
  </si>
  <si>
    <t>0626-005488</t>
  </si>
  <si>
    <t>DP BARRA DA TIJUCA 9</t>
  </si>
  <si>
    <t>Bom dia, durante a operação da porta automática, foi iniciado o fechamento sem que fosse realizada a verificação completa da área de passagem. Havia um obstáculo na trajetória da porta, ocasionando o travamento do equipamento durante a descida. Como consequência o funcionamento da porta foi interrompido.</t>
  </si>
  <si>
    <t>0826-005902</t>
  </si>
  <si>
    <t>DP FLAMENGO</t>
  </si>
  <si>
    <t>Solicito substituição da calha.</t>
  </si>
  <si>
    <t>0326-010522</t>
  </si>
  <si>
    <t>Solicito reparo da porta principal, filial foi invadida e danificou a porta impossibilitando a abertura.</t>
  </si>
  <si>
    <t>0926-010486</t>
  </si>
  <si>
    <t>DP BOTAFOGO 10</t>
  </si>
  <si>
    <t>Reparo grade de proteção da árvore.</t>
  </si>
  <si>
    <t>0326-018552</t>
  </si>
  <si>
    <t>DP LEBLON 3</t>
  </si>
  <si>
    <t>REFRIGERAÇÃO</t>
  </si>
  <si>
    <t>Solicito o desvio da exaustão</t>
  </si>
  <si>
    <t>0226-009618</t>
  </si>
  <si>
    <t>DP MANILHA</t>
  </si>
  <si>
    <t>Solicito reparo da porta lateral, problemas na hora de abrir e fechar.</t>
  </si>
  <si>
    <t>0926-011149</t>
  </si>
  <si>
    <t>DP CABO FRIO 5</t>
  </si>
  <si>
    <t>estamos com problema da agua voltando pelo ralo dea sala de serviço.</t>
  </si>
  <si>
    <t>0326-009444</t>
  </si>
  <si>
    <t>DP PETROPOLIS 2</t>
  </si>
  <si>
    <t>Bom dia! Solicito troca do do tambor da porta de vidro.</t>
  </si>
  <si>
    <t>0526-017199</t>
  </si>
  <si>
    <t>BOM DIA SOLICITO SPORTE POIS A CHAVE DA PORTA DE ENTRADA ESTÁ QUEBRADA. A PORTA ESTÁ FECHADA</t>
  </si>
  <si>
    <t>0526-018908</t>
  </si>
  <si>
    <t>DP SAO GONCALO 5</t>
  </si>
  <si>
    <t>Bom dia !Quebrou a chave da porta 3 e nao conseguimos abrir.</t>
  </si>
  <si>
    <t>0326-017714</t>
  </si>
  <si>
    <t>DP RIO DAS OSTRAS 4</t>
  </si>
  <si>
    <t>Boa tarde, precisamos de 4 refletores novos para instalação no totem e que venha no caminhão para acesso a altura e junto ao serralheiro para soldar a parte metálica e instalar os 4 refletores. Situação crítica, os dois refletores que possui esta queimado e solto podendo cair em cima dos carros ou pedestres a qualquer momento.</t>
  </si>
  <si>
    <t>0526-016810</t>
  </si>
  <si>
    <t>DPA UNAMAR</t>
  </si>
  <si>
    <t>Solicito a substituição dos braços de iluminação do totem ,estão oxidados</t>
  </si>
  <si>
    <t>0926-010483</t>
  </si>
  <si>
    <t>Solicito troca das grades de escoamento da água da chuva.</t>
  </si>
  <si>
    <t>0926-013146</t>
  </si>
  <si>
    <t>DP SEROPEDICA</t>
  </si>
  <si>
    <t>VISA</t>
  </si>
  <si>
    <t>Atendimento notificação VISA</t>
  </si>
  <si>
    <t>0826-005884</t>
  </si>
  <si>
    <t>Boa noite, solicito desentupimento do esgoto da loja, pois o mesmo está cheio e fica retornando pro salão de vendas, gostaria que fosse feito uma verificação mais precisa do que está acontecendo pois não faz 7 dias que foi feito esse desentupimento de água e não chuveu e já está retornando tudo de novo, mais precisamente hoje o estacionamento tá cheio de água e no paredão de shampoo a água tá retornando no salão.</t>
  </si>
  <si>
    <t>0826-007642</t>
  </si>
  <si>
    <t>DP BUZIOS 2</t>
  </si>
  <si>
    <t>instalação de ponto de tomada para geladeira 110v.</t>
  </si>
  <si>
    <t>0826-008478</t>
  </si>
  <si>
    <t>Bom dia, solicito suporte com relação a porta de aço da filial COPA 6, a chave quebrou com o time do caminhão e eles não conseguem fechar a loja.</t>
  </si>
  <si>
    <t>0926-010550</t>
  </si>
  <si>
    <t>DP IPANEMA 3</t>
  </si>
  <si>
    <t>TROCA FECHADURA CHAVE QUEBROU</t>
  </si>
  <si>
    <t>0526-019250</t>
  </si>
  <si>
    <t>DP BOTAFOGO 7</t>
  </si>
  <si>
    <t>Chave quebrada dentro do Tambor da Porta secundária.</t>
  </si>
  <si>
    <t>0926-010663</t>
  </si>
  <si>
    <t>DP COPACABANA 15</t>
  </si>
  <si>
    <t>Solicito pintura da fachada. (Caminho do cliente)</t>
  </si>
  <si>
    <t>0826-004429</t>
  </si>
  <si>
    <t>DPA PETROPOLIS 6</t>
  </si>
  <si>
    <t>0826-007936</t>
  </si>
  <si>
    <t>DP BACAXA 2</t>
  </si>
  <si>
    <t>Solicito uma nova instalação de uma tomada 127 volts para a nova geladeira .</t>
  </si>
  <si>
    <t>0926-010478</t>
  </si>
  <si>
    <t>Solicito esgotamento da fossa filtro.</t>
  </si>
  <si>
    <t>0726-019011</t>
  </si>
  <si>
    <t>DP SHOPPING PLAZA MACAE</t>
  </si>
  <si>
    <t>DEDETIZAÇÃO</t>
  </si>
  <si>
    <t>Solicitação urgente de dedetização/desratização – Infestação de ratos Solicitamos, com urgência, a realização de serviço de dedetização/desratização na loja. Informamos que já foi aberta uma solicitação em 03/07 número do chamado0726-009288, porém a situação persiste e se agravou.Foram registrados incidentes de infestação de ratos, sendo que já foram capturados três roedores nas dependências da unidade. No momento, há indícios de que a infestação esteja concentrada entre o salão de vendas e a área interna da loja, representando risco à segurança sanitária, aos colaboradores, clientes e aos produtos. Diante da recorrência do problema, solicitamos atendimento prioritário para inspeção completa do local e execução das medidas necessárias para eliminação da infestação, bem como orientações para prevenção de novos casos. Aguardamos o agendamento do serviço com a maior brevidade possível.</t>
  </si>
  <si>
    <t>0726-009714</t>
  </si>
  <si>
    <t>DP NITEROI 9</t>
  </si>
  <si>
    <t>Solicito o concerto da fechadura da porta 8 lateraL,a chave quebrou dentro do tambor.</t>
  </si>
  <si>
    <t>0926-010667</t>
  </si>
  <si>
    <t>DP COPACABANA 13</t>
  </si>
  <si>
    <t>0726-018233</t>
  </si>
  <si>
    <t>DP ALCANTARA 4</t>
  </si>
  <si>
    <t>Filial recebeu nova geladeira com voltagem 110, solicitando instalação de um novo ponto de tomada</t>
  </si>
  <si>
    <t>0726-009288</t>
  </si>
  <si>
    <t>Bom dia! Solicito dedetização para a filial, pois foi identificado a presença de um rato no interior da loja. Acreditamos que o mesmo esta tendo acesso pelos dutos de ar condicionado do shopping, onde a filial reside. Solicitamos urgência para evitar qualquer transtorno. Segue anexo fotos dos locais onde acreditamos que estão tendo acesso. Desde já, agradeço a colaboração. Att; Gilmara Ferreira, ADM</t>
  </si>
  <si>
    <t>0926-010500</t>
  </si>
  <si>
    <t>Troca da estrutura metálica do telhado.</t>
  </si>
  <si>
    <t>0926-014271</t>
  </si>
  <si>
    <t>DP BARRA DE SAO JOAO</t>
  </si>
  <si>
    <t>PINTURA DA FACHADA CAMINHO DO CLIENTE.</t>
  </si>
  <si>
    <t>0926-010665</t>
  </si>
  <si>
    <t>DP COPACABANA 16</t>
  </si>
  <si>
    <t>0926-010851</t>
  </si>
  <si>
    <t>Olá, bom dia! Solicitamos a revitalização das paredes da área em que fica a cisterna da filial.</t>
  </si>
  <si>
    <t>0526-019295</t>
  </si>
  <si>
    <t>Solicito desentupimento do esgoto e caixas de gordura, água retornando pra loja</t>
  </si>
  <si>
    <t>0926-010496</t>
  </si>
  <si>
    <t>Troca do portão na área da cisterna.</t>
  </si>
  <si>
    <t>0926-010490</t>
  </si>
  <si>
    <t>Desmontagem e descarte da máquina de ar condicionado antiga.</t>
  </si>
  <si>
    <t>0926-010498</t>
  </si>
  <si>
    <t>Reparo da Calha telhado retaguarda.</t>
  </si>
  <si>
    <t>0726-014463</t>
  </si>
  <si>
    <t>DP TRINDADE</t>
  </si>
  <si>
    <t>Bom Dia! Tampa do estacionamento encontra-se quebrada solicito troca.</t>
  </si>
  <si>
    <t>1026-007646</t>
  </si>
  <si>
    <t>DP SAO FRANCISCO DO ITABAPOANA</t>
  </si>
  <si>
    <t>Transporte da geladeira e instalação de tomada (Cinta)</t>
  </si>
  <si>
    <t>0626-003845</t>
  </si>
  <si>
    <t>DP RIO BRANCO 2</t>
  </si>
  <si>
    <t>Prezados, bom dia! A Porta 3 encontra-se desalinhada, apresentando grande dificuldade para fechamento, sendo necessário o auxílio de dois colaboradores para realizar essa operação, o que compromete a rotina e a segurança operacional da filial. Ressalto que, em atendimento anterior, a equipe de manutenção informou que a porta não possui condições de reparo, sendo necessária a substituição completa por uma nova. Dessa forma, solicito providências para a troca da Porta 3 com a maior brevidade possível, a fim de garantir a segurança e o correto funcionamento da unidade. Atenciosamente, Dayane Polito Gerente de Loja</t>
  </si>
  <si>
    <t>0926-017427</t>
  </si>
  <si>
    <t>DP TAQUARA 6</t>
  </si>
  <si>
    <t>Solicito instalação de tomada 110v/127v para geladeira da cinta.</t>
  </si>
  <si>
    <t>1026-007535</t>
  </si>
  <si>
    <t>DP FREGUESIA 1</t>
  </si>
  <si>
    <t>1026-007552</t>
  </si>
  <si>
    <t>DP JARDIM BOTANICO</t>
  </si>
  <si>
    <t>1026-007562</t>
  </si>
  <si>
    <t>DP LEBLON 4</t>
  </si>
  <si>
    <t>1026-007557</t>
  </si>
  <si>
    <t>DP JARDIM OCEANICO 2</t>
  </si>
  <si>
    <t>1026-007544</t>
  </si>
  <si>
    <t>DP HUMAITA</t>
  </si>
  <si>
    <t>0626-011696</t>
  </si>
  <si>
    <t>Olá, bom dia! Solicito apoio na dedetização na retaguarda da loja, atrás do estoque principal vários ratos. Os ratos vem de onde fica a caixa d'água.</t>
  </si>
  <si>
    <t>0726-017852</t>
  </si>
  <si>
    <t>DP INGA 2</t>
  </si>
  <si>
    <t>Solicito instala ao de tomada 110v para ligar a nova geladeira.</t>
  </si>
  <si>
    <t>0926-010530</t>
  </si>
  <si>
    <t>DP BARRA DA TIJUCA 4</t>
  </si>
  <si>
    <t>Troca da fechadura, chave quebrada.</t>
  </si>
  <si>
    <t>0726-019313</t>
  </si>
  <si>
    <t>DP RECREIO 8</t>
  </si>
  <si>
    <t>Projeto GLP1 - Transferencia geladeira recreio 6 para recreio 8</t>
  </si>
  <si>
    <t>0826-009507</t>
  </si>
  <si>
    <t>DP GILKA MACHADO</t>
  </si>
  <si>
    <t>Tentativa de invasão - buraco aberto na copa</t>
  </si>
  <si>
    <t>TOTAL (acompanha o filtro)</t>
  </si>
  <si>
    <t>OS LIBERADAS PELA DPSP NO FECHAMENTO DA JANELA — 21/10/2026</t>
  </si>
  <si>
    <t>Pedidos e folhas recebidos para faturamento</t>
  </si>
  <si>
    <t>Pedido</t>
  </si>
  <si>
    <t>Folha 10</t>
  </si>
  <si>
    <t>Valor 10 (R$)</t>
  </si>
  <si>
    <t>Folha 20</t>
  </si>
  <si>
    <t>Valor 20 (R$)</t>
  </si>
  <si>
    <t>Valor NF (R$)</t>
  </si>
  <si>
    <t>Dias até liberação</t>
  </si>
  <si>
    <t>1125-016234</t>
  </si>
  <si>
    <t>DP CAMPOS 7</t>
  </si>
  <si>
    <t>0426-008820</t>
  </si>
  <si>
    <t>DP NILOPOLIS</t>
  </si>
  <si>
    <t>AR CONDICIONADO</t>
  </si>
  <si>
    <t>2 OS</t>
  </si>
  <si>
    <t>Valores conforme planilha de liberação de pedido e folha enviada pela DPSP em 21/10/2026.</t>
  </si>
  <si>
    <t>DPSP</t>
  </si>
  <si>
    <t>01/11 - liberação de faturamento</t>
  </si>
  <si>
    <t>NF 1457</t>
  </si>
  <si>
    <t>Em processo de liberação interna</t>
  </si>
  <si>
    <t>NF 1377</t>
  </si>
  <si>
    <t>Validar com analista de campo</t>
  </si>
  <si>
    <t>CANCELADO</t>
  </si>
  <si>
    <t>EXECUTADO</t>
  </si>
  <si>
    <t xml:space="preserve">EXECUTADO </t>
  </si>
  <si>
    <t>PENDENTE</t>
  </si>
  <si>
    <t>STATUS</t>
  </si>
  <si>
    <t>COMPETÊNCIA</t>
  </si>
  <si>
    <t>Reforma Light</t>
  </si>
  <si>
    <t>obs</t>
  </si>
  <si>
    <t>competências futuras</t>
  </si>
  <si>
    <t>Pendente - Liberação analista</t>
  </si>
  <si>
    <t>Alinha a demanda com o analista</t>
  </si>
  <si>
    <t>LIBERAÇÃO NOV</t>
  </si>
  <si>
    <t>Data de pagamento</t>
  </si>
  <si>
    <t>valor</t>
  </si>
  <si>
    <t>PAG 30/10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</si>
</sst>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 &quot;#,##0.00"/>
    <numFmt numFmtId="165" formatCode="&quot;R$ &quot;#,##0.00;&quot;-R$ &quot;#,##0.00;\-"/>
    <numFmt numFmtId="166" formatCode="0.0%"/>
  </numFmts>
  <fonts count="22" x14ac:knownFonts="1">
    <font>
      <sz val="11"/>
      <color theme="1"/>
      <name val="Calibri"/>
      <family val="2"/>
      <charset val="1"/>
    </font>
    <font>
      <b/>
      <sz val="15"/>
      <color rgb="FF00325E"/>
      <name val="Arial"/>
      <charset val="1"/>
    </font>
    <font>
      <sz val="10"/>
      <color rgb="FF595959"/>
      <name val="Arial"/>
      <charset val="1"/>
    </font>
    <font>
      <b/>
      <sz val="11"/>
      <color rgb="FF00325E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sz val="9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b/>
      <sz val="10"/>
      <color rgb="FF595959"/>
      <name val="Arial"/>
      <charset val="1"/>
    </font>
    <font>
      <sz val="9"/>
      <name val="Arial"/>
      <charset val="1"/>
    </font>
    <font>
      <b/>
      <sz val="9"/>
      <color rgb="FFC00000"/>
      <name val="Arial"/>
      <charset val="1"/>
    </font>
    <font>
      <sz val="8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325E"/>
        <bgColor rgb="FF003300"/>
      </patternFill>
    </fill>
    <fill>
      <patternFill patternType="solid">
        <fgColor rgb="FFF95F0F"/>
        <bgColor rgb="FFFF9900"/>
      </patternFill>
    </fill>
    <fill>
      <patternFill patternType="solid">
        <fgColor rgb="FFE2F0D9"/>
        <bgColor rgb="FFDCE3EC"/>
      </patternFill>
    </fill>
    <fill>
      <patternFill patternType="solid">
        <fgColor rgb="FFFFF2CC"/>
        <bgColor rgb="FFF2F4F7"/>
      </patternFill>
    </fill>
    <fill>
      <patternFill patternType="solid">
        <fgColor rgb="FFF8D7DA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DCE3EC"/>
        <bgColor rgb="FFD9D9D9"/>
      </patternFill>
    </fill>
    <fill>
      <patternFill patternType="solid">
        <fgColor rgb="FFF2F4F7"/>
        <bgColor rgb="FFF9F9F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 style="thin">
        <color rgb="FFC9CED6"/>
      </left>
      <right style="thin">
        <color rgb="FFC9CED6"/>
      </right>
      <top style="thin">
        <color rgb="FFC9CED6"/>
      </top>
      <bottom/>
      <diagonal/>
    </border>
    <border>
      <left style="medium">
        <color indexed="64"/>
      </left>
      <right style="thin">
        <color rgb="FFC9CED6"/>
      </right>
      <top style="medium">
        <color indexed="64"/>
      </top>
      <bottom style="medium">
        <color indexed="64"/>
      </bottom>
      <diagonal/>
    </border>
    <border>
      <left style="thin">
        <color rgb="FFC9CED6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69">
    <xf numFmtId="0" fontId="0" fillId="0" borderId="0" xfId="0"/>
    <xf numFmtId="0" fontId="13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14" fontId="4" fillId="0" borderId="0" xfId="0" applyNumberFormat="1" applyFont="1"/>
    <xf numFmtId="0" fontId="8" fillId="2" borderId="0" xfId="0" applyFont="1" applyFill="1"/>
    <xf numFmtId="0" fontId="0" fillId="2" borderId="0" xfId="0" applyFill="1"/>
    <xf numFmtId="0" fontId="8" fillId="3" borderId="0" xfId="0" applyFont="1" applyFill="1"/>
    <xf numFmtId="0" fontId="0" fillId="3" borderId="0" xfId="0" applyFill="1"/>
    <xf numFmtId="14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right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5" fontId="13" fillId="6" borderId="1" xfId="0" applyNumberFormat="1" applyFont="1" applyFill="1" applyBorder="1" applyAlignment="1">
      <alignment horizontal="right" vertical="center"/>
    </xf>
    <xf numFmtId="166" fontId="13" fillId="6" borderId="1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0" borderId="0" xfId="0" applyFont="1"/>
    <xf numFmtId="0" fontId="10" fillId="8" borderId="1" xfId="0" applyFont="1" applyFill="1" applyBorder="1" applyAlignment="1">
      <alignment horizontal="right" vertical="center"/>
    </xf>
    <xf numFmtId="0" fontId="18" fillId="0" borderId="0" xfId="0" applyFont="1"/>
    <xf numFmtId="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14" fontId="9" fillId="9" borderId="1" xfId="0" applyNumberFormat="1" applyFont="1" applyFill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44" fontId="9" fillId="9" borderId="1" xfId="1" applyFont="1" applyFill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44" fontId="9" fillId="0" borderId="2" xfId="1" applyFont="1" applyBorder="1" applyAlignment="1">
      <alignment horizontal="center" vertical="center"/>
    </xf>
    <xf numFmtId="14" fontId="9" fillId="9" borderId="3" xfId="0" applyNumberFormat="1" applyFont="1" applyFill="1" applyBorder="1" applyAlignment="1">
      <alignment horizontal="center" vertical="center"/>
    </xf>
    <xf numFmtId="44" fontId="9" fillId="9" borderId="4" xfId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165" fontId="13" fillId="0" borderId="1" xfId="0" applyNumberFormat="1" applyFont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3">
    <dxf>
      <font>
        <b/>
        <color rgb="FFC00000"/>
        <name val="Arial"/>
        <charset val="1"/>
      </font>
      <fill>
        <patternFill>
          <bgColor rgb="FFF8D7DA"/>
        </patternFill>
      </fill>
    </dxf>
    <dxf>
      <font>
        <b/>
        <color rgb="FF7F6000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2CC"/>
      <rgbColor rgb="FFF2F4F7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C"/>
      <rgbColor rgb="FFE2F0D9"/>
      <rgbColor rgb="FFF9F9F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95F0F"/>
      <rgbColor rgb="FF595959"/>
      <rgbColor rgb="FF969696"/>
      <rgbColor rgb="FF00325E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aguardando liberação por faixa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RESUMO!$D$18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0032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RESUMO!$B$19:$B$24</c:f>
              <c:strCache>
                <c:ptCount val="6"/>
                <c:pt idx="0">
                  <c:v>0–15 dias</c:v>
                </c:pt>
                <c:pt idx="1">
                  <c:v>16–30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Acima de 90 dias</c:v>
                </c:pt>
                <c:pt idx="5">
                  <c:v>Data a informar</c:v>
                </c:pt>
              </c:strCache>
            </c:strRef>
          </c:cat>
          <c:val>
            <c:numRef>
              <c:f>RESUMO!$D$19:$D$24</c:f>
              <c:numCache>
                <c:formatCode>"R$ "#,##0.00;"-R$ "#,##0.00;\-</c:formatCode>
                <c:ptCount val="6"/>
                <c:pt idx="0">
                  <c:v>47478.400000000009</c:v>
                </c:pt>
                <c:pt idx="1">
                  <c:v>148256.32000000007</c:v>
                </c:pt>
                <c:pt idx="2">
                  <c:v>26600.55</c:v>
                </c:pt>
                <c:pt idx="3">
                  <c:v>64788.2</c:v>
                </c:pt>
                <c:pt idx="4">
                  <c:v>29384.549999999996</c:v>
                </c:pt>
                <c:pt idx="5">
                  <c:v>77930.62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4-47D0-8C68-EAB77D15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6479"/>
        <c:axId val="61733287"/>
      </c:barChart>
      <c:catAx>
        <c:axId val="20646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1733287"/>
        <c:crosses val="autoZero"/>
        <c:auto val="1"/>
        <c:lblAlgn val="ctr"/>
        <c:lblOffset val="100"/>
        <c:noMultiLvlLbl val="0"/>
      </c:catAx>
      <c:valAx>
        <c:axId val="61733287"/>
        <c:scaling>
          <c:orientation val="minMax"/>
        </c:scaling>
        <c:delete val="1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&quot;-R$ &quot;#,##0.00;\-" sourceLinked="1"/>
        <c:majorTickMark val="none"/>
        <c:minorTickMark val="none"/>
        <c:tickLblPos val="nextTo"/>
        <c:crossAx val="20646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324720</xdr:colOff>
      <xdr:row>29</xdr:row>
      <xdr:rowOff>51840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1525320</xdr:colOff>
      <xdr:row>1</xdr:row>
      <xdr:rowOff>190080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166644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750240</xdr:colOff>
      <xdr:row>1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6644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750240</xdr:colOff>
      <xdr:row>1</xdr:row>
      <xdr:rowOff>190080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6644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95F0F"/>
    <pageSetUpPr fitToPage="1"/>
  </sheetPr>
  <dimension ref="B1:N51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0" customWidth="1"/>
    <col min="3" max="3" width="12" customWidth="1"/>
    <col min="4" max="4" width="17" customWidth="1"/>
    <col min="5" max="5" width="2" customWidth="1"/>
    <col min="6" max="8" width="12" customWidth="1"/>
    <col min="9" max="9" width="2" customWidth="1"/>
    <col min="10" max="10" width="24" customWidth="1"/>
    <col min="11" max="11" width="8" customWidth="1"/>
    <col min="12" max="12" width="16" customWidth="1"/>
    <col min="14" max="14" width="13" hidden="1" customWidth="1"/>
  </cols>
  <sheetData>
    <row r="1" spans="2:12" ht="19.5" customHeight="1" x14ac:dyDescent="0.3">
      <c r="E1" s="4" t="s">
        <v>0</v>
      </c>
    </row>
    <row r="2" spans="2:12" ht="19.5" customHeight="1" x14ac:dyDescent="0.25">
      <c r="E2" s="5" t="s">
        <v>1</v>
      </c>
      <c r="K2" s="6" t="s">
        <v>2</v>
      </c>
      <c r="L2" s="7">
        <v>46317</v>
      </c>
    </row>
    <row r="3" spans="2:12" ht="13.5" customHeight="1" x14ac:dyDescent="0.25"/>
    <row r="5" spans="2:12" x14ac:dyDescent="0.25">
      <c r="B5" s="65" t="s">
        <v>3</v>
      </c>
      <c r="C5" s="65"/>
      <c r="D5" s="65"/>
      <c r="F5" s="66" t="s">
        <v>4</v>
      </c>
      <c r="G5" s="66"/>
      <c r="H5" s="66"/>
      <c r="J5" s="65" t="s">
        <v>5</v>
      </c>
      <c r="K5" s="65"/>
      <c r="L5" s="65"/>
    </row>
    <row r="6" spans="2:12" ht="31.5" customHeight="1" x14ac:dyDescent="0.25">
      <c r="B6" s="67">
        <f>D11</f>
        <v>394438.64000000013</v>
      </c>
      <c r="C6" s="67"/>
      <c r="D6" s="67"/>
      <c r="F6" s="68">
        <f>D12</f>
        <v>120773.29999999999</v>
      </c>
      <c r="G6" s="68"/>
      <c r="H6" s="68"/>
      <c r="J6" s="67">
        <f>'LIBERADAS 21-10'!I8</f>
        <v>20352.199999999997</v>
      </c>
      <c r="K6" s="67"/>
      <c r="L6" s="67"/>
    </row>
    <row r="7" spans="2:12" x14ac:dyDescent="0.25">
      <c r="B7" s="62" t="str">
        <f>C11&amp;" OS executadas e resolvidas no DESK"</f>
        <v>76 OS executadas e resolvidas no DESK</v>
      </c>
      <c r="C7" s="62"/>
      <c r="D7" s="62"/>
      <c r="F7" s="63" t="str">
        <f>C12&amp;" OS em farol vermelho"</f>
        <v>13 OS em farol vermelho</v>
      </c>
      <c r="G7" s="63"/>
      <c r="H7" s="63"/>
      <c r="J7" s="62" t="str">
        <f>L11&amp;" OS no fechamento da janela"</f>
        <v>2 OS no fechamento da janela</v>
      </c>
      <c r="K7" s="62"/>
      <c r="L7" s="62"/>
    </row>
    <row r="9" spans="2:12" ht="21.75" customHeight="1" x14ac:dyDescent="0.25">
      <c r="B9" s="8" t="s">
        <v>6</v>
      </c>
      <c r="C9" s="9"/>
      <c r="D9" s="9"/>
      <c r="E9" s="9"/>
      <c r="F9" s="9"/>
      <c r="G9" s="9"/>
      <c r="H9" s="9"/>
      <c r="J9" s="10" t="s">
        <v>7</v>
      </c>
      <c r="K9" s="11"/>
      <c r="L9" s="11"/>
    </row>
    <row r="10" spans="2:12" x14ac:dyDescent="0.25">
      <c r="B10" s="2" t="s">
        <v>8</v>
      </c>
      <c r="C10" s="2" t="s">
        <v>9</v>
      </c>
      <c r="D10" s="2" t="s">
        <v>10</v>
      </c>
      <c r="F10" s="2" t="s">
        <v>11</v>
      </c>
      <c r="G10" s="64"/>
      <c r="H10" s="64"/>
      <c r="J10" s="61" t="s">
        <v>12</v>
      </c>
      <c r="K10" s="61"/>
      <c r="L10" s="12">
        <f>DATE(2026,10,21)</f>
        <v>46316</v>
      </c>
    </row>
    <row r="11" spans="2:12" ht="27.75" customHeight="1" x14ac:dyDescent="0.25">
      <c r="B11" s="13" t="s">
        <v>13</v>
      </c>
      <c r="C11" s="14">
        <f>COUNTA(BASE!$A$6:$A$81)</f>
        <v>76</v>
      </c>
      <c r="D11" s="15">
        <f>SUM(BASE!$J$6:$J$81)</f>
        <v>394438.64000000013</v>
      </c>
      <c r="F11" s="16">
        <f>D11/$D$11</f>
        <v>1</v>
      </c>
      <c r="J11" s="61" t="s">
        <v>14</v>
      </c>
      <c r="K11" s="61"/>
      <c r="L11" s="17">
        <f>COUNTA('LIBERADAS 21-10'!A6:A7)</f>
        <v>2</v>
      </c>
    </row>
    <row r="12" spans="2:12" ht="27.75" customHeight="1" x14ac:dyDescent="0.25">
      <c r="B12" s="13" t="s">
        <v>15</v>
      </c>
      <c r="C12" s="14">
        <f>SUM(C21:C23)</f>
        <v>13</v>
      </c>
      <c r="D12" s="15">
        <f>SUM(D21:D23)</f>
        <v>120773.29999999999</v>
      </c>
      <c r="F12" s="16">
        <f>D12/$D$11</f>
        <v>0.30619033672765922</v>
      </c>
      <c r="J12" s="61" t="s">
        <v>16</v>
      </c>
      <c r="K12" s="61"/>
      <c r="L12" s="18">
        <f>'LIBERADAS 21-10'!I8</f>
        <v>20352.199999999997</v>
      </c>
    </row>
    <row r="13" spans="2:12" ht="27.75" customHeight="1" x14ac:dyDescent="0.25">
      <c r="B13" s="13" t="s">
        <v>17</v>
      </c>
      <c r="C13" s="14">
        <f>C23</f>
        <v>6</v>
      </c>
      <c r="D13" s="15">
        <f>D23</f>
        <v>29384.549999999996</v>
      </c>
      <c r="F13" s="16">
        <f>D13/$D$11</f>
        <v>7.4497138515638286E-2</v>
      </c>
      <c r="J13" s="61" t="s">
        <v>18</v>
      </c>
      <c r="K13" s="61"/>
      <c r="L13" s="19">
        <f>L12/(L12+D11)</f>
        <v>4.906617513540075E-2</v>
      </c>
    </row>
    <row r="14" spans="2:12" x14ac:dyDescent="0.25">
      <c r="J14" s="61" t="s">
        <v>19</v>
      </c>
      <c r="K14" s="61"/>
      <c r="L14" s="17">
        <f>AVERAGE('LIBERADAS 21-10'!K6:K7)</f>
        <v>137</v>
      </c>
    </row>
    <row r="17" spans="2:8" ht="21.75" customHeight="1" x14ac:dyDescent="0.25">
      <c r="B17" s="8" t="s">
        <v>20</v>
      </c>
      <c r="C17" s="9"/>
      <c r="D17" s="9"/>
      <c r="E17" s="9"/>
      <c r="F17" s="9"/>
      <c r="G17" s="9"/>
      <c r="H17" s="9"/>
    </row>
    <row r="18" spans="2:8" ht="15" customHeight="1" x14ac:dyDescent="0.25">
      <c r="B18" s="2" t="s">
        <v>21</v>
      </c>
      <c r="C18" s="2" t="s">
        <v>9</v>
      </c>
      <c r="D18" s="2" t="s">
        <v>10</v>
      </c>
      <c r="F18" s="2" t="s">
        <v>22</v>
      </c>
      <c r="G18" s="56" t="s">
        <v>23</v>
      </c>
      <c r="H18" s="56"/>
    </row>
    <row r="19" spans="2:8" x14ac:dyDescent="0.25">
      <c r="B19" s="3" t="s">
        <v>24</v>
      </c>
      <c r="C19" s="14">
        <f>COUNTIF(BASE!$H$6:$H$81,B19)</f>
        <v>10</v>
      </c>
      <c r="D19" s="15">
        <f>SUMIF(BASE!$H$6:$H$81,B19,BASE!$J$6:$J$81)</f>
        <v>47478.400000000009</v>
      </c>
      <c r="F19" s="16">
        <f t="shared" ref="F19:F24" si="0">D19/$D$25</f>
        <v>0.12036954594509301</v>
      </c>
      <c r="G19" s="58" t="s">
        <v>25</v>
      </c>
      <c r="H19" s="58"/>
    </row>
    <row r="20" spans="2:8" x14ac:dyDescent="0.25">
      <c r="B20" s="3" t="s">
        <v>26</v>
      </c>
      <c r="C20" s="14">
        <f>COUNTIF(BASE!$H$6:$H$81,B20)</f>
        <v>32</v>
      </c>
      <c r="D20" s="15">
        <f>SUMIF(BASE!$H$6:$H$81,B20,BASE!$J$6:$J$81)</f>
        <v>148256.32000000007</v>
      </c>
      <c r="F20" s="16">
        <f t="shared" si="0"/>
        <v>0.37586662402040538</v>
      </c>
      <c r="G20" s="59" t="s">
        <v>27</v>
      </c>
      <c r="H20" s="59"/>
    </row>
    <row r="21" spans="2:8" x14ac:dyDescent="0.25">
      <c r="B21" s="3" t="s">
        <v>28</v>
      </c>
      <c r="C21" s="14">
        <f>COUNTIF(BASE!$H$6:$H$81,B21)</f>
        <v>4</v>
      </c>
      <c r="D21" s="15">
        <f>SUMIF(BASE!$H$6:$H$81,B21,BASE!$J$6:$J$81)</f>
        <v>26600.55</v>
      </c>
      <c r="F21" s="16">
        <f t="shared" si="0"/>
        <v>6.7439006482732003E-2</v>
      </c>
      <c r="G21" s="60" t="s">
        <v>29</v>
      </c>
      <c r="H21" s="60"/>
    </row>
    <row r="22" spans="2:8" x14ac:dyDescent="0.25">
      <c r="B22" s="3" t="s">
        <v>30</v>
      </c>
      <c r="C22" s="14">
        <f>COUNTIF(BASE!$H$6:$H$81,B22)</f>
        <v>3</v>
      </c>
      <c r="D22" s="15">
        <f>SUMIF(BASE!$H$6:$H$81,B22,BASE!$J$6:$J$81)</f>
        <v>64788.2</v>
      </c>
      <c r="F22" s="16">
        <f t="shared" si="0"/>
        <v>0.16425419172928896</v>
      </c>
      <c r="G22" s="60" t="s">
        <v>29</v>
      </c>
      <c r="H22" s="60"/>
    </row>
    <row r="23" spans="2:8" x14ac:dyDescent="0.25">
      <c r="B23" s="3" t="s">
        <v>31</v>
      </c>
      <c r="C23" s="14">
        <f>COUNTIF(BASE!$H$6:$H$81,B23)</f>
        <v>6</v>
      </c>
      <c r="D23" s="15">
        <f>SUMIF(BASE!$H$6:$H$81,B23,BASE!$J$6:$J$81)</f>
        <v>29384.549999999996</v>
      </c>
      <c r="F23" s="16">
        <f t="shared" si="0"/>
        <v>7.44971385156383E-2</v>
      </c>
      <c r="G23" s="60" t="s">
        <v>29</v>
      </c>
      <c r="H23" s="60"/>
    </row>
    <row r="24" spans="2:8" x14ac:dyDescent="0.25">
      <c r="B24" s="3" t="s">
        <v>32</v>
      </c>
      <c r="C24" s="14">
        <f>COUNTIF(BASE!$H$6:$H$81,B24)</f>
        <v>21</v>
      </c>
      <c r="D24" s="15">
        <f>SUMIF(BASE!$H$6:$H$81,B24,BASE!$J$6:$J$81)</f>
        <v>77930.62</v>
      </c>
      <c r="F24" s="16">
        <f t="shared" si="0"/>
        <v>0.19757349330684229</v>
      </c>
      <c r="G24" s="57" t="s">
        <v>33</v>
      </c>
      <c r="H24" s="57"/>
    </row>
    <row r="25" spans="2:8" x14ac:dyDescent="0.25">
      <c r="B25" s="20" t="s">
        <v>34</v>
      </c>
      <c r="C25" s="21">
        <f>SUM(C19:C24)</f>
        <v>76</v>
      </c>
      <c r="D25" s="22">
        <f>SUM(D19:D24)</f>
        <v>394438.64000000007</v>
      </c>
      <c r="F25" s="23">
        <f>SUM(F19:F24)</f>
        <v>1</v>
      </c>
    </row>
    <row r="26" spans="2:8" x14ac:dyDescent="0.25">
      <c r="B26" s="24" t="s">
        <v>35</v>
      </c>
      <c r="C26" s="1"/>
      <c r="D26" s="25">
        <f>SUM(D21:D23)</f>
        <v>120773.29999999999</v>
      </c>
      <c r="F26" s="26">
        <f>SUM(F21:F23)</f>
        <v>0.30619033672765927</v>
      </c>
    </row>
    <row r="28" spans="2:8" ht="21.75" customHeight="1" x14ac:dyDescent="0.25">
      <c r="B28" s="8" t="s">
        <v>36</v>
      </c>
      <c r="C28" s="9"/>
      <c r="D28" s="9"/>
      <c r="E28" s="9"/>
      <c r="F28" s="9"/>
      <c r="G28" s="9"/>
      <c r="H28" s="9"/>
    </row>
    <row r="29" spans="2:8" ht="15" customHeight="1" x14ac:dyDescent="0.25">
      <c r="B29" s="2" t="s">
        <v>37</v>
      </c>
      <c r="C29" s="2" t="s">
        <v>9</v>
      </c>
      <c r="D29" s="2" t="s">
        <v>10</v>
      </c>
      <c r="F29" s="2" t="s">
        <v>22</v>
      </c>
      <c r="G29" s="56" t="s">
        <v>38</v>
      </c>
      <c r="H29" s="56"/>
    </row>
    <row r="30" spans="2:8" x14ac:dyDescent="0.25">
      <c r="B30" s="3" t="s">
        <v>39</v>
      </c>
      <c r="C30" s="14">
        <f>COUNTIF(BASE!$E$6:$E$81,"LEANDRO")</f>
        <v>52</v>
      </c>
      <c r="D30" s="15">
        <f>SUMIF(BASE!$E$6:$E$81,"LEANDRO",BASE!$J$6:$J$81)</f>
        <v>331751.59000000008</v>
      </c>
      <c r="F30" s="16">
        <f>D30/SUM(BASE!$J$6:$J$81)</f>
        <v>0.84107274581415237</v>
      </c>
      <c r="G30" s="54">
        <f>SUMPRODUCT((BASE!$E$6:$E$81="LEANDRO")*(BASE!$I$6:$I$81="VERMELHO")*BASE!$J$6:$J$81)</f>
        <v>114006.54999999999</v>
      </c>
      <c r="H30" s="54"/>
    </row>
    <row r="31" spans="2:8" x14ac:dyDescent="0.25">
      <c r="B31" s="3" t="s">
        <v>40</v>
      </c>
      <c r="C31" s="14">
        <f>COUNTIF(BASE!$E$6:$E$81,"AMANDA")</f>
        <v>18</v>
      </c>
      <c r="D31" s="15">
        <f>SUMIF(BASE!$E$6:$E$81,"AMANDA",BASE!$J$6:$J$81)</f>
        <v>42627.590000000011</v>
      </c>
      <c r="F31" s="16">
        <f>D31/SUM(BASE!$J$6:$J$81)</f>
        <v>0.10807153680481202</v>
      </c>
      <c r="G31" s="54">
        <f>SUMPRODUCT((BASE!$E$6:$E$81="AMANDA")*(BASE!$I$6:$I$81="VERMELHO")*BASE!$J$6:$J$81)</f>
        <v>5267.72</v>
      </c>
      <c r="H31" s="54"/>
    </row>
    <row r="32" spans="2:8" x14ac:dyDescent="0.25">
      <c r="B32" s="3" t="s">
        <v>41</v>
      </c>
      <c r="C32" s="14">
        <f>COUNTIF(BASE!$E$6:$E$81,"JUAN")</f>
        <v>3</v>
      </c>
      <c r="D32" s="15">
        <f>SUMIF(BASE!$E$6:$E$81,"JUAN",BASE!$J$6:$J$81)</f>
        <v>1999.03</v>
      </c>
      <c r="F32" s="16">
        <f>D32/SUM(BASE!$J$6:$J$81)</f>
        <v>5.0680379589585827E-3</v>
      </c>
      <c r="G32" s="54">
        <f>SUMPRODUCT((BASE!$E$6:$E$81="JUAN")*(BASE!$I$6:$I$81="VERMELHO")*BASE!$J$6:$J$81)</f>
        <v>1499.03</v>
      </c>
      <c r="H32" s="54"/>
    </row>
    <row r="33" spans="2:14" x14ac:dyDescent="0.25">
      <c r="B33" s="3" t="s">
        <v>42</v>
      </c>
      <c r="C33" s="14">
        <f>COUNTIF(BASE!$E$6:$E$81,"ALINE")</f>
        <v>0</v>
      </c>
      <c r="D33" s="15">
        <f>SUMIF(BASE!$E$6:$E$81,"ALINE",BASE!$J$6:$J$81)</f>
        <v>0</v>
      </c>
      <c r="F33" s="16">
        <f>D33/SUM(BASE!$J$6:$J$81)</f>
        <v>0</v>
      </c>
      <c r="G33" s="54">
        <f>SUMPRODUCT((BASE!$E$6:$E$81="ALINE")*(BASE!$I$6:$I$81="VERMELHO")*BASE!$J$6:$J$81)</f>
        <v>0</v>
      </c>
      <c r="H33" s="54"/>
    </row>
    <row r="34" spans="2:14" x14ac:dyDescent="0.25">
      <c r="B34" s="3" t="s">
        <v>43</v>
      </c>
      <c r="C34" s="14">
        <f>COUNTIF(BASE!$E$6:$E$81,"—")</f>
        <v>3</v>
      </c>
      <c r="D34" s="15">
        <f>SUMIF(BASE!$E$6:$E$81,"—",BASE!$J$6:$J$81)</f>
        <v>18060.43</v>
      </c>
      <c r="F34" s="16">
        <f>D34/SUM(BASE!$J$6:$J$81)</f>
        <v>4.5787679422076892E-2</v>
      </c>
      <c r="G34" s="54">
        <f>SUMPRODUCT((BASE!$E$6:$E$81="—")*(BASE!$I$6:$I$81="VERMELHO")*BASE!$J$6:$J$81)</f>
        <v>0</v>
      </c>
      <c r="H34" s="54"/>
    </row>
    <row r="35" spans="2:14" x14ac:dyDescent="0.25">
      <c r="B35" s="20" t="s">
        <v>34</v>
      </c>
      <c r="C35" s="21">
        <f>SUM(C30:C34)</f>
        <v>76</v>
      </c>
      <c r="D35" s="27">
        <f>SUM(D30:D34)</f>
        <v>394438.64000000013</v>
      </c>
      <c r="F35" s="23">
        <f>SUM(F30:F34)</f>
        <v>0.99999999999999989</v>
      </c>
      <c r="G35" s="55">
        <f>SUM(G30:G34)</f>
        <v>120773.29999999999</v>
      </c>
      <c r="H35" s="55"/>
    </row>
    <row r="37" spans="2:14" ht="21.75" customHeight="1" x14ac:dyDescent="0.25">
      <c r="B37" s="10" t="s">
        <v>44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4" ht="27.75" customHeight="1" x14ac:dyDescent="0.25">
      <c r="B38" s="2" t="s">
        <v>45</v>
      </c>
      <c r="C38" s="2" t="s">
        <v>46</v>
      </c>
      <c r="D38" s="2" t="s">
        <v>37</v>
      </c>
      <c r="F38" s="2" t="s">
        <v>47</v>
      </c>
      <c r="G38" s="2" t="s">
        <v>48</v>
      </c>
      <c r="H38" s="2" t="s">
        <v>23</v>
      </c>
      <c r="J38" s="56" t="s">
        <v>10</v>
      </c>
      <c r="K38" s="56"/>
      <c r="L38" s="56"/>
    </row>
    <row r="39" spans="2:14" x14ac:dyDescent="0.25">
      <c r="B39" s="3" t="str">
        <f>N39&amp;"  ·  "&amp;INDEX(BASE!$B$6:$B$81,MATCH($N39,BASE!$A$6:$A$81,0))</f>
        <v>1125-016236  ·  DP MACAE 3</v>
      </c>
      <c r="C39" s="28" t="str">
        <f>INDEX(BASE!$C$6:$C$81,MATCH($N39,BASE!$A$6:$A$81,0))</f>
        <v>NOBREAK</v>
      </c>
      <c r="D39" s="14" t="str">
        <f>INDEX(BASE!$E$6:$E$81,MATCH($N39,BASE!$A$6:$A$81,0))</f>
        <v>LEANDRO</v>
      </c>
      <c r="F39" s="29">
        <f>INDEX(BASE!$F$6:$F$81,MATCH($N39,BASE!$A$6:$A$81,0))</f>
        <v>46113</v>
      </c>
      <c r="G39" s="30">
        <f>INDEX(BASE!$G$6:$G$81,MATCH($N39,BASE!$A$6:$A$81,0))</f>
        <v>204</v>
      </c>
      <c r="H39" s="31" t="str">
        <f>INDEX(BASE!$I$6:$I$81,MATCH($N39,BASE!$A$6:$A$81,0))</f>
        <v>VERMELHO</v>
      </c>
      <c r="J39" s="52">
        <f>INDEX(BASE!$J$6:$J$81,MATCH($N39,BASE!$A$6:$A$81,0))</f>
        <v>8975.81</v>
      </c>
      <c r="K39" s="52"/>
      <c r="L39" s="52"/>
      <c r="N39" s="32" t="s">
        <v>49</v>
      </c>
    </row>
    <row r="40" spans="2:14" x14ac:dyDescent="0.25">
      <c r="B40" s="3" t="e">
        <f>N40&amp;"  ·  "&amp;INDEX(BASE!$B$6:$B$81,MATCH($N40,BASE!$A$6:$A$81,0))</f>
        <v>#N/A</v>
      </c>
      <c r="C40" s="28" t="e">
        <f>INDEX(BASE!$C$6:$C$81,MATCH($N40,BASE!$A$6:$A$81,0))</f>
        <v>#N/A</v>
      </c>
      <c r="D40" s="14" t="e">
        <f>INDEX(BASE!$E$6:$E$81,MATCH($N40,BASE!$A$6:$A$81,0))</f>
        <v>#N/A</v>
      </c>
      <c r="F40" s="29" t="e">
        <f>INDEX(BASE!$F$6:$F$81,MATCH($N40,BASE!$A$6:$A$81,0))</f>
        <v>#N/A</v>
      </c>
      <c r="G40" s="30" t="e">
        <f>INDEX(BASE!$G$6:$G$81,MATCH($N40,BASE!$A$6:$A$81,0))</f>
        <v>#N/A</v>
      </c>
      <c r="H40" s="31" t="e">
        <f>INDEX(BASE!$I$6:$I$81,MATCH($N40,BASE!$A$6:$A$81,0))</f>
        <v>#N/A</v>
      </c>
      <c r="J40" s="52" t="e">
        <f>INDEX(BASE!$J$6:$J$81,MATCH($N40,BASE!$A$6:$A$81,0))</f>
        <v>#N/A</v>
      </c>
      <c r="K40" s="52"/>
      <c r="L40" s="52"/>
      <c r="N40" s="32" t="s">
        <v>50</v>
      </c>
    </row>
    <row r="41" spans="2:14" x14ac:dyDescent="0.25">
      <c r="B41" s="3" t="str">
        <f>N41&amp;"  ·  "&amp;INDEX(BASE!$B$6:$B$81,MATCH($N41,BASE!$A$6:$A$81,0))</f>
        <v>0326-009215  ·  DP GLORIA</v>
      </c>
      <c r="C41" s="28" t="str">
        <f>INDEX(BASE!$C$6:$C$81,MATCH($N41,BASE!$A$6:$A$81,0))</f>
        <v>ELETRICA</v>
      </c>
      <c r="D41" s="14" t="str">
        <f>INDEX(BASE!$E$6:$E$81,MATCH($N41,BASE!$A$6:$A$81,0))</f>
        <v>LEANDRO</v>
      </c>
      <c r="F41" s="29">
        <f>INDEX(BASE!$F$6:$F$81,MATCH($N41,BASE!$A$6:$A$81,0))</f>
        <v>46135</v>
      </c>
      <c r="G41" s="30">
        <f>INDEX(BASE!$G$6:$G$81,MATCH($N41,BASE!$A$6:$A$81,0))</f>
        <v>182</v>
      </c>
      <c r="H41" s="31" t="str">
        <f>INDEX(BASE!$I$6:$I$81,MATCH($N41,BASE!$A$6:$A$81,0))</f>
        <v>VERMELHO</v>
      </c>
      <c r="J41" s="52">
        <f>INDEX(BASE!$J$6:$J$81,MATCH($N41,BASE!$A$6:$A$81,0))</f>
        <v>786.06</v>
      </c>
      <c r="K41" s="52"/>
      <c r="L41" s="52"/>
      <c r="N41" s="32" t="s">
        <v>51</v>
      </c>
    </row>
    <row r="42" spans="2:14" x14ac:dyDescent="0.25">
      <c r="B42" s="3" t="e">
        <f>N42&amp;"  ·  "&amp;INDEX(BASE!$B$6:$B$81,MATCH($N42,BASE!$A$6:$A$81,0))</f>
        <v>#N/A</v>
      </c>
      <c r="C42" s="28" t="e">
        <f>INDEX(BASE!$C$6:$C$81,MATCH($N42,BASE!$A$6:$A$81,0))</f>
        <v>#N/A</v>
      </c>
      <c r="D42" s="14" t="e">
        <f>INDEX(BASE!$E$6:$E$81,MATCH($N42,BASE!$A$6:$A$81,0))</f>
        <v>#N/A</v>
      </c>
      <c r="F42" s="29" t="e">
        <f>INDEX(BASE!$F$6:$F$81,MATCH($N42,BASE!$A$6:$A$81,0))</f>
        <v>#N/A</v>
      </c>
      <c r="G42" s="30" t="e">
        <f>INDEX(BASE!$G$6:$G$81,MATCH($N42,BASE!$A$6:$A$81,0))</f>
        <v>#N/A</v>
      </c>
      <c r="H42" s="31" t="e">
        <f>INDEX(BASE!$I$6:$I$81,MATCH($N42,BASE!$A$6:$A$81,0))</f>
        <v>#N/A</v>
      </c>
      <c r="J42" s="52" t="e">
        <f>INDEX(BASE!$J$6:$J$81,MATCH($N42,BASE!$A$6:$A$81,0))</f>
        <v>#N/A</v>
      </c>
      <c r="K42" s="52"/>
      <c r="L42" s="52"/>
      <c r="N42" s="32" t="s">
        <v>52</v>
      </c>
    </row>
    <row r="43" spans="2:14" x14ac:dyDescent="0.25">
      <c r="B43" s="3" t="e">
        <f>N43&amp;"  ·  "&amp;INDEX(BASE!$B$6:$B$81,MATCH($N43,BASE!$A$6:$A$81,0))</f>
        <v>#N/A</v>
      </c>
      <c r="C43" s="28" t="e">
        <f>INDEX(BASE!$C$6:$C$81,MATCH($N43,BASE!$A$6:$A$81,0))</f>
        <v>#N/A</v>
      </c>
      <c r="D43" s="14" t="e">
        <f>INDEX(BASE!$E$6:$E$81,MATCH($N43,BASE!$A$6:$A$81,0))</f>
        <v>#N/A</v>
      </c>
      <c r="F43" s="29" t="e">
        <f>INDEX(BASE!$F$6:$F$81,MATCH($N43,BASE!$A$6:$A$81,0))</f>
        <v>#N/A</v>
      </c>
      <c r="G43" s="30" t="e">
        <f>INDEX(BASE!$G$6:$G$81,MATCH($N43,BASE!$A$6:$A$81,0))</f>
        <v>#N/A</v>
      </c>
      <c r="H43" s="31" t="e">
        <f>INDEX(BASE!$I$6:$I$81,MATCH($N43,BASE!$A$6:$A$81,0))</f>
        <v>#N/A</v>
      </c>
      <c r="J43" s="52" t="e">
        <f>INDEX(BASE!$J$6:$J$81,MATCH($N43,BASE!$A$6:$A$81,0))</f>
        <v>#N/A</v>
      </c>
      <c r="K43" s="52"/>
      <c r="L43" s="52"/>
      <c r="N43" s="32" t="s">
        <v>53</v>
      </c>
    </row>
    <row r="44" spans="2:14" x14ac:dyDescent="0.25">
      <c r="B44" s="3" t="str">
        <f>N44&amp;"  ·  "&amp;INDEX(BASE!$B$6:$B$81,MATCH($N44,BASE!$A$6:$A$81,0))</f>
        <v>1125-010536  ·  DP BARRA DA TIJUCA 8</v>
      </c>
      <c r="C44" s="28" t="str">
        <f>INDEX(BASE!$C$6:$C$81,MATCH($N44,BASE!$A$6:$A$81,0))</f>
        <v>TELHADO</v>
      </c>
      <c r="D44" s="14" t="str">
        <f>INDEX(BASE!$E$6:$E$81,MATCH($N44,BASE!$A$6:$A$81,0))</f>
        <v>LEANDRO</v>
      </c>
      <c r="F44" s="29">
        <f>INDEX(BASE!$F$6:$F$81,MATCH($N44,BASE!$A$6:$A$81,0))</f>
        <v>46164</v>
      </c>
      <c r="G44" s="30">
        <f>INDEX(BASE!$G$6:$G$81,MATCH($N44,BASE!$A$6:$A$81,0))</f>
        <v>153</v>
      </c>
      <c r="H44" s="31" t="str">
        <f>INDEX(BASE!$I$6:$I$81,MATCH($N44,BASE!$A$6:$A$81,0))</f>
        <v>VERMELHO</v>
      </c>
      <c r="J44" s="52">
        <f>INDEX(BASE!$J$6:$J$81,MATCH($N44,BASE!$A$6:$A$81,0))</f>
        <v>1961.4</v>
      </c>
      <c r="K44" s="52"/>
      <c r="L44" s="52"/>
      <c r="N44" s="32" t="s">
        <v>54</v>
      </c>
    </row>
    <row r="45" spans="2:14" x14ac:dyDescent="0.25">
      <c r="B45" s="3" t="str">
        <f>N45&amp;"  ·  "&amp;INDEX(BASE!$B$6:$B$81,MATCH($N45,BASE!$A$6:$A$81,0))</f>
        <v>0326-012395  ·  DP SENADOR DANTAS 2</v>
      </c>
      <c r="C45" s="28" t="str">
        <f>INDEX(BASE!$C$6:$C$81,MATCH($N45,BASE!$A$6:$A$81,0))</f>
        <v>CIVIL</v>
      </c>
      <c r="D45" s="14" t="str">
        <f>INDEX(BASE!$E$6:$E$81,MATCH($N45,BASE!$A$6:$A$81,0))</f>
        <v>LEANDRO</v>
      </c>
      <c r="F45" s="29">
        <f>INDEX(BASE!$F$6:$F$81,MATCH($N45,BASE!$A$6:$A$81,0))</f>
        <v>46178</v>
      </c>
      <c r="G45" s="30">
        <f>INDEX(BASE!$G$6:$G$81,MATCH($N45,BASE!$A$6:$A$81,0))</f>
        <v>139</v>
      </c>
      <c r="H45" s="31" t="str">
        <f>INDEX(BASE!$I$6:$I$81,MATCH($N45,BASE!$A$6:$A$81,0))</f>
        <v>VERMELHO</v>
      </c>
      <c r="J45" s="52">
        <f>INDEX(BASE!$J$6:$J$81,MATCH($N45,BASE!$A$6:$A$81,0))</f>
        <v>1519.42</v>
      </c>
      <c r="K45" s="52"/>
      <c r="L45" s="52"/>
      <c r="N45" s="32" t="s">
        <v>55</v>
      </c>
    </row>
    <row r="46" spans="2:14" x14ac:dyDescent="0.25">
      <c r="B46" s="3" t="str">
        <f>N46&amp;"  ·  "&amp;INDEX(BASE!$B$6:$B$81,MATCH($N46,BASE!$A$6:$A$81,0))</f>
        <v>0526-019340  ·  DP PADRE MIGUEL</v>
      </c>
      <c r="C46" s="28" t="str">
        <f>INDEX(BASE!$C$6:$C$81,MATCH($N46,BASE!$A$6:$A$81,0))</f>
        <v>CIVIL</v>
      </c>
      <c r="D46" s="14" t="str">
        <f>INDEX(BASE!$E$6:$E$81,MATCH($N46,BASE!$A$6:$A$81,0))</f>
        <v>JUAN</v>
      </c>
      <c r="F46" s="29">
        <f>INDEX(BASE!$F$6:$F$81,MATCH($N46,BASE!$A$6:$A$81,0))</f>
        <v>46184</v>
      </c>
      <c r="G46" s="30">
        <f>INDEX(BASE!$G$6:$G$81,MATCH($N46,BASE!$A$6:$A$81,0))</f>
        <v>133</v>
      </c>
      <c r="H46" s="31" t="str">
        <f>INDEX(BASE!$I$6:$I$81,MATCH($N46,BASE!$A$6:$A$81,0))</f>
        <v>VERMELHO</v>
      </c>
      <c r="J46" s="52">
        <f>INDEX(BASE!$J$6:$J$81,MATCH($N46,BASE!$A$6:$A$81,0))</f>
        <v>500.63</v>
      </c>
      <c r="K46" s="52"/>
      <c r="L46" s="52"/>
      <c r="N46" s="32" t="s">
        <v>56</v>
      </c>
    </row>
    <row r="47" spans="2:14" x14ac:dyDescent="0.25">
      <c r="B47" s="3" t="e">
        <f>N47&amp;"  ·  "&amp;INDEX(BASE!$B$6:$B$81,MATCH($N47,BASE!$A$6:$A$81,0))</f>
        <v>#N/A</v>
      </c>
      <c r="C47" s="28" t="e">
        <f>INDEX(BASE!$C$6:$C$81,MATCH($N47,BASE!$A$6:$A$81,0))</f>
        <v>#N/A</v>
      </c>
      <c r="D47" s="14" t="e">
        <f>INDEX(BASE!$E$6:$E$81,MATCH($N47,BASE!$A$6:$A$81,0))</f>
        <v>#N/A</v>
      </c>
      <c r="F47" s="29" t="e">
        <f>INDEX(BASE!$F$6:$F$81,MATCH($N47,BASE!$A$6:$A$81,0))</f>
        <v>#N/A</v>
      </c>
      <c r="G47" s="30" t="e">
        <f>INDEX(BASE!$G$6:$G$81,MATCH($N47,BASE!$A$6:$A$81,0))</f>
        <v>#N/A</v>
      </c>
      <c r="H47" s="31" t="e">
        <f>INDEX(BASE!$I$6:$I$81,MATCH($N47,BASE!$A$6:$A$81,0))</f>
        <v>#N/A</v>
      </c>
      <c r="J47" s="52" t="e">
        <f>INDEX(BASE!$J$6:$J$81,MATCH($N47,BASE!$A$6:$A$81,0))</f>
        <v>#N/A</v>
      </c>
      <c r="K47" s="52"/>
      <c r="L47" s="52"/>
      <c r="N47" s="32" t="s">
        <v>57</v>
      </c>
    </row>
    <row r="48" spans="2:14" x14ac:dyDescent="0.25">
      <c r="B48" s="3" t="e">
        <f>N48&amp;"  ·  "&amp;INDEX(BASE!$B$6:$B$81,MATCH($N48,BASE!$A$6:$A$81,0))</f>
        <v>#N/A</v>
      </c>
      <c r="C48" s="28" t="e">
        <f>INDEX(BASE!$C$6:$C$81,MATCH($N48,BASE!$A$6:$A$81,0))</f>
        <v>#N/A</v>
      </c>
      <c r="D48" s="14" t="e">
        <f>INDEX(BASE!$E$6:$E$81,MATCH($N48,BASE!$A$6:$A$81,0))</f>
        <v>#N/A</v>
      </c>
      <c r="F48" s="29" t="e">
        <f>INDEX(BASE!$F$6:$F$81,MATCH($N48,BASE!$A$6:$A$81,0))</f>
        <v>#N/A</v>
      </c>
      <c r="G48" s="30" t="e">
        <f>INDEX(BASE!$G$6:$G$81,MATCH($N48,BASE!$A$6:$A$81,0))</f>
        <v>#N/A</v>
      </c>
      <c r="H48" s="31" t="e">
        <f>INDEX(BASE!$I$6:$I$81,MATCH($N48,BASE!$A$6:$A$81,0))</f>
        <v>#N/A</v>
      </c>
      <c r="J48" s="52" t="e">
        <f>INDEX(BASE!$J$6:$J$81,MATCH($N48,BASE!$A$6:$A$81,0))</f>
        <v>#N/A</v>
      </c>
      <c r="K48" s="52"/>
      <c r="L48" s="52"/>
      <c r="N48" s="32" t="s">
        <v>58</v>
      </c>
    </row>
    <row r="49" spans="2:12" x14ac:dyDescent="0.25">
      <c r="B49" s="20" t="s">
        <v>59</v>
      </c>
      <c r="C49" s="33"/>
      <c r="D49" s="33"/>
      <c r="E49" s="33"/>
      <c r="F49" s="33"/>
      <c r="G49" s="33"/>
      <c r="H49" s="33"/>
      <c r="I49" s="33"/>
      <c r="J49" s="53" t="e">
        <f>SUM(J39:J48)</f>
        <v>#N/A</v>
      </c>
      <c r="K49" s="53"/>
      <c r="L49" s="53"/>
    </row>
    <row r="51" spans="2:12" x14ac:dyDescent="0.25">
      <c r="B51" s="34" t="s">
        <v>60</v>
      </c>
    </row>
  </sheetData>
  <mergeCells count="41"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G10:H10"/>
    <mergeCell ref="J10:K10"/>
    <mergeCell ref="J11:K11"/>
    <mergeCell ref="J12:K12"/>
    <mergeCell ref="J13:K13"/>
    <mergeCell ref="J14:K14"/>
    <mergeCell ref="G18:H18"/>
    <mergeCell ref="G19:H19"/>
    <mergeCell ref="G20:H20"/>
    <mergeCell ref="G21:H21"/>
    <mergeCell ref="G22:H22"/>
    <mergeCell ref="G23:H23"/>
    <mergeCell ref="G24:H24"/>
    <mergeCell ref="G29:H29"/>
    <mergeCell ref="G30:H30"/>
    <mergeCell ref="G31:H31"/>
    <mergeCell ref="G32:H32"/>
    <mergeCell ref="G33:H33"/>
    <mergeCell ref="G34:H34"/>
    <mergeCell ref="G35:H35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48:L48"/>
    <mergeCell ref="J49:L49"/>
  </mergeCells>
  <pageMargins left="0.75" right="0.75" top="1" bottom="1" header="0.511811023622047" footer="0.511811023622047"/>
  <pageSetup fitToHeight="0" orientation="portrait" horizontalDpi="300" verticalDpi="300"/>
  <headerFooter>
    <oddFooter>&amp;L_x000D_&amp;1#&amp;"Aptos"&amp;10&amp;K0000FF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25E"/>
    <pageSetUpPr fitToPage="1"/>
  </sheetPr>
  <dimension ref="A1:Q82"/>
  <sheetViews>
    <sheetView showGridLines="0" tabSelected="1" zoomScale="80" zoomScaleNormal="8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O8" sqref="O8"/>
    </sheetView>
  </sheetViews>
  <sheetFormatPr defaultColWidth="8.7109375" defaultRowHeight="15" x14ac:dyDescent="0.25"/>
  <cols>
    <col min="1" max="1" width="13" customWidth="1"/>
    <col min="2" max="2" width="14.5703125" customWidth="1"/>
    <col min="3" max="3" width="16" customWidth="1"/>
    <col min="4" max="4" width="17.140625" customWidth="1"/>
    <col min="5" max="5" width="14" customWidth="1"/>
    <col min="6" max="6" width="13" customWidth="1"/>
    <col min="7" max="7" width="11" customWidth="1"/>
    <col min="8" max="8" width="16" customWidth="1"/>
    <col min="9" max="9" width="11" customWidth="1"/>
    <col min="10" max="10" width="15" customWidth="1"/>
    <col min="11" max="11" width="13" customWidth="1"/>
    <col min="12" max="12" width="18.5703125" bestFit="1" customWidth="1"/>
    <col min="13" max="13" width="30.7109375" hidden="1" customWidth="1"/>
    <col min="14" max="14" width="18" customWidth="1"/>
    <col min="15" max="15" width="19" customWidth="1"/>
    <col min="16" max="16" width="28.5703125" customWidth="1"/>
  </cols>
  <sheetData>
    <row r="1" spans="1:16" ht="19.5" customHeight="1" x14ac:dyDescent="0.3">
      <c r="E1" s="4" t="s">
        <v>61</v>
      </c>
    </row>
    <row r="2" spans="1:16" ht="19.5" customHeight="1" x14ac:dyDescent="0.25">
      <c r="E2" s="5" t="s">
        <v>62</v>
      </c>
    </row>
    <row r="3" spans="1:16" ht="13.5" customHeight="1" x14ac:dyDescent="0.25"/>
    <row r="5" spans="1:16" ht="30" customHeight="1" x14ac:dyDescent="0.25">
      <c r="A5" s="2" t="s">
        <v>63</v>
      </c>
      <c r="B5" s="2" t="s">
        <v>64</v>
      </c>
      <c r="C5" s="2" t="s">
        <v>46</v>
      </c>
      <c r="D5" s="2" t="s">
        <v>65</v>
      </c>
      <c r="E5" s="2" t="s">
        <v>66</v>
      </c>
      <c r="F5" s="2" t="s">
        <v>67</v>
      </c>
      <c r="G5" s="2" t="s">
        <v>48</v>
      </c>
      <c r="H5" s="2" t="s">
        <v>21</v>
      </c>
      <c r="I5" s="2" t="s">
        <v>23</v>
      </c>
      <c r="J5" s="2" t="s">
        <v>10</v>
      </c>
      <c r="K5" s="2" t="s">
        <v>68</v>
      </c>
      <c r="L5" s="2" t="s">
        <v>69</v>
      </c>
      <c r="M5" s="44" t="s">
        <v>296</v>
      </c>
      <c r="N5" s="44" t="s">
        <v>306</v>
      </c>
      <c r="O5" s="44" t="s">
        <v>307</v>
      </c>
      <c r="P5" s="44" t="s">
        <v>309</v>
      </c>
    </row>
    <row r="6" spans="1:16" x14ac:dyDescent="0.25">
      <c r="A6" s="14" t="s">
        <v>49</v>
      </c>
      <c r="B6" s="3" t="s">
        <v>70</v>
      </c>
      <c r="C6" s="14" t="s">
        <v>71</v>
      </c>
      <c r="D6" s="3" t="s">
        <v>72</v>
      </c>
      <c r="E6" s="14" t="s">
        <v>39</v>
      </c>
      <c r="F6" s="29">
        <v>46113</v>
      </c>
      <c r="G6" s="35">
        <f>IF(F6="","",RESUMO!$L$2-F6)</f>
        <v>204</v>
      </c>
      <c r="H6" s="14" t="str">
        <f t="shared" ref="H6:H17" si="0">IF(F6="","Data a informar",IF(G6&lt;=15,"0–15 dias",IF(G6&lt;=30,"16–30 dias",IF(G6&lt;=60,"31–60 dias",IF(G6&lt;=90,"61–90 dias","Acima de 90 dias")))))</f>
        <v>Acima de 90 dias</v>
      </c>
      <c r="I6" s="36" t="str">
        <f t="shared" ref="I6:I17" si="1">IF(F6="","—",IF(G6&lt;=15,"VERDE",IF(G6&lt;=30,"AMARELO","VERMELHO")))</f>
        <v>VERMELHO</v>
      </c>
      <c r="J6" s="15">
        <v>8975.81</v>
      </c>
      <c r="K6" s="14" t="s">
        <v>73</v>
      </c>
      <c r="L6" s="14" t="s">
        <v>74</v>
      </c>
      <c r="M6" s="14" t="s">
        <v>299</v>
      </c>
      <c r="N6" s="14" t="s">
        <v>303</v>
      </c>
      <c r="O6" s="14">
        <v>9</v>
      </c>
      <c r="P6" s="14" t="s">
        <v>313</v>
      </c>
    </row>
    <row r="7" spans="1:16" x14ac:dyDescent="0.25">
      <c r="A7" s="14" t="s">
        <v>51</v>
      </c>
      <c r="B7" s="3" t="s">
        <v>75</v>
      </c>
      <c r="C7" s="14" t="s">
        <v>76</v>
      </c>
      <c r="D7" s="3" t="s">
        <v>77</v>
      </c>
      <c r="E7" s="14" t="s">
        <v>39</v>
      </c>
      <c r="F7" s="29">
        <v>46135</v>
      </c>
      <c r="G7" s="35">
        <f>IF(F7="","",RESUMO!$L$2-F7)</f>
        <v>182</v>
      </c>
      <c r="H7" s="14" t="str">
        <f t="shared" si="0"/>
        <v>Acima de 90 dias</v>
      </c>
      <c r="I7" s="36" t="str">
        <f t="shared" si="1"/>
        <v>VERMELHO</v>
      </c>
      <c r="J7" s="15">
        <v>786.06</v>
      </c>
      <c r="K7" s="14" t="s">
        <v>73</v>
      </c>
      <c r="L7" s="14" t="s">
        <v>74</v>
      </c>
      <c r="M7" s="45" t="s">
        <v>301</v>
      </c>
      <c r="N7" s="14">
        <v>0</v>
      </c>
      <c r="O7" s="14">
        <v>12</v>
      </c>
      <c r="P7" s="14" t="s">
        <v>310</v>
      </c>
    </row>
    <row r="8" spans="1:16" x14ac:dyDescent="0.25">
      <c r="A8" s="37" t="s">
        <v>54</v>
      </c>
      <c r="B8" s="38" t="s">
        <v>78</v>
      </c>
      <c r="C8" s="37" t="s">
        <v>79</v>
      </c>
      <c r="D8" s="38" t="s">
        <v>80</v>
      </c>
      <c r="E8" s="37" t="s">
        <v>39</v>
      </c>
      <c r="F8" s="39">
        <v>46164</v>
      </c>
      <c r="G8" s="40">
        <f>IF(F8="","",RESUMO!$L$2-F8)</f>
        <v>153</v>
      </c>
      <c r="H8" s="37" t="str">
        <f t="shared" si="0"/>
        <v>Acima de 90 dias</v>
      </c>
      <c r="I8" s="36" t="str">
        <f t="shared" si="1"/>
        <v>VERMELHO</v>
      </c>
      <c r="J8" s="41">
        <v>1961.4</v>
      </c>
      <c r="K8" s="37" t="s">
        <v>73</v>
      </c>
      <c r="L8" s="37" t="s">
        <v>74</v>
      </c>
      <c r="M8" s="3" t="s">
        <v>297</v>
      </c>
      <c r="N8" s="14" t="s">
        <v>302</v>
      </c>
      <c r="O8" s="14">
        <v>4</v>
      </c>
      <c r="P8" s="14" t="s">
        <v>312</v>
      </c>
    </row>
    <row r="9" spans="1:16" x14ac:dyDescent="0.25">
      <c r="A9" s="14" t="s">
        <v>55</v>
      </c>
      <c r="B9" s="3" t="s">
        <v>81</v>
      </c>
      <c r="C9" s="14" t="s">
        <v>82</v>
      </c>
      <c r="D9" s="3" t="s">
        <v>83</v>
      </c>
      <c r="E9" s="14" t="s">
        <v>39</v>
      </c>
      <c r="F9" s="29">
        <v>46178</v>
      </c>
      <c r="G9" s="35">
        <f>IF(F9="","",RESUMO!$L$2-F9)</f>
        <v>139</v>
      </c>
      <c r="H9" s="14" t="str">
        <f t="shared" si="0"/>
        <v>Acima de 90 dias</v>
      </c>
      <c r="I9" s="36" t="str">
        <f t="shared" si="1"/>
        <v>VERMELHO</v>
      </c>
      <c r="J9" s="15">
        <v>1519.42</v>
      </c>
      <c r="K9" s="14" t="s">
        <v>73</v>
      </c>
      <c r="L9" s="14" t="s">
        <v>74</v>
      </c>
      <c r="M9" s="45" t="s">
        <v>301</v>
      </c>
      <c r="N9" s="14">
        <v>0</v>
      </c>
      <c r="O9" s="14">
        <v>12</v>
      </c>
      <c r="P9" s="14" t="s">
        <v>310</v>
      </c>
    </row>
    <row r="10" spans="1:16" x14ac:dyDescent="0.25">
      <c r="A10" s="37" t="s">
        <v>56</v>
      </c>
      <c r="B10" s="38" t="s">
        <v>84</v>
      </c>
      <c r="C10" s="37" t="s">
        <v>82</v>
      </c>
      <c r="D10" s="38" t="s">
        <v>85</v>
      </c>
      <c r="E10" s="37" t="s">
        <v>41</v>
      </c>
      <c r="F10" s="39">
        <v>46184</v>
      </c>
      <c r="G10" s="40">
        <f>IF(F10="","",RESUMO!$L$2-F10)</f>
        <v>133</v>
      </c>
      <c r="H10" s="37" t="str">
        <f t="shared" si="0"/>
        <v>Acima de 90 dias</v>
      </c>
      <c r="I10" s="36" t="str">
        <f t="shared" si="1"/>
        <v>VERMELHO</v>
      </c>
      <c r="J10" s="41">
        <v>500.63</v>
      </c>
      <c r="K10" s="37" t="s">
        <v>73</v>
      </c>
      <c r="L10" s="37" t="s">
        <v>74</v>
      </c>
      <c r="M10" s="45" t="s">
        <v>299</v>
      </c>
      <c r="N10" s="14" t="s">
        <v>303</v>
      </c>
      <c r="O10" s="14">
        <v>12</v>
      </c>
      <c r="P10" s="14" t="s">
        <v>310</v>
      </c>
    </row>
    <row r="11" spans="1:16" x14ac:dyDescent="0.25">
      <c r="A11" s="14" t="s">
        <v>86</v>
      </c>
      <c r="B11" s="3" t="s">
        <v>87</v>
      </c>
      <c r="C11" s="14" t="s">
        <v>88</v>
      </c>
      <c r="D11" s="3" t="s">
        <v>89</v>
      </c>
      <c r="E11" s="14" t="s">
        <v>39</v>
      </c>
      <c r="F11" s="29">
        <v>46201</v>
      </c>
      <c r="G11" s="35">
        <f>IF(F11="","",RESUMO!$L$2-F11)</f>
        <v>116</v>
      </c>
      <c r="H11" s="14" t="str">
        <f t="shared" si="0"/>
        <v>Acima de 90 dias</v>
      </c>
      <c r="I11" s="36" t="str">
        <f t="shared" si="1"/>
        <v>VERMELHO</v>
      </c>
      <c r="J11" s="43">
        <v>15641.23</v>
      </c>
      <c r="K11" s="14" t="s">
        <v>73</v>
      </c>
      <c r="L11" s="14" t="s">
        <v>74</v>
      </c>
      <c r="M11" s="3" t="s">
        <v>297</v>
      </c>
      <c r="N11" s="14" t="s">
        <v>303</v>
      </c>
      <c r="O11" s="14" t="s">
        <v>308</v>
      </c>
      <c r="P11" s="14" t="s">
        <v>313</v>
      </c>
    </row>
    <row r="12" spans="1:16" x14ac:dyDescent="0.25">
      <c r="A12" s="37" t="s">
        <v>90</v>
      </c>
      <c r="B12" s="38" t="s">
        <v>91</v>
      </c>
      <c r="C12" s="37" t="s">
        <v>82</v>
      </c>
      <c r="D12" s="38" t="s">
        <v>92</v>
      </c>
      <c r="E12" s="37" t="s">
        <v>39</v>
      </c>
      <c r="F12" s="39">
        <v>46241</v>
      </c>
      <c r="G12" s="40">
        <f>IF(F12="","",RESUMO!$L$2-F12)</f>
        <v>76</v>
      </c>
      <c r="H12" s="37" t="str">
        <f t="shared" si="0"/>
        <v>61–90 dias</v>
      </c>
      <c r="I12" s="36" t="str">
        <f t="shared" si="1"/>
        <v>VERMELHO</v>
      </c>
      <c r="J12" s="41">
        <v>34078.199999999997</v>
      </c>
      <c r="K12" s="37" t="s">
        <v>73</v>
      </c>
      <c r="L12" s="37" t="s">
        <v>74</v>
      </c>
      <c r="M12" s="14" t="s">
        <v>299</v>
      </c>
      <c r="N12" s="14" t="s">
        <v>303</v>
      </c>
      <c r="O12" s="14">
        <v>8</v>
      </c>
      <c r="P12" s="14" t="s">
        <v>313</v>
      </c>
    </row>
    <row r="13" spans="1:16" x14ac:dyDescent="0.25">
      <c r="A13" s="14" t="s">
        <v>93</v>
      </c>
      <c r="B13" s="3" t="s">
        <v>94</v>
      </c>
      <c r="C13" s="14" t="s">
        <v>95</v>
      </c>
      <c r="D13" s="3" t="s">
        <v>96</v>
      </c>
      <c r="E13" s="14" t="s">
        <v>41</v>
      </c>
      <c r="F13" s="29">
        <v>46252</v>
      </c>
      <c r="G13" s="35">
        <f>IF(F13="","",RESUMO!$L$2-F13)</f>
        <v>65</v>
      </c>
      <c r="H13" s="14" t="str">
        <f t="shared" si="0"/>
        <v>61–90 dias</v>
      </c>
      <c r="I13" s="36" t="str">
        <f t="shared" si="1"/>
        <v>VERMELHO</v>
      </c>
      <c r="J13" s="15">
        <v>998.4</v>
      </c>
      <c r="K13" s="14" t="s">
        <v>73</v>
      </c>
      <c r="L13" s="14" t="s">
        <v>74</v>
      </c>
      <c r="M13" s="14" t="s">
        <v>299</v>
      </c>
      <c r="N13" s="14" t="s">
        <v>303</v>
      </c>
      <c r="O13" s="14">
        <v>9</v>
      </c>
      <c r="P13" s="14" t="s">
        <v>313</v>
      </c>
    </row>
    <row r="14" spans="1:16" x14ac:dyDescent="0.25">
      <c r="A14" s="37" t="s">
        <v>97</v>
      </c>
      <c r="B14" s="38" t="s">
        <v>98</v>
      </c>
      <c r="C14" s="37" t="s">
        <v>82</v>
      </c>
      <c r="D14" s="38" t="s">
        <v>92</v>
      </c>
      <c r="E14" s="37" t="s">
        <v>39</v>
      </c>
      <c r="F14" s="39">
        <v>46254</v>
      </c>
      <c r="G14" s="40">
        <f>IF(F14="","",RESUMO!$L$2-F14)</f>
        <v>63</v>
      </c>
      <c r="H14" s="37" t="str">
        <f t="shared" si="0"/>
        <v>61–90 dias</v>
      </c>
      <c r="I14" s="36" t="str">
        <f t="shared" si="1"/>
        <v>VERMELHO</v>
      </c>
      <c r="J14" s="41">
        <v>29711.599999999999</v>
      </c>
      <c r="K14" s="37" t="s">
        <v>73</v>
      </c>
      <c r="L14" s="37" t="s">
        <v>74</v>
      </c>
      <c r="M14" s="14" t="s">
        <v>299</v>
      </c>
      <c r="N14" s="14" t="s">
        <v>303</v>
      </c>
      <c r="O14" s="14">
        <v>7</v>
      </c>
      <c r="P14" s="14" t="s">
        <v>313</v>
      </c>
    </row>
    <row r="15" spans="1:16" x14ac:dyDescent="0.25">
      <c r="A15" s="37" t="s">
        <v>99</v>
      </c>
      <c r="B15" s="38" t="s">
        <v>100</v>
      </c>
      <c r="C15" s="37" t="s">
        <v>79</v>
      </c>
      <c r="D15" s="38" t="s">
        <v>101</v>
      </c>
      <c r="E15" s="37" t="s">
        <v>39</v>
      </c>
      <c r="F15" s="39">
        <v>46279</v>
      </c>
      <c r="G15" s="40">
        <f>IF(F15="","",RESUMO!$L$2-F15)</f>
        <v>38</v>
      </c>
      <c r="H15" s="37" t="str">
        <f t="shared" si="0"/>
        <v>31–60 dias</v>
      </c>
      <c r="I15" s="36" t="str">
        <f t="shared" si="1"/>
        <v>VERMELHO</v>
      </c>
      <c r="J15" s="41">
        <v>13436.9</v>
      </c>
      <c r="K15" s="37" t="s">
        <v>73</v>
      </c>
      <c r="L15" s="37" t="s">
        <v>74</v>
      </c>
      <c r="M15" s="14" t="s">
        <v>298</v>
      </c>
      <c r="N15" s="14" t="s">
        <v>302</v>
      </c>
      <c r="O15" s="14">
        <v>9</v>
      </c>
      <c r="P15" s="14" t="s">
        <v>312</v>
      </c>
    </row>
    <row r="16" spans="1:16" x14ac:dyDescent="0.25">
      <c r="A16" s="14" t="s">
        <v>102</v>
      </c>
      <c r="B16" s="3" t="s">
        <v>103</v>
      </c>
      <c r="C16" s="14" t="s">
        <v>82</v>
      </c>
      <c r="D16" s="3" t="s">
        <v>104</v>
      </c>
      <c r="E16" s="14" t="s">
        <v>40</v>
      </c>
      <c r="F16" s="29">
        <v>46280</v>
      </c>
      <c r="G16" s="35">
        <f>IF(F16="","",RESUMO!$L$2-F16)</f>
        <v>37</v>
      </c>
      <c r="H16" s="14" t="str">
        <f t="shared" si="0"/>
        <v>31–60 dias</v>
      </c>
      <c r="I16" s="36" t="str">
        <f t="shared" si="1"/>
        <v>VERMELHO</v>
      </c>
      <c r="J16" s="15">
        <v>5267.72</v>
      </c>
      <c r="K16" s="14" t="s">
        <v>73</v>
      </c>
      <c r="L16" s="14" t="s">
        <v>74</v>
      </c>
      <c r="M16" s="14" t="s">
        <v>299</v>
      </c>
      <c r="N16" s="14" t="s">
        <v>303</v>
      </c>
      <c r="O16" s="14">
        <v>10</v>
      </c>
      <c r="P16" s="14" t="s">
        <v>313</v>
      </c>
    </row>
    <row r="17" spans="1:16" x14ac:dyDescent="0.25">
      <c r="A17" s="37" t="s">
        <v>105</v>
      </c>
      <c r="B17" s="38" t="s">
        <v>87</v>
      </c>
      <c r="C17" s="37" t="s">
        <v>88</v>
      </c>
      <c r="D17" s="38" t="s">
        <v>106</v>
      </c>
      <c r="E17" s="37" t="s">
        <v>39</v>
      </c>
      <c r="F17" s="39">
        <v>46283</v>
      </c>
      <c r="G17" s="40">
        <f>IF(F17="","",RESUMO!$L$2-F17)</f>
        <v>34</v>
      </c>
      <c r="H17" s="37" t="str">
        <f t="shared" si="0"/>
        <v>31–60 dias</v>
      </c>
      <c r="I17" s="36" t="str">
        <f t="shared" si="1"/>
        <v>VERMELHO</v>
      </c>
      <c r="J17" s="41">
        <v>7495.93</v>
      </c>
      <c r="K17" s="37" t="s">
        <v>73</v>
      </c>
      <c r="L17" s="37" t="s">
        <v>74</v>
      </c>
      <c r="M17" s="45" t="s">
        <v>300</v>
      </c>
      <c r="N17" s="14" t="s">
        <v>303</v>
      </c>
      <c r="O17" s="14" t="s">
        <v>308</v>
      </c>
      <c r="P17" s="14" t="s">
        <v>316</v>
      </c>
    </row>
    <row r="18" spans="1:16" x14ac:dyDescent="0.25">
      <c r="A18" s="37" t="s">
        <v>107</v>
      </c>
      <c r="B18" s="38" t="s">
        <v>108</v>
      </c>
      <c r="C18" s="37" t="s">
        <v>109</v>
      </c>
      <c r="D18" s="38" t="s">
        <v>110</v>
      </c>
      <c r="E18" s="37" t="s">
        <v>39</v>
      </c>
      <c r="F18" s="39">
        <v>46283</v>
      </c>
      <c r="G18" s="40">
        <f>IF(F18="","",RESUMO!$L$2-F18)</f>
        <v>34</v>
      </c>
      <c r="H18" s="37" t="str">
        <f t="shared" ref="H18:H48" si="2">IF(F18="","Data a informar",IF(G18&lt;=15,"0–15 dias",IF(G18&lt;=30,"16–30 dias",IF(G18&lt;=60,"31–60 dias",IF(G18&lt;=90,"61–90 dias","Acima de 90 dias")))))</f>
        <v>31–60 dias</v>
      </c>
      <c r="I18" s="36" t="str">
        <f t="shared" ref="I18:I48" si="3">IF(F18="","—",IF(G18&lt;=15,"VERDE",IF(G18&lt;=30,"AMARELO","VERMELHO")))</f>
        <v>VERMELHO</v>
      </c>
      <c r="J18" s="41">
        <v>400</v>
      </c>
      <c r="K18" s="37" t="s">
        <v>73</v>
      </c>
      <c r="L18" s="37" t="s">
        <v>74</v>
      </c>
      <c r="M18" s="45" t="s">
        <v>301</v>
      </c>
      <c r="N18" s="14">
        <v>0</v>
      </c>
      <c r="O18" s="14">
        <v>12</v>
      </c>
      <c r="P18" s="14" t="s">
        <v>310</v>
      </c>
    </row>
    <row r="19" spans="1:16" x14ac:dyDescent="0.25">
      <c r="A19" s="14" t="s">
        <v>111</v>
      </c>
      <c r="B19" s="3" t="s">
        <v>112</v>
      </c>
      <c r="C19" s="14" t="s">
        <v>113</v>
      </c>
      <c r="D19" s="3" t="s">
        <v>114</v>
      </c>
      <c r="E19" s="14" t="s">
        <v>39</v>
      </c>
      <c r="F19" s="29">
        <v>46289</v>
      </c>
      <c r="G19" s="35">
        <f>IF(F19="","",RESUMO!$L$2-F19)</f>
        <v>28</v>
      </c>
      <c r="H19" s="14" t="str">
        <f t="shared" si="2"/>
        <v>16–30 dias</v>
      </c>
      <c r="I19" s="36" t="str">
        <f t="shared" si="3"/>
        <v>AMARELO</v>
      </c>
      <c r="J19" s="15">
        <v>1140.01</v>
      </c>
      <c r="K19" s="14" t="s">
        <v>73</v>
      </c>
      <c r="L19" s="14" t="s">
        <v>74</v>
      </c>
      <c r="M19" s="14" t="s">
        <v>299</v>
      </c>
      <c r="N19" s="14" t="s">
        <v>303</v>
      </c>
      <c r="O19" s="14">
        <v>10</v>
      </c>
      <c r="P19" s="14" t="s">
        <v>313</v>
      </c>
    </row>
    <row r="20" spans="1:16" x14ac:dyDescent="0.25">
      <c r="A20" s="37" t="s">
        <v>115</v>
      </c>
      <c r="B20" s="38" t="s">
        <v>116</v>
      </c>
      <c r="C20" s="37" t="s">
        <v>76</v>
      </c>
      <c r="D20" s="38" t="s">
        <v>117</v>
      </c>
      <c r="E20" s="37" t="s">
        <v>40</v>
      </c>
      <c r="F20" s="39">
        <v>46289</v>
      </c>
      <c r="G20" s="40">
        <f>IF(F20="","",RESUMO!$L$2-F20)</f>
        <v>28</v>
      </c>
      <c r="H20" s="37" t="str">
        <f t="shared" si="2"/>
        <v>16–30 dias</v>
      </c>
      <c r="I20" s="36" t="str">
        <f t="shared" si="3"/>
        <v>AMARELO</v>
      </c>
      <c r="J20" s="41">
        <v>207</v>
      </c>
      <c r="K20" s="37" t="s">
        <v>73</v>
      </c>
      <c r="L20" s="37" t="s">
        <v>74</v>
      </c>
      <c r="M20" s="14" t="s">
        <v>299</v>
      </c>
      <c r="N20" s="14" t="s">
        <v>305</v>
      </c>
      <c r="O20" s="14">
        <v>10</v>
      </c>
      <c r="P20" s="14" t="s">
        <v>311</v>
      </c>
    </row>
    <row r="21" spans="1:16" x14ac:dyDescent="0.25">
      <c r="A21" s="14" t="s">
        <v>118</v>
      </c>
      <c r="B21" s="3" t="s">
        <v>119</v>
      </c>
      <c r="C21" s="14" t="s">
        <v>109</v>
      </c>
      <c r="D21" s="3" t="s">
        <v>120</v>
      </c>
      <c r="E21" s="14" t="s">
        <v>40</v>
      </c>
      <c r="F21" s="29">
        <v>46289</v>
      </c>
      <c r="G21" s="35">
        <f>IF(F21="","",RESUMO!$L$2-F21)</f>
        <v>28</v>
      </c>
      <c r="H21" s="14" t="str">
        <f t="shared" si="2"/>
        <v>16–30 dias</v>
      </c>
      <c r="I21" s="36" t="str">
        <f t="shared" si="3"/>
        <v>AMARELO</v>
      </c>
      <c r="J21" s="15">
        <v>175.66</v>
      </c>
      <c r="K21" s="14" t="s">
        <v>73</v>
      </c>
      <c r="L21" s="14" t="s">
        <v>74</v>
      </c>
      <c r="M21" s="14" t="s">
        <v>299</v>
      </c>
      <c r="N21" s="14" t="s">
        <v>303</v>
      </c>
      <c r="O21" s="14">
        <v>10</v>
      </c>
      <c r="P21" s="14" t="s">
        <v>313</v>
      </c>
    </row>
    <row r="22" spans="1:16" x14ac:dyDescent="0.25">
      <c r="A22" s="37" t="s">
        <v>121</v>
      </c>
      <c r="B22" s="38" t="s">
        <v>119</v>
      </c>
      <c r="C22" s="37" t="s">
        <v>109</v>
      </c>
      <c r="D22" s="38" t="s">
        <v>122</v>
      </c>
      <c r="E22" s="37" t="s">
        <v>40</v>
      </c>
      <c r="F22" s="39">
        <v>46289</v>
      </c>
      <c r="G22" s="40">
        <f>IF(F22="","",RESUMO!$L$2-F22)</f>
        <v>28</v>
      </c>
      <c r="H22" s="37" t="str">
        <f t="shared" si="2"/>
        <v>16–30 dias</v>
      </c>
      <c r="I22" s="36" t="str">
        <f t="shared" si="3"/>
        <v>AMARELO</v>
      </c>
      <c r="J22" s="41">
        <v>175.66</v>
      </c>
      <c r="K22" s="37" t="s">
        <v>73</v>
      </c>
      <c r="L22" s="37" t="s">
        <v>74</v>
      </c>
      <c r="M22" s="14" t="s">
        <v>299</v>
      </c>
      <c r="N22" s="14" t="s">
        <v>303</v>
      </c>
      <c r="O22" s="14">
        <v>10</v>
      </c>
      <c r="P22" s="14" t="s">
        <v>313</v>
      </c>
    </row>
    <row r="23" spans="1:16" x14ac:dyDescent="0.25">
      <c r="A23" s="14" t="s">
        <v>123</v>
      </c>
      <c r="B23" s="3" t="s">
        <v>119</v>
      </c>
      <c r="C23" s="14" t="s">
        <v>109</v>
      </c>
      <c r="D23" s="3" t="s">
        <v>124</v>
      </c>
      <c r="E23" s="14" t="s">
        <v>40</v>
      </c>
      <c r="F23" s="29">
        <v>46289</v>
      </c>
      <c r="G23" s="35">
        <f>IF(F23="","",RESUMO!$L$2-F23)</f>
        <v>28</v>
      </c>
      <c r="H23" s="14" t="str">
        <f t="shared" si="2"/>
        <v>16–30 dias</v>
      </c>
      <c r="I23" s="36" t="str">
        <f t="shared" si="3"/>
        <v>AMARELO</v>
      </c>
      <c r="J23" s="15">
        <v>175.66</v>
      </c>
      <c r="K23" s="14" t="s">
        <v>73</v>
      </c>
      <c r="L23" s="14" t="s">
        <v>74</v>
      </c>
      <c r="M23" s="14" t="s">
        <v>299</v>
      </c>
      <c r="N23" s="14" t="s">
        <v>303</v>
      </c>
      <c r="O23" s="14">
        <v>10</v>
      </c>
      <c r="P23" s="14" t="s">
        <v>313</v>
      </c>
    </row>
    <row r="24" spans="1:16" x14ac:dyDescent="0.25">
      <c r="A24" s="37" t="s">
        <v>125</v>
      </c>
      <c r="B24" s="38" t="s">
        <v>126</v>
      </c>
      <c r="C24" s="37" t="s">
        <v>109</v>
      </c>
      <c r="D24" s="38" t="s">
        <v>127</v>
      </c>
      <c r="E24" s="37" t="s">
        <v>40</v>
      </c>
      <c r="F24" s="39">
        <v>46289</v>
      </c>
      <c r="G24" s="40">
        <f>IF(F24="","",RESUMO!$L$2-F24)</f>
        <v>28</v>
      </c>
      <c r="H24" s="37" t="str">
        <f t="shared" si="2"/>
        <v>16–30 dias</v>
      </c>
      <c r="I24" s="36" t="str">
        <f t="shared" si="3"/>
        <v>AMARELO</v>
      </c>
      <c r="J24" s="41">
        <v>175.66</v>
      </c>
      <c r="K24" s="37" t="s">
        <v>73</v>
      </c>
      <c r="L24" s="37" t="s">
        <v>74</v>
      </c>
      <c r="M24" s="14" t="s">
        <v>299</v>
      </c>
      <c r="N24" s="14" t="s">
        <v>303</v>
      </c>
      <c r="O24" s="14">
        <v>10</v>
      </c>
      <c r="P24" s="14" t="s">
        <v>313</v>
      </c>
    </row>
    <row r="25" spans="1:16" x14ac:dyDescent="0.25">
      <c r="A25" s="14" t="s">
        <v>128</v>
      </c>
      <c r="B25" s="3" t="s">
        <v>129</v>
      </c>
      <c r="C25" s="14" t="s">
        <v>109</v>
      </c>
      <c r="D25" s="3" t="s">
        <v>130</v>
      </c>
      <c r="E25" s="14" t="s">
        <v>40</v>
      </c>
      <c r="F25" s="29">
        <v>46289</v>
      </c>
      <c r="G25" s="35">
        <f>IF(F25="","",RESUMO!$L$2-F25)</f>
        <v>28</v>
      </c>
      <c r="H25" s="14" t="str">
        <f t="shared" si="2"/>
        <v>16–30 dias</v>
      </c>
      <c r="I25" s="36" t="str">
        <f t="shared" si="3"/>
        <v>AMARELO</v>
      </c>
      <c r="J25" s="15">
        <v>175.66</v>
      </c>
      <c r="K25" s="14" t="s">
        <v>73</v>
      </c>
      <c r="L25" s="14" t="s">
        <v>74</v>
      </c>
      <c r="M25" s="14" t="s">
        <v>299</v>
      </c>
      <c r="N25" s="14" t="s">
        <v>303</v>
      </c>
      <c r="O25" s="14">
        <v>10</v>
      </c>
      <c r="P25" s="14" t="s">
        <v>313</v>
      </c>
    </row>
    <row r="26" spans="1:16" x14ac:dyDescent="0.25">
      <c r="A26" s="37" t="s">
        <v>131</v>
      </c>
      <c r="B26" s="38" t="s">
        <v>132</v>
      </c>
      <c r="C26" s="37" t="s">
        <v>109</v>
      </c>
      <c r="D26" s="38" t="s">
        <v>133</v>
      </c>
      <c r="E26" s="37" t="s">
        <v>39</v>
      </c>
      <c r="F26" s="39">
        <v>46289</v>
      </c>
      <c r="G26" s="40">
        <f>IF(F26="","",RESUMO!$L$2-F26)</f>
        <v>28</v>
      </c>
      <c r="H26" s="37" t="str">
        <f t="shared" si="2"/>
        <v>16–30 dias</v>
      </c>
      <c r="I26" s="36" t="str">
        <f t="shared" si="3"/>
        <v>AMARELO</v>
      </c>
      <c r="J26" s="41">
        <v>175.66</v>
      </c>
      <c r="K26" s="37" t="s">
        <v>73</v>
      </c>
      <c r="L26" s="37" t="s">
        <v>74</v>
      </c>
      <c r="M26" s="14" t="s">
        <v>299</v>
      </c>
      <c r="N26" s="14" t="s">
        <v>303</v>
      </c>
      <c r="O26" s="14">
        <v>10</v>
      </c>
      <c r="P26" s="14" t="s">
        <v>313</v>
      </c>
    </row>
    <row r="27" spans="1:16" x14ac:dyDescent="0.25">
      <c r="A27" s="14" t="s">
        <v>134</v>
      </c>
      <c r="B27" s="3" t="s">
        <v>135</v>
      </c>
      <c r="C27" s="14" t="s">
        <v>82</v>
      </c>
      <c r="D27" s="3" t="s">
        <v>136</v>
      </c>
      <c r="E27" s="14" t="s">
        <v>39</v>
      </c>
      <c r="F27" s="29">
        <v>46292</v>
      </c>
      <c r="G27" s="35">
        <f>IF(F27="","",RESUMO!$L$2-F27)</f>
        <v>25</v>
      </c>
      <c r="H27" s="14" t="str">
        <f t="shared" si="2"/>
        <v>16–30 dias</v>
      </c>
      <c r="I27" s="36" t="str">
        <f t="shared" si="3"/>
        <v>AMARELO</v>
      </c>
      <c r="J27" s="15">
        <v>38999.199999999997</v>
      </c>
      <c r="K27" s="14" t="s">
        <v>73</v>
      </c>
      <c r="L27" s="14" t="s">
        <v>74</v>
      </c>
      <c r="M27" s="14" t="s">
        <v>299</v>
      </c>
      <c r="N27" s="14" t="s">
        <v>303</v>
      </c>
      <c r="O27" s="14">
        <v>8</v>
      </c>
      <c r="P27" s="14" t="s">
        <v>313</v>
      </c>
    </row>
    <row r="28" spans="1:16" x14ac:dyDescent="0.25">
      <c r="A28" s="37" t="s">
        <v>137</v>
      </c>
      <c r="B28" s="38" t="s">
        <v>138</v>
      </c>
      <c r="C28" s="37" t="s">
        <v>76</v>
      </c>
      <c r="D28" s="38" t="s">
        <v>139</v>
      </c>
      <c r="E28" s="37" t="s">
        <v>39</v>
      </c>
      <c r="F28" s="39">
        <v>46292</v>
      </c>
      <c r="G28" s="40">
        <f>IF(F28="","",RESUMO!$L$2-F28)</f>
        <v>25</v>
      </c>
      <c r="H28" s="37" t="str">
        <f t="shared" si="2"/>
        <v>16–30 dias</v>
      </c>
      <c r="I28" s="36" t="str">
        <f t="shared" si="3"/>
        <v>AMARELO</v>
      </c>
      <c r="J28" s="41">
        <v>1599.18</v>
      </c>
      <c r="K28" s="37" t="s">
        <v>73</v>
      </c>
      <c r="L28" s="37" t="s">
        <v>74</v>
      </c>
      <c r="M28" s="14" t="s">
        <v>299</v>
      </c>
      <c r="N28" s="14" t="s">
        <v>305</v>
      </c>
      <c r="O28" s="14">
        <v>9</v>
      </c>
      <c r="P28" s="14" t="s">
        <v>311</v>
      </c>
    </row>
    <row r="29" spans="1:16" x14ac:dyDescent="0.25">
      <c r="A29" s="14" t="s">
        <v>140</v>
      </c>
      <c r="B29" s="3" t="s">
        <v>141</v>
      </c>
      <c r="C29" s="14" t="s">
        <v>109</v>
      </c>
      <c r="D29" s="3" t="s">
        <v>142</v>
      </c>
      <c r="E29" s="14" t="s">
        <v>39</v>
      </c>
      <c r="F29" s="29">
        <v>46292</v>
      </c>
      <c r="G29" s="35">
        <f>IF(F29="","",RESUMO!$L$2-F29)</f>
        <v>25</v>
      </c>
      <c r="H29" s="14" t="str">
        <f t="shared" si="2"/>
        <v>16–30 dias</v>
      </c>
      <c r="I29" s="36" t="str">
        <f t="shared" si="3"/>
        <v>AMARELO</v>
      </c>
      <c r="J29" s="15">
        <v>175.66</v>
      </c>
      <c r="K29" s="14" t="s">
        <v>73</v>
      </c>
      <c r="L29" s="14" t="s">
        <v>74</v>
      </c>
      <c r="M29" s="14" t="s">
        <v>299</v>
      </c>
      <c r="N29" s="14" t="s">
        <v>303</v>
      </c>
      <c r="O29" s="14">
        <v>10</v>
      </c>
      <c r="P29" s="14" t="s">
        <v>313</v>
      </c>
    </row>
    <row r="30" spans="1:16" x14ac:dyDescent="0.25">
      <c r="A30" s="37" t="s">
        <v>143</v>
      </c>
      <c r="B30" s="38" t="s">
        <v>144</v>
      </c>
      <c r="C30" s="37" t="s">
        <v>82</v>
      </c>
      <c r="D30" s="38" t="s">
        <v>145</v>
      </c>
      <c r="E30" s="37" t="s">
        <v>39</v>
      </c>
      <c r="F30" s="39">
        <v>46293</v>
      </c>
      <c r="G30" s="40">
        <f>IF(F30="","",RESUMO!$L$2-F30)</f>
        <v>24</v>
      </c>
      <c r="H30" s="37" t="str">
        <f t="shared" si="2"/>
        <v>16–30 dias</v>
      </c>
      <c r="I30" s="36" t="str">
        <f t="shared" si="3"/>
        <v>AMARELO</v>
      </c>
      <c r="J30" s="41">
        <v>29636.94</v>
      </c>
      <c r="K30" s="37" t="s">
        <v>73</v>
      </c>
      <c r="L30" s="37" t="s">
        <v>74</v>
      </c>
      <c r="M30" s="14" t="s">
        <v>299</v>
      </c>
      <c r="N30" s="14" t="s">
        <v>303</v>
      </c>
      <c r="O30" s="14">
        <v>10</v>
      </c>
      <c r="P30" s="14" t="s">
        <v>313</v>
      </c>
    </row>
    <row r="31" spans="1:16" x14ac:dyDescent="0.25">
      <c r="A31" s="14" t="s">
        <v>146</v>
      </c>
      <c r="B31" s="3" t="s">
        <v>75</v>
      </c>
      <c r="C31" s="14" t="s">
        <v>113</v>
      </c>
      <c r="D31" s="3" t="s">
        <v>147</v>
      </c>
      <c r="E31" s="14" t="s">
        <v>39</v>
      </c>
      <c r="F31" s="29">
        <v>46293</v>
      </c>
      <c r="G31" s="35">
        <f>IF(F31="","",RESUMO!$L$2-F31)</f>
        <v>24</v>
      </c>
      <c r="H31" s="14" t="str">
        <f t="shared" si="2"/>
        <v>16–30 dias</v>
      </c>
      <c r="I31" s="36" t="str">
        <f t="shared" si="3"/>
        <v>AMARELO</v>
      </c>
      <c r="J31" s="15">
        <v>8600</v>
      </c>
      <c r="K31" s="14" t="s">
        <v>73</v>
      </c>
      <c r="L31" s="14" t="s">
        <v>74</v>
      </c>
      <c r="M31" s="3" t="s">
        <v>297</v>
      </c>
      <c r="N31" s="14" t="s">
        <v>303</v>
      </c>
      <c r="O31" s="14">
        <v>6</v>
      </c>
      <c r="P31" s="14" t="s">
        <v>313</v>
      </c>
    </row>
    <row r="32" spans="1:16" x14ac:dyDescent="0.25">
      <c r="A32" s="37" t="s">
        <v>148</v>
      </c>
      <c r="B32" s="38" t="s">
        <v>149</v>
      </c>
      <c r="C32" s="37" t="s">
        <v>109</v>
      </c>
      <c r="D32" s="38" t="s">
        <v>150</v>
      </c>
      <c r="E32" s="37" t="s">
        <v>39</v>
      </c>
      <c r="F32" s="39">
        <v>46293</v>
      </c>
      <c r="G32" s="40">
        <f>IF(F32="","",RESUMO!$L$2-F32)</f>
        <v>24</v>
      </c>
      <c r="H32" s="37" t="str">
        <f t="shared" si="2"/>
        <v>16–30 dias</v>
      </c>
      <c r="I32" s="36" t="str">
        <f t="shared" si="3"/>
        <v>AMARELO</v>
      </c>
      <c r="J32" s="41">
        <v>4526.46</v>
      </c>
      <c r="K32" s="37" t="s">
        <v>73</v>
      </c>
      <c r="L32" s="37" t="s">
        <v>74</v>
      </c>
      <c r="M32" s="14" t="s">
        <v>299</v>
      </c>
      <c r="N32" s="14" t="s">
        <v>303</v>
      </c>
      <c r="O32" s="14">
        <v>10</v>
      </c>
      <c r="P32" s="14" t="s">
        <v>313</v>
      </c>
    </row>
    <row r="33" spans="1:16" x14ac:dyDescent="0.25">
      <c r="A33" s="14" t="s">
        <v>151</v>
      </c>
      <c r="B33" s="3" t="s">
        <v>152</v>
      </c>
      <c r="C33" s="14" t="s">
        <v>79</v>
      </c>
      <c r="D33" s="3" t="s">
        <v>153</v>
      </c>
      <c r="E33" s="14" t="s">
        <v>39</v>
      </c>
      <c r="F33" s="29">
        <v>46293</v>
      </c>
      <c r="G33" s="35">
        <f>IF(F33="","",RESUMO!$L$2-F33)</f>
        <v>24</v>
      </c>
      <c r="H33" s="14" t="str">
        <f t="shared" si="2"/>
        <v>16–30 dias</v>
      </c>
      <c r="I33" s="36" t="str">
        <f t="shared" si="3"/>
        <v>AMARELO</v>
      </c>
      <c r="J33" s="15">
        <v>3068.5</v>
      </c>
      <c r="K33" s="14" t="s">
        <v>73</v>
      </c>
      <c r="L33" s="14" t="s">
        <v>74</v>
      </c>
      <c r="M33" s="14" t="s">
        <v>299</v>
      </c>
      <c r="N33" s="14" t="s">
        <v>303</v>
      </c>
      <c r="O33" s="14">
        <v>10</v>
      </c>
      <c r="P33" s="14" t="s">
        <v>313</v>
      </c>
    </row>
    <row r="34" spans="1:16" x14ac:dyDescent="0.25">
      <c r="A34" s="37" t="s">
        <v>154</v>
      </c>
      <c r="B34" s="38" t="s">
        <v>116</v>
      </c>
      <c r="C34" s="37" t="s">
        <v>109</v>
      </c>
      <c r="D34" s="38" t="s">
        <v>155</v>
      </c>
      <c r="E34" s="37" t="s">
        <v>40</v>
      </c>
      <c r="F34" s="39">
        <v>46294</v>
      </c>
      <c r="G34" s="40">
        <f>IF(F34="","",RESUMO!$L$2-F34)</f>
        <v>23</v>
      </c>
      <c r="H34" s="37" t="str">
        <f t="shared" si="2"/>
        <v>16–30 dias</v>
      </c>
      <c r="I34" s="36" t="str">
        <f t="shared" si="3"/>
        <v>AMARELO</v>
      </c>
      <c r="J34" s="41">
        <v>4419.82</v>
      </c>
      <c r="K34" s="37" t="s">
        <v>73</v>
      </c>
      <c r="L34" s="37" t="s">
        <v>74</v>
      </c>
      <c r="M34" s="14" t="s">
        <v>299</v>
      </c>
      <c r="N34" s="14" t="s">
        <v>303</v>
      </c>
      <c r="O34" s="14">
        <v>10</v>
      </c>
      <c r="P34" s="14" t="s">
        <v>313</v>
      </c>
    </row>
    <row r="35" spans="1:16" x14ac:dyDescent="0.25">
      <c r="A35" s="14" t="s">
        <v>156</v>
      </c>
      <c r="B35" s="3" t="s">
        <v>157</v>
      </c>
      <c r="C35" s="14" t="s">
        <v>109</v>
      </c>
      <c r="D35" s="3" t="s">
        <v>158</v>
      </c>
      <c r="E35" s="14" t="s">
        <v>39</v>
      </c>
      <c r="F35" s="29">
        <v>46294</v>
      </c>
      <c r="G35" s="35">
        <f>IF(F35="","",RESUMO!$L$2-F35)</f>
        <v>23</v>
      </c>
      <c r="H35" s="14" t="str">
        <f t="shared" si="2"/>
        <v>16–30 dias</v>
      </c>
      <c r="I35" s="36" t="str">
        <f t="shared" si="3"/>
        <v>AMARELO</v>
      </c>
      <c r="J35" s="15">
        <v>1679.6</v>
      </c>
      <c r="K35" s="14" t="s">
        <v>73</v>
      </c>
      <c r="L35" s="14" t="s">
        <v>74</v>
      </c>
      <c r="M35" s="14" t="s">
        <v>299</v>
      </c>
      <c r="N35" s="14" t="s">
        <v>303</v>
      </c>
      <c r="O35" s="14">
        <v>10</v>
      </c>
      <c r="P35" s="14" t="s">
        <v>313</v>
      </c>
    </row>
    <row r="36" spans="1:16" x14ac:dyDescent="0.25">
      <c r="A36" s="37" t="s">
        <v>159</v>
      </c>
      <c r="B36" s="38" t="s">
        <v>160</v>
      </c>
      <c r="C36" s="37" t="s">
        <v>161</v>
      </c>
      <c r="D36" s="38" t="s">
        <v>162</v>
      </c>
      <c r="E36" s="37" t="s">
        <v>39</v>
      </c>
      <c r="F36" s="39">
        <v>46295</v>
      </c>
      <c r="G36" s="40">
        <f>IF(F36="","",RESUMO!$L$2-F36)</f>
        <v>22</v>
      </c>
      <c r="H36" s="37" t="str">
        <f t="shared" si="2"/>
        <v>16–30 dias</v>
      </c>
      <c r="I36" s="36" t="str">
        <f t="shared" si="3"/>
        <v>AMARELO</v>
      </c>
      <c r="J36" s="41">
        <v>21770.3</v>
      </c>
      <c r="K36" s="37" t="s">
        <v>73</v>
      </c>
      <c r="L36" s="37" t="s">
        <v>74</v>
      </c>
      <c r="M36" s="14" t="s">
        <v>299</v>
      </c>
      <c r="N36" s="14" t="s">
        <v>303</v>
      </c>
      <c r="O36" s="14">
        <v>10</v>
      </c>
      <c r="P36" s="14" t="s">
        <v>313</v>
      </c>
    </row>
    <row r="37" spans="1:16" x14ac:dyDescent="0.25">
      <c r="A37" s="14" t="s">
        <v>163</v>
      </c>
      <c r="B37" s="3" t="s">
        <v>164</v>
      </c>
      <c r="C37" s="14" t="s">
        <v>109</v>
      </c>
      <c r="D37" s="3" t="s">
        <v>165</v>
      </c>
      <c r="E37" s="14" t="s">
        <v>40</v>
      </c>
      <c r="F37" s="29">
        <v>46295</v>
      </c>
      <c r="G37" s="35">
        <f>IF(F37="","",RESUMO!$L$2-F37)</f>
        <v>22</v>
      </c>
      <c r="H37" s="14" t="str">
        <f t="shared" si="2"/>
        <v>16–30 dias</v>
      </c>
      <c r="I37" s="36" t="str">
        <f t="shared" si="3"/>
        <v>AMARELO</v>
      </c>
      <c r="J37" s="15">
        <v>4160.13</v>
      </c>
      <c r="K37" s="14" t="s">
        <v>73</v>
      </c>
      <c r="L37" s="14" t="s">
        <v>74</v>
      </c>
      <c r="M37" s="14" t="s">
        <v>299</v>
      </c>
      <c r="N37" s="14" t="s">
        <v>303</v>
      </c>
      <c r="O37" s="14">
        <v>10</v>
      </c>
      <c r="P37" s="14" t="s">
        <v>313</v>
      </c>
    </row>
    <row r="38" spans="1:16" x14ac:dyDescent="0.25">
      <c r="A38" s="37" t="s">
        <v>166</v>
      </c>
      <c r="B38" s="38" t="s">
        <v>167</v>
      </c>
      <c r="C38" s="37" t="s">
        <v>113</v>
      </c>
      <c r="D38" s="38" t="s">
        <v>168</v>
      </c>
      <c r="E38" s="37" t="s">
        <v>39</v>
      </c>
      <c r="F38" s="39">
        <v>46297</v>
      </c>
      <c r="G38" s="40">
        <f>IF(F38="","",RESUMO!$L$2-F38)</f>
        <v>20</v>
      </c>
      <c r="H38" s="37" t="str">
        <f t="shared" si="2"/>
        <v>16–30 dias</v>
      </c>
      <c r="I38" s="36" t="str">
        <f t="shared" si="3"/>
        <v>AMARELO</v>
      </c>
      <c r="J38" s="41">
        <v>1400</v>
      </c>
      <c r="K38" s="37" t="s">
        <v>73</v>
      </c>
      <c r="L38" s="37" t="s">
        <v>74</v>
      </c>
      <c r="M38" s="14" t="s">
        <v>299</v>
      </c>
      <c r="N38" s="14" t="s">
        <v>303</v>
      </c>
      <c r="O38" s="14">
        <v>10</v>
      </c>
      <c r="P38" s="14" t="s">
        <v>313</v>
      </c>
    </row>
    <row r="39" spans="1:16" x14ac:dyDescent="0.25">
      <c r="A39" s="14" t="s">
        <v>169</v>
      </c>
      <c r="B39" s="3" t="s">
        <v>170</v>
      </c>
      <c r="C39" s="14" t="s">
        <v>109</v>
      </c>
      <c r="D39" s="3" t="s">
        <v>171</v>
      </c>
      <c r="E39" s="14" t="s">
        <v>40</v>
      </c>
      <c r="F39" s="29">
        <v>46297</v>
      </c>
      <c r="G39" s="35">
        <f>IF(F39="","",RESUMO!$L$2-F39)</f>
        <v>20</v>
      </c>
      <c r="H39" s="14" t="str">
        <f t="shared" si="2"/>
        <v>16–30 dias</v>
      </c>
      <c r="I39" s="36" t="str">
        <f t="shared" si="3"/>
        <v>AMARELO</v>
      </c>
      <c r="J39" s="15">
        <v>351.32</v>
      </c>
      <c r="K39" s="14" t="s">
        <v>73</v>
      </c>
      <c r="L39" s="14" t="s">
        <v>74</v>
      </c>
      <c r="M39" s="14" t="s">
        <v>299</v>
      </c>
      <c r="N39" s="14" t="s">
        <v>303</v>
      </c>
      <c r="O39" s="14">
        <v>10</v>
      </c>
      <c r="P39" s="14" t="s">
        <v>313</v>
      </c>
    </row>
    <row r="40" spans="1:16" x14ac:dyDescent="0.25">
      <c r="A40" s="37" t="s">
        <v>172</v>
      </c>
      <c r="B40" s="38" t="s">
        <v>132</v>
      </c>
      <c r="C40" s="37" t="s">
        <v>109</v>
      </c>
      <c r="D40" s="38" t="s">
        <v>173</v>
      </c>
      <c r="E40" s="37" t="s">
        <v>39</v>
      </c>
      <c r="F40" s="39">
        <v>46297</v>
      </c>
      <c r="G40" s="40">
        <f>IF(F40="","",RESUMO!$L$2-F40)</f>
        <v>20</v>
      </c>
      <c r="H40" s="37" t="str">
        <f t="shared" si="2"/>
        <v>16–30 dias</v>
      </c>
      <c r="I40" s="36" t="str">
        <f t="shared" si="3"/>
        <v>AMARELO</v>
      </c>
      <c r="J40" s="41">
        <v>325.66000000000003</v>
      </c>
      <c r="K40" s="37" t="s">
        <v>73</v>
      </c>
      <c r="L40" s="37" t="s">
        <v>74</v>
      </c>
      <c r="M40" s="14" t="s">
        <v>299</v>
      </c>
      <c r="N40" s="14" t="s">
        <v>303</v>
      </c>
      <c r="O40" s="14">
        <v>10</v>
      </c>
      <c r="P40" s="14" t="s">
        <v>313</v>
      </c>
    </row>
    <row r="41" spans="1:16" x14ac:dyDescent="0.25">
      <c r="A41" s="14" t="s">
        <v>174</v>
      </c>
      <c r="B41" s="3" t="s">
        <v>175</v>
      </c>
      <c r="C41" s="14" t="s">
        <v>109</v>
      </c>
      <c r="D41" s="3" t="s">
        <v>176</v>
      </c>
      <c r="E41" s="14" t="s">
        <v>40</v>
      </c>
      <c r="F41" s="29">
        <v>46297</v>
      </c>
      <c r="G41" s="35">
        <f>IF(F41="","",RESUMO!$L$2-F41)</f>
        <v>20</v>
      </c>
      <c r="H41" s="14" t="str">
        <f t="shared" si="2"/>
        <v>16–30 dias</v>
      </c>
      <c r="I41" s="36" t="str">
        <f t="shared" si="3"/>
        <v>AMARELO</v>
      </c>
      <c r="J41" s="15">
        <v>175.66</v>
      </c>
      <c r="K41" s="14" t="s">
        <v>73</v>
      </c>
      <c r="L41" s="14" t="s">
        <v>74</v>
      </c>
      <c r="M41" s="14" t="s">
        <v>299</v>
      </c>
      <c r="N41" s="14" t="s">
        <v>303</v>
      </c>
      <c r="O41" s="14">
        <v>10</v>
      </c>
      <c r="P41" s="14" t="s">
        <v>313</v>
      </c>
    </row>
    <row r="42" spans="1:16" x14ac:dyDescent="0.25">
      <c r="A42" s="37" t="s">
        <v>177</v>
      </c>
      <c r="B42" s="38" t="s">
        <v>178</v>
      </c>
      <c r="C42" s="37" t="s">
        <v>76</v>
      </c>
      <c r="D42" s="38" t="s">
        <v>179</v>
      </c>
      <c r="E42" s="37" t="s">
        <v>39</v>
      </c>
      <c r="F42" s="39">
        <v>46298</v>
      </c>
      <c r="G42" s="40">
        <f>IF(F42="","",RESUMO!$L$2-F42)</f>
        <v>19</v>
      </c>
      <c r="H42" s="37" t="str">
        <f t="shared" si="2"/>
        <v>16–30 dias</v>
      </c>
      <c r="I42" s="36" t="str">
        <f t="shared" si="3"/>
        <v>AMARELO</v>
      </c>
      <c r="J42" s="41">
        <v>2760.95</v>
      </c>
      <c r="K42" s="37" t="s">
        <v>73</v>
      </c>
      <c r="L42" s="37" t="s">
        <v>74</v>
      </c>
      <c r="M42" s="14" t="s">
        <v>299</v>
      </c>
      <c r="N42" s="14" t="s">
        <v>303</v>
      </c>
      <c r="O42" s="14">
        <v>10</v>
      </c>
      <c r="P42" s="14" t="s">
        <v>313</v>
      </c>
    </row>
    <row r="43" spans="1:16" x14ac:dyDescent="0.25">
      <c r="A43" s="14" t="s">
        <v>180</v>
      </c>
      <c r="B43" s="3" t="s">
        <v>181</v>
      </c>
      <c r="C43" s="14" t="s">
        <v>82</v>
      </c>
      <c r="D43" s="3" t="s">
        <v>182</v>
      </c>
      <c r="E43" s="14" t="s">
        <v>33</v>
      </c>
      <c r="F43" s="29">
        <v>46298</v>
      </c>
      <c r="G43" s="35">
        <f>IF(F43="","",RESUMO!$L$2-F43)</f>
        <v>19</v>
      </c>
      <c r="H43" s="14" t="str">
        <f t="shared" si="2"/>
        <v>16–30 dias</v>
      </c>
      <c r="I43" s="36" t="str">
        <f t="shared" si="3"/>
        <v>AMARELO</v>
      </c>
      <c r="J43" s="15">
        <v>2578.35</v>
      </c>
      <c r="K43" s="14" t="s">
        <v>73</v>
      </c>
      <c r="L43" s="14" t="s">
        <v>74</v>
      </c>
      <c r="M43" s="14" t="s">
        <v>299</v>
      </c>
      <c r="N43" s="14" t="s">
        <v>303</v>
      </c>
      <c r="O43" s="14">
        <v>10</v>
      </c>
      <c r="P43" s="14" t="s">
        <v>313</v>
      </c>
    </row>
    <row r="44" spans="1:16" x14ac:dyDescent="0.25">
      <c r="A44" s="37" t="s">
        <v>183</v>
      </c>
      <c r="B44" s="38" t="s">
        <v>157</v>
      </c>
      <c r="C44" s="37" t="s">
        <v>109</v>
      </c>
      <c r="D44" s="38" t="s">
        <v>184</v>
      </c>
      <c r="E44" s="37" t="s">
        <v>39</v>
      </c>
      <c r="F44" s="39">
        <v>46298</v>
      </c>
      <c r="G44" s="40">
        <f>IF(F44="","",RESUMO!$L$2-F44)</f>
        <v>19</v>
      </c>
      <c r="H44" s="37" t="str">
        <f t="shared" si="2"/>
        <v>16–30 dias</v>
      </c>
      <c r="I44" s="36" t="str">
        <f t="shared" si="3"/>
        <v>AMARELO</v>
      </c>
      <c r="J44" s="41">
        <v>400</v>
      </c>
      <c r="K44" s="37" t="s">
        <v>73</v>
      </c>
      <c r="L44" s="37" t="s">
        <v>74</v>
      </c>
      <c r="M44" s="14" t="s">
        <v>299</v>
      </c>
      <c r="N44" s="14" t="s">
        <v>303</v>
      </c>
      <c r="O44" s="14">
        <v>10</v>
      </c>
      <c r="P44" s="14" t="s">
        <v>313</v>
      </c>
    </row>
    <row r="45" spans="1:16" x14ac:dyDescent="0.25">
      <c r="A45" s="14" t="s">
        <v>185</v>
      </c>
      <c r="B45" s="3" t="s">
        <v>186</v>
      </c>
      <c r="C45" s="14" t="s">
        <v>187</v>
      </c>
      <c r="D45" s="3" t="s">
        <v>188</v>
      </c>
      <c r="E45" s="14" t="s">
        <v>33</v>
      </c>
      <c r="F45" s="29">
        <v>46299</v>
      </c>
      <c r="G45" s="35">
        <f>IF(F45="","",RESUMO!$L$2-F45)</f>
        <v>18</v>
      </c>
      <c r="H45" s="14" t="str">
        <f t="shared" si="2"/>
        <v>16–30 dias</v>
      </c>
      <c r="I45" s="36" t="str">
        <f t="shared" si="3"/>
        <v>AMARELO</v>
      </c>
      <c r="J45" s="15">
        <v>14425.7</v>
      </c>
      <c r="K45" s="14" t="s">
        <v>73</v>
      </c>
      <c r="L45" s="14" t="s">
        <v>74</v>
      </c>
      <c r="M45" s="14" t="s">
        <v>299</v>
      </c>
      <c r="N45" s="14" t="s">
        <v>303</v>
      </c>
      <c r="O45" s="14">
        <v>10</v>
      </c>
      <c r="P45" s="14" t="s">
        <v>313</v>
      </c>
    </row>
    <row r="46" spans="1:16" x14ac:dyDescent="0.25">
      <c r="A46" s="37" t="s">
        <v>189</v>
      </c>
      <c r="B46" s="38" t="s">
        <v>135</v>
      </c>
      <c r="C46" s="37" t="s">
        <v>113</v>
      </c>
      <c r="D46" s="38" t="s">
        <v>190</v>
      </c>
      <c r="E46" s="37" t="s">
        <v>39</v>
      </c>
      <c r="F46" s="39">
        <v>46299</v>
      </c>
      <c r="G46" s="40">
        <f>IF(F46="","",RESUMO!$L$2-F46)</f>
        <v>18</v>
      </c>
      <c r="H46" s="37" t="str">
        <f t="shared" si="2"/>
        <v>16–30 dias</v>
      </c>
      <c r="I46" s="36" t="str">
        <f t="shared" si="3"/>
        <v>AMARELO</v>
      </c>
      <c r="J46" s="41">
        <v>2800</v>
      </c>
      <c r="K46" s="37" t="s">
        <v>73</v>
      </c>
      <c r="L46" s="37" t="s">
        <v>74</v>
      </c>
      <c r="M46" s="14" t="s">
        <v>299</v>
      </c>
      <c r="N46" s="14" t="s">
        <v>303</v>
      </c>
      <c r="O46" s="14">
        <v>10</v>
      </c>
      <c r="P46" s="14" t="s">
        <v>313</v>
      </c>
    </row>
    <row r="47" spans="1:16" x14ac:dyDescent="0.25">
      <c r="A47" s="14" t="s">
        <v>191</v>
      </c>
      <c r="B47" s="3" t="s">
        <v>192</v>
      </c>
      <c r="C47" s="14" t="s">
        <v>76</v>
      </c>
      <c r="D47" s="3" t="s">
        <v>193</v>
      </c>
      <c r="E47" s="14" t="s">
        <v>33</v>
      </c>
      <c r="F47" s="29">
        <v>46299</v>
      </c>
      <c r="G47" s="35">
        <f>IF(F47="","",RESUMO!$L$2-F47)</f>
        <v>18</v>
      </c>
      <c r="H47" s="14" t="str">
        <f t="shared" si="2"/>
        <v>16–30 dias</v>
      </c>
      <c r="I47" s="36" t="str">
        <f t="shared" si="3"/>
        <v>AMARELO</v>
      </c>
      <c r="J47" s="15">
        <v>1056.3800000000001</v>
      </c>
      <c r="K47" s="14" t="s">
        <v>73</v>
      </c>
      <c r="L47" s="14" t="s">
        <v>74</v>
      </c>
      <c r="M47" s="14" t="s">
        <v>299</v>
      </c>
      <c r="N47" s="14" t="s">
        <v>305</v>
      </c>
      <c r="O47" s="14">
        <v>10</v>
      </c>
      <c r="P47" s="14" t="s">
        <v>311</v>
      </c>
    </row>
    <row r="48" spans="1:16" x14ac:dyDescent="0.25">
      <c r="A48" s="37" t="s">
        <v>194</v>
      </c>
      <c r="B48" s="38" t="s">
        <v>112</v>
      </c>
      <c r="C48" s="37" t="s">
        <v>109</v>
      </c>
      <c r="D48" s="38" t="s">
        <v>195</v>
      </c>
      <c r="E48" s="37" t="s">
        <v>39</v>
      </c>
      <c r="F48" s="39">
        <v>46299</v>
      </c>
      <c r="G48" s="40">
        <f>IF(F48="","",RESUMO!$L$2-F48)</f>
        <v>18</v>
      </c>
      <c r="H48" s="37" t="str">
        <f t="shared" si="2"/>
        <v>16–30 dias</v>
      </c>
      <c r="I48" s="36" t="str">
        <f t="shared" si="3"/>
        <v>AMARELO</v>
      </c>
      <c r="J48" s="41">
        <v>389.88</v>
      </c>
      <c r="K48" s="37" t="s">
        <v>73</v>
      </c>
      <c r="L48" s="37" t="s">
        <v>74</v>
      </c>
      <c r="M48" s="14" t="s">
        <v>299</v>
      </c>
      <c r="N48" s="14" t="s">
        <v>303</v>
      </c>
      <c r="O48" s="14">
        <v>10</v>
      </c>
      <c r="P48" s="14" t="s">
        <v>313</v>
      </c>
    </row>
    <row r="49" spans="1:16" x14ac:dyDescent="0.25">
      <c r="A49" s="14" t="s">
        <v>196</v>
      </c>
      <c r="B49" s="3" t="s">
        <v>197</v>
      </c>
      <c r="C49" s="14" t="s">
        <v>109</v>
      </c>
      <c r="D49" s="3" t="s">
        <v>198</v>
      </c>
      <c r="E49" s="14" t="s">
        <v>39</v>
      </c>
      <c r="F49" s="29">
        <v>46299</v>
      </c>
      <c r="G49" s="35">
        <f>IF(F49="","",RESUMO!$L$2-F49)</f>
        <v>18</v>
      </c>
      <c r="H49" s="14" t="str">
        <f t="shared" ref="H49:H80" si="4">IF(F49="","Data a informar",IF(G49&lt;=15,"0–15 dias",IF(G49&lt;=30,"16–30 dias",IF(G49&lt;=60,"31–60 dias",IF(G49&lt;=90,"61–90 dias","Acima de 90 dias")))))</f>
        <v>16–30 dias</v>
      </c>
      <c r="I49" s="36" t="str">
        <f t="shared" ref="I49:I81" si="5">IF(F49="","—",IF(G49&lt;=15,"VERDE",IF(G49&lt;=30,"AMARELO","VERMELHO")))</f>
        <v>AMARELO</v>
      </c>
      <c r="J49" s="15">
        <v>380</v>
      </c>
      <c r="K49" s="14" t="s">
        <v>73</v>
      </c>
      <c r="L49" s="14" t="s">
        <v>74</v>
      </c>
      <c r="M49" s="14" t="s">
        <v>299</v>
      </c>
      <c r="N49" s="14" t="s">
        <v>303</v>
      </c>
      <c r="O49" s="14">
        <v>10</v>
      </c>
      <c r="P49" s="14" t="s">
        <v>313</v>
      </c>
    </row>
    <row r="50" spans="1:16" x14ac:dyDescent="0.25">
      <c r="A50" s="37" t="s">
        <v>199</v>
      </c>
      <c r="B50" s="38" t="s">
        <v>200</v>
      </c>
      <c r="C50" s="37" t="s">
        <v>109</v>
      </c>
      <c r="D50" s="38" t="s">
        <v>201</v>
      </c>
      <c r="E50" s="37" t="s">
        <v>39</v>
      </c>
      <c r="F50" s="39">
        <v>46299</v>
      </c>
      <c r="G50" s="40">
        <f>IF(F50="","",RESUMO!$L$2-F50)</f>
        <v>18</v>
      </c>
      <c r="H50" s="37" t="str">
        <f t="shared" si="4"/>
        <v>16–30 dias</v>
      </c>
      <c r="I50" s="36" t="str">
        <f t="shared" si="5"/>
        <v>AMARELO</v>
      </c>
      <c r="J50" s="41">
        <v>175.66</v>
      </c>
      <c r="K50" s="37" t="s">
        <v>73</v>
      </c>
      <c r="L50" s="37" t="s">
        <v>74</v>
      </c>
      <c r="M50" s="14" t="s">
        <v>299</v>
      </c>
      <c r="N50" s="14" t="s">
        <v>303</v>
      </c>
      <c r="O50" s="14">
        <v>10</v>
      </c>
      <c r="P50" s="14" t="s">
        <v>313</v>
      </c>
    </row>
    <row r="51" spans="1:16" x14ac:dyDescent="0.25">
      <c r="A51" s="14" t="s">
        <v>202</v>
      </c>
      <c r="B51" s="3" t="s">
        <v>203</v>
      </c>
      <c r="C51" s="14" t="s">
        <v>82</v>
      </c>
      <c r="D51" s="3" t="s">
        <v>204</v>
      </c>
      <c r="E51" s="14" t="s">
        <v>39</v>
      </c>
      <c r="F51" s="29">
        <v>46302</v>
      </c>
      <c r="G51" s="35">
        <f>IF(F51="","",RESUMO!$L$2-F51)</f>
        <v>15</v>
      </c>
      <c r="H51" s="14" t="str">
        <f t="shared" si="4"/>
        <v>0–15 dias</v>
      </c>
      <c r="I51" s="36" t="str">
        <f t="shared" si="5"/>
        <v>VERDE</v>
      </c>
      <c r="J51" s="15">
        <v>11946.3</v>
      </c>
      <c r="K51" s="14" t="s">
        <v>73</v>
      </c>
      <c r="L51" s="14" t="s">
        <v>74</v>
      </c>
      <c r="M51" s="14" t="s">
        <v>299</v>
      </c>
      <c r="N51" s="14" t="s">
        <v>303</v>
      </c>
      <c r="O51" s="14">
        <v>8</v>
      </c>
      <c r="P51" s="14" t="s">
        <v>313</v>
      </c>
    </row>
    <row r="52" spans="1:16" x14ac:dyDescent="0.25">
      <c r="A52" s="37" t="s">
        <v>205</v>
      </c>
      <c r="B52" s="38" t="s">
        <v>206</v>
      </c>
      <c r="C52" s="37" t="s">
        <v>82</v>
      </c>
      <c r="D52" s="38" t="s">
        <v>92</v>
      </c>
      <c r="E52" s="37" t="s">
        <v>40</v>
      </c>
      <c r="F52" s="39">
        <v>46303</v>
      </c>
      <c r="G52" s="40">
        <f>IF(F52="","",RESUMO!$L$2-F52)</f>
        <v>14</v>
      </c>
      <c r="H52" s="37" t="str">
        <f t="shared" si="4"/>
        <v>0–15 dias</v>
      </c>
      <c r="I52" s="36" t="str">
        <f t="shared" si="5"/>
        <v>VERDE</v>
      </c>
      <c r="J52" s="41">
        <v>20767.400000000001</v>
      </c>
      <c r="K52" s="37" t="s">
        <v>73</v>
      </c>
      <c r="L52" s="37" t="s">
        <v>74</v>
      </c>
      <c r="M52" s="14" t="s">
        <v>299</v>
      </c>
      <c r="N52" s="14" t="s">
        <v>303</v>
      </c>
      <c r="O52" s="14">
        <v>9</v>
      </c>
      <c r="P52" s="14" t="s">
        <v>313</v>
      </c>
    </row>
    <row r="53" spans="1:16" x14ac:dyDescent="0.25">
      <c r="A53" s="14" t="s">
        <v>207</v>
      </c>
      <c r="B53" s="3" t="s">
        <v>208</v>
      </c>
      <c r="C53" s="14" t="s">
        <v>76</v>
      </c>
      <c r="D53" s="3" t="s">
        <v>209</v>
      </c>
      <c r="E53" s="14" t="s">
        <v>39</v>
      </c>
      <c r="F53" s="29">
        <v>46303</v>
      </c>
      <c r="G53" s="35">
        <f>IF(F53="","",RESUMO!$L$2-F53)</f>
        <v>14</v>
      </c>
      <c r="H53" s="14" t="str">
        <f t="shared" si="4"/>
        <v>0–15 dias</v>
      </c>
      <c r="I53" s="36" t="str">
        <f t="shared" si="5"/>
        <v>VERDE</v>
      </c>
      <c r="J53" s="15">
        <v>1590.28</v>
      </c>
      <c r="K53" s="14" t="s">
        <v>73</v>
      </c>
      <c r="L53" s="14" t="s">
        <v>74</v>
      </c>
      <c r="M53" s="14" t="s">
        <v>299</v>
      </c>
      <c r="N53" s="14" t="s">
        <v>305</v>
      </c>
      <c r="O53" s="14">
        <v>10</v>
      </c>
      <c r="P53" s="14" t="s">
        <v>311</v>
      </c>
    </row>
    <row r="54" spans="1:16" x14ac:dyDescent="0.25">
      <c r="A54" s="37" t="s">
        <v>210</v>
      </c>
      <c r="B54" s="38" t="s">
        <v>135</v>
      </c>
      <c r="C54" s="37" t="s">
        <v>113</v>
      </c>
      <c r="D54" s="38" t="s">
        <v>211</v>
      </c>
      <c r="E54" s="37" t="s">
        <v>39</v>
      </c>
      <c r="F54" s="39">
        <v>46303</v>
      </c>
      <c r="G54" s="40">
        <f>IF(F54="","",RESUMO!$L$2-F54)</f>
        <v>14</v>
      </c>
      <c r="H54" s="37" t="str">
        <f t="shared" si="4"/>
        <v>0–15 dias</v>
      </c>
      <c r="I54" s="36" t="str">
        <f t="shared" si="5"/>
        <v>VERDE</v>
      </c>
      <c r="J54" s="41">
        <v>1400</v>
      </c>
      <c r="K54" s="37" t="s">
        <v>73</v>
      </c>
      <c r="L54" s="37" t="s">
        <v>74</v>
      </c>
      <c r="M54" s="14" t="s">
        <v>299</v>
      </c>
      <c r="N54" s="14" t="s">
        <v>303</v>
      </c>
      <c r="O54" s="14">
        <v>10</v>
      </c>
      <c r="P54" s="14" t="s">
        <v>313</v>
      </c>
    </row>
    <row r="55" spans="1:16" x14ac:dyDescent="0.25">
      <c r="A55" s="14" t="s">
        <v>212</v>
      </c>
      <c r="B55" s="3" t="s">
        <v>213</v>
      </c>
      <c r="C55" s="14" t="s">
        <v>214</v>
      </c>
      <c r="D55" s="3" t="s">
        <v>215</v>
      </c>
      <c r="E55" s="14" t="s">
        <v>39</v>
      </c>
      <c r="F55" s="29">
        <v>46308</v>
      </c>
      <c r="G55" s="35">
        <f>IF(F55="","",RESUMO!$L$2-F55)</f>
        <v>9</v>
      </c>
      <c r="H55" s="14" t="str">
        <f t="shared" si="4"/>
        <v>0–15 dias</v>
      </c>
      <c r="I55" s="36" t="str">
        <f t="shared" si="5"/>
        <v>VERDE</v>
      </c>
      <c r="J55" s="15">
        <v>960</v>
      </c>
      <c r="K55" s="14" t="s">
        <v>73</v>
      </c>
      <c r="L55" s="14" t="s">
        <v>74</v>
      </c>
      <c r="M55" s="14" t="s">
        <v>299</v>
      </c>
      <c r="N55" s="14" t="s">
        <v>303</v>
      </c>
      <c r="O55" s="14">
        <v>10</v>
      </c>
      <c r="P55" s="14" t="s">
        <v>313</v>
      </c>
    </row>
    <row r="56" spans="1:16" x14ac:dyDescent="0.25">
      <c r="A56" s="37" t="s">
        <v>216</v>
      </c>
      <c r="B56" s="38" t="s">
        <v>217</v>
      </c>
      <c r="C56" s="37" t="s">
        <v>109</v>
      </c>
      <c r="D56" s="38" t="s">
        <v>218</v>
      </c>
      <c r="E56" s="37" t="s">
        <v>40</v>
      </c>
      <c r="F56" s="39">
        <v>46308</v>
      </c>
      <c r="G56" s="40">
        <f>IF(F56="","",RESUMO!$L$2-F56)</f>
        <v>9</v>
      </c>
      <c r="H56" s="37" t="str">
        <f t="shared" si="4"/>
        <v>0–15 dias</v>
      </c>
      <c r="I56" s="36" t="str">
        <f t="shared" si="5"/>
        <v>VERDE</v>
      </c>
      <c r="J56" s="41">
        <v>175.66</v>
      </c>
      <c r="K56" s="37" t="s">
        <v>73</v>
      </c>
      <c r="L56" s="37" t="s">
        <v>74</v>
      </c>
      <c r="M56" s="14" t="s">
        <v>299</v>
      </c>
      <c r="N56" s="14" t="s">
        <v>303</v>
      </c>
      <c r="O56" s="14">
        <v>10</v>
      </c>
      <c r="P56" s="14" t="s">
        <v>313</v>
      </c>
    </row>
    <row r="57" spans="1:16" x14ac:dyDescent="0.25">
      <c r="A57" s="14" t="s">
        <v>219</v>
      </c>
      <c r="B57" s="3" t="s">
        <v>220</v>
      </c>
      <c r="C57" s="14" t="s">
        <v>82</v>
      </c>
      <c r="D57" s="3" t="s">
        <v>204</v>
      </c>
      <c r="E57" s="14" t="s">
        <v>39</v>
      </c>
      <c r="F57" s="29">
        <v>46309</v>
      </c>
      <c r="G57" s="35">
        <f>IF(F57="","",RESUMO!$L$2-F57)</f>
        <v>8</v>
      </c>
      <c r="H57" s="14" t="str">
        <f t="shared" si="4"/>
        <v>0–15 dias</v>
      </c>
      <c r="I57" s="36" t="str">
        <f t="shared" si="5"/>
        <v>VERDE</v>
      </c>
      <c r="J57" s="15">
        <v>5039.95</v>
      </c>
      <c r="K57" s="14" t="s">
        <v>73</v>
      </c>
      <c r="L57" s="14" t="s">
        <v>74</v>
      </c>
      <c r="M57" s="14" t="s">
        <v>299</v>
      </c>
      <c r="N57" s="14" t="s">
        <v>304</v>
      </c>
      <c r="O57" s="14">
        <v>8</v>
      </c>
      <c r="P57" s="14" t="s">
        <v>313</v>
      </c>
    </row>
    <row r="58" spans="1:16" x14ac:dyDescent="0.25">
      <c r="A58" s="37" t="s">
        <v>221</v>
      </c>
      <c r="B58" s="38" t="s">
        <v>222</v>
      </c>
      <c r="C58" s="37" t="s">
        <v>76</v>
      </c>
      <c r="D58" s="38" t="s">
        <v>223</v>
      </c>
      <c r="E58" s="37" t="s">
        <v>40</v>
      </c>
      <c r="F58" s="39">
        <v>46309</v>
      </c>
      <c r="G58" s="40">
        <f>IF(F58="","",RESUMO!$L$2-F58)</f>
        <v>8</v>
      </c>
      <c r="H58" s="37" t="str">
        <f t="shared" si="4"/>
        <v>0–15 dias</v>
      </c>
      <c r="I58" s="36" t="str">
        <f t="shared" si="5"/>
        <v>VERDE</v>
      </c>
      <c r="J58" s="41">
        <v>964.44</v>
      </c>
      <c r="K58" s="37" t="s">
        <v>73</v>
      </c>
      <c r="L58" s="37" t="s">
        <v>74</v>
      </c>
      <c r="M58" s="14" t="s">
        <v>299</v>
      </c>
      <c r="N58" s="14" t="s">
        <v>303</v>
      </c>
      <c r="O58" s="14">
        <v>11</v>
      </c>
      <c r="P58" s="14" t="s">
        <v>310</v>
      </c>
    </row>
    <row r="59" spans="1:16" x14ac:dyDescent="0.25">
      <c r="A59" s="14" t="s">
        <v>224</v>
      </c>
      <c r="B59" s="3" t="s">
        <v>213</v>
      </c>
      <c r="C59" s="14" t="s">
        <v>214</v>
      </c>
      <c r="D59" s="3" t="s">
        <v>225</v>
      </c>
      <c r="E59" s="14" t="s">
        <v>39</v>
      </c>
      <c r="F59" s="29">
        <v>46309</v>
      </c>
      <c r="G59" s="35">
        <f>IF(F59="","",RESUMO!$L$2-F59)</f>
        <v>8</v>
      </c>
      <c r="H59" s="14" t="str">
        <f t="shared" si="4"/>
        <v>0–15 dias</v>
      </c>
      <c r="I59" s="36" t="str">
        <f t="shared" si="5"/>
        <v>VERDE</v>
      </c>
      <c r="J59" s="15">
        <v>960</v>
      </c>
      <c r="K59" s="14" t="s">
        <v>73</v>
      </c>
      <c r="L59" s="14" t="s">
        <v>74</v>
      </c>
      <c r="M59" s="14" t="s">
        <v>299</v>
      </c>
      <c r="N59" s="14" t="s">
        <v>303</v>
      </c>
      <c r="O59" s="14">
        <v>10</v>
      </c>
      <c r="P59" s="14" t="s">
        <v>313</v>
      </c>
    </row>
    <row r="60" spans="1:16" x14ac:dyDescent="0.25">
      <c r="A60" s="37" t="s">
        <v>226</v>
      </c>
      <c r="B60" s="38" t="s">
        <v>112</v>
      </c>
      <c r="C60" s="37" t="s">
        <v>79</v>
      </c>
      <c r="D60" s="38" t="s">
        <v>227</v>
      </c>
      <c r="E60" s="37" t="s">
        <v>39</v>
      </c>
      <c r="F60" s="39">
        <v>46310</v>
      </c>
      <c r="G60" s="40">
        <f>IF(F60="","",RESUMO!$L$2-F60)</f>
        <v>7</v>
      </c>
      <c r="H60" s="37" t="str">
        <f t="shared" si="4"/>
        <v>0–15 dias</v>
      </c>
      <c r="I60" s="36" t="str">
        <f t="shared" si="5"/>
        <v>VERDE</v>
      </c>
      <c r="J60" s="41">
        <v>3674.37</v>
      </c>
      <c r="K60" s="37" t="s">
        <v>73</v>
      </c>
      <c r="L60" s="37" t="s">
        <v>74</v>
      </c>
      <c r="M60" s="14" t="s">
        <v>299</v>
      </c>
      <c r="N60" s="14" t="s">
        <v>303</v>
      </c>
      <c r="O60" s="14">
        <v>10</v>
      </c>
      <c r="P60" s="14" t="s">
        <v>313</v>
      </c>
    </row>
    <row r="61" spans="1:16" x14ac:dyDescent="0.25">
      <c r="A61" s="14" t="s">
        <v>228</v>
      </c>
      <c r="B61" s="3" t="s">
        <v>229</v>
      </c>
      <c r="C61" s="14" t="s">
        <v>82</v>
      </c>
      <c r="D61" s="3" t="s">
        <v>230</v>
      </c>
      <c r="E61" s="14" t="s">
        <v>39</v>
      </c>
      <c r="F61" s="29"/>
      <c r="G61" s="35" t="str">
        <f>IF(F61="","",RESUMO!$L$2-F61)</f>
        <v/>
      </c>
      <c r="H61" s="14" t="str">
        <f t="shared" si="4"/>
        <v>Data a informar</v>
      </c>
      <c r="I61" s="36" t="str">
        <f t="shared" si="5"/>
        <v>—</v>
      </c>
      <c r="J61" s="15">
        <v>32272.77</v>
      </c>
      <c r="K61" s="14" t="s">
        <v>73</v>
      </c>
      <c r="L61" s="14" t="s">
        <v>74</v>
      </c>
      <c r="M61" s="14" t="s">
        <v>299</v>
      </c>
      <c r="N61" s="14" t="s">
        <v>304</v>
      </c>
      <c r="O61" s="14">
        <v>8</v>
      </c>
      <c r="P61" s="14" t="s">
        <v>313</v>
      </c>
    </row>
    <row r="62" spans="1:16" x14ac:dyDescent="0.25">
      <c r="A62" s="37" t="s">
        <v>231</v>
      </c>
      <c r="B62" s="38" t="s">
        <v>232</v>
      </c>
      <c r="C62" s="37" t="s">
        <v>82</v>
      </c>
      <c r="D62" s="38" t="s">
        <v>204</v>
      </c>
      <c r="E62" s="37" t="s">
        <v>39</v>
      </c>
      <c r="F62" s="39"/>
      <c r="G62" s="40" t="str">
        <f>IF(F62="","",RESUMO!$L$2-F62)</f>
        <v/>
      </c>
      <c r="H62" s="37" t="str">
        <f t="shared" si="4"/>
        <v>Data a informar</v>
      </c>
      <c r="I62" s="36" t="str">
        <f t="shared" si="5"/>
        <v>—</v>
      </c>
      <c r="J62" s="41">
        <v>9123.9</v>
      </c>
      <c r="K62" s="37" t="s">
        <v>73</v>
      </c>
      <c r="L62" s="37" t="s">
        <v>74</v>
      </c>
      <c r="M62" s="14" t="s">
        <v>299</v>
      </c>
      <c r="N62" s="14" t="s">
        <v>304</v>
      </c>
      <c r="O62" s="14">
        <v>8</v>
      </c>
      <c r="P62" s="14" t="s">
        <v>313</v>
      </c>
    </row>
    <row r="63" spans="1:16" x14ac:dyDescent="0.25">
      <c r="A63" s="14" t="s">
        <v>233</v>
      </c>
      <c r="B63" s="3" t="s">
        <v>112</v>
      </c>
      <c r="C63" s="14" t="s">
        <v>82</v>
      </c>
      <c r="D63" s="3" t="s">
        <v>234</v>
      </c>
      <c r="E63" s="14" t="s">
        <v>39</v>
      </c>
      <c r="F63" s="29"/>
      <c r="G63" s="35" t="str">
        <f>IF(F63="","",RESUMO!$L$2-F63)</f>
        <v/>
      </c>
      <c r="H63" s="14" t="str">
        <f t="shared" si="4"/>
        <v>Data a informar</v>
      </c>
      <c r="I63" s="36" t="str">
        <f t="shared" si="5"/>
        <v>—</v>
      </c>
      <c r="J63" s="15">
        <v>7295.15</v>
      </c>
      <c r="K63" s="14" t="s">
        <v>73</v>
      </c>
      <c r="L63" s="14" t="s">
        <v>74</v>
      </c>
      <c r="M63" s="14" t="s">
        <v>299</v>
      </c>
      <c r="N63" s="14" t="s">
        <v>303</v>
      </c>
      <c r="O63" s="14">
        <v>10</v>
      </c>
      <c r="P63" s="14" t="s">
        <v>313</v>
      </c>
    </row>
    <row r="64" spans="1:16" x14ac:dyDescent="0.25">
      <c r="A64" s="37" t="s">
        <v>235</v>
      </c>
      <c r="B64" s="38" t="s">
        <v>135</v>
      </c>
      <c r="C64" s="37" t="s">
        <v>113</v>
      </c>
      <c r="D64" s="38" t="s">
        <v>236</v>
      </c>
      <c r="E64" s="37" t="s">
        <v>39</v>
      </c>
      <c r="F64" s="39"/>
      <c r="G64" s="40" t="str">
        <f>IF(F64="","",RESUMO!$L$2-F64)</f>
        <v/>
      </c>
      <c r="H64" s="37" t="str">
        <f t="shared" si="4"/>
        <v>Data a informar</v>
      </c>
      <c r="I64" s="36" t="str">
        <f t="shared" si="5"/>
        <v>—</v>
      </c>
      <c r="J64" s="41">
        <v>4791.2</v>
      </c>
      <c r="K64" s="37" t="s">
        <v>73</v>
      </c>
      <c r="L64" s="37" t="s">
        <v>74</v>
      </c>
      <c r="M64" s="14" t="s">
        <v>299</v>
      </c>
      <c r="N64" s="14" t="s">
        <v>304</v>
      </c>
      <c r="O64" s="14">
        <v>11</v>
      </c>
      <c r="P64" s="14" t="s">
        <v>310</v>
      </c>
    </row>
    <row r="65" spans="1:16" x14ac:dyDescent="0.25">
      <c r="A65" s="14" t="s">
        <v>237</v>
      </c>
      <c r="B65" s="3" t="s">
        <v>112</v>
      </c>
      <c r="C65" s="14" t="s">
        <v>109</v>
      </c>
      <c r="D65" s="3" t="s">
        <v>238</v>
      </c>
      <c r="E65" s="14" t="s">
        <v>39</v>
      </c>
      <c r="F65" s="29"/>
      <c r="G65" s="35" t="str">
        <f>IF(F65="","",RESUMO!$L$2-F65)</f>
        <v/>
      </c>
      <c r="H65" s="14" t="str">
        <f t="shared" si="4"/>
        <v>Data a informar</v>
      </c>
      <c r="I65" s="36" t="str">
        <f t="shared" si="5"/>
        <v>—</v>
      </c>
      <c r="J65" s="15">
        <v>3758.75</v>
      </c>
      <c r="K65" s="14" t="s">
        <v>73</v>
      </c>
      <c r="L65" s="14" t="s">
        <v>74</v>
      </c>
      <c r="M65" s="14" t="s">
        <v>299</v>
      </c>
      <c r="N65" s="14" t="s">
        <v>304</v>
      </c>
      <c r="O65" s="14">
        <v>11</v>
      </c>
      <c r="P65" s="14" t="s">
        <v>310</v>
      </c>
    </row>
    <row r="66" spans="1:16" x14ac:dyDescent="0.25">
      <c r="A66" s="37" t="s">
        <v>239</v>
      </c>
      <c r="B66" s="38" t="s">
        <v>112</v>
      </c>
      <c r="C66" s="37" t="s">
        <v>161</v>
      </c>
      <c r="D66" s="38" t="s">
        <v>240</v>
      </c>
      <c r="E66" s="37" t="s">
        <v>39</v>
      </c>
      <c r="F66" s="39"/>
      <c r="G66" s="40" t="str">
        <f>IF(F66="","",RESUMO!$L$2-F66)</f>
        <v/>
      </c>
      <c r="H66" s="37" t="str">
        <f t="shared" si="4"/>
        <v>Data a informar</v>
      </c>
      <c r="I66" s="36" t="str">
        <f t="shared" si="5"/>
        <v>—</v>
      </c>
      <c r="J66" s="41">
        <v>2959</v>
      </c>
      <c r="K66" s="37" t="s">
        <v>73</v>
      </c>
      <c r="L66" s="37" t="s">
        <v>74</v>
      </c>
      <c r="M66" s="14" t="s">
        <v>299</v>
      </c>
      <c r="N66" s="14" t="s">
        <v>305</v>
      </c>
      <c r="O66" s="14">
        <v>11</v>
      </c>
      <c r="P66" s="14" t="s">
        <v>310</v>
      </c>
    </row>
    <row r="67" spans="1:16" x14ac:dyDescent="0.25">
      <c r="A67" s="14" t="s">
        <v>241</v>
      </c>
      <c r="B67" s="3" t="s">
        <v>112</v>
      </c>
      <c r="C67" s="14" t="s">
        <v>79</v>
      </c>
      <c r="D67" s="3" t="s">
        <v>242</v>
      </c>
      <c r="E67" s="14" t="s">
        <v>39</v>
      </c>
      <c r="F67" s="29"/>
      <c r="G67" s="35" t="str">
        <f>IF(F67="","",RESUMO!$L$2-F67)</f>
        <v/>
      </c>
      <c r="H67" s="14" t="str">
        <f t="shared" si="4"/>
        <v>Data a informar</v>
      </c>
      <c r="I67" s="36" t="str">
        <f t="shared" si="5"/>
        <v>—</v>
      </c>
      <c r="J67" s="15">
        <v>2391.4</v>
      </c>
      <c r="K67" s="14" t="s">
        <v>73</v>
      </c>
      <c r="L67" s="14" t="s">
        <v>74</v>
      </c>
      <c r="M67" s="14" t="s">
        <v>299</v>
      </c>
      <c r="N67" s="14" t="s">
        <v>303</v>
      </c>
      <c r="O67" s="14">
        <v>10</v>
      </c>
      <c r="P67" s="14" t="s">
        <v>313</v>
      </c>
    </row>
    <row r="68" spans="1:16" x14ac:dyDescent="0.25">
      <c r="A68" s="37" t="s">
        <v>243</v>
      </c>
      <c r="B68" s="38" t="s">
        <v>244</v>
      </c>
      <c r="C68" s="37" t="s">
        <v>82</v>
      </c>
      <c r="D68" s="38" t="s">
        <v>245</v>
      </c>
      <c r="E68" s="37" t="s">
        <v>40</v>
      </c>
      <c r="F68" s="39"/>
      <c r="G68" s="40" t="str">
        <f>IF(F68="","",RESUMO!$L$2-F68)</f>
        <v/>
      </c>
      <c r="H68" s="37" t="str">
        <f t="shared" si="4"/>
        <v>Data a informar</v>
      </c>
      <c r="I68" s="36" t="str">
        <f t="shared" si="5"/>
        <v>—</v>
      </c>
      <c r="J68" s="41">
        <v>2210.02</v>
      </c>
      <c r="K68" s="37" t="s">
        <v>73</v>
      </c>
      <c r="L68" s="37" t="s">
        <v>74</v>
      </c>
      <c r="M68" s="14" t="s">
        <v>299</v>
      </c>
      <c r="N68" s="14" t="s">
        <v>303</v>
      </c>
      <c r="O68" s="14">
        <v>10</v>
      </c>
      <c r="P68" s="14" t="s">
        <v>313</v>
      </c>
    </row>
    <row r="69" spans="1:16" x14ac:dyDescent="0.25">
      <c r="A69" s="14" t="s">
        <v>246</v>
      </c>
      <c r="B69" s="3" t="s">
        <v>247</v>
      </c>
      <c r="C69" s="14" t="s">
        <v>76</v>
      </c>
      <c r="D69" s="3" t="s">
        <v>248</v>
      </c>
      <c r="E69" s="14" t="s">
        <v>39</v>
      </c>
      <c r="F69" s="29"/>
      <c r="G69" s="35" t="str">
        <f>IF(F69="","",RESUMO!$L$2-F69)</f>
        <v/>
      </c>
      <c r="H69" s="14" t="str">
        <f t="shared" si="4"/>
        <v>Data a informar</v>
      </c>
      <c r="I69" s="36" t="str">
        <f t="shared" si="5"/>
        <v>—</v>
      </c>
      <c r="J69" s="15">
        <v>2100</v>
      </c>
      <c r="K69" s="14" t="s">
        <v>73</v>
      </c>
      <c r="L69" s="14" t="s">
        <v>74</v>
      </c>
      <c r="M69" s="14" t="s">
        <v>299</v>
      </c>
      <c r="N69" s="14" t="s">
        <v>305</v>
      </c>
      <c r="O69" s="14">
        <v>11</v>
      </c>
      <c r="P69" s="14" t="s">
        <v>310</v>
      </c>
    </row>
    <row r="70" spans="1:16" x14ac:dyDescent="0.25">
      <c r="A70" s="37" t="s">
        <v>249</v>
      </c>
      <c r="B70" s="38" t="s">
        <v>250</v>
      </c>
      <c r="C70" s="37" t="s">
        <v>109</v>
      </c>
      <c r="D70" s="38" t="s">
        <v>251</v>
      </c>
      <c r="E70" s="37" t="s">
        <v>39</v>
      </c>
      <c r="F70" s="39"/>
      <c r="G70" s="40" t="str">
        <f>IF(F70="","",RESUMO!$L$2-F70)</f>
        <v/>
      </c>
      <c r="H70" s="37" t="str">
        <f t="shared" si="4"/>
        <v>Data a informar</v>
      </c>
      <c r="I70" s="36" t="str">
        <f t="shared" si="5"/>
        <v>—</v>
      </c>
      <c r="J70" s="41">
        <v>1300.6600000000001</v>
      </c>
      <c r="K70" s="37" t="s">
        <v>73</v>
      </c>
      <c r="L70" s="37" t="s">
        <v>74</v>
      </c>
      <c r="M70" s="14" t="s">
        <v>299</v>
      </c>
      <c r="N70" s="14" t="s">
        <v>304</v>
      </c>
      <c r="O70" s="14">
        <v>11</v>
      </c>
      <c r="P70" s="14" t="s">
        <v>310</v>
      </c>
    </row>
    <row r="71" spans="1:16" x14ac:dyDescent="0.25">
      <c r="A71" s="14" t="s">
        <v>252</v>
      </c>
      <c r="B71" s="3" t="s">
        <v>253</v>
      </c>
      <c r="C71" s="14" t="s">
        <v>76</v>
      </c>
      <c r="D71" s="3" t="s">
        <v>254</v>
      </c>
      <c r="E71" s="14" t="s">
        <v>40</v>
      </c>
      <c r="F71" s="29"/>
      <c r="G71" s="35" t="str">
        <f>IF(F71="","",RESUMO!$L$2-F71)</f>
        <v/>
      </c>
      <c r="H71" s="14" t="str">
        <f t="shared" si="4"/>
        <v>Data a informar</v>
      </c>
      <c r="I71" s="36" t="str">
        <f t="shared" si="5"/>
        <v>—</v>
      </c>
      <c r="J71" s="15">
        <v>1241.31</v>
      </c>
      <c r="K71" s="14" t="s">
        <v>73</v>
      </c>
      <c r="L71" s="14" t="s">
        <v>74</v>
      </c>
      <c r="M71" s="14" t="s">
        <v>299</v>
      </c>
      <c r="N71" s="14" t="s">
        <v>303</v>
      </c>
      <c r="O71" s="14">
        <v>11</v>
      </c>
      <c r="P71" s="14" t="s">
        <v>310</v>
      </c>
    </row>
    <row r="72" spans="1:16" x14ac:dyDescent="0.25">
      <c r="A72" s="37" t="s">
        <v>255</v>
      </c>
      <c r="B72" s="38" t="s">
        <v>256</v>
      </c>
      <c r="C72" s="37" t="s">
        <v>76</v>
      </c>
      <c r="D72" s="38" t="s">
        <v>248</v>
      </c>
      <c r="E72" s="37" t="s">
        <v>40</v>
      </c>
      <c r="F72" s="39"/>
      <c r="G72" s="40" t="str">
        <f>IF(F72="","",RESUMO!$L$2-F72)</f>
        <v/>
      </c>
      <c r="H72" s="37" t="str">
        <f t="shared" si="4"/>
        <v>Data a informar</v>
      </c>
      <c r="I72" s="36" t="str">
        <f t="shared" si="5"/>
        <v>—</v>
      </c>
      <c r="J72" s="41">
        <v>1094.8699999999999</v>
      </c>
      <c r="K72" s="37" t="s">
        <v>73</v>
      </c>
      <c r="L72" s="37" t="s">
        <v>74</v>
      </c>
      <c r="M72" s="14" t="s">
        <v>299</v>
      </c>
      <c r="N72" s="14" t="s">
        <v>303</v>
      </c>
      <c r="O72" s="14">
        <v>11</v>
      </c>
      <c r="P72" s="14" t="s">
        <v>310</v>
      </c>
    </row>
    <row r="73" spans="1:16" x14ac:dyDescent="0.25">
      <c r="A73" s="14" t="s">
        <v>257</v>
      </c>
      <c r="B73" s="3" t="s">
        <v>258</v>
      </c>
      <c r="C73" s="14" t="s">
        <v>76</v>
      </c>
      <c r="D73" s="3" t="s">
        <v>248</v>
      </c>
      <c r="E73" s="14" t="s">
        <v>39</v>
      </c>
      <c r="F73" s="29"/>
      <c r="G73" s="35" t="str">
        <f>IF(F73="","",RESUMO!$L$2-F73)</f>
        <v/>
      </c>
      <c r="H73" s="14" t="str">
        <f t="shared" si="4"/>
        <v>Data a informar</v>
      </c>
      <c r="I73" s="36" t="str">
        <f t="shared" si="5"/>
        <v>—</v>
      </c>
      <c r="J73" s="15">
        <v>1094.8699999999999</v>
      </c>
      <c r="K73" s="14" t="s">
        <v>73</v>
      </c>
      <c r="L73" s="14" t="s">
        <v>74</v>
      </c>
      <c r="M73" s="14" t="s">
        <v>299</v>
      </c>
      <c r="N73" s="14" t="s">
        <v>305</v>
      </c>
      <c r="O73" s="14">
        <v>11</v>
      </c>
      <c r="P73" s="14" t="s">
        <v>310</v>
      </c>
    </row>
    <row r="74" spans="1:16" x14ac:dyDescent="0.25">
      <c r="A74" s="37" t="s">
        <v>259</v>
      </c>
      <c r="B74" s="38" t="s">
        <v>260</v>
      </c>
      <c r="C74" s="37" t="s">
        <v>76</v>
      </c>
      <c r="D74" s="38" t="s">
        <v>248</v>
      </c>
      <c r="E74" s="37" t="s">
        <v>39</v>
      </c>
      <c r="F74" s="39"/>
      <c r="G74" s="40" t="str">
        <f>IF(F74="","",RESUMO!$L$2-F74)</f>
        <v/>
      </c>
      <c r="H74" s="37" t="str">
        <f t="shared" si="4"/>
        <v>Data a informar</v>
      </c>
      <c r="I74" s="36" t="str">
        <f t="shared" si="5"/>
        <v>—</v>
      </c>
      <c r="J74" s="41">
        <v>1076.1400000000001</v>
      </c>
      <c r="K74" s="37" t="s">
        <v>73</v>
      </c>
      <c r="L74" s="37" t="s">
        <v>74</v>
      </c>
      <c r="M74" s="14" t="s">
        <v>299</v>
      </c>
      <c r="N74" s="14" t="s">
        <v>305</v>
      </c>
      <c r="O74" s="14">
        <v>11</v>
      </c>
      <c r="P74" s="14" t="s">
        <v>310</v>
      </c>
    </row>
    <row r="75" spans="1:16" x14ac:dyDescent="0.25">
      <c r="A75" s="14" t="s">
        <v>261</v>
      </c>
      <c r="B75" s="3" t="s">
        <v>262</v>
      </c>
      <c r="C75" s="14" t="s">
        <v>76</v>
      </c>
      <c r="D75" s="3" t="s">
        <v>248</v>
      </c>
      <c r="E75" s="14" t="s">
        <v>39</v>
      </c>
      <c r="F75" s="29"/>
      <c r="G75" s="35" t="str">
        <f>IF(F75="","",RESUMO!$L$2-F75)</f>
        <v/>
      </c>
      <c r="H75" s="14" t="str">
        <f t="shared" si="4"/>
        <v>Data a informar</v>
      </c>
      <c r="I75" s="36" t="str">
        <f t="shared" si="5"/>
        <v>—</v>
      </c>
      <c r="J75" s="15">
        <v>1074.96</v>
      </c>
      <c r="K75" s="14" t="s">
        <v>73</v>
      </c>
      <c r="L75" s="14" t="s">
        <v>74</v>
      </c>
      <c r="M75" s="14" t="s">
        <v>299</v>
      </c>
      <c r="N75" s="14" t="s">
        <v>305</v>
      </c>
      <c r="O75" s="14">
        <v>11</v>
      </c>
      <c r="P75" s="14" t="s">
        <v>310</v>
      </c>
    </row>
    <row r="76" spans="1:16" x14ac:dyDescent="0.25">
      <c r="A76" s="37" t="s">
        <v>263</v>
      </c>
      <c r="B76" s="38" t="s">
        <v>264</v>
      </c>
      <c r="C76" s="37" t="s">
        <v>76</v>
      </c>
      <c r="D76" s="38" t="s">
        <v>248</v>
      </c>
      <c r="E76" s="37" t="s">
        <v>39</v>
      </c>
      <c r="F76" s="39"/>
      <c r="G76" s="40" t="str">
        <f>IF(F76="","",RESUMO!$L$2-F76)</f>
        <v/>
      </c>
      <c r="H76" s="37" t="str">
        <f t="shared" si="4"/>
        <v>Data a informar</v>
      </c>
      <c r="I76" s="36" t="str">
        <f t="shared" si="5"/>
        <v>—</v>
      </c>
      <c r="J76" s="41">
        <v>1005.98</v>
      </c>
      <c r="K76" s="37" t="s">
        <v>73</v>
      </c>
      <c r="L76" s="37" t="s">
        <v>74</v>
      </c>
      <c r="M76" s="14" t="s">
        <v>299</v>
      </c>
      <c r="N76" s="14" t="s">
        <v>305</v>
      </c>
      <c r="O76" s="14">
        <v>11</v>
      </c>
      <c r="P76" s="14" t="s">
        <v>310</v>
      </c>
    </row>
    <row r="77" spans="1:16" x14ac:dyDescent="0.25">
      <c r="A77" s="14" t="s">
        <v>265</v>
      </c>
      <c r="B77" s="3" t="s">
        <v>112</v>
      </c>
      <c r="C77" s="14" t="s">
        <v>214</v>
      </c>
      <c r="D77" s="3" t="s">
        <v>266</v>
      </c>
      <c r="E77" s="14" t="s">
        <v>39</v>
      </c>
      <c r="F77" s="29"/>
      <c r="G77" s="35" t="str">
        <f>IF(F77="","",RESUMO!$L$2-F77)</f>
        <v/>
      </c>
      <c r="H77" s="14" t="str">
        <f t="shared" si="4"/>
        <v>Data a informar</v>
      </c>
      <c r="I77" s="36" t="str">
        <f t="shared" si="5"/>
        <v>—</v>
      </c>
      <c r="J77" s="15">
        <v>960</v>
      </c>
      <c r="K77" s="14" t="s">
        <v>73</v>
      </c>
      <c r="L77" s="14" t="s">
        <v>74</v>
      </c>
      <c r="M77" s="14" t="s">
        <v>299</v>
      </c>
      <c r="N77" s="14" t="s">
        <v>304</v>
      </c>
      <c r="O77" s="14">
        <v>11</v>
      </c>
      <c r="P77" s="14" t="s">
        <v>310</v>
      </c>
    </row>
    <row r="78" spans="1:16" x14ac:dyDescent="0.25">
      <c r="A78" s="37" t="s">
        <v>267</v>
      </c>
      <c r="B78" s="38" t="s">
        <v>268</v>
      </c>
      <c r="C78" s="37" t="s">
        <v>76</v>
      </c>
      <c r="D78" s="38" t="s">
        <v>269</v>
      </c>
      <c r="E78" s="37" t="s">
        <v>40</v>
      </c>
      <c r="F78" s="39"/>
      <c r="G78" s="40" t="str">
        <f>IF(F78="","",RESUMO!$L$2-F78)</f>
        <v/>
      </c>
      <c r="H78" s="37" t="str">
        <f t="shared" si="4"/>
        <v>Data a informar</v>
      </c>
      <c r="I78" s="36" t="str">
        <f t="shared" si="5"/>
        <v>—</v>
      </c>
      <c r="J78" s="41">
        <v>713.94</v>
      </c>
      <c r="K78" s="37" t="s">
        <v>73</v>
      </c>
      <c r="L78" s="37" t="s">
        <v>74</v>
      </c>
      <c r="M78" s="14" t="s">
        <v>299</v>
      </c>
      <c r="N78" s="14" t="s">
        <v>303</v>
      </c>
      <c r="O78" s="14">
        <v>11</v>
      </c>
      <c r="P78" s="14" t="s">
        <v>310</v>
      </c>
    </row>
    <row r="79" spans="1:16" x14ac:dyDescent="0.25">
      <c r="A79" s="14" t="s">
        <v>270</v>
      </c>
      <c r="B79" s="3" t="s">
        <v>271</v>
      </c>
      <c r="C79" s="14" t="s">
        <v>109</v>
      </c>
      <c r="D79" s="3" t="s">
        <v>272</v>
      </c>
      <c r="E79" s="14" t="s">
        <v>39</v>
      </c>
      <c r="F79" s="29"/>
      <c r="G79" s="35" t="str">
        <f>IF(F79="","",RESUMO!$L$2-F79)</f>
        <v/>
      </c>
      <c r="H79" s="14" t="str">
        <f t="shared" si="4"/>
        <v>Data a informar</v>
      </c>
      <c r="I79" s="36" t="str">
        <f t="shared" si="5"/>
        <v>—</v>
      </c>
      <c r="J79" s="15">
        <v>570</v>
      </c>
      <c r="K79" s="14" t="s">
        <v>73</v>
      </c>
      <c r="L79" s="14" t="s">
        <v>74</v>
      </c>
      <c r="M79" s="14" t="s">
        <v>299</v>
      </c>
      <c r="N79" s="14" t="s">
        <v>304</v>
      </c>
      <c r="O79" s="14">
        <v>11</v>
      </c>
      <c r="P79" s="14" t="s">
        <v>310</v>
      </c>
    </row>
    <row r="80" spans="1:16" x14ac:dyDescent="0.25">
      <c r="A80" s="37" t="s">
        <v>273</v>
      </c>
      <c r="B80" s="38" t="s">
        <v>274</v>
      </c>
      <c r="C80" s="37" t="s">
        <v>95</v>
      </c>
      <c r="D80" s="38" t="s">
        <v>275</v>
      </c>
      <c r="E80" s="37" t="s">
        <v>41</v>
      </c>
      <c r="F80" s="39"/>
      <c r="G80" s="40" t="str">
        <f>IF(F80="","",RESUMO!$L$2-F80)</f>
        <v/>
      </c>
      <c r="H80" s="37" t="str">
        <f t="shared" si="4"/>
        <v>Data a informar</v>
      </c>
      <c r="I80" s="36" t="str">
        <f t="shared" si="5"/>
        <v>—</v>
      </c>
      <c r="J80" s="41">
        <v>500</v>
      </c>
      <c r="K80" s="37" t="s">
        <v>73</v>
      </c>
      <c r="L80" s="37" t="s">
        <v>74</v>
      </c>
      <c r="M80" s="14" t="s">
        <v>299</v>
      </c>
      <c r="N80" s="14" t="s">
        <v>303</v>
      </c>
      <c r="O80" s="14">
        <v>9</v>
      </c>
      <c r="P80" s="14" t="s">
        <v>313</v>
      </c>
    </row>
    <row r="81" spans="1:16" x14ac:dyDescent="0.25">
      <c r="A81" s="14" t="s">
        <v>276</v>
      </c>
      <c r="B81" s="3" t="s">
        <v>277</v>
      </c>
      <c r="C81" s="14" t="s">
        <v>82</v>
      </c>
      <c r="D81" s="3" t="s">
        <v>278</v>
      </c>
      <c r="E81" s="14" t="s">
        <v>39</v>
      </c>
      <c r="F81" s="29"/>
      <c r="G81" s="35" t="str">
        <f>IF(F81="","",RESUMO!$L$2-F81)</f>
        <v/>
      </c>
      <c r="H81" s="14" t="str">
        <f t="shared" ref="H81" si="6">IF(F81="","Data a informar",IF(G81&lt;=15,"0–15 dias",IF(G81&lt;=30,"16–30 dias",IF(G81&lt;=60,"31–60 dias",IF(G81&lt;=90,"61–90 dias","Acima de 90 dias")))))</f>
        <v>Data a informar</v>
      </c>
      <c r="I81" s="36" t="str">
        <f t="shared" si="5"/>
        <v>—</v>
      </c>
      <c r="J81" s="15">
        <v>395.7</v>
      </c>
      <c r="K81" s="14" t="s">
        <v>73</v>
      </c>
      <c r="L81" s="14" t="s">
        <v>74</v>
      </c>
      <c r="M81" s="14" t="s">
        <v>299</v>
      </c>
      <c r="N81" s="14" t="s">
        <v>303</v>
      </c>
      <c r="O81" s="14">
        <v>10</v>
      </c>
      <c r="P81" s="14" t="s">
        <v>313</v>
      </c>
    </row>
    <row r="82" spans="1:16" x14ac:dyDescent="0.25">
      <c r="A82" s="21"/>
      <c r="B82" s="21"/>
      <c r="C82" s="21"/>
      <c r="D82" s="33" t="s">
        <v>279</v>
      </c>
      <c r="E82" s="21"/>
      <c r="F82" s="21"/>
      <c r="G82" s="21"/>
      <c r="H82" s="21"/>
      <c r="I82" s="21" t="str">
        <f>SUBTOTAL(103,A6:A81)&amp;" OS"</f>
        <v>76 OS</v>
      </c>
      <c r="J82" s="22">
        <f>SUBTOTAL(109,J6:J81)</f>
        <v>394438.64000000013</v>
      </c>
      <c r="K82" s="21"/>
      <c r="L82" s="21"/>
      <c r="M82" s="21"/>
      <c r="N82" s="21"/>
      <c r="O82" s="21"/>
      <c r="P82" s="21"/>
    </row>
  </sheetData>
  <autoFilter ref="A5:P81" xr:uid="{00000000-0001-0000-0100-000000000000}"/>
  <conditionalFormatting sqref="I6:I81">
    <cfRule type="expression" dxfId="2" priority="2">
      <formula>$I6="VERDE"</formula>
    </cfRule>
    <cfRule type="expression" dxfId="1" priority="3">
      <formula>$I6="AMARELO"</formula>
    </cfRule>
    <cfRule type="expression" dxfId="0" priority="4">
      <formula>$I6="VERMELHO"</formula>
    </cfRule>
  </conditionalFormatting>
  <pageMargins left="0.75" right="0.75" top="1" bottom="1" header="0.511811023622047" footer="0.511811023622047"/>
  <pageSetup fitToHeight="0" orientation="landscape" horizontalDpi="300" verticalDpi="300"/>
  <headerFooter>
    <oddFooter>&amp;L_x000D_&amp;1#&amp;"Aptos"&amp;10&amp;K0000FF Público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95F0F"/>
  </sheetPr>
  <dimension ref="A1:K10"/>
  <sheetViews>
    <sheetView showGridLines="0" zoomScaleNormal="100" workbookViewId="0">
      <selection activeCell="C1" sqref="C1:C1048576"/>
    </sheetView>
  </sheetViews>
  <sheetFormatPr defaultColWidth="8.7109375" defaultRowHeight="15" x14ac:dyDescent="0.25"/>
  <cols>
    <col min="1" max="1" width="13" customWidth="1"/>
    <col min="2" max="2" width="18" customWidth="1"/>
    <col min="3" max="3" width="17" customWidth="1"/>
    <col min="4" max="5" width="13" customWidth="1"/>
    <col min="6" max="6" width="14" customWidth="1"/>
    <col min="7" max="7" width="13" customWidth="1"/>
    <col min="8" max="8" width="14" customWidth="1"/>
    <col min="9" max="9" width="15" customWidth="1"/>
    <col min="10" max="10" width="13" customWidth="1"/>
    <col min="11" max="11" width="12" customWidth="1"/>
  </cols>
  <sheetData>
    <row r="1" spans="1:11" ht="19.5" customHeight="1" x14ac:dyDescent="0.3">
      <c r="E1" s="4" t="s">
        <v>280</v>
      </c>
    </row>
    <row r="2" spans="1:11" ht="19.5" customHeight="1" x14ac:dyDescent="0.25">
      <c r="E2" s="5" t="s">
        <v>281</v>
      </c>
    </row>
    <row r="3" spans="1:11" ht="13.5" customHeight="1" x14ac:dyDescent="0.25"/>
    <row r="5" spans="1:11" ht="30" customHeight="1" x14ac:dyDescent="0.25">
      <c r="A5" s="2" t="s">
        <v>63</v>
      </c>
      <c r="B5" s="2" t="s">
        <v>64</v>
      </c>
      <c r="C5" s="2" t="s">
        <v>46</v>
      </c>
      <c r="D5" s="2" t="s">
        <v>282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287</v>
      </c>
      <c r="J5" s="2" t="s">
        <v>67</v>
      </c>
      <c r="K5" s="2" t="s">
        <v>288</v>
      </c>
    </row>
    <row r="6" spans="1:11" x14ac:dyDescent="0.25">
      <c r="A6" s="14" t="s">
        <v>289</v>
      </c>
      <c r="B6" s="14" t="s">
        <v>290</v>
      </c>
      <c r="C6" s="14" t="s">
        <v>71</v>
      </c>
      <c r="D6" s="35">
        <v>4500764516</v>
      </c>
      <c r="E6" s="35">
        <v>1000701189</v>
      </c>
      <c r="F6" s="42">
        <v>3484.32</v>
      </c>
      <c r="G6" s="35">
        <v>1000701191</v>
      </c>
      <c r="H6" s="42">
        <v>5226.49</v>
      </c>
      <c r="I6" s="42">
        <f>F6+H6</f>
        <v>8710.81</v>
      </c>
      <c r="J6" s="29">
        <v>46104</v>
      </c>
      <c r="K6" s="30">
        <f>DATE(2026,10,21)-J6</f>
        <v>212</v>
      </c>
    </row>
    <row r="7" spans="1:11" x14ac:dyDescent="0.25">
      <c r="A7" s="14" t="s">
        <v>291</v>
      </c>
      <c r="B7" s="14" t="s">
        <v>292</v>
      </c>
      <c r="C7" s="14" t="s">
        <v>293</v>
      </c>
      <c r="D7" s="35">
        <v>4500764913</v>
      </c>
      <c r="E7" s="35">
        <v>1000701187</v>
      </c>
      <c r="F7" s="42">
        <v>4656.5600000000004</v>
      </c>
      <c r="G7" s="35">
        <v>1000701188</v>
      </c>
      <c r="H7" s="42">
        <v>6984.83</v>
      </c>
      <c r="I7" s="42">
        <f>F7+H7</f>
        <v>11641.39</v>
      </c>
      <c r="J7" s="29">
        <v>46254</v>
      </c>
      <c r="K7" s="30">
        <f>DATE(2026,10,21)-J7</f>
        <v>62</v>
      </c>
    </row>
    <row r="8" spans="1:11" x14ac:dyDescent="0.25">
      <c r="A8" s="21" t="s">
        <v>34</v>
      </c>
      <c r="B8" s="21"/>
      <c r="C8" s="21"/>
      <c r="D8" s="21"/>
      <c r="E8" s="21"/>
      <c r="F8" s="21"/>
      <c r="G8" s="21"/>
      <c r="H8" s="21" t="s">
        <v>294</v>
      </c>
      <c r="I8" s="27">
        <f>SUM(I6:I7)</f>
        <v>20352.199999999997</v>
      </c>
      <c r="J8" s="21"/>
      <c r="K8" s="21"/>
    </row>
    <row r="10" spans="1:11" x14ac:dyDescent="0.25">
      <c r="A10" s="34" t="s">
        <v>295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&amp;L_x000D_&amp;1#&amp;"Aptos"&amp;10&amp;K0000FF Público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62DC-85A2-41F8-A670-6A3951FCC504}">
  <dimension ref="A1:B7"/>
  <sheetViews>
    <sheetView showGridLines="0" zoomScale="150" zoomScaleNormal="150" workbookViewId="0">
      <selection activeCell="B2" sqref="B2"/>
    </sheetView>
  </sheetViews>
  <sheetFormatPr defaultRowHeight="15" x14ac:dyDescent="0.25"/>
  <cols>
    <col min="1" max="1" width="12.85546875" customWidth="1"/>
    <col min="2" max="2" width="22.140625" customWidth="1"/>
  </cols>
  <sheetData>
    <row r="1" spans="1:2" ht="25.5" x14ac:dyDescent="0.25">
      <c r="A1" s="2" t="s">
        <v>314</v>
      </c>
      <c r="B1" s="2" t="s">
        <v>315</v>
      </c>
    </row>
    <row r="2" spans="1:2" x14ac:dyDescent="0.25">
      <c r="A2" s="39">
        <v>46366</v>
      </c>
      <c r="B2" s="46">
        <v>-7569.7</v>
      </c>
    </row>
    <row r="3" spans="1:2" x14ac:dyDescent="0.25">
      <c r="A3" s="39">
        <v>46356</v>
      </c>
      <c r="B3" s="46">
        <v>-86614.1</v>
      </c>
    </row>
    <row r="4" spans="1:2" x14ac:dyDescent="0.25">
      <c r="A4" s="29">
        <v>46346</v>
      </c>
      <c r="B4" s="47">
        <v>-48687.11</v>
      </c>
    </row>
    <row r="5" spans="1:2" x14ac:dyDescent="0.25">
      <c r="A5" s="39">
        <v>46336</v>
      </c>
      <c r="B5" s="46">
        <v>-116350.42000000001</v>
      </c>
    </row>
    <row r="6" spans="1:2" ht="15.75" thickBot="1" x14ac:dyDescent="0.3">
      <c r="A6" s="48">
        <v>46325</v>
      </c>
      <c r="B6" s="49">
        <v>-19563.05</v>
      </c>
    </row>
    <row r="7" spans="1:2" ht="15.75" thickBot="1" x14ac:dyDescent="0.3">
      <c r="A7" s="50" t="s">
        <v>34</v>
      </c>
      <c r="B7" s="51">
        <v>-278784.38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aea3331-7474-41e2-8729-4f0afc259ba0}" enabled="1" method="Privileged" siteId="{5c397059-9711-4e99-99f1-4d475696b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BASE</vt:lpstr>
      <vt:lpstr>LIBERADAS 21-10</vt:lpstr>
      <vt:lpstr>LP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Carla Rafaela Lopes Da Silva</cp:lastModifiedBy>
  <cp:revision>1</cp:revision>
  <dcterms:created xsi:type="dcterms:W3CDTF">2026-10-22T12:48:26Z</dcterms:created>
  <dcterms:modified xsi:type="dcterms:W3CDTF">2026-10-29T12:55:34Z</dcterms:modified>
  <cp:category/>
  <cp:contentStatus/>
</cp:coreProperties>
</file>