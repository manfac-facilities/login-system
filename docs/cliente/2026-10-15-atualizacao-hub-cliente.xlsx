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ome\Downloads\"/>
    </mc:Choice>
  </mc:AlternateContent>
  <xr:revisionPtr revIDLastSave="0" documentId="13_ncr:1_{397B3DB7-CFF0-4463-AB6E-B72482871979}" xr6:coauthVersionLast="47" xr6:coauthVersionMax="47" xr10:uidLastSave="{00000000-0000-0000-0000-000000000000}"/>
  <bookViews>
    <workbookView xWindow="-108" yWindow="-108" windowWidth="23256" windowHeight="13896" activeTab="1" xr2:uid="{F59D9794-93DA-436C-82FF-BFF0AC6D0BC4}"/>
  </bookViews>
  <sheets>
    <sheet name="Planilha1" sheetId="1" r:id="rId1"/>
    <sheet name="NEM NO HUB NEM NO FIELD" sheetId="2"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0" i="2" l="1"/>
  <c r="AC10" i="2"/>
  <c r="AB10" i="2"/>
  <c r="AA10" i="2"/>
  <c r="Z10" i="2"/>
  <c r="Y10" i="2"/>
  <c r="AD9" i="2"/>
  <c r="AC9" i="2"/>
  <c r="AB9" i="2"/>
  <c r="AA9" i="2"/>
  <c r="Z9" i="2"/>
  <c r="Y9" i="2"/>
  <c r="AD8" i="2"/>
  <c r="AC8" i="2"/>
  <c r="AB8" i="2"/>
  <c r="AA8" i="2"/>
  <c r="Z8" i="2"/>
  <c r="Y8" i="2"/>
  <c r="AD7" i="2"/>
  <c r="AC7" i="2"/>
  <c r="AB7" i="2"/>
  <c r="AA7" i="2"/>
  <c r="Z7" i="2"/>
  <c r="Y7" i="2"/>
  <c r="AD6" i="2"/>
  <c r="AC6" i="2"/>
  <c r="AB6" i="2"/>
  <c r="AA6" i="2"/>
  <c r="Z6" i="2"/>
  <c r="Y6" i="2"/>
  <c r="AD5" i="2"/>
  <c r="AC5" i="2"/>
  <c r="AB5" i="2"/>
  <c r="AA5" i="2"/>
  <c r="Z5" i="2"/>
  <c r="Y5" i="2"/>
  <c r="AD4" i="2"/>
  <c r="AC4" i="2"/>
  <c r="AB4" i="2"/>
  <c r="AA4" i="2"/>
  <c r="Z4" i="2"/>
  <c r="Y4" i="2"/>
  <c r="AD3" i="2"/>
  <c r="AC3" i="2"/>
  <c r="AB3" i="2"/>
  <c r="AA3" i="2"/>
  <c r="Z3" i="2"/>
  <c r="Y3" i="2"/>
  <c r="C77" i="1" l="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alcChain>
</file>

<file path=xl/sharedStrings.xml><?xml version="1.0" encoding="utf-8"?>
<sst xmlns="http://schemas.openxmlformats.org/spreadsheetml/2006/main" count="394" uniqueCount="157">
  <si>
    <t>Coluna1</t>
  </si>
  <si>
    <t>Coluna3</t>
  </si>
  <si>
    <t>Coluna4</t>
  </si>
  <si>
    <t>Coluna5</t>
  </si>
  <si>
    <t>0126-015288</t>
  </si>
  <si>
    <t>CLIENTE</t>
  </si>
  <si>
    <t xml:space="preserve">NO FIELD E NÃO NO HUB </t>
  </si>
  <si>
    <t>0226-009618</t>
  </si>
  <si>
    <t>0326-009215</t>
  </si>
  <si>
    <t>0326-009444</t>
  </si>
  <si>
    <t>0326-010522</t>
  </si>
  <si>
    <t>0326-012374</t>
  </si>
  <si>
    <t>0326-012395</t>
  </si>
  <si>
    <t>0326-018781</t>
  </si>
  <si>
    <t>0426-012516</t>
  </si>
  <si>
    <t>0426-016925</t>
  </si>
  <si>
    <t>0426-016931</t>
  </si>
  <si>
    <t>0426-017866</t>
  </si>
  <si>
    <t>0526-008051</t>
  </si>
  <si>
    <t>0526-013041</t>
  </si>
  <si>
    <t>0526-013810</t>
  </si>
  <si>
    <t>0526-016397</t>
  </si>
  <si>
    <t>0526-016495</t>
  </si>
  <si>
    <t>0526-017199</t>
  </si>
  <si>
    <t>0526-018908</t>
  </si>
  <si>
    <t>0526-019340</t>
  </si>
  <si>
    <t>0526-019250</t>
  </si>
  <si>
    <t>0626-004129</t>
  </si>
  <si>
    <t>0626-004183</t>
  </si>
  <si>
    <t>0626-004592</t>
  </si>
  <si>
    <t>0626-005012</t>
  </si>
  <si>
    <t>0626-005068</t>
  </si>
  <si>
    <t>0626-005488</t>
  </si>
  <si>
    <t>0626-005880</t>
  </si>
  <si>
    <t>0626-006632</t>
  </si>
  <si>
    <t>0526-019295</t>
  </si>
  <si>
    <t>NÃO NO HUB E NÃO NO FIELD</t>
  </si>
  <si>
    <t>0626-003845</t>
  </si>
  <si>
    <t>0726-009420</t>
  </si>
  <si>
    <t>0726-010838</t>
  </si>
  <si>
    <t>0726-011532</t>
  </si>
  <si>
    <t>0726-012445</t>
  </si>
  <si>
    <t>0726-013344</t>
  </si>
  <si>
    <t>0726-015135</t>
  </si>
  <si>
    <t>0726-017988</t>
  </si>
  <si>
    <t>0726-018016</t>
  </si>
  <si>
    <t>0726-018834</t>
  </si>
  <si>
    <t>0726-018751</t>
  </si>
  <si>
    <t>0726-018624</t>
  </si>
  <si>
    <t>0726-009288</t>
  </si>
  <si>
    <t>0826-006388</t>
  </si>
  <si>
    <t>0726-019011</t>
  </si>
  <si>
    <t>0826-005453</t>
  </si>
  <si>
    <t>0726-017515</t>
  </si>
  <si>
    <t>0826-007642</t>
  </si>
  <si>
    <t>0926-011139</t>
  </si>
  <si>
    <t>0826-009182</t>
  </si>
  <si>
    <t>0826-007943</t>
  </si>
  <si>
    <t>0826-006948</t>
  </si>
  <si>
    <t>0726-018710</t>
  </si>
  <si>
    <t>0826-011936</t>
  </si>
  <si>
    <t>0726-017712</t>
  </si>
  <si>
    <t>0826-007936</t>
  </si>
  <si>
    <t>0826-008257</t>
  </si>
  <si>
    <t>0726-018684</t>
  </si>
  <si>
    <t>SEM OS</t>
  </si>
  <si>
    <t>0926-011149</t>
  </si>
  <si>
    <t>1125-010536</t>
  </si>
  <si>
    <t>1125-015968</t>
  </si>
  <si>
    <t>1125-016234</t>
  </si>
  <si>
    <t>1125-016236</t>
  </si>
  <si>
    <t>0826-009507</t>
  </si>
  <si>
    <t>0926-010483</t>
  </si>
  <si>
    <t>0726-017852</t>
  </si>
  <si>
    <t>0926-010003</t>
  </si>
  <si>
    <t>0926-009636</t>
  </si>
  <si>
    <t>0826-004429</t>
  </si>
  <si>
    <t>0726-009714</t>
  </si>
  <si>
    <t>0926-015838</t>
  </si>
  <si>
    <t>1026-006815</t>
  </si>
  <si>
    <t>1026-005832</t>
  </si>
  <si>
    <t>1026-005925</t>
  </si>
  <si>
    <t>0626-014071</t>
  </si>
  <si>
    <t>HUB</t>
  </si>
  <si>
    <t>NO HUB E NÃO NO FIELD</t>
  </si>
  <si>
    <t>1026-006374</t>
  </si>
  <si>
    <t>0726-018976</t>
  </si>
  <si>
    <t>1026-007524</t>
  </si>
  <si>
    <t>0926-014930</t>
  </si>
  <si>
    <t>0526-014042</t>
  </si>
  <si>
    <t>0726-019256</t>
  </si>
  <si>
    <t>Nº Chamado</t>
  </si>
  <si>
    <t>Data de Criação da Ação</t>
  </si>
  <si>
    <t>Data de Finalização do Chamado</t>
  </si>
  <si>
    <t>Sobrenome do Solicitante do Chamado</t>
  </si>
  <si>
    <t>Descrição do Chamado</t>
  </si>
  <si>
    <t>Sequência</t>
  </si>
  <si>
    <t>VALOR TOTAL</t>
  </si>
  <si>
    <t>Status Atual do Chamado - Nome</t>
  </si>
  <si>
    <t>Nome Fantasia do Cliente do Chamado</t>
  </si>
  <si>
    <t>Nome da Categoria do Chamado</t>
  </si>
  <si>
    <t>Nome do Operador</t>
  </si>
  <si>
    <t>Transferido para Operador - Nome</t>
  </si>
  <si>
    <t>Transferido Para Grupo - Nome</t>
  </si>
  <si>
    <t>First Call Resolution</t>
  </si>
  <si>
    <t>Operador responsável pela Ação - Nome Completo</t>
  </si>
  <si>
    <t>Operador Avaliado - Nome Completo</t>
  </si>
  <si>
    <t>Nome do Grupo de Empresa</t>
  </si>
  <si>
    <t>Aprovadores do Chamado</t>
  </si>
  <si>
    <t>Função do Operador da Ação - Nome</t>
  </si>
  <si>
    <t>Status da Ação - Nome</t>
  </si>
  <si>
    <t>Data da Alteração da Ação</t>
  </si>
  <si>
    <t>Data da Alteração</t>
  </si>
  <si>
    <t>Data de Criação do Chamado</t>
  </si>
  <si>
    <t>Analista</t>
  </si>
  <si>
    <t>VLR ORÇ APROVADO</t>
  </si>
  <si>
    <t>VLR AG. APROV</t>
  </si>
  <si>
    <t>VLR RESOLVIDO</t>
  </si>
  <si>
    <t>REGIONAL</t>
  </si>
  <si>
    <t>PROGRAMADO</t>
  </si>
  <si>
    <t>CHAVE-DPSP</t>
  </si>
  <si>
    <t>@</t>
  </si>
  <si>
    <t>DP BARRA DA TIJUCA 5</t>
  </si>
  <si>
    <t>Solicito desentupimento do esgoto e caixas de gordura, água retornando pra loja</t>
  </si>
  <si>
    <t>Orçamento Aprovado</t>
  </si>
  <si>
    <t>HIDRAULICA</t>
  </si>
  <si>
    <t>EFM</t>
  </si>
  <si>
    <t>N</t>
  </si>
  <si>
    <t>EFM ADMINISTRATIVO</t>
  </si>
  <si>
    <t>ATIVARIO CLIM. RJ ZONA SUL</t>
  </si>
  <si>
    <t>Aguardando Aprovação</t>
  </si>
  <si>
    <t>Leandro</t>
  </si>
  <si>
    <t>#N/A</t>
  </si>
  <si>
    <t>RJ BARRA</t>
  </si>
  <si>
    <t>PROGRAMADA</t>
  </si>
  <si>
    <t>0526-019295Aguardando Aprovação</t>
  </si>
  <si>
    <t>DP RIO BRANCO 2</t>
  </si>
  <si>
    <t>Prezados, bom dia!
 A Porta 3 encontra-se desalinhada, apresentando grande dificuldade para fechamento, sendo necessário o auxílio de dois colaboradores para realizar essa operação, o que compromete a rotina e a segurança operacional da filial.
 Ressalto que, em atendimento anterior, a equipe de manutenção informou que a porta não possui condições de reparo, sendo necessária a substituição completa por uma nova.
 Dessa forma, solicito providências para a troca da Porta 3 com a maior brevidade possível, a fim de garantir a segurança e o correto funcionamento da unidade.
 Atenciosamente,
 Dayane Polito
 Gerente de Loja</t>
  </si>
  <si>
    <t>SERRALHERIA</t>
  </si>
  <si>
    <t>DP BARRA DA TIJUCA 3</t>
  </si>
  <si>
    <t>solicito uma tomada 127v para a geladeira que chegou a que temos e 220v</t>
  </si>
  <si>
    <t>ELETRICA</t>
  </si>
  <si>
    <t>EFM OBRAS</t>
  </si>
  <si>
    <t>EFM OBRAS ENGENHARIA</t>
  </si>
  <si>
    <t>DP BUZIOS</t>
  </si>
  <si>
    <t>Solicito instalação de novo ponto de tomada para geladeira nova.</t>
  </si>
  <si>
    <t>DP ICARAI 13</t>
  </si>
  <si>
    <t>Instalação de um novo ponto de tomada 110v para geladeira de medicamentos</t>
  </si>
  <si>
    <t>Amanda</t>
  </si>
  <si>
    <t>DP ITANHANGA</t>
  </si>
  <si>
    <t>solicito a instalaçaõ de uma nova tomada pra geladeira nova que chegou na filial</t>
  </si>
  <si>
    <t>DP RIO DAS OSTRAS 4</t>
  </si>
  <si>
    <t>bom dia , loja recebeu a geladeira nova na voltagens de 110 , solicito novo ponto de tomada 110.</t>
  </si>
  <si>
    <t>DP SHOPPING BARRA SHOPPING</t>
  </si>
  <si>
    <t>Solicito a troca da tomada da geladeira de insulina, tomada de 220 e a geladeira é de 127</t>
  </si>
  <si>
    <t>DP SHOPPING PLAZA NITEROI</t>
  </si>
  <si>
    <t>Solicito uma novo ponto de tomada para geladeira nova .
 tomada 110
 tomada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</si>
</sst>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rgb="FF0000FF"/>
      <name val="Calibri"/>
    </font>
    <font>
      <b/>
      <sz val="10"/>
      <color rgb="FFFF0000"/>
      <name val="Calibri"/>
      <scheme val="minor"/>
    </font>
    <font>
      <sz val="10"/>
      <color theme="1"/>
      <name val="Calibri"/>
      <scheme val="minor"/>
    </font>
    <font>
      <sz val="10"/>
      <color theme="1"/>
      <name val="Arial"/>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14" fontId="4" fillId="0" borderId="0" xfId="0" applyNumberFormat="1" applyFont="1" applyAlignment="1">
      <alignment horizontal="right"/>
    </xf>
    <xf numFmtId="4" fontId="4" fillId="0" borderId="0" xfId="0" applyNumberFormat="1" applyFont="1"/>
    <xf numFmtId="4" fontId="4" fillId="0" borderId="0" xfId="0" applyNumberFormat="1" applyFont="1" applyAlignment="1">
      <alignment horizontal="right"/>
    </xf>
    <xf numFmtId="0" fontId="4" fillId="0" borderId="0" xfId="0" applyFont="1" applyAlignment="1">
      <alignment horizontal="right"/>
    </xf>
    <xf numFmtId="0" fontId="4" fillId="0" borderId="0" xfId="0" applyFont="1"/>
    <xf numFmtId="0" fontId="0" fillId="0" borderId="0" xfId="0"/>
    <xf numFmtId="0" fontId="4" fillId="0" borderId="0" xfId="0" applyFont="1" applyAlignment="1">
      <alignment horizontal="center"/>
    </xf>
    <xf numFmtId="4" fontId="4" fillId="0" borderId="0" xfId="0" applyNumberFormat="1" applyFont="1"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ome\Downloads\CONTROLE%20DE%20SPOT_DPSP.xlsx" TargetMode="External"/><Relationship Id="rId1" Type="http://schemas.openxmlformats.org/officeDocument/2006/relationships/externalLinkPath" Target="CONTROLE%20DE%20SPOT_DPS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E SPOT"/>
      <sheetName val="SPOT"/>
      <sheetName val="RESUMO"/>
      <sheetName val="LISTA LOJAS"/>
      <sheetName val="PIPELINE SPOT"/>
      <sheetName val="PLANEJAMENTO SEMANAL"/>
      <sheetName val="Página15"/>
      <sheetName val="OS COMPULSORIO"/>
      <sheetName val="Página16"/>
      <sheetName val="FATURAMENTO DPSP"/>
      <sheetName val="AUX"/>
    </sheetNames>
    <sheetDataSet>
      <sheetData sheetId="0"/>
      <sheetData sheetId="1"/>
      <sheetData sheetId="2"/>
      <sheetData sheetId="3">
        <row r="1">
          <cell r="C1" t="str">
            <v>LOJAS</v>
          </cell>
          <cell r="D1" t="str">
            <v>REGIAO GGL</v>
          </cell>
        </row>
        <row r="2">
          <cell r="C2" t="str">
            <v>DP LAGOA I</v>
          </cell>
          <cell r="D2" t="str">
            <v>RJ IPANEMA</v>
          </cell>
        </row>
        <row r="3">
          <cell r="C3" t="str">
            <v>DP BARRA DA TIJUCA 10</v>
          </cell>
          <cell r="D3" t="str">
            <v>RJ BARRA</v>
          </cell>
        </row>
        <row r="4">
          <cell r="C4" t="str">
            <v>DP BARRA DA TIJUCA 2</v>
          </cell>
          <cell r="D4" t="str">
            <v>RJ BARRA</v>
          </cell>
        </row>
        <row r="5">
          <cell r="C5" t="str">
            <v>DP BARRA DA TIJUCA 3</v>
          </cell>
          <cell r="D5" t="str">
            <v>RJ BARRA</v>
          </cell>
        </row>
        <row r="6">
          <cell r="C6" t="str">
            <v>DP BARRA DA TIJUCA 4</v>
          </cell>
          <cell r="D6" t="str">
            <v>RJ BARRA</v>
          </cell>
        </row>
        <row r="7">
          <cell r="C7" t="str">
            <v>DP BARRA DA TIJUCA 5</v>
          </cell>
          <cell r="D7" t="str">
            <v>RJ BARRA</v>
          </cell>
        </row>
        <row r="8">
          <cell r="C8" t="str">
            <v>DPA BARRA DA TIJUCA 6</v>
          </cell>
          <cell r="D8" t="str">
            <v>RJ BARRA</v>
          </cell>
        </row>
        <row r="9">
          <cell r="C9" t="str">
            <v>DP BARRA DA TIJUCA 7</v>
          </cell>
          <cell r="D9" t="str">
            <v>RJ BARRA</v>
          </cell>
        </row>
        <row r="10">
          <cell r="C10" t="str">
            <v>DP BARRA DA TIJUCA 8</v>
          </cell>
          <cell r="D10" t="str">
            <v>RJ BARRA</v>
          </cell>
        </row>
        <row r="11">
          <cell r="C11" t="str">
            <v>DP BARRA DA TIJUCA 9</v>
          </cell>
          <cell r="D11" t="str">
            <v>RJ BARRA</v>
          </cell>
        </row>
        <row r="12">
          <cell r="C12" t="str">
            <v>DP BARRA PENINSULA</v>
          </cell>
          <cell r="D12" t="str">
            <v>RJ BARRA</v>
          </cell>
        </row>
        <row r="13">
          <cell r="C13" t="str">
            <v>DP ITANHANGA</v>
          </cell>
          <cell r="D13" t="str">
            <v>RJ BARRA</v>
          </cell>
        </row>
        <row r="14">
          <cell r="C14" t="str">
            <v>DP JARDIM OCEANICO</v>
          </cell>
          <cell r="D14" t="str">
            <v>RJ BARRA</v>
          </cell>
        </row>
        <row r="15">
          <cell r="C15" t="str">
            <v>DP JARDIM OCEANICO 2</v>
          </cell>
          <cell r="D15" t="str">
            <v>RJ BARRA</v>
          </cell>
        </row>
        <row r="16">
          <cell r="C16" t="str">
            <v>DP PRACA DO O</v>
          </cell>
          <cell r="D16" t="str">
            <v>RJ BARRA</v>
          </cell>
        </row>
        <row r="17">
          <cell r="C17" t="str">
            <v>DP ROCINHA</v>
          </cell>
          <cell r="D17" t="str">
            <v>RJ BARRA</v>
          </cell>
        </row>
        <row r="18">
          <cell r="C18" t="str">
            <v>DP SHOPPING BARRA SHOPPING</v>
          </cell>
          <cell r="D18" t="str">
            <v>RJ BARRA</v>
          </cell>
        </row>
        <row r="19">
          <cell r="C19" t="str">
            <v>DP SHOPPING DOWNTOWN</v>
          </cell>
          <cell r="D19" t="str">
            <v>RJ BARRA</v>
          </cell>
        </row>
        <row r="20">
          <cell r="C20" t="str">
            <v>DP CAMPOS 2</v>
          </cell>
          <cell r="D20" t="str">
            <v>RJ CAMPOS</v>
          </cell>
        </row>
        <row r="21">
          <cell r="C21" t="str">
            <v>DP CAMPOS 3</v>
          </cell>
          <cell r="D21" t="str">
            <v>RJ CAMPOS</v>
          </cell>
        </row>
        <row r="22">
          <cell r="C22" t="str">
            <v>DP CAMPOS 4</v>
          </cell>
          <cell r="D22" t="str">
            <v>RJ CAMPOS</v>
          </cell>
        </row>
        <row r="23">
          <cell r="C23" t="str">
            <v>DP CAMPOS 5</v>
          </cell>
          <cell r="D23" t="str">
            <v>RJ CAMPOS</v>
          </cell>
        </row>
        <row r="24">
          <cell r="C24" t="str">
            <v>DP CAMPOS 6</v>
          </cell>
          <cell r="D24" t="str">
            <v>RJ CAMPOS</v>
          </cell>
        </row>
        <row r="25">
          <cell r="C25" t="str">
            <v>DP CAMPOS 7</v>
          </cell>
          <cell r="D25" t="str">
            <v>RJ CAMPOS</v>
          </cell>
        </row>
        <row r="26">
          <cell r="C26" t="str">
            <v>DP CAMPOS 8</v>
          </cell>
          <cell r="D26" t="str">
            <v>RJ CAMPOS</v>
          </cell>
        </row>
        <row r="27">
          <cell r="C27" t="str">
            <v>DP ITAPERUNA</v>
          </cell>
          <cell r="D27" t="str">
            <v>RJ CAMPOS</v>
          </cell>
        </row>
        <row r="28">
          <cell r="C28" t="str">
            <v>DP MACAE 1</v>
          </cell>
          <cell r="D28" t="str">
            <v>RJ CAMPOS</v>
          </cell>
        </row>
        <row r="29">
          <cell r="C29" t="str">
            <v>DP MACAE 2</v>
          </cell>
          <cell r="D29" t="str">
            <v>RJ CAMPOS</v>
          </cell>
        </row>
        <row r="30">
          <cell r="C30" t="str">
            <v>DP MACAE 3</v>
          </cell>
          <cell r="D30" t="str">
            <v>RJ CAMPOS</v>
          </cell>
        </row>
        <row r="31">
          <cell r="C31" t="str">
            <v>DP PARQUE GUARUS</v>
          </cell>
          <cell r="D31" t="str">
            <v>RJ CAMPOS</v>
          </cell>
        </row>
        <row r="32">
          <cell r="C32" t="str">
            <v>DP PARQUE GUARUS 2</v>
          </cell>
          <cell r="D32" t="str">
            <v>RJ CAMPOS</v>
          </cell>
        </row>
        <row r="33">
          <cell r="C33" t="str">
            <v>DP PELINCA</v>
          </cell>
          <cell r="D33" t="str">
            <v>RJ CAMPOS</v>
          </cell>
        </row>
        <row r="34">
          <cell r="C34" t="str">
            <v>DP PELINCA 2</v>
          </cell>
          <cell r="D34" t="str">
            <v>RJ CAMPOS</v>
          </cell>
        </row>
        <row r="35">
          <cell r="C35" t="str">
            <v>DP PELINCA 3</v>
          </cell>
          <cell r="D35" t="str">
            <v>RJ CAMPOS</v>
          </cell>
        </row>
        <row r="36">
          <cell r="C36" t="str">
            <v>DP SAO FRANCISCO DO ITABAPOANA</v>
          </cell>
          <cell r="D36" t="str">
            <v>RJ CAMPOS</v>
          </cell>
        </row>
        <row r="37">
          <cell r="C37" t="str">
            <v>DP SHOPPING BOULEVARD CAMPOS</v>
          </cell>
          <cell r="D37" t="str">
            <v>RJ CAMPOS</v>
          </cell>
        </row>
        <row r="38">
          <cell r="C38" t="str">
            <v>DP SHOPPING PLAZA MACAE</v>
          </cell>
          <cell r="D38" t="str">
            <v>RJ CAMPOS</v>
          </cell>
        </row>
        <row r="39">
          <cell r="C39" t="str">
            <v>DP BOTAFOGO 1</v>
          </cell>
          <cell r="D39" t="str">
            <v>RJ COPACABANA</v>
          </cell>
        </row>
        <row r="40">
          <cell r="C40" t="str">
            <v>DP BOTAFOGO 2</v>
          </cell>
          <cell r="D40" t="str">
            <v>RJ COPACABANA</v>
          </cell>
        </row>
        <row r="41">
          <cell r="C41" t="str">
            <v>DP BOTAFOGO 3</v>
          </cell>
          <cell r="D41" t="str">
            <v>RJ COPACABANA</v>
          </cell>
        </row>
        <row r="42">
          <cell r="C42" t="str">
            <v>DP BOTAFOGO 5</v>
          </cell>
          <cell r="D42" t="str">
            <v>RJ COPACABANA</v>
          </cell>
        </row>
        <row r="43">
          <cell r="C43" t="str">
            <v>DP BOTAFOGO 6</v>
          </cell>
          <cell r="D43" t="str">
            <v>RJ COPACABANA</v>
          </cell>
        </row>
        <row r="44">
          <cell r="C44" t="str">
            <v>DP BOTAFOGO 7</v>
          </cell>
          <cell r="D44" t="str">
            <v>RJ COPACABANA</v>
          </cell>
        </row>
        <row r="45">
          <cell r="C45" t="str">
            <v>DP BOTAFOGO 8</v>
          </cell>
          <cell r="D45" t="str">
            <v>RJ COPACABANA</v>
          </cell>
        </row>
        <row r="46">
          <cell r="C46" t="str">
            <v>DP BOTAFOGO 9</v>
          </cell>
          <cell r="D46" t="str">
            <v>RJ COPACABANA</v>
          </cell>
        </row>
        <row r="47">
          <cell r="C47" t="str">
            <v>DP COPACABANA 12</v>
          </cell>
          <cell r="D47" t="str">
            <v>RJ COPACABANA</v>
          </cell>
        </row>
        <row r="48">
          <cell r="C48" t="str">
            <v>DP COPACABANA 13</v>
          </cell>
          <cell r="D48" t="str">
            <v>RJ COPACABANA</v>
          </cell>
        </row>
        <row r="49">
          <cell r="C49" t="str">
            <v>DP COPACABANA 15</v>
          </cell>
          <cell r="D49" t="str">
            <v>RJ COPACABANA</v>
          </cell>
        </row>
        <row r="50">
          <cell r="C50" t="str">
            <v>DP COPACABANA 16</v>
          </cell>
          <cell r="D50" t="str">
            <v>RJ COPACABANA</v>
          </cell>
        </row>
        <row r="51">
          <cell r="C51" t="str">
            <v>DP COPACABANA 3</v>
          </cell>
          <cell r="D51" t="str">
            <v>RJ COPACABANA</v>
          </cell>
        </row>
        <row r="52">
          <cell r="C52" t="str">
            <v>DP COPACABANA 5</v>
          </cell>
          <cell r="D52" t="str">
            <v>RJ COPACABANA</v>
          </cell>
        </row>
        <row r="53">
          <cell r="C53" t="str">
            <v>DP COPACABANA 6</v>
          </cell>
          <cell r="D53" t="str">
            <v>RJ COPACABANA</v>
          </cell>
        </row>
        <row r="54">
          <cell r="C54" t="str">
            <v>DP COPACABANA 8</v>
          </cell>
          <cell r="D54" t="str">
            <v>RJ COPACABANA</v>
          </cell>
        </row>
        <row r="55">
          <cell r="C55" t="str">
            <v>DP COPACABANA 9</v>
          </cell>
          <cell r="D55" t="str">
            <v>RJ COPACABANA</v>
          </cell>
        </row>
        <row r="56">
          <cell r="C56" t="str">
            <v>DP FLAMENGO</v>
          </cell>
          <cell r="D56" t="str">
            <v>RJ COPACABANA</v>
          </cell>
        </row>
        <row r="57">
          <cell r="C57" t="str">
            <v>DP FLAMENGO 2</v>
          </cell>
          <cell r="D57" t="str">
            <v>RJ CENTRO</v>
          </cell>
        </row>
        <row r="58">
          <cell r="C58" t="str">
            <v>DP LARANJEIRAS 1</v>
          </cell>
          <cell r="D58" t="str">
            <v>RJ CENTRO</v>
          </cell>
        </row>
        <row r="59">
          <cell r="C59" t="str">
            <v>DP LEME</v>
          </cell>
          <cell r="D59" t="str">
            <v>RJ COPACABANA</v>
          </cell>
        </row>
        <row r="60">
          <cell r="C60" t="str">
            <v>DP COPACABANA 2</v>
          </cell>
          <cell r="D60" t="str">
            <v>RJ IPANEMA</v>
          </cell>
        </row>
        <row r="61">
          <cell r="C61" t="str">
            <v>DP GAVEA</v>
          </cell>
          <cell r="D61" t="str">
            <v>RJ IPANEMA</v>
          </cell>
        </row>
        <row r="62">
          <cell r="C62" t="str">
            <v>DP HUMAITA</v>
          </cell>
          <cell r="D62" t="str">
            <v>RJ IPANEMA</v>
          </cell>
        </row>
        <row r="63">
          <cell r="C63" t="str">
            <v>DP IPANEMA 1</v>
          </cell>
          <cell r="D63" t="str">
            <v>RJ IPANEMA</v>
          </cell>
        </row>
        <row r="64">
          <cell r="C64" t="str">
            <v>DP IPANEMA 3</v>
          </cell>
          <cell r="D64" t="str">
            <v>RJ IPANEMA</v>
          </cell>
        </row>
        <row r="65">
          <cell r="C65" t="str">
            <v>DP IPANEMA 4</v>
          </cell>
          <cell r="D65" t="str">
            <v>RJ IPANEMA</v>
          </cell>
        </row>
        <row r="66">
          <cell r="C66" t="str">
            <v>DP IPANEMA 5</v>
          </cell>
          <cell r="D66" t="str">
            <v>RJ IPANEMA</v>
          </cell>
        </row>
        <row r="67">
          <cell r="C67" t="str">
            <v>DP IPANEMA 6</v>
          </cell>
          <cell r="D67" t="str">
            <v>RJ IPANEMA</v>
          </cell>
        </row>
        <row r="68">
          <cell r="C68" t="str">
            <v>DP IPANEMA 8</v>
          </cell>
          <cell r="D68" t="str">
            <v>RJ IPANEMA</v>
          </cell>
        </row>
        <row r="69">
          <cell r="C69" t="str">
            <v>DP JARDIM BOTANICO</v>
          </cell>
          <cell r="D69" t="str">
            <v>RJ IPANEMA</v>
          </cell>
        </row>
        <row r="70">
          <cell r="C70" t="str">
            <v>DP LEBLON 1</v>
          </cell>
          <cell r="D70" t="str">
            <v>RJ IPANEMA</v>
          </cell>
        </row>
        <row r="71">
          <cell r="C71" t="str">
            <v>DP LEBLON 2</v>
          </cell>
          <cell r="D71" t="str">
            <v>RJ IPANEMA</v>
          </cell>
        </row>
        <row r="72">
          <cell r="C72" t="str">
            <v>DP LEBLON 3</v>
          </cell>
          <cell r="D72" t="str">
            <v>RJ IPANEMA</v>
          </cell>
        </row>
        <row r="73">
          <cell r="C73" t="str">
            <v>DP LEBLON 4</v>
          </cell>
          <cell r="D73" t="str">
            <v>RJ IPANEMA</v>
          </cell>
        </row>
        <row r="74">
          <cell r="C74" t="str">
            <v>DP LEBLON 5</v>
          </cell>
          <cell r="D74" t="str">
            <v>RJ IPANEMA</v>
          </cell>
        </row>
        <row r="75">
          <cell r="C75" t="str">
            <v>DP LEBLON 6</v>
          </cell>
          <cell r="D75" t="str">
            <v>RJ IPANEMA</v>
          </cell>
        </row>
        <row r="76">
          <cell r="C76" t="str">
            <v>DP ARARUAMA</v>
          </cell>
          <cell r="D76" t="str">
            <v>RJ LAGOS</v>
          </cell>
        </row>
        <row r="77">
          <cell r="C77" t="str">
            <v>DP ARARUAMA 2</v>
          </cell>
          <cell r="D77" t="str">
            <v>RJ LAGOS</v>
          </cell>
        </row>
        <row r="78">
          <cell r="C78" t="str">
            <v>DP ARARUAMA 3</v>
          </cell>
          <cell r="D78" t="str">
            <v>RJ LAGOS</v>
          </cell>
        </row>
        <row r="79">
          <cell r="C79" t="str">
            <v>DP BACAXA</v>
          </cell>
          <cell r="D79" t="str">
            <v>RJ LAGOS</v>
          </cell>
        </row>
        <row r="80">
          <cell r="C80" t="str">
            <v>DP BACAXA 2</v>
          </cell>
          <cell r="D80" t="str">
            <v>RJ LAGOS</v>
          </cell>
        </row>
        <row r="81">
          <cell r="C81" t="str">
            <v>DP BARRA DE SAO JOAO</v>
          </cell>
          <cell r="D81" t="str">
            <v>RJ LAGOS</v>
          </cell>
        </row>
        <row r="82">
          <cell r="C82" t="str">
            <v>DP BUZIOS</v>
          </cell>
          <cell r="D82" t="str">
            <v>RJ LAGOS</v>
          </cell>
        </row>
        <row r="83">
          <cell r="C83" t="str">
            <v>DP CABO FRIO 1</v>
          </cell>
          <cell r="D83" t="str">
            <v>RJ LAGOS</v>
          </cell>
        </row>
        <row r="84">
          <cell r="C84" t="str">
            <v>DP CABO FRIO 2</v>
          </cell>
          <cell r="D84" t="str">
            <v>RJ LAGOS</v>
          </cell>
        </row>
        <row r="85">
          <cell r="C85" t="str">
            <v>DP CABO FRIO 4</v>
          </cell>
          <cell r="D85" t="str">
            <v>RJ LAGOS</v>
          </cell>
        </row>
        <row r="86">
          <cell r="C86" t="str">
            <v>DP CABO FRIO 5</v>
          </cell>
          <cell r="D86" t="str">
            <v>RJ LAGOS</v>
          </cell>
        </row>
        <row r="87">
          <cell r="C87" t="str">
            <v>DP IGUABA</v>
          </cell>
          <cell r="D87" t="str">
            <v>RJ LAGOS</v>
          </cell>
        </row>
        <row r="88">
          <cell r="C88" t="str">
            <v>DP RIO DAS OSTRAS</v>
          </cell>
          <cell r="D88" t="str">
            <v>RJ LAGOS</v>
          </cell>
        </row>
        <row r="89">
          <cell r="C89" t="str">
            <v>DP RIO DAS OSTRAS 2</v>
          </cell>
          <cell r="D89" t="str">
            <v>RJ LAGOS</v>
          </cell>
        </row>
        <row r="90">
          <cell r="C90" t="str">
            <v>DP RIO DAS OSTRAS 3</v>
          </cell>
          <cell r="D90" t="str">
            <v>RJ LAGOS</v>
          </cell>
        </row>
        <row r="91">
          <cell r="C91" t="str">
            <v>DP RIO DAS OSTRAS 4</v>
          </cell>
          <cell r="D91" t="str">
            <v>RJ LAGOS</v>
          </cell>
        </row>
        <row r="92">
          <cell r="C92" t="str">
            <v>DP SAO PEDRO DA ALDEIA</v>
          </cell>
          <cell r="D92" t="str">
            <v>RJ LAGOS</v>
          </cell>
        </row>
        <row r="93">
          <cell r="C93" t="str">
            <v>DP UNAMAR</v>
          </cell>
          <cell r="D93" t="str">
            <v>RJ LAGOS</v>
          </cell>
        </row>
        <row r="94">
          <cell r="C94" t="str">
            <v>DP ICARAI 1</v>
          </cell>
          <cell r="D94" t="str">
            <v>RJ NITEROI</v>
          </cell>
        </row>
        <row r="95">
          <cell r="C95" t="str">
            <v>DP ICARAI 11</v>
          </cell>
          <cell r="D95" t="str">
            <v>RJ NITEROI</v>
          </cell>
        </row>
        <row r="96">
          <cell r="C96" t="str">
            <v>DP ICARAI 12</v>
          </cell>
          <cell r="D96" t="str">
            <v>RJ NITEROI</v>
          </cell>
        </row>
        <row r="97">
          <cell r="C97" t="str">
            <v>DP ICARAI 13</v>
          </cell>
          <cell r="D97" t="str">
            <v>RJ NITEROI</v>
          </cell>
        </row>
        <row r="98">
          <cell r="C98" t="str">
            <v>DP ICARAI 2</v>
          </cell>
          <cell r="D98" t="str">
            <v>RJ NITEROI</v>
          </cell>
        </row>
        <row r="99">
          <cell r="C99" t="str">
            <v>DP ICARAI 3</v>
          </cell>
          <cell r="D99" t="str">
            <v>RJ NITEROI</v>
          </cell>
        </row>
        <row r="100">
          <cell r="C100" t="str">
            <v>DP ICARAI 4</v>
          </cell>
          <cell r="D100" t="str">
            <v>RJ NITEROI</v>
          </cell>
        </row>
        <row r="101">
          <cell r="C101" t="str">
            <v>DP ICARAI 5</v>
          </cell>
          <cell r="D101" t="str">
            <v>RJ NITEROI</v>
          </cell>
        </row>
        <row r="102">
          <cell r="C102" t="str">
            <v>DP ICARAI 8</v>
          </cell>
          <cell r="D102" t="str">
            <v>RJ NITEROI</v>
          </cell>
        </row>
        <row r="103">
          <cell r="C103" t="str">
            <v>DP INGA</v>
          </cell>
          <cell r="D103" t="str">
            <v>RJ NITEROI</v>
          </cell>
        </row>
        <row r="104">
          <cell r="C104" t="str">
            <v>DP INGA 2</v>
          </cell>
          <cell r="D104" t="str">
            <v>RJ NITEROI</v>
          </cell>
        </row>
        <row r="105">
          <cell r="C105" t="str">
            <v>DP ITAIPU 2</v>
          </cell>
          <cell r="D105" t="str">
            <v>RJ SAO GONCALO</v>
          </cell>
        </row>
        <row r="106">
          <cell r="C106" t="str">
            <v>DP LARGO DA BATALHA</v>
          </cell>
          <cell r="D106" t="str">
            <v>RJ SAO GONCALO</v>
          </cell>
        </row>
        <row r="107">
          <cell r="C107" t="str">
            <v>DP PENDOTIBA</v>
          </cell>
          <cell r="D107" t="str">
            <v>RJ SAO GONCALO</v>
          </cell>
        </row>
        <row r="108">
          <cell r="C108" t="str">
            <v>DP PIRATININGA</v>
          </cell>
          <cell r="D108" t="str">
            <v>RJ SAO GONCALO</v>
          </cell>
        </row>
        <row r="109">
          <cell r="C109" t="str">
            <v>DP SANTA ROSA</v>
          </cell>
          <cell r="D109" t="str">
            <v>RJ NITEROI</v>
          </cell>
        </row>
        <row r="110">
          <cell r="C110" t="str">
            <v>DP SANTA ROSA 3</v>
          </cell>
          <cell r="D110" t="str">
            <v>RJ NITEROI</v>
          </cell>
        </row>
        <row r="111">
          <cell r="C111" t="str">
            <v>DP SAO FRANCISCO 2</v>
          </cell>
          <cell r="D111" t="str">
            <v>RJ NITEROI</v>
          </cell>
        </row>
        <row r="112">
          <cell r="C112" t="str">
            <v>DP SHOPPING ITAIPU</v>
          </cell>
          <cell r="D112" t="str">
            <v>RJ SAO GONCALO</v>
          </cell>
        </row>
        <row r="113">
          <cell r="C113" t="str">
            <v>DP SHOPPING PLAZA NITEROI</v>
          </cell>
          <cell r="D113" t="str">
            <v>RJ NITEROI</v>
          </cell>
        </row>
        <row r="114">
          <cell r="C114" t="str">
            <v>DP CAMORIM</v>
          </cell>
          <cell r="D114" t="str">
            <v>RJ RECREIO</v>
          </cell>
        </row>
        <row r="115">
          <cell r="C115" t="str">
            <v>DP CURICICA</v>
          </cell>
          <cell r="D115" t="str">
            <v>RJ RECREIO</v>
          </cell>
        </row>
        <row r="116">
          <cell r="C116" t="str">
            <v>DP PEDRA DE GUARATIBA</v>
          </cell>
          <cell r="D116" t="str">
            <v>RJ RECREIO</v>
          </cell>
        </row>
        <row r="117">
          <cell r="C117" t="str">
            <v>DP PEDRA DE GUARATIBA 2</v>
          </cell>
          <cell r="D117" t="str">
            <v>RJ RECREIO</v>
          </cell>
        </row>
        <row r="118">
          <cell r="C118" t="str">
            <v>DP RECREIO 1</v>
          </cell>
          <cell r="D118" t="str">
            <v>RJ RECREIO</v>
          </cell>
        </row>
        <row r="119">
          <cell r="C119" t="str">
            <v>DP RECREIO 2</v>
          </cell>
          <cell r="D119" t="str">
            <v>RJ RECREIO</v>
          </cell>
        </row>
        <row r="120">
          <cell r="C120" t="str">
            <v>DP RECREIO 4</v>
          </cell>
          <cell r="D120" t="str">
            <v>RJ RECREIO</v>
          </cell>
        </row>
        <row r="121">
          <cell r="C121" t="str">
            <v>DP RECREIO 6</v>
          </cell>
          <cell r="D121" t="str">
            <v>RJ RECREIO</v>
          </cell>
        </row>
        <row r="122">
          <cell r="C122" t="str">
            <v>DP RECREIO 7</v>
          </cell>
          <cell r="D122" t="str">
            <v>RJ RECREIO</v>
          </cell>
        </row>
        <row r="123">
          <cell r="C123" t="str">
            <v>DP RECREIO 8</v>
          </cell>
          <cell r="D123" t="str">
            <v>RJ RECREIO</v>
          </cell>
        </row>
        <row r="124">
          <cell r="C124" t="str">
            <v>DP RECREIO 9</v>
          </cell>
          <cell r="D124" t="str">
            <v>RJ RECREIO</v>
          </cell>
        </row>
        <row r="125">
          <cell r="C125" t="str">
            <v>DP SANTA CRUZ 1</v>
          </cell>
          <cell r="D125" t="str">
            <v>RJ RECREIO</v>
          </cell>
        </row>
        <row r="126">
          <cell r="C126" t="str">
            <v>DP SANTA CRUZ 2</v>
          </cell>
          <cell r="D126" t="str">
            <v>RJ RECREIO</v>
          </cell>
        </row>
        <row r="127">
          <cell r="C127" t="str">
            <v>DP SANTA CRUZ 3</v>
          </cell>
          <cell r="D127" t="str">
            <v>RJ RECREIO</v>
          </cell>
        </row>
        <row r="128">
          <cell r="C128" t="str">
            <v>DP SANTA CRUZ 4</v>
          </cell>
          <cell r="D128" t="str">
            <v>RJ RECREIO</v>
          </cell>
        </row>
        <row r="129">
          <cell r="C129" t="str">
            <v>DP VARGEM GRANDE</v>
          </cell>
          <cell r="D129" t="str">
            <v>RJ RECREIO</v>
          </cell>
        </row>
        <row r="130">
          <cell r="C130" t="str">
            <v>DP ANDRADAS</v>
          </cell>
          <cell r="D130" t="str">
            <v>RJ CENTRO</v>
          </cell>
        </row>
        <row r="131">
          <cell r="C131" t="str">
            <v>DP BAIRRO DE FATIMA</v>
          </cell>
          <cell r="D131" t="str">
            <v>RJ CENTRO</v>
          </cell>
        </row>
        <row r="132">
          <cell r="C132" t="str">
            <v>DP CATETE 2</v>
          </cell>
          <cell r="D132" t="str">
            <v>RJ CENTRO</v>
          </cell>
        </row>
        <row r="133">
          <cell r="C133" t="str">
            <v>DP CATETE 3</v>
          </cell>
          <cell r="D133" t="str">
            <v>RJ CENTRO</v>
          </cell>
        </row>
        <row r="134">
          <cell r="C134" t="str">
            <v>DP CATETE 5</v>
          </cell>
          <cell r="D134" t="str">
            <v>RJ CENTRO</v>
          </cell>
        </row>
        <row r="135">
          <cell r="C135" t="str">
            <v>DP GALERIA NITEROI</v>
          </cell>
          <cell r="D135" t="str">
            <v>RJ NITEROI</v>
          </cell>
        </row>
        <row r="136">
          <cell r="C136" t="str">
            <v>DP GLORIA</v>
          </cell>
          <cell r="D136" t="str">
            <v>RJ CENTRO</v>
          </cell>
        </row>
        <row r="137">
          <cell r="C137" t="str">
            <v>DP NITEROI 11</v>
          </cell>
          <cell r="D137" t="str">
            <v>RJ NITEROI</v>
          </cell>
        </row>
        <row r="138">
          <cell r="C138" t="str">
            <v>DP NITEROI 15</v>
          </cell>
          <cell r="D138" t="str">
            <v>RJ NITEROI</v>
          </cell>
        </row>
        <row r="139">
          <cell r="C139" t="str">
            <v>DP NITEROI 4</v>
          </cell>
          <cell r="D139" t="str">
            <v>RJ NITEROI</v>
          </cell>
        </row>
        <row r="140">
          <cell r="C140" t="str">
            <v>DP NITEROI 5</v>
          </cell>
          <cell r="D140" t="str">
            <v>RJ NITEROI</v>
          </cell>
        </row>
        <row r="141">
          <cell r="C141" t="str">
            <v>DP NITEROI 9</v>
          </cell>
          <cell r="D141" t="str">
            <v>RJ NITEROI</v>
          </cell>
        </row>
        <row r="142">
          <cell r="C142" t="str">
            <v>PRESIDENTE VARGAS</v>
          </cell>
          <cell r="D142" t="str">
            <v>RJ CENTRO</v>
          </cell>
        </row>
        <row r="143">
          <cell r="C143" t="str">
            <v>DP RIO BRANCO</v>
          </cell>
          <cell r="D143" t="str">
            <v>RJ CENTRO</v>
          </cell>
        </row>
        <row r="144">
          <cell r="C144" t="str">
            <v>DP RIO BRANCO 2</v>
          </cell>
          <cell r="D144" t="str">
            <v>RJ CENTRO</v>
          </cell>
        </row>
        <row r="145">
          <cell r="C145" t="str">
            <v>DP SAO JOSE RJ</v>
          </cell>
          <cell r="D145" t="str">
            <v>RJ CENTRO</v>
          </cell>
        </row>
        <row r="146">
          <cell r="C146" t="str">
            <v>DP SENADOR DANTAS 1</v>
          </cell>
          <cell r="D146" t="str">
            <v>RJ CENTRO</v>
          </cell>
        </row>
        <row r="147">
          <cell r="C147" t="str">
            <v>DP SENADOR DANTAS 2</v>
          </cell>
          <cell r="D147" t="str">
            <v>RJ CENTRO</v>
          </cell>
        </row>
        <row r="148">
          <cell r="C148" t="str">
            <v>DP SETE DE SETEMBRO 4</v>
          </cell>
          <cell r="D148" t="str">
            <v>RJ CENTRO</v>
          </cell>
        </row>
        <row r="149">
          <cell r="C149" t="str">
            <v>DP URUGUAIANA</v>
          </cell>
          <cell r="D149" t="str">
            <v>RJ CENTRO</v>
          </cell>
        </row>
        <row r="150">
          <cell r="C150" t="str">
            <v>DSP BARCAS</v>
          </cell>
          <cell r="D150" t="str">
            <v>RJ NITEROI</v>
          </cell>
        </row>
        <row r="151">
          <cell r="C151" t="str">
            <v>DSP NITEROI</v>
          </cell>
          <cell r="D151" t="str">
            <v>RJ NITEROI</v>
          </cell>
        </row>
        <row r="152">
          <cell r="C152" t="str">
            <v>DP ALCANTARA 3</v>
          </cell>
          <cell r="D152" t="str">
            <v>RJ SAO GONCALO</v>
          </cell>
        </row>
        <row r="153">
          <cell r="C153" t="str">
            <v>DP ALCANTARA 4</v>
          </cell>
          <cell r="D153" t="str">
            <v>RJ SAO GONCALO</v>
          </cell>
        </row>
        <row r="154">
          <cell r="C154" t="str">
            <v>DP ALCANTARA 5</v>
          </cell>
          <cell r="D154" t="str">
            <v>RJ SAO GONCALO</v>
          </cell>
        </row>
        <row r="155">
          <cell r="C155" t="str">
            <v>DP ALCANTARA 6</v>
          </cell>
          <cell r="D155" t="str">
            <v>RJ SAO GONCALO</v>
          </cell>
        </row>
        <row r="156">
          <cell r="C156" t="str">
            <v>DP ALCANTARA 7</v>
          </cell>
          <cell r="D156" t="str">
            <v>RJ SAO GONCALO</v>
          </cell>
        </row>
        <row r="157">
          <cell r="C157" t="str">
            <v>DP COLUBANDE</v>
          </cell>
          <cell r="D157" t="str">
            <v>RJ SAO GONCALO</v>
          </cell>
        </row>
        <row r="158">
          <cell r="C158" t="str">
            <v>DP FONSECA</v>
          </cell>
          <cell r="D158" t="str">
            <v>RJ NITEROI</v>
          </cell>
        </row>
        <row r="159">
          <cell r="C159" t="str">
            <v>DP ITAIPUACU</v>
          </cell>
          <cell r="D159" t="str">
            <v>RJ SAO GONCALO</v>
          </cell>
        </row>
        <row r="160">
          <cell r="C160" t="str">
            <v>DP MARICA 1</v>
          </cell>
          <cell r="D160" t="str">
            <v>RJ LAGOS</v>
          </cell>
        </row>
        <row r="161">
          <cell r="C161" t="str">
            <v>DP MARICA 2</v>
          </cell>
          <cell r="D161" t="str">
            <v>RJ LAGOS</v>
          </cell>
        </row>
        <row r="162">
          <cell r="C162" t="str">
            <v>DP SANTA LUZIA</v>
          </cell>
          <cell r="D162" t="str">
            <v>RJ SAO GONCALO</v>
          </cell>
        </row>
        <row r="163">
          <cell r="C163" t="str">
            <v>DSP SAO GONCALO</v>
          </cell>
          <cell r="D163" t="str">
            <v>RJ SAO GONCALO</v>
          </cell>
        </row>
        <row r="164">
          <cell r="C164" t="str">
            <v>DP SAO GONCALO 1</v>
          </cell>
          <cell r="D164" t="str">
            <v>RJ SAO GONCALO</v>
          </cell>
        </row>
        <row r="165">
          <cell r="C165" t="str">
            <v>DP SAO GONCALO 3</v>
          </cell>
          <cell r="D165" t="str">
            <v>RJ SAO GONCALO</v>
          </cell>
        </row>
        <row r="166">
          <cell r="C166" t="str">
            <v>DP SAO GONCALO 5</v>
          </cell>
          <cell r="D166" t="str">
            <v>RJ SAO GONCALO</v>
          </cell>
        </row>
        <row r="167">
          <cell r="C167" t="str">
            <v>DP TRINDADE</v>
          </cell>
          <cell r="D167" t="str">
            <v>RJ SAO GONCALO</v>
          </cell>
        </row>
        <row r="168">
          <cell r="C168" t="str">
            <v>DP GUAPIMIRIM</v>
          </cell>
          <cell r="D168" t="str">
            <v>RJ SERRANA</v>
          </cell>
        </row>
        <row r="169">
          <cell r="C169" t="str">
            <v>DP ITABORAI</v>
          </cell>
          <cell r="D169" t="str">
            <v>RJ SERRANA</v>
          </cell>
        </row>
        <row r="170">
          <cell r="C170" t="str">
            <v>DP ITABORAI 3</v>
          </cell>
          <cell r="D170" t="str">
            <v>RJ SERRANA</v>
          </cell>
        </row>
        <row r="171">
          <cell r="C171" t="str">
            <v>DP ITAIPAVA</v>
          </cell>
          <cell r="D171" t="str">
            <v>RJ SERRANA</v>
          </cell>
        </row>
        <row r="172">
          <cell r="C172" t="str">
            <v>DP MAGE 1</v>
          </cell>
          <cell r="D172" t="str">
            <v>RJ SERRANA</v>
          </cell>
        </row>
        <row r="173">
          <cell r="C173" t="str">
            <v>DP MAGE 3</v>
          </cell>
          <cell r="D173" t="str">
            <v>RJ SERRANA</v>
          </cell>
        </row>
        <row r="174">
          <cell r="C174" t="str">
            <v>DP MANILHA</v>
          </cell>
          <cell r="D174" t="str">
            <v>RJ SERRANA</v>
          </cell>
        </row>
        <row r="175">
          <cell r="C175" t="str">
            <v>DP NOVA FRIBURGO</v>
          </cell>
          <cell r="D175" t="str">
            <v>RJ SERRANA</v>
          </cell>
        </row>
        <row r="176">
          <cell r="C176" t="str">
            <v>DP NOVA FRIBURGO 3</v>
          </cell>
          <cell r="D176" t="str">
            <v>RJ SERRANA</v>
          </cell>
        </row>
        <row r="177">
          <cell r="C177" t="str">
            <v>DP PARADA ANGELICA</v>
          </cell>
          <cell r="D177" t="str">
            <v>RJ SERRANA</v>
          </cell>
        </row>
        <row r="178">
          <cell r="C178" t="str">
            <v>DP PETROPOLIS 2</v>
          </cell>
          <cell r="D178" t="str">
            <v>RJ SERRANA</v>
          </cell>
        </row>
        <row r="179">
          <cell r="C179" t="str">
            <v>DP PETROPOLIS 4</v>
          </cell>
          <cell r="D179" t="str">
            <v>RJ SERRANA</v>
          </cell>
        </row>
        <row r="180">
          <cell r="C180" t="str">
            <v>DP PETROPOLIS 5</v>
          </cell>
          <cell r="D180" t="str">
            <v>RJ SERRANA</v>
          </cell>
        </row>
        <row r="181">
          <cell r="C181" t="str">
            <v>DP PETROPOLIS 6</v>
          </cell>
          <cell r="D181" t="str">
            <v>RJ SERRANA</v>
          </cell>
        </row>
        <row r="182">
          <cell r="C182" t="str">
            <v>DP PIABETA 1</v>
          </cell>
          <cell r="D182" t="str">
            <v>RJ SERRANA</v>
          </cell>
        </row>
        <row r="183">
          <cell r="C183" t="str">
            <v>DP RIO BONITO</v>
          </cell>
          <cell r="D183" t="str">
            <v>RJ LAGOS</v>
          </cell>
        </row>
        <row r="184">
          <cell r="C184" t="str">
            <v>DP TERESOPOLIS 2</v>
          </cell>
          <cell r="D184" t="str">
            <v>RJ SERRANA</v>
          </cell>
        </row>
        <row r="185">
          <cell r="C185" t="str">
            <v>DP TERESOPOLIS 3</v>
          </cell>
          <cell r="D185" t="str">
            <v>RJ SERRANA</v>
          </cell>
        </row>
        <row r="186">
          <cell r="C186" t="str">
            <v>SHOPPING PLAZA RIO DAS OSTRAS</v>
          </cell>
          <cell r="D186" t="str">
            <v>RJ LAGOS</v>
          </cell>
        </row>
        <row r="187">
          <cell r="C187" t="str">
            <v>SHOPPING PARK LAGOS</v>
          </cell>
          <cell r="D187" t="str">
            <v>RJ LAGOS</v>
          </cell>
        </row>
        <row r="188">
          <cell r="C188" t="str">
            <v>DP LUCIO COSTA</v>
          </cell>
          <cell r="D188" t="str">
            <v>RJ RECREIO</v>
          </cell>
        </row>
        <row r="189">
          <cell r="C189" t="str">
            <v>DP BOTAFOGO 10</v>
          </cell>
          <cell r="D189" t="str">
            <v>RJ COPACABANA</v>
          </cell>
        </row>
        <row r="190">
          <cell r="C190" t="str">
            <v>DP BARATA RIBEIRO</v>
          </cell>
          <cell r="D190" t="str">
            <v>RJ COPACABANA</v>
          </cell>
        </row>
        <row r="191">
          <cell r="C191" t="str">
            <v>DP RECREIO 10</v>
          </cell>
          <cell r="D191" t="str">
            <v>RJ RECREIO</v>
          </cell>
        </row>
        <row r="192">
          <cell r="C192" t="str">
            <v>DPA PETROPOLIS 6</v>
          </cell>
          <cell r="D192" t="str">
            <v>RJ SERRANA</v>
          </cell>
        </row>
        <row r="193">
          <cell r="C193" t="str">
            <v>DP TIJUCA 13</v>
          </cell>
        </row>
        <row r="194">
          <cell r="C194" t="str">
            <v>DP TERESOPOLIS 1</v>
          </cell>
          <cell r="D194" t="str">
            <v>RJ SERRANA</v>
          </cell>
        </row>
        <row r="195">
          <cell r="C195" t="str">
            <v>DP CABO FRIO - SAO CRISTOVAO</v>
          </cell>
          <cell r="D195" t="str">
            <v>RJ LAGOS</v>
          </cell>
        </row>
        <row r="196">
          <cell r="C196" t="str">
            <v>DP JARDIM PRIMAVERA</v>
          </cell>
          <cell r="D196" t="str">
            <v>RJ CAXIAS</v>
          </cell>
        </row>
        <row r="197">
          <cell r="C197" t="str">
            <v>POLO ANDRADAS</v>
          </cell>
          <cell r="D197" t="str">
            <v>RJ CENTRO</v>
          </cell>
        </row>
        <row r="198">
          <cell r="C198" t="str">
            <v>POLO PRESIDENTE VARGAS</v>
          </cell>
          <cell r="D198" t="str">
            <v>RJ CENTRO</v>
          </cell>
        </row>
        <row r="199">
          <cell r="C199" t="str">
            <v>DP MEIER 9</v>
          </cell>
          <cell r="D199" t="str">
            <v>RJ BAIXADA</v>
          </cell>
        </row>
        <row r="200">
          <cell r="C200" t="str">
            <v>DP MEIER 10</v>
          </cell>
          <cell r="D200" t="str">
            <v>RJ BAIXADA</v>
          </cell>
        </row>
        <row r="201">
          <cell r="C201" t="str">
            <v>DP SAQUAREMA ITAÚNA</v>
          </cell>
          <cell r="D201" t="str">
            <v>RJ LAGOS</v>
          </cell>
        </row>
        <row r="202">
          <cell r="C202" t="str">
            <v>DP ATAUFO DE PAIVA 80</v>
          </cell>
          <cell r="D202" t="str">
            <v>RJ IPANEMA</v>
          </cell>
        </row>
        <row r="203">
          <cell r="C203" t="str">
            <v>DP GILKA MACHADO</v>
          </cell>
          <cell r="D203" t="str">
            <v>RJ RECREIO</v>
          </cell>
        </row>
      </sheetData>
      <sheetData sheetId="4">
        <row r="4">
          <cell r="A4" t="str">
            <v>NUM OS</v>
          </cell>
          <cell r="B4" t="str">
            <v>LOJA</v>
          </cell>
          <cell r="C4" t="str">
            <v>DESCRIÇÃO</v>
          </cell>
          <cell r="D4" t="str">
            <v>TIPO</v>
          </cell>
          <cell r="E4" t="str">
            <v>OBSERVAÇÃO</v>
          </cell>
          <cell r="F4" t="str">
            <v>VALOR TOTAL</v>
          </cell>
          <cell r="G4" t="str">
            <v>ANALISTA</v>
          </cell>
          <cell r="H4" t="str">
            <v>EQUIPE EXECUÇÃO</v>
          </cell>
          <cell r="I4" t="str">
            <v>SETOR RESPONSÁVEL</v>
          </cell>
          <cell r="J4" t="str">
            <v>RESPONSÁVEL</v>
          </cell>
          <cell r="K4" t="str">
            <v>STATUS MANFAC</v>
          </cell>
        </row>
        <row r="5">
          <cell r="A5" t="str">
            <v>0924-013423</v>
          </cell>
          <cell r="B5" t="e">
            <v>#N/A</v>
          </cell>
          <cell r="C5" t="e">
            <v>#N/A</v>
          </cell>
          <cell r="D5" t="e">
            <v>#N/A</v>
          </cell>
          <cell r="F5" t="e">
            <v>#REF!</v>
          </cell>
          <cell r="G5" t="e">
            <v>#N/A</v>
          </cell>
          <cell r="H5" t="str">
            <v>PCM</v>
          </cell>
          <cell r="K5" t="str">
            <v>FATURADO</v>
          </cell>
        </row>
        <row r="6">
          <cell r="A6" t="str">
            <v>0125-014765</v>
          </cell>
          <cell r="B6" t="e">
            <v>#N/A</v>
          </cell>
          <cell r="C6" t="e">
            <v>#N/A</v>
          </cell>
          <cell r="D6" t="e">
            <v>#N/A</v>
          </cell>
          <cell r="F6" t="e">
            <v>#REF!</v>
          </cell>
          <cell r="G6" t="e">
            <v>#N/A</v>
          </cell>
          <cell r="H6" t="str">
            <v>MANFAC - 4 / LEONARDO</v>
          </cell>
          <cell r="K6" t="str">
            <v>FATURADO</v>
          </cell>
        </row>
        <row r="7">
          <cell r="A7" t="str">
            <v>1124-012891</v>
          </cell>
          <cell r="B7" t="e">
            <v>#N/A</v>
          </cell>
          <cell r="C7" t="e">
            <v>#N/A</v>
          </cell>
          <cell r="D7" t="e">
            <v>#N/A</v>
          </cell>
          <cell r="F7" t="e">
            <v>#REF!</v>
          </cell>
          <cell r="G7" t="e">
            <v>#N/A</v>
          </cell>
          <cell r="H7" t="str">
            <v>MANFAC - 4 / DIEGO</v>
          </cell>
          <cell r="K7" t="str">
            <v>FATURADO</v>
          </cell>
        </row>
        <row r="8">
          <cell r="A8" t="str">
            <v>1224-006719</v>
          </cell>
          <cell r="B8" t="e">
            <v>#N/A</v>
          </cell>
          <cell r="C8" t="e">
            <v>#N/A</v>
          </cell>
          <cell r="D8" t="e">
            <v>#N/A</v>
          </cell>
          <cell r="F8" t="e">
            <v>#REF!</v>
          </cell>
          <cell r="G8" t="e">
            <v>#N/A</v>
          </cell>
          <cell r="H8" t="str">
            <v>MANFAC - 4 / DIEGO</v>
          </cell>
          <cell r="K8" t="str">
            <v>FATURADO</v>
          </cell>
        </row>
        <row r="9">
          <cell r="A9" t="str">
            <v>0524-010008</v>
          </cell>
          <cell r="B9" t="e">
            <v>#N/A</v>
          </cell>
          <cell r="C9" t="e">
            <v>#N/A</v>
          </cell>
          <cell r="D9" t="e">
            <v>#N/A</v>
          </cell>
          <cell r="F9" t="e">
            <v>#REF!</v>
          </cell>
          <cell r="G9" t="e">
            <v>#N/A</v>
          </cell>
          <cell r="H9" t="str">
            <v>PCM</v>
          </cell>
          <cell r="K9" t="str">
            <v>FATURADO</v>
          </cell>
        </row>
        <row r="10">
          <cell r="A10" t="str">
            <v>0125-013398</v>
          </cell>
          <cell r="B10" t="e">
            <v>#N/A</v>
          </cell>
          <cell r="C10" t="e">
            <v>#N/A</v>
          </cell>
          <cell r="D10" t="e">
            <v>#N/A</v>
          </cell>
          <cell r="F10" t="e">
            <v>#REF!</v>
          </cell>
          <cell r="G10" t="e">
            <v>#N/A</v>
          </cell>
          <cell r="H10" t="str">
            <v>MANFAC - 4</v>
          </cell>
          <cell r="K10" t="str">
            <v>FATURADO</v>
          </cell>
        </row>
        <row r="11">
          <cell r="A11" t="str">
            <v>1224-005538</v>
          </cell>
          <cell r="B11" t="e">
            <v>#N/A</v>
          </cell>
          <cell r="C11" t="e">
            <v>#N/A</v>
          </cell>
          <cell r="D11" t="e">
            <v>#N/A</v>
          </cell>
          <cell r="F11" t="e">
            <v>#REF!</v>
          </cell>
          <cell r="G11" t="e">
            <v>#N/A</v>
          </cell>
          <cell r="H11" t="str">
            <v>MANFAC - 4 / DIEGO</v>
          </cell>
          <cell r="K11" t="str">
            <v>FATURADO</v>
          </cell>
        </row>
        <row r="12">
          <cell r="A12" t="str">
            <v>1224-009475</v>
          </cell>
          <cell r="B12" t="e">
            <v>#N/A</v>
          </cell>
          <cell r="C12" t="e">
            <v>#N/A</v>
          </cell>
          <cell r="D12" t="e">
            <v>#N/A</v>
          </cell>
          <cell r="F12" t="e">
            <v>#REF!</v>
          </cell>
          <cell r="G12" t="e">
            <v>#N/A</v>
          </cell>
          <cell r="H12" t="str">
            <v>MANFAC - 4</v>
          </cell>
          <cell r="K12" t="str">
            <v>FATURADO</v>
          </cell>
        </row>
        <row r="13">
          <cell r="A13" t="str">
            <v>1224-011822</v>
          </cell>
          <cell r="B13" t="e">
            <v>#N/A</v>
          </cell>
          <cell r="C13" t="e">
            <v>#N/A</v>
          </cell>
          <cell r="D13" t="e">
            <v>#N/A</v>
          </cell>
          <cell r="F13" t="e">
            <v>#REF!</v>
          </cell>
          <cell r="G13" t="e">
            <v>#N/A</v>
          </cell>
          <cell r="H13" t="str">
            <v>MANFAC - 3</v>
          </cell>
          <cell r="K13" t="str">
            <v>FATURADO</v>
          </cell>
        </row>
        <row r="14">
          <cell r="A14" t="str">
            <v>1224-006746</v>
          </cell>
          <cell r="B14" t="e">
            <v>#N/A</v>
          </cell>
          <cell r="C14" t="e">
            <v>#N/A</v>
          </cell>
          <cell r="D14" t="e">
            <v>#N/A</v>
          </cell>
          <cell r="F14" t="e">
            <v>#REF!</v>
          </cell>
          <cell r="G14" t="e">
            <v>#N/A</v>
          </cell>
          <cell r="H14" t="str">
            <v>MANFAC - 4 / DIEGO</v>
          </cell>
          <cell r="K14" t="str">
            <v>FATURADO</v>
          </cell>
        </row>
        <row r="15">
          <cell r="A15" t="str">
            <v>0125-009246</v>
          </cell>
          <cell r="B15" t="e">
            <v>#N/A</v>
          </cell>
          <cell r="C15" t="e">
            <v>#N/A</v>
          </cell>
          <cell r="D15" t="e">
            <v>#N/A</v>
          </cell>
          <cell r="F15" t="e">
            <v>#REF!</v>
          </cell>
          <cell r="G15" t="e">
            <v>#N/A</v>
          </cell>
          <cell r="H15" t="str">
            <v>PCM</v>
          </cell>
          <cell r="K15" t="str">
            <v>FATURADO</v>
          </cell>
        </row>
        <row r="16">
          <cell r="A16" t="str">
            <v>0125-009538</v>
          </cell>
          <cell r="B16" t="e">
            <v>#N/A</v>
          </cell>
          <cell r="C16" t="e">
            <v>#N/A</v>
          </cell>
          <cell r="D16" t="e">
            <v>#N/A</v>
          </cell>
          <cell r="F16" t="e">
            <v>#REF!</v>
          </cell>
          <cell r="G16" t="e">
            <v>#N/A</v>
          </cell>
          <cell r="H16" t="str">
            <v>PCM</v>
          </cell>
          <cell r="K16" t="str">
            <v>FATURADO</v>
          </cell>
        </row>
        <row r="17">
          <cell r="A17" t="str">
            <v>0125-011042</v>
          </cell>
          <cell r="B17" t="e">
            <v>#N/A</v>
          </cell>
          <cell r="C17" t="e">
            <v>#N/A</v>
          </cell>
          <cell r="D17" t="e">
            <v>#N/A</v>
          </cell>
          <cell r="F17" t="e">
            <v>#REF!</v>
          </cell>
          <cell r="G17" t="e">
            <v>#N/A</v>
          </cell>
          <cell r="H17" t="str">
            <v>PCM</v>
          </cell>
          <cell r="K17" t="str">
            <v>FATURADO</v>
          </cell>
        </row>
        <row r="18">
          <cell r="A18" t="str">
            <v>0125-011986</v>
          </cell>
          <cell r="B18" t="e">
            <v>#N/A</v>
          </cell>
          <cell r="C18" t="e">
            <v>#N/A</v>
          </cell>
          <cell r="D18" t="e">
            <v>#N/A</v>
          </cell>
          <cell r="F18" t="e">
            <v>#REF!</v>
          </cell>
          <cell r="G18" t="e">
            <v>#N/A</v>
          </cell>
          <cell r="H18" t="str">
            <v>PCM</v>
          </cell>
          <cell r="K18" t="str">
            <v>FATURADO</v>
          </cell>
        </row>
        <row r="19">
          <cell r="A19" t="str">
            <v>0125-015527</v>
          </cell>
          <cell r="B19" t="e">
            <v>#N/A</v>
          </cell>
          <cell r="C19" t="e">
            <v>#N/A</v>
          </cell>
          <cell r="D19" t="e">
            <v>#N/A</v>
          </cell>
          <cell r="F19" t="e">
            <v>#REF!</v>
          </cell>
          <cell r="G19" t="e">
            <v>#N/A</v>
          </cell>
          <cell r="H19" t="str">
            <v>PCM</v>
          </cell>
          <cell r="K19" t="str">
            <v>FATURADO</v>
          </cell>
        </row>
        <row r="20">
          <cell r="A20" t="str">
            <v>0225-004399</v>
          </cell>
          <cell r="B20" t="e">
            <v>#N/A</v>
          </cell>
          <cell r="C20" t="e">
            <v>#N/A</v>
          </cell>
          <cell r="D20" t="e">
            <v>#N/A</v>
          </cell>
          <cell r="F20" t="e">
            <v>#REF!</v>
          </cell>
          <cell r="G20" t="e">
            <v>#N/A</v>
          </cell>
          <cell r="H20" t="str">
            <v>PCM</v>
          </cell>
          <cell r="K20" t="str">
            <v>FATURADO</v>
          </cell>
        </row>
        <row r="21">
          <cell r="A21" t="str">
            <v>0225-005425</v>
          </cell>
          <cell r="B21" t="e">
            <v>#N/A</v>
          </cell>
          <cell r="C21" t="e">
            <v>#N/A</v>
          </cell>
          <cell r="D21" t="e">
            <v>#N/A</v>
          </cell>
          <cell r="F21" t="e">
            <v>#REF!</v>
          </cell>
          <cell r="G21" t="e">
            <v>#N/A</v>
          </cell>
          <cell r="H21" t="str">
            <v>PCM</v>
          </cell>
          <cell r="K21" t="str">
            <v>FATURADO</v>
          </cell>
        </row>
        <row r="22">
          <cell r="A22" t="str">
            <v>0225-006380</v>
          </cell>
          <cell r="B22" t="e">
            <v>#N/A</v>
          </cell>
          <cell r="C22" t="e">
            <v>#N/A</v>
          </cell>
          <cell r="D22" t="e">
            <v>#N/A</v>
          </cell>
          <cell r="F22" t="e">
            <v>#REF!</v>
          </cell>
          <cell r="G22" t="e">
            <v>#N/A</v>
          </cell>
          <cell r="H22" t="str">
            <v>PCM</v>
          </cell>
          <cell r="K22" t="str">
            <v>FATURADO</v>
          </cell>
        </row>
        <row r="23">
          <cell r="A23" t="str">
            <v>1124-010015</v>
          </cell>
          <cell r="B23" t="e">
            <v>#N/A</v>
          </cell>
          <cell r="C23" t="e">
            <v>#N/A</v>
          </cell>
          <cell r="D23" t="e">
            <v>#N/A</v>
          </cell>
          <cell r="F23" t="e">
            <v>#REF!</v>
          </cell>
          <cell r="G23" t="e">
            <v>#N/A</v>
          </cell>
          <cell r="H23" t="str">
            <v>PCM</v>
          </cell>
          <cell r="K23" t="str">
            <v>FATURADO</v>
          </cell>
        </row>
        <row r="24">
          <cell r="A24" t="str">
            <v>1124-012130</v>
          </cell>
          <cell r="B24" t="e">
            <v>#N/A</v>
          </cell>
          <cell r="C24" t="e">
            <v>#N/A</v>
          </cell>
          <cell r="D24" t="e">
            <v>#N/A</v>
          </cell>
          <cell r="F24" t="e">
            <v>#REF!</v>
          </cell>
          <cell r="G24" t="e">
            <v>#N/A</v>
          </cell>
          <cell r="H24" t="str">
            <v>PCM</v>
          </cell>
          <cell r="K24" t="str">
            <v>FATURADO</v>
          </cell>
        </row>
        <row r="25">
          <cell r="A25" t="str">
            <v>1124-014502</v>
          </cell>
          <cell r="B25" t="e">
            <v>#N/A</v>
          </cell>
          <cell r="C25" t="e">
            <v>#N/A</v>
          </cell>
          <cell r="D25" t="e">
            <v>#N/A</v>
          </cell>
          <cell r="F25" t="e">
            <v>#REF!</v>
          </cell>
          <cell r="G25" t="e">
            <v>#N/A</v>
          </cell>
          <cell r="H25" t="str">
            <v>PCM</v>
          </cell>
          <cell r="K25" t="str">
            <v>FATURADO</v>
          </cell>
        </row>
        <row r="26">
          <cell r="A26" t="str">
            <v>1224-003929</v>
          </cell>
          <cell r="B26" t="e">
            <v>#N/A</v>
          </cell>
          <cell r="C26" t="e">
            <v>#N/A</v>
          </cell>
          <cell r="D26" t="e">
            <v>#N/A</v>
          </cell>
          <cell r="F26" t="e">
            <v>#REF!</v>
          </cell>
          <cell r="G26" t="e">
            <v>#N/A</v>
          </cell>
          <cell r="H26" t="str">
            <v>PCM</v>
          </cell>
          <cell r="K26" t="str">
            <v>FATURADO</v>
          </cell>
        </row>
        <row r="27">
          <cell r="A27" t="str">
            <v>1224-004657</v>
          </cell>
          <cell r="B27" t="e">
            <v>#N/A</v>
          </cell>
          <cell r="C27" t="e">
            <v>#N/A</v>
          </cell>
          <cell r="D27" t="e">
            <v>#N/A</v>
          </cell>
          <cell r="F27" t="e">
            <v>#REF!</v>
          </cell>
          <cell r="G27" t="e">
            <v>#N/A</v>
          </cell>
          <cell r="H27" t="str">
            <v>PCM</v>
          </cell>
          <cell r="K27" t="str">
            <v>FATURADO</v>
          </cell>
        </row>
        <row r="28">
          <cell r="A28" t="str">
            <v>1224-008035</v>
          </cell>
          <cell r="B28" t="e">
            <v>#N/A</v>
          </cell>
          <cell r="C28" t="e">
            <v>#N/A</v>
          </cell>
          <cell r="D28" t="e">
            <v>#N/A</v>
          </cell>
          <cell r="F28" t="e">
            <v>#REF!</v>
          </cell>
          <cell r="G28" t="e">
            <v>#N/A</v>
          </cell>
          <cell r="H28" t="str">
            <v>PCM</v>
          </cell>
          <cell r="K28" t="str">
            <v>FATURADO</v>
          </cell>
        </row>
        <row r="29">
          <cell r="A29" t="str">
            <v>1224-008965</v>
          </cell>
          <cell r="B29" t="e">
            <v>#N/A</v>
          </cell>
          <cell r="C29" t="e">
            <v>#N/A</v>
          </cell>
          <cell r="D29" t="e">
            <v>#N/A</v>
          </cell>
          <cell r="F29" t="e">
            <v>#REF!</v>
          </cell>
          <cell r="G29" t="e">
            <v>#N/A</v>
          </cell>
          <cell r="H29" t="str">
            <v>PCM</v>
          </cell>
          <cell r="K29" t="str">
            <v>FATURADO</v>
          </cell>
        </row>
        <row r="30">
          <cell r="A30" t="str">
            <v>1224-009962</v>
          </cell>
          <cell r="B30" t="e">
            <v>#N/A</v>
          </cell>
          <cell r="C30" t="e">
            <v>#N/A</v>
          </cell>
          <cell r="D30" t="e">
            <v>#N/A</v>
          </cell>
          <cell r="F30" t="e">
            <v>#REF!</v>
          </cell>
          <cell r="G30" t="e">
            <v>#N/A</v>
          </cell>
          <cell r="H30" t="str">
            <v>MANFAC - 4</v>
          </cell>
          <cell r="K30" t="str">
            <v>FATURADO</v>
          </cell>
        </row>
        <row r="31">
          <cell r="A31" t="str">
            <v>0125-015036</v>
          </cell>
          <cell r="B31" t="e">
            <v>#N/A</v>
          </cell>
          <cell r="C31" t="e">
            <v>#N/A</v>
          </cell>
          <cell r="D31" t="e">
            <v>#N/A</v>
          </cell>
          <cell r="F31" t="e">
            <v>#REF!</v>
          </cell>
          <cell r="G31" t="e">
            <v>#N/A</v>
          </cell>
          <cell r="H31" t="str">
            <v>MANFAC - 3</v>
          </cell>
          <cell r="K31" t="str">
            <v>FATURADO</v>
          </cell>
        </row>
        <row r="32">
          <cell r="A32" t="str">
            <v>1224-006805</v>
          </cell>
          <cell r="B32" t="e">
            <v>#N/A</v>
          </cell>
          <cell r="C32" t="e">
            <v>#N/A</v>
          </cell>
          <cell r="D32" t="e">
            <v>#N/A</v>
          </cell>
          <cell r="F32" t="e">
            <v>#REF!</v>
          </cell>
          <cell r="G32" t="e">
            <v>#N/A</v>
          </cell>
          <cell r="H32" t="str">
            <v>MANFAC - 4</v>
          </cell>
          <cell r="K32" t="str">
            <v>FATURADO</v>
          </cell>
        </row>
        <row r="33">
          <cell r="A33" t="str">
            <v>0324-007130</v>
          </cell>
          <cell r="B33" t="e">
            <v>#N/A</v>
          </cell>
          <cell r="C33" t="e">
            <v>#N/A</v>
          </cell>
          <cell r="D33" t="e">
            <v>#N/A</v>
          </cell>
          <cell r="F33" t="e">
            <v>#REF!</v>
          </cell>
          <cell r="G33" t="e">
            <v>#N/A</v>
          </cell>
          <cell r="H33" t="str">
            <v>CAMPOS</v>
          </cell>
          <cell r="K33" t="str">
            <v>FATURADO</v>
          </cell>
        </row>
        <row r="34">
          <cell r="A34" t="str">
            <v>1124-014020</v>
          </cell>
          <cell r="B34" t="e">
            <v>#N/A</v>
          </cell>
          <cell r="C34" t="e">
            <v>#N/A</v>
          </cell>
          <cell r="D34" t="e">
            <v>#N/A</v>
          </cell>
          <cell r="F34" t="e">
            <v>#REF!</v>
          </cell>
          <cell r="G34" t="e">
            <v>#N/A</v>
          </cell>
          <cell r="H34" t="str">
            <v>CARLOS</v>
          </cell>
          <cell r="K34" t="str">
            <v>FATURADO</v>
          </cell>
        </row>
        <row r="35">
          <cell r="A35" t="str">
            <v>0424-006141</v>
          </cell>
          <cell r="B35" t="e">
            <v>#N/A</v>
          </cell>
          <cell r="C35" t="e">
            <v>#N/A</v>
          </cell>
          <cell r="D35" t="e">
            <v>#N/A</v>
          </cell>
          <cell r="F35" t="e">
            <v>#REF!</v>
          </cell>
          <cell r="G35" t="e">
            <v>#N/A</v>
          </cell>
          <cell r="H35" t="str">
            <v>MANFAC - 4</v>
          </cell>
          <cell r="K35" t="str">
            <v>FATURADO</v>
          </cell>
        </row>
        <row r="36">
          <cell r="A36" t="str">
            <v>1224-006820</v>
          </cell>
          <cell r="B36" t="e">
            <v>#N/A</v>
          </cell>
          <cell r="C36" t="e">
            <v>#N/A</v>
          </cell>
          <cell r="D36" t="e">
            <v>#N/A</v>
          </cell>
          <cell r="F36" t="e">
            <v>#REF!</v>
          </cell>
          <cell r="G36" t="e">
            <v>#N/A</v>
          </cell>
          <cell r="H36" t="str">
            <v>CARLOS</v>
          </cell>
          <cell r="K36" t="str">
            <v>FATURADO</v>
          </cell>
        </row>
        <row r="37">
          <cell r="A37" t="str">
            <v>0425-011139</v>
          </cell>
          <cell r="B37" t="e">
            <v>#N/A</v>
          </cell>
          <cell r="C37" t="e">
            <v>#N/A</v>
          </cell>
          <cell r="D37" t="e">
            <v>#N/A</v>
          </cell>
          <cell r="F37" t="e">
            <v>#REF!</v>
          </cell>
          <cell r="G37" t="e">
            <v>#N/A</v>
          </cell>
          <cell r="H37" t="str">
            <v>MANFAC - 6</v>
          </cell>
          <cell r="K37" t="str">
            <v>FATURADO</v>
          </cell>
        </row>
        <row r="38">
          <cell r="A38" t="str">
            <v>1224-004308</v>
          </cell>
          <cell r="B38" t="str">
            <v>DP CACHAMBI</v>
          </cell>
          <cell r="C38" t="str">
            <v>ABASTECIMENTO CAMINHAO PIPA</v>
          </cell>
          <cell r="D38" t="str">
            <v>HIDRAULICA</v>
          </cell>
          <cell r="E38" t="str">
            <v>DP CACHAMBI - ABASTECIMENTO PIPA LOJA BAIXADA</v>
          </cell>
          <cell r="F38">
            <v>2800</v>
          </cell>
          <cell r="G38" t="e">
            <v>#N/A</v>
          </cell>
          <cell r="H38" t="str">
            <v>PCM</v>
          </cell>
          <cell r="K38" t="str">
            <v>FATURADO</v>
          </cell>
        </row>
        <row r="39">
          <cell r="A39" t="str">
            <v>1224-006716</v>
          </cell>
          <cell r="B39" t="e">
            <v>#N/A</v>
          </cell>
          <cell r="C39" t="e">
            <v>#N/A</v>
          </cell>
          <cell r="D39" t="e">
            <v>#N/A</v>
          </cell>
          <cell r="F39" t="e">
            <v>#REF!</v>
          </cell>
          <cell r="G39" t="e">
            <v>#N/A</v>
          </cell>
          <cell r="H39" t="str">
            <v>MANFAC - 4 / DIEGO</v>
          </cell>
          <cell r="K39" t="str">
            <v>FATURADO</v>
          </cell>
        </row>
        <row r="40">
          <cell r="A40" t="str">
            <v>1224-007514</v>
          </cell>
          <cell r="B40" t="e">
            <v>#N/A</v>
          </cell>
          <cell r="C40" t="e">
            <v>#N/A</v>
          </cell>
          <cell r="D40" t="e">
            <v>#N/A</v>
          </cell>
          <cell r="F40" t="e">
            <v>#REF!</v>
          </cell>
          <cell r="G40" t="e">
            <v>#N/A</v>
          </cell>
          <cell r="H40" t="str">
            <v>MANFAC - 4</v>
          </cell>
          <cell r="K40" t="str">
            <v>FATURADO</v>
          </cell>
        </row>
        <row r="41">
          <cell r="A41" t="str">
            <v>1224-008725</v>
          </cell>
          <cell r="B41" t="e">
            <v>#N/A</v>
          </cell>
          <cell r="C41" t="e">
            <v>#N/A</v>
          </cell>
          <cell r="D41" t="e">
            <v>#N/A</v>
          </cell>
          <cell r="F41" t="e">
            <v>#REF!</v>
          </cell>
          <cell r="G41" t="e">
            <v>#N/A</v>
          </cell>
          <cell r="H41" t="str">
            <v>MANFAC - 4 / DIEGO</v>
          </cell>
          <cell r="K41" t="str">
            <v>FATURADO</v>
          </cell>
        </row>
        <row r="42">
          <cell r="A42" t="str">
            <v>0125-015221</v>
          </cell>
          <cell r="B42" t="e">
            <v>#N/A</v>
          </cell>
          <cell r="C42" t="e">
            <v>#N/A</v>
          </cell>
          <cell r="D42" t="e">
            <v>#N/A</v>
          </cell>
          <cell r="F42" t="e">
            <v>#REF!</v>
          </cell>
          <cell r="G42" t="e">
            <v>#N/A</v>
          </cell>
          <cell r="H42" t="str">
            <v>MANFAC - 4</v>
          </cell>
          <cell r="K42" t="str">
            <v>FATURADO</v>
          </cell>
        </row>
        <row r="43">
          <cell r="A43" t="str">
            <v>1124-014223</v>
          </cell>
          <cell r="B43" t="e">
            <v>#N/A</v>
          </cell>
          <cell r="C43" t="e">
            <v>#N/A</v>
          </cell>
          <cell r="D43" t="e">
            <v>#N/A</v>
          </cell>
          <cell r="F43" t="e">
            <v>#REF!</v>
          </cell>
          <cell r="G43" t="e">
            <v>#N/A</v>
          </cell>
          <cell r="H43" t="str">
            <v>MANFAC - 5</v>
          </cell>
          <cell r="K43" t="str">
            <v>FATURADO</v>
          </cell>
        </row>
        <row r="44">
          <cell r="A44" t="str">
            <v>1024-005603</v>
          </cell>
          <cell r="B44" t="e">
            <v>#N/A</v>
          </cell>
          <cell r="C44" t="e">
            <v>#N/A</v>
          </cell>
          <cell r="D44" t="e">
            <v>#N/A</v>
          </cell>
          <cell r="F44" t="e">
            <v>#REF!</v>
          </cell>
          <cell r="G44" t="e">
            <v>#N/A</v>
          </cell>
          <cell r="H44" t="str">
            <v>PCM</v>
          </cell>
          <cell r="K44" t="str">
            <v>FATURADO</v>
          </cell>
        </row>
        <row r="45">
          <cell r="A45" t="str">
            <v>1224-010541</v>
          </cell>
          <cell r="B45" t="e">
            <v>#N/A</v>
          </cell>
          <cell r="C45" t="e">
            <v>#N/A</v>
          </cell>
          <cell r="D45" t="e">
            <v>#N/A</v>
          </cell>
          <cell r="F45" t="e">
            <v>#REF!</v>
          </cell>
          <cell r="G45" t="e">
            <v>#N/A</v>
          </cell>
          <cell r="H45" t="str">
            <v>MANFAC - 5</v>
          </cell>
          <cell r="K45" t="str">
            <v>FATURADO</v>
          </cell>
        </row>
        <row r="46">
          <cell r="A46" t="str">
            <v>1224-010825</v>
          </cell>
          <cell r="B46" t="e">
            <v>#N/A</v>
          </cell>
          <cell r="C46" t="e">
            <v>#N/A</v>
          </cell>
          <cell r="D46" t="e">
            <v>#N/A</v>
          </cell>
          <cell r="F46" t="e">
            <v>#REF!</v>
          </cell>
          <cell r="G46" t="e">
            <v>#N/A</v>
          </cell>
          <cell r="H46" t="str">
            <v>MANFAC - 6</v>
          </cell>
          <cell r="K46" t="str">
            <v>FATURADO</v>
          </cell>
        </row>
        <row r="47">
          <cell r="A47" t="str">
            <v>1224-010507</v>
          </cell>
          <cell r="B47" t="e">
            <v>#N/A</v>
          </cell>
          <cell r="C47" t="e">
            <v>#N/A</v>
          </cell>
          <cell r="D47" t="e">
            <v>#N/A</v>
          </cell>
          <cell r="F47" t="e">
            <v>#REF!</v>
          </cell>
          <cell r="G47" t="e">
            <v>#N/A</v>
          </cell>
          <cell r="H47" t="str">
            <v>MANFAC - 6</v>
          </cell>
          <cell r="K47" t="str">
            <v>FATURADO</v>
          </cell>
        </row>
        <row r="48">
          <cell r="A48" t="str">
            <v>0125-017530</v>
          </cell>
          <cell r="B48" t="e">
            <v>#N/A</v>
          </cell>
          <cell r="C48" t="e">
            <v>#N/A</v>
          </cell>
          <cell r="D48" t="e">
            <v>#N/A</v>
          </cell>
          <cell r="F48" t="e">
            <v>#REF!</v>
          </cell>
          <cell r="G48" t="e">
            <v>#N/A</v>
          </cell>
          <cell r="H48" t="str">
            <v>PCM</v>
          </cell>
          <cell r="K48" t="str">
            <v>FATURADO</v>
          </cell>
        </row>
        <row r="49">
          <cell r="A49" t="str">
            <v>1224-011320</v>
          </cell>
          <cell r="B49" t="e">
            <v>#N/A</v>
          </cell>
          <cell r="C49" t="e">
            <v>#N/A</v>
          </cell>
          <cell r="D49" t="e">
            <v>#N/A</v>
          </cell>
          <cell r="F49" t="e">
            <v>#REF!</v>
          </cell>
          <cell r="G49" t="e">
            <v>#N/A</v>
          </cell>
          <cell r="H49" t="str">
            <v>PCM</v>
          </cell>
          <cell r="K49" t="str">
            <v>FATURADO</v>
          </cell>
        </row>
        <row r="50">
          <cell r="A50" t="str">
            <v>0125-017171</v>
          </cell>
          <cell r="B50" t="e">
            <v>#N/A</v>
          </cell>
          <cell r="C50" t="e">
            <v>#N/A</v>
          </cell>
          <cell r="D50" t="e">
            <v>#N/A</v>
          </cell>
          <cell r="F50" t="e">
            <v>#REF!</v>
          </cell>
          <cell r="G50" t="e">
            <v>#N/A</v>
          </cell>
          <cell r="H50" t="str">
            <v>MANFAC - 6</v>
          </cell>
          <cell r="K50" t="str">
            <v>FATURADO</v>
          </cell>
        </row>
        <row r="51">
          <cell r="A51" t="str">
            <v>0724-011521</v>
          </cell>
          <cell r="B51" t="e">
            <v>#N/A</v>
          </cell>
          <cell r="C51" t="e">
            <v>#N/A</v>
          </cell>
          <cell r="D51" t="e">
            <v>#N/A</v>
          </cell>
          <cell r="F51" t="e">
            <v>#REF!</v>
          </cell>
          <cell r="G51" t="e">
            <v>#N/A</v>
          </cell>
          <cell r="H51" t="str">
            <v>MANFAC - 2</v>
          </cell>
          <cell r="K51" t="str">
            <v>FATURADO</v>
          </cell>
        </row>
        <row r="52">
          <cell r="A52" t="str">
            <v>1124-013771</v>
          </cell>
          <cell r="B52" t="e">
            <v>#N/A</v>
          </cell>
          <cell r="C52" t="e">
            <v>#N/A</v>
          </cell>
          <cell r="D52" t="e">
            <v>#N/A</v>
          </cell>
          <cell r="F52" t="e">
            <v>#REF!</v>
          </cell>
          <cell r="G52" t="e">
            <v>#N/A</v>
          </cell>
          <cell r="H52" t="str">
            <v>MANFAC - 5</v>
          </cell>
          <cell r="K52" t="str">
            <v>FATURADO</v>
          </cell>
        </row>
        <row r="53">
          <cell r="A53" t="str">
            <v>0125-008309</v>
          </cell>
          <cell r="B53" t="e">
            <v>#N/A</v>
          </cell>
          <cell r="C53" t="e">
            <v>#N/A</v>
          </cell>
          <cell r="D53" t="e">
            <v>#N/A</v>
          </cell>
          <cell r="F53" t="e">
            <v>#REF!</v>
          </cell>
          <cell r="G53" t="e">
            <v>#N/A</v>
          </cell>
          <cell r="H53" t="str">
            <v>MANFAC - 3</v>
          </cell>
          <cell r="K53" t="str">
            <v>FATURADO</v>
          </cell>
        </row>
        <row r="54">
          <cell r="A54" t="str">
            <v>0125-013727</v>
          </cell>
          <cell r="B54" t="e">
            <v>#N/A</v>
          </cell>
          <cell r="C54" t="e">
            <v>#N/A</v>
          </cell>
          <cell r="D54" t="e">
            <v>#N/A</v>
          </cell>
          <cell r="F54" t="e">
            <v>#REF!</v>
          </cell>
          <cell r="G54" t="e">
            <v>#N/A</v>
          </cell>
          <cell r="H54" t="str">
            <v>PCM</v>
          </cell>
          <cell r="K54" t="str">
            <v>FATURADO</v>
          </cell>
        </row>
        <row r="55">
          <cell r="A55" t="str">
            <v>0125-014373</v>
          </cell>
          <cell r="B55" t="e">
            <v>#N/A</v>
          </cell>
          <cell r="C55" t="e">
            <v>#N/A</v>
          </cell>
          <cell r="D55" t="e">
            <v>#N/A</v>
          </cell>
          <cell r="F55" t="e">
            <v>#REF!</v>
          </cell>
          <cell r="G55" t="e">
            <v>#N/A</v>
          </cell>
          <cell r="H55" t="str">
            <v>PCM</v>
          </cell>
          <cell r="K55" t="str">
            <v>FATURADO</v>
          </cell>
        </row>
        <row r="56">
          <cell r="A56" t="str">
            <v>0125-016476</v>
          </cell>
          <cell r="B56" t="e">
            <v>#N/A</v>
          </cell>
          <cell r="C56" t="e">
            <v>#N/A</v>
          </cell>
          <cell r="D56" t="e">
            <v>#N/A</v>
          </cell>
          <cell r="F56" t="e">
            <v>#REF!</v>
          </cell>
          <cell r="G56" t="e">
            <v>#N/A</v>
          </cell>
          <cell r="H56" t="str">
            <v>PCM</v>
          </cell>
          <cell r="K56" t="str">
            <v>FATURADO</v>
          </cell>
        </row>
        <row r="57">
          <cell r="A57" t="str">
            <v>0225-005877</v>
          </cell>
          <cell r="B57" t="e">
            <v>#N/A</v>
          </cell>
          <cell r="C57" t="e">
            <v>#N/A</v>
          </cell>
          <cell r="D57" t="e">
            <v>#N/A</v>
          </cell>
          <cell r="F57" t="e">
            <v>#REF!</v>
          </cell>
          <cell r="G57" t="e">
            <v>#N/A</v>
          </cell>
          <cell r="H57" t="str">
            <v>PCM</v>
          </cell>
          <cell r="K57" t="str">
            <v>FATURADO</v>
          </cell>
        </row>
        <row r="58">
          <cell r="A58" t="str">
            <v>0225-006055</v>
          </cell>
          <cell r="B58" t="e">
            <v>#N/A</v>
          </cell>
          <cell r="C58" t="e">
            <v>#N/A</v>
          </cell>
          <cell r="D58" t="e">
            <v>#N/A</v>
          </cell>
          <cell r="F58" t="e">
            <v>#REF!</v>
          </cell>
          <cell r="G58" t="e">
            <v>#N/A</v>
          </cell>
          <cell r="H58" t="str">
            <v>PCM</v>
          </cell>
          <cell r="K58" t="str">
            <v>FATURADO</v>
          </cell>
        </row>
        <row r="59">
          <cell r="A59" t="str">
            <v>1024-009005</v>
          </cell>
          <cell r="B59" t="e">
            <v>#N/A</v>
          </cell>
          <cell r="C59" t="e">
            <v>#N/A</v>
          </cell>
          <cell r="D59" t="e">
            <v>#N/A</v>
          </cell>
          <cell r="F59" t="e">
            <v>#REF!</v>
          </cell>
          <cell r="G59" t="e">
            <v>#N/A</v>
          </cell>
          <cell r="H59" t="str">
            <v>PCM</v>
          </cell>
          <cell r="K59" t="str">
            <v>FATURADO</v>
          </cell>
        </row>
        <row r="60">
          <cell r="A60" t="str">
            <v>1124-008078</v>
          </cell>
          <cell r="B60" t="e">
            <v>#N/A</v>
          </cell>
          <cell r="C60" t="e">
            <v>#N/A</v>
          </cell>
          <cell r="D60" t="e">
            <v>#N/A</v>
          </cell>
          <cell r="F60" t="e">
            <v>#REF!</v>
          </cell>
          <cell r="G60" t="e">
            <v>#N/A</v>
          </cell>
          <cell r="H60" t="str">
            <v>PCM</v>
          </cell>
          <cell r="K60" t="str">
            <v>FATURADO</v>
          </cell>
        </row>
        <row r="61">
          <cell r="A61" t="str">
            <v>1124-012659</v>
          </cell>
          <cell r="B61" t="e">
            <v>#N/A</v>
          </cell>
          <cell r="C61" t="e">
            <v>#N/A</v>
          </cell>
          <cell r="D61" t="e">
            <v>#N/A</v>
          </cell>
          <cell r="F61" t="e">
            <v>#REF!</v>
          </cell>
          <cell r="G61" t="e">
            <v>#N/A</v>
          </cell>
          <cell r="H61" t="str">
            <v>PCM</v>
          </cell>
          <cell r="K61" t="str">
            <v>FATURADO</v>
          </cell>
        </row>
        <row r="62">
          <cell r="A62" t="str">
            <v>1124-012946</v>
          </cell>
          <cell r="B62" t="e">
            <v>#N/A</v>
          </cell>
          <cell r="C62" t="e">
            <v>#N/A</v>
          </cell>
          <cell r="D62" t="e">
            <v>#N/A</v>
          </cell>
          <cell r="F62" t="e">
            <v>#REF!</v>
          </cell>
          <cell r="G62" t="e">
            <v>#N/A</v>
          </cell>
          <cell r="H62" t="str">
            <v>PCM</v>
          </cell>
          <cell r="K62" t="str">
            <v>FATURADO</v>
          </cell>
        </row>
        <row r="63">
          <cell r="A63" t="str">
            <v>1124-014139</v>
          </cell>
          <cell r="B63" t="e">
            <v>#N/A</v>
          </cell>
          <cell r="C63" t="e">
            <v>#N/A</v>
          </cell>
          <cell r="D63" t="e">
            <v>#N/A</v>
          </cell>
          <cell r="F63" t="e">
            <v>#REF!</v>
          </cell>
          <cell r="G63" t="e">
            <v>#N/A</v>
          </cell>
          <cell r="H63" t="str">
            <v>PCM</v>
          </cell>
          <cell r="K63" t="str">
            <v>FATURADO</v>
          </cell>
        </row>
        <row r="64">
          <cell r="A64" t="str">
            <v>1224-003900</v>
          </cell>
          <cell r="B64" t="e">
            <v>#N/A</v>
          </cell>
          <cell r="C64" t="e">
            <v>#N/A</v>
          </cell>
          <cell r="D64" t="e">
            <v>#N/A</v>
          </cell>
          <cell r="F64" t="e">
            <v>#REF!</v>
          </cell>
          <cell r="G64" t="e">
            <v>#N/A</v>
          </cell>
          <cell r="H64" t="str">
            <v>PCM</v>
          </cell>
          <cell r="K64" t="str">
            <v>FATURADO</v>
          </cell>
        </row>
        <row r="65">
          <cell r="A65" t="str">
            <v>1224-003934</v>
          </cell>
          <cell r="B65" t="e">
            <v>#N/A</v>
          </cell>
          <cell r="C65" t="e">
            <v>#N/A</v>
          </cell>
          <cell r="D65" t="e">
            <v>#N/A</v>
          </cell>
          <cell r="F65" t="e">
            <v>#REF!</v>
          </cell>
          <cell r="G65" t="e">
            <v>#N/A</v>
          </cell>
          <cell r="H65" t="str">
            <v>PCM</v>
          </cell>
          <cell r="K65" t="str">
            <v>FATURADO</v>
          </cell>
        </row>
        <row r="66">
          <cell r="A66" t="str">
            <v>1224-004323</v>
          </cell>
          <cell r="B66" t="e">
            <v>#N/A</v>
          </cell>
          <cell r="C66" t="e">
            <v>#N/A</v>
          </cell>
          <cell r="D66" t="e">
            <v>#N/A</v>
          </cell>
          <cell r="F66" t="e">
            <v>#REF!</v>
          </cell>
          <cell r="G66" t="e">
            <v>#N/A</v>
          </cell>
          <cell r="H66" t="str">
            <v>PCM</v>
          </cell>
          <cell r="K66" t="str">
            <v>FATURADO</v>
          </cell>
        </row>
        <row r="67">
          <cell r="A67" t="str">
            <v>1224-005325</v>
          </cell>
          <cell r="B67" t="e">
            <v>#N/A</v>
          </cell>
          <cell r="C67" t="e">
            <v>#N/A</v>
          </cell>
          <cell r="D67" t="e">
            <v>#N/A</v>
          </cell>
          <cell r="F67" t="e">
            <v>#REF!</v>
          </cell>
          <cell r="G67" t="e">
            <v>#N/A</v>
          </cell>
          <cell r="H67" t="str">
            <v>PCM</v>
          </cell>
          <cell r="K67" t="str">
            <v>FATURADO</v>
          </cell>
        </row>
        <row r="68">
          <cell r="A68" t="str">
            <v>1224-006277</v>
          </cell>
          <cell r="B68" t="e">
            <v>#N/A</v>
          </cell>
          <cell r="C68" t="e">
            <v>#N/A</v>
          </cell>
          <cell r="D68" t="e">
            <v>#N/A</v>
          </cell>
          <cell r="F68" t="e">
            <v>#REF!</v>
          </cell>
          <cell r="G68" t="e">
            <v>#N/A</v>
          </cell>
          <cell r="H68" t="str">
            <v>PCM</v>
          </cell>
          <cell r="K68" t="str">
            <v>FATURADO</v>
          </cell>
        </row>
        <row r="69">
          <cell r="A69" t="str">
            <v>1224-007486</v>
          </cell>
          <cell r="B69" t="e">
            <v>#N/A</v>
          </cell>
          <cell r="C69" t="e">
            <v>#N/A</v>
          </cell>
          <cell r="D69" t="e">
            <v>#N/A</v>
          </cell>
          <cell r="F69" t="e">
            <v>#REF!</v>
          </cell>
          <cell r="G69" t="e">
            <v>#N/A</v>
          </cell>
          <cell r="H69" t="str">
            <v>PCM</v>
          </cell>
          <cell r="K69" t="str">
            <v>FATURADO</v>
          </cell>
        </row>
        <row r="70">
          <cell r="A70" t="str">
            <v>1224-007707</v>
          </cell>
          <cell r="B70" t="e">
            <v>#N/A</v>
          </cell>
          <cell r="C70" t="e">
            <v>#N/A</v>
          </cell>
          <cell r="D70" t="e">
            <v>#N/A</v>
          </cell>
          <cell r="F70" t="e">
            <v>#REF!</v>
          </cell>
          <cell r="G70" t="e">
            <v>#N/A</v>
          </cell>
          <cell r="H70" t="str">
            <v>PCM</v>
          </cell>
          <cell r="K70" t="str">
            <v>FATURADO</v>
          </cell>
        </row>
        <row r="71">
          <cell r="A71" t="str">
            <v>1224-008366</v>
          </cell>
          <cell r="B71" t="e">
            <v>#N/A</v>
          </cell>
          <cell r="C71" t="e">
            <v>#N/A</v>
          </cell>
          <cell r="D71" t="e">
            <v>#N/A</v>
          </cell>
          <cell r="F71" t="e">
            <v>#REF!</v>
          </cell>
          <cell r="G71" t="e">
            <v>#N/A</v>
          </cell>
          <cell r="H71" t="str">
            <v>PCM</v>
          </cell>
          <cell r="K71" t="str">
            <v>FATURADO</v>
          </cell>
        </row>
        <row r="72">
          <cell r="A72" t="str">
            <v>1224-008707</v>
          </cell>
          <cell r="B72" t="e">
            <v>#N/A</v>
          </cell>
          <cell r="C72" t="e">
            <v>#N/A</v>
          </cell>
          <cell r="D72" t="e">
            <v>#N/A</v>
          </cell>
          <cell r="F72" t="e">
            <v>#REF!</v>
          </cell>
          <cell r="G72" t="e">
            <v>#N/A</v>
          </cell>
          <cell r="H72" t="str">
            <v>PCM</v>
          </cell>
          <cell r="K72" t="str">
            <v>FATURADO</v>
          </cell>
        </row>
        <row r="73">
          <cell r="A73" t="str">
            <v>1224-006848</v>
          </cell>
          <cell r="B73" t="e">
            <v>#N/A</v>
          </cell>
          <cell r="C73" t="e">
            <v>#N/A</v>
          </cell>
          <cell r="D73" t="e">
            <v>#N/A</v>
          </cell>
          <cell r="F73" t="e">
            <v>#REF!</v>
          </cell>
          <cell r="G73" t="e">
            <v>#N/A</v>
          </cell>
          <cell r="H73" t="str">
            <v>MANFAC - 3</v>
          </cell>
          <cell r="K73" t="str">
            <v>FATURADO</v>
          </cell>
        </row>
        <row r="74">
          <cell r="A74" t="str">
            <v>0325-015890</v>
          </cell>
          <cell r="B74" t="e">
            <v>#N/A</v>
          </cell>
          <cell r="C74" t="e">
            <v>#N/A</v>
          </cell>
          <cell r="D74" t="e">
            <v>#N/A</v>
          </cell>
          <cell r="E74" t="str">
            <v>PEGAR OS FISICA</v>
          </cell>
          <cell r="F74" t="e">
            <v>#REF!</v>
          </cell>
          <cell r="G74" t="e">
            <v>#N/A</v>
          </cell>
          <cell r="H74" t="str">
            <v>MANFAC - 3</v>
          </cell>
          <cell r="K74" t="str">
            <v>FATURADO</v>
          </cell>
        </row>
        <row r="75">
          <cell r="A75" t="str">
            <v>0125-008878</v>
          </cell>
          <cell r="B75" t="e">
            <v>#N/A</v>
          </cell>
          <cell r="C75" t="e">
            <v>#N/A</v>
          </cell>
          <cell r="D75" t="e">
            <v>#N/A</v>
          </cell>
          <cell r="F75" t="e">
            <v>#REF!</v>
          </cell>
          <cell r="G75" t="e">
            <v>#N/A</v>
          </cell>
          <cell r="H75" t="str">
            <v>CARLOS</v>
          </cell>
          <cell r="K75" t="str">
            <v>FATURADO</v>
          </cell>
        </row>
        <row r="76">
          <cell r="A76" t="str">
            <v>0824-010464</v>
          </cell>
          <cell r="B76" t="e">
            <v>#N/A</v>
          </cell>
          <cell r="C76" t="e">
            <v>#N/A</v>
          </cell>
          <cell r="D76" t="e">
            <v>#N/A</v>
          </cell>
          <cell r="F76" t="e">
            <v>#REF!</v>
          </cell>
          <cell r="G76" t="e">
            <v>#N/A</v>
          </cell>
          <cell r="H76" t="str">
            <v>MANFAC - 3</v>
          </cell>
          <cell r="K76" t="str">
            <v>FATURADO</v>
          </cell>
        </row>
        <row r="77">
          <cell r="A77" t="str">
            <v>0125-013382</v>
          </cell>
          <cell r="B77" t="e">
            <v>#N/A</v>
          </cell>
          <cell r="C77" t="e">
            <v>#N/A</v>
          </cell>
          <cell r="D77" t="e">
            <v>#N/A</v>
          </cell>
          <cell r="F77" t="e">
            <v>#REF!</v>
          </cell>
          <cell r="G77" t="e">
            <v>#N/A</v>
          </cell>
          <cell r="H77" t="str">
            <v>PCM</v>
          </cell>
          <cell r="K77" t="str">
            <v>FATURADO</v>
          </cell>
        </row>
        <row r="78">
          <cell r="A78" t="str">
            <v>1224-009391</v>
          </cell>
          <cell r="B78" t="e">
            <v>#N/A</v>
          </cell>
          <cell r="C78" t="e">
            <v>#N/A</v>
          </cell>
          <cell r="D78" t="e">
            <v>#N/A</v>
          </cell>
          <cell r="F78" t="e">
            <v>#REF!</v>
          </cell>
          <cell r="G78" t="e">
            <v>#N/A</v>
          </cell>
          <cell r="H78" t="str">
            <v>PCM</v>
          </cell>
          <cell r="K78" t="str">
            <v>FATURADO</v>
          </cell>
        </row>
        <row r="79">
          <cell r="A79" t="str">
            <v>1224-010355</v>
          </cell>
          <cell r="B79" t="e">
            <v>#N/A</v>
          </cell>
          <cell r="C79" t="e">
            <v>#N/A</v>
          </cell>
          <cell r="D79" t="e">
            <v>#N/A</v>
          </cell>
          <cell r="F79" t="e">
            <v>#REF!</v>
          </cell>
          <cell r="G79" t="e">
            <v>#N/A</v>
          </cell>
          <cell r="H79" t="str">
            <v>MANFAC - 4</v>
          </cell>
          <cell r="K79" t="str">
            <v>FATURADO</v>
          </cell>
        </row>
        <row r="80">
          <cell r="A80" t="str">
            <v>1124-013298</v>
          </cell>
          <cell r="B80" t="e">
            <v>#N/A</v>
          </cell>
          <cell r="C80" t="e">
            <v>#N/A</v>
          </cell>
          <cell r="D80" t="e">
            <v>#N/A</v>
          </cell>
          <cell r="F80" t="e">
            <v>#REF!</v>
          </cell>
          <cell r="G80" t="e">
            <v>#N/A</v>
          </cell>
          <cell r="H80" t="str">
            <v>MANFAC - 5</v>
          </cell>
          <cell r="K80" t="str">
            <v>FATURADO</v>
          </cell>
        </row>
        <row r="81">
          <cell r="A81" t="str">
            <v>1024-011377</v>
          </cell>
          <cell r="B81" t="e">
            <v>#N/A</v>
          </cell>
          <cell r="C81" t="e">
            <v>#N/A</v>
          </cell>
          <cell r="D81" t="e">
            <v>#N/A</v>
          </cell>
          <cell r="F81" t="e">
            <v>#REF!</v>
          </cell>
          <cell r="G81" t="e">
            <v>#N/A</v>
          </cell>
          <cell r="H81" t="str">
            <v>CARLOS</v>
          </cell>
          <cell r="K81" t="str">
            <v>FATURADO</v>
          </cell>
        </row>
        <row r="82">
          <cell r="A82" t="str">
            <v>1224-011114</v>
          </cell>
          <cell r="B82" t="e">
            <v>#N/A</v>
          </cell>
          <cell r="C82" t="e">
            <v>#N/A</v>
          </cell>
          <cell r="D82" t="e">
            <v>#N/A</v>
          </cell>
          <cell r="F82" t="e">
            <v>#REF!</v>
          </cell>
          <cell r="G82" t="e">
            <v>#N/A</v>
          </cell>
          <cell r="H82" t="str">
            <v>MANFAC - 4</v>
          </cell>
          <cell r="K82" t="str">
            <v>FATURADO</v>
          </cell>
        </row>
        <row r="83">
          <cell r="A83" t="str">
            <v>0125-010974</v>
          </cell>
          <cell r="B83" t="e">
            <v>#N/A</v>
          </cell>
          <cell r="C83" t="e">
            <v>#N/A</v>
          </cell>
          <cell r="D83" t="e">
            <v>#N/A</v>
          </cell>
          <cell r="F83" t="e">
            <v>#REF!</v>
          </cell>
          <cell r="G83" t="e">
            <v>#N/A</v>
          </cell>
          <cell r="H83" t="str">
            <v>MANFAC - 4</v>
          </cell>
          <cell r="K83" t="str">
            <v>FATURADO</v>
          </cell>
        </row>
        <row r="84">
          <cell r="A84" t="str">
            <v>1124-011805</v>
          </cell>
          <cell r="B84" t="e">
            <v>#N/A</v>
          </cell>
          <cell r="C84" t="e">
            <v>#N/A</v>
          </cell>
          <cell r="D84" t="e">
            <v>#N/A</v>
          </cell>
          <cell r="F84" t="e">
            <v>#REF!</v>
          </cell>
          <cell r="G84" t="e">
            <v>#N/A</v>
          </cell>
          <cell r="H84" t="str">
            <v>MANFAC -1</v>
          </cell>
          <cell r="K84" t="str">
            <v>FATURADO</v>
          </cell>
        </row>
        <row r="85">
          <cell r="A85" t="str">
            <v>1024-007057</v>
          </cell>
          <cell r="B85" t="e">
            <v>#N/A</v>
          </cell>
          <cell r="C85" t="e">
            <v>#N/A</v>
          </cell>
          <cell r="D85" t="e">
            <v>#N/A</v>
          </cell>
          <cell r="F85" t="e">
            <v>#REF!</v>
          </cell>
          <cell r="G85" t="e">
            <v>#N/A</v>
          </cell>
          <cell r="H85" t="str">
            <v>MANFAC - 6</v>
          </cell>
          <cell r="K85" t="str">
            <v>FATURADO</v>
          </cell>
        </row>
        <row r="86">
          <cell r="A86" t="str">
            <v>0124-009823</v>
          </cell>
          <cell r="B86" t="e">
            <v>#N/A</v>
          </cell>
          <cell r="C86" t="e">
            <v>#N/A</v>
          </cell>
          <cell r="D86" t="e">
            <v>#N/A</v>
          </cell>
          <cell r="F86" t="e">
            <v>#REF!</v>
          </cell>
          <cell r="G86" t="e">
            <v>#N/A</v>
          </cell>
          <cell r="H86" t="str">
            <v>MANFAC - 3</v>
          </cell>
          <cell r="K86" t="str">
            <v>FATURADO</v>
          </cell>
        </row>
        <row r="87">
          <cell r="A87" t="str">
            <v>1224-006726</v>
          </cell>
          <cell r="B87" t="e">
            <v>#N/A</v>
          </cell>
          <cell r="C87" t="e">
            <v>#N/A</v>
          </cell>
          <cell r="D87" t="e">
            <v>#N/A</v>
          </cell>
          <cell r="F87" t="e">
            <v>#REF!</v>
          </cell>
          <cell r="G87" t="e">
            <v>#N/A</v>
          </cell>
          <cell r="H87" t="str">
            <v>MANFAC - 4 / DIEGO</v>
          </cell>
          <cell r="K87" t="str">
            <v>FATURADO</v>
          </cell>
        </row>
        <row r="88">
          <cell r="A88" t="str">
            <v>0125-010206</v>
          </cell>
          <cell r="B88" t="e">
            <v>#N/A</v>
          </cell>
          <cell r="C88" t="e">
            <v>#N/A</v>
          </cell>
          <cell r="D88" t="e">
            <v>#N/A</v>
          </cell>
          <cell r="F88">
            <v>900</v>
          </cell>
          <cell r="G88" t="e">
            <v>#N/A</v>
          </cell>
          <cell r="H88" t="str">
            <v>MANFAC - 5</v>
          </cell>
          <cell r="K88" t="str">
            <v>FATURADO</v>
          </cell>
        </row>
        <row r="89">
          <cell r="A89" t="str">
            <v>0125-013249</v>
          </cell>
          <cell r="B89" t="e">
            <v>#N/A</v>
          </cell>
          <cell r="C89" t="e">
            <v>#N/A</v>
          </cell>
          <cell r="D89" t="e">
            <v>#N/A</v>
          </cell>
          <cell r="F89">
            <v>900</v>
          </cell>
          <cell r="G89" t="e">
            <v>#N/A</v>
          </cell>
          <cell r="H89" t="str">
            <v>MANFAC - 5</v>
          </cell>
          <cell r="K89" t="str">
            <v>FATURADO</v>
          </cell>
        </row>
        <row r="90">
          <cell r="A90" t="str">
            <v>1224-009919</v>
          </cell>
          <cell r="B90" t="e">
            <v>#N/A</v>
          </cell>
          <cell r="C90" t="e">
            <v>#N/A</v>
          </cell>
          <cell r="D90" t="e">
            <v>#N/A</v>
          </cell>
          <cell r="F90">
            <v>900</v>
          </cell>
          <cell r="G90" t="e">
            <v>#N/A</v>
          </cell>
          <cell r="H90" t="str">
            <v>MANFAC - 5</v>
          </cell>
          <cell r="K90" t="str">
            <v>FATURADO</v>
          </cell>
        </row>
        <row r="91">
          <cell r="A91" t="str">
            <v>0125-015119</v>
          </cell>
          <cell r="B91" t="e">
            <v>#N/A</v>
          </cell>
          <cell r="C91" t="e">
            <v>#N/A</v>
          </cell>
          <cell r="D91" t="e">
            <v>#N/A</v>
          </cell>
          <cell r="F91" t="e">
            <v>#REF!</v>
          </cell>
          <cell r="G91" t="e">
            <v>#N/A</v>
          </cell>
          <cell r="H91" t="str">
            <v>MANFAC - 2</v>
          </cell>
          <cell r="K91" t="str">
            <v>FATURADO</v>
          </cell>
        </row>
        <row r="92">
          <cell r="A92" t="str">
            <v>1124-014697</v>
          </cell>
          <cell r="B92" t="e">
            <v>#N/A</v>
          </cell>
          <cell r="C92" t="e">
            <v>#N/A</v>
          </cell>
          <cell r="D92" t="e">
            <v>#N/A</v>
          </cell>
          <cell r="F92" t="e">
            <v>#REF!</v>
          </cell>
          <cell r="G92" t="e">
            <v>#N/A</v>
          </cell>
          <cell r="H92" t="str">
            <v>MANFAC - 4</v>
          </cell>
          <cell r="K92" t="str">
            <v>FATURADO</v>
          </cell>
        </row>
        <row r="93">
          <cell r="A93" t="str">
            <v>0125-013734</v>
          </cell>
          <cell r="B93" t="e">
            <v>#N/A</v>
          </cell>
          <cell r="C93" t="e">
            <v>#N/A</v>
          </cell>
          <cell r="D93" t="e">
            <v>#N/A</v>
          </cell>
          <cell r="F93" t="e">
            <v>#REF!</v>
          </cell>
          <cell r="G93" t="e">
            <v>#N/A</v>
          </cell>
          <cell r="H93" t="str">
            <v>PCM</v>
          </cell>
          <cell r="K93" t="str">
            <v>FATURADO</v>
          </cell>
        </row>
        <row r="94">
          <cell r="A94" t="str">
            <v>1124-014216</v>
          </cell>
          <cell r="B94" t="e">
            <v>#N/A</v>
          </cell>
          <cell r="C94" t="e">
            <v>#N/A</v>
          </cell>
          <cell r="D94" t="e">
            <v>#N/A</v>
          </cell>
          <cell r="F94" t="e">
            <v>#REF!</v>
          </cell>
          <cell r="G94" t="e">
            <v>#N/A</v>
          </cell>
          <cell r="H94" t="str">
            <v>PCM</v>
          </cell>
          <cell r="K94" t="str">
            <v>FATURADO</v>
          </cell>
        </row>
        <row r="95">
          <cell r="A95" t="str">
            <v>1224-008534</v>
          </cell>
          <cell r="B95" t="e">
            <v>#N/A</v>
          </cell>
          <cell r="C95" t="e">
            <v>#N/A</v>
          </cell>
          <cell r="D95" t="e">
            <v>#N/A</v>
          </cell>
          <cell r="F95" t="e">
            <v>#REF!</v>
          </cell>
          <cell r="G95" t="e">
            <v>#N/A</v>
          </cell>
          <cell r="H95" t="str">
            <v>PCM</v>
          </cell>
          <cell r="K95" t="str">
            <v>FATURADO</v>
          </cell>
        </row>
        <row r="96">
          <cell r="A96" t="str">
            <v>1224-011785</v>
          </cell>
          <cell r="B96" t="e">
            <v>#N/A</v>
          </cell>
          <cell r="C96" t="e">
            <v>#N/A</v>
          </cell>
          <cell r="D96" t="e">
            <v>#N/A</v>
          </cell>
          <cell r="F96" t="e">
            <v>#REF!</v>
          </cell>
          <cell r="G96" t="e">
            <v>#N/A</v>
          </cell>
          <cell r="H96" t="str">
            <v>MANFAC - 4</v>
          </cell>
          <cell r="K96" t="str">
            <v>FATURADO</v>
          </cell>
        </row>
        <row r="97">
          <cell r="A97" t="str">
            <v>1224-009652</v>
          </cell>
          <cell r="B97" t="e">
            <v>#N/A</v>
          </cell>
          <cell r="C97" t="e">
            <v>#N/A</v>
          </cell>
          <cell r="D97" t="e">
            <v>#N/A</v>
          </cell>
          <cell r="F97" t="e">
            <v>#REF!</v>
          </cell>
          <cell r="G97" t="e">
            <v>#N/A</v>
          </cell>
          <cell r="H97" t="str">
            <v>MANFAC - 3</v>
          </cell>
          <cell r="K97" t="str">
            <v>FATURADO</v>
          </cell>
        </row>
        <row r="98">
          <cell r="A98" t="str">
            <v>1224-008386</v>
          </cell>
          <cell r="B98" t="e">
            <v>#N/A</v>
          </cell>
          <cell r="C98" t="e">
            <v>#N/A</v>
          </cell>
          <cell r="D98" t="e">
            <v>#N/A</v>
          </cell>
          <cell r="F98" t="e">
            <v>#REF!</v>
          </cell>
          <cell r="G98" t="e">
            <v>#N/A</v>
          </cell>
          <cell r="H98" t="str">
            <v>MANFAC - 5</v>
          </cell>
          <cell r="K98" t="str">
            <v>FATURADO</v>
          </cell>
        </row>
        <row r="99">
          <cell r="A99" t="str">
            <v>1224-008731</v>
          </cell>
          <cell r="B99" t="e">
            <v>#N/A</v>
          </cell>
          <cell r="C99" t="e">
            <v>#N/A</v>
          </cell>
          <cell r="D99" t="e">
            <v>#N/A</v>
          </cell>
          <cell r="F99" t="e">
            <v>#REF!</v>
          </cell>
          <cell r="G99" t="e">
            <v>#N/A</v>
          </cell>
          <cell r="H99" t="str">
            <v>MANFAC - 4 / DIEGO</v>
          </cell>
          <cell r="K99" t="str">
            <v>FATURADO</v>
          </cell>
        </row>
        <row r="100">
          <cell r="A100" t="str">
            <v>0125-014938</v>
          </cell>
          <cell r="B100" t="e">
            <v>#N/A</v>
          </cell>
          <cell r="C100" t="e">
            <v>#N/A</v>
          </cell>
          <cell r="D100" t="e">
            <v>#N/A</v>
          </cell>
          <cell r="F100" t="e">
            <v>#REF!</v>
          </cell>
          <cell r="G100" t="e">
            <v>#N/A</v>
          </cell>
          <cell r="H100" t="str">
            <v>MANFAC - 4</v>
          </cell>
          <cell r="K100" t="str">
            <v>FATURADO</v>
          </cell>
        </row>
        <row r="101">
          <cell r="A101" t="str">
            <v>1024-008426</v>
          </cell>
          <cell r="B101" t="e">
            <v>#N/A</v>
          </cell>
          <cell r="C101" t="e">
            <v>#N/A</v>
          </cell>
          <cell r="D101" t="e">
            <v>#N/A</v>
          </cell>
          <cell r="F101" t="e">
            <v>#REF!</v>
          </cell>
          <cell r="G101" t="e">
            <v>#N/A</v>
          </cell>
          <cell r="H101" t="str">
            <v>MANFAC - 4</v>
          </cell>
          <cell r="K101" t="str">
            <v>FATURADO</v>
          </cell>
        </row>
        <row r="102">
          <cell r="A102" t="str">
            <v>0125-009035</v>
          </cell>
          <cell r="B102" t="e">
            <v>#N/A</v>
          </cell>
          <cell r="C102" t="e">
            <v>#N/A</v>
          </cell>
          <cell r="D102" t="e">
            <v>#N/A</v>
          </cell>
          <cell r="F102" t="e">
            <v>#REF!</v>
          </cell>
          <cell r="G102" t="e">
            <v>#N/A</v>
          </cell>
          <cell r="H102" t="str">
            <v>MANFAC - 5</v>
          </cell>
          <cell r="K102" t="str">
            <v>FATURADO</v>
          </cell>
        </row>
        <row r="103">
          <cell r="A103" t="str">
            <v>1224-010532</v>
          </cell>
          <cell r="B103" t="e">
            <v>#N/A</v>
          </cell>
          <cell r="C103" t="e">
            <v>#N/A</v>
          </cell>
          <cell r="D103" t="e">
            <v>#N/A</v>
          </cell>
          <cell r="F103" t="e">
            <v>#REF!</v>
          </cell>
          <cell r="G103" t="e">
            <v>#N/A</v>
          </cell>
          <cell r="H103" t="str">
            <v>MANFAC - 4</v>
          </cell>
          <cell r="K103" t="str">
            <v>FATURADO</v>
          </cell>
        </row>
        <row r="104">
          <cell r="A104" t="str">
            <v>0724-011936</v>
          </cell>
          <cell r="B104" t="e">
            <v>#N/A</v>
          </cell>
          <cell r="C104" t="e">
            <v>#N/A</v>
          </cell>
          <cell r="D104" t="e">
            <v>#N/A</v>
          </cell>
          <cell r="F104" t="e">
            <v>#REF!</v>
          </cell>
          <cell r="G104" t="e">
            <v>#N/A</v>
          </cell>
          <cell r="H104" t="str">
            <v>MANFAC - 3</v>
          </cell>
          <cell r="K104" t="str">
            <v>FATURADO</v>
          </cell>
        </row>
        <row r="105">
          <cell r="A105" t="str">
            <v>1224-011022</v>
          </cell>
          <cell r="B105" t="e">
            <v>#N/A</v>
          </cell>
          <cell r="C105" t="e">
            <v>#N/A</v>
          </cell>
          <cell r="D105" t="e">
            <v>#N/A</v>
          </cell>
          <cell r="F105" t="e">
            <v>#REF!</v>
          </cell>
          <cell r="G105" t="e">
            <v>#N/A</v>
          </cell>
          <cell r="H105" t="str">
            <v>CARLOS</v>
          </cell>
          <cell r="K105" t="str">
            <v>FATURADO</v>
          </cell>
        </row>
        <row r="106">
          <cell r="A106" t="str">
            <v>0125-010325</v>
          </cell>
          <cell r="B106" t="e">
            <v>#N/A</v>
          </cell>
          <cell r="C106" t="e">
            <v>#N/A</v>
          </cell>
          <cell r="D106" t="e">
            <v>#N/A</v>
          </cell>
          <cell r="F106" t="e">
            <v>#REF!</v>
          </cell>
          <cell r="G106" t="e">
            <v>#N/A</v>
          </cell>
          <cell r="H106" t="str">
            <v>MANFAC - 5</v>
          </cell>
          <cell r="K106" t="str">
            <v>FATURADO</v>
          </cell>
        </row>
        <row r="107">
          <cell r="A107" t="str">
            <v>1224-011959</v>
          </cell>
          <cell r="B107" t="e">
            <v>#N/A</v>
          </cell>
          <cell r="C107" t="e">
            <v>#N/A</v>
          </cell>
          <cell r="D107" t="e">
            <v>#N/A</v>
          </cell>
          <cell r="F107" t="e">
            <v>#REF!</v>
          </cell>
          <cell r="G107" t="e">
            <v>#N/A</v>
          </cell>
          <cell r="H107" t="str">
            <v>MANFAC - 4</v>
          </cell>
          <cell r="K107" t="str">
            <v>FATURADO</v>
          </cell>
        </row>
        <row r="108">
          <cell r="A108" t="str">
            <v>1224-011321</v>
          </cell>
          <cell r="B108" t="e">
            <v>#N/A</v>
          </cell>
          <cell r="C108" t="e">
            <v>#N/A</v>
          </cell>
          <cell r="D108" t="e">
            <v>#N/A</v>
          </cell>
          <cell r="F108" t="e">
            <v>#REF!</v>
          </cell>
          <cell r="G108" t="e">
            <v>#N/A</v>
          </cell>
          <cell r="H108" t="str">
            <v>PCM</v>
          </cell>
          <cell r="K108" t="str">
            <v>FATURADO</v>
          </cell>
        </row>
        <row r="109">
          <cell r="A109" t="str">
            <v>1224-011261</v>
          </cell>
          <cell r="B109" t="e">
            <v>#N/A</v>
          </cell>
          <cell r="C109" t="e">
            <v>#N/A</v>
          </cell>
          <cell r="D109" t="e">
            <v>#N/A</v>
          </cell>
          <cell r="F109" t="e">
            <v>#REF!</v>
          </cell>
          <cell r="G109" t="e">
            <v>#N/A</v>
          </cell>
          <cell r="H109" t="str">
            <v>PCM</v>
          </cell>
          <cell r="K109" t="str">
            <v>FATURADO</v>
          </cell>
        </row>
        <row r="110">
          <cell r="A110" t="str">
            <v>1224-012031</v>
          </cell>
          <cell r="B110" t="e">
            <v>#N/A</v>
          </cell>
          <cell r="C110" t="e">
            <v>#N/A</v>
          </cell>
          <cell r="D110" t="e">
            <v>#N/A</v>
          </cell>
          <cell r="F110" t="e">
            <v>#REF!</v>
          </cell>
          <cell r="G110" t="e">
            <v>#N/A</v>
          </cell>
          <cell r="H110" t="str">
            <v>PCM</v>
          </cell>
          <cell r="K110" t="str">
            <v>FATURADO</v>
          </cell>
        </row>
        <row r="111">
          <cell r="A111" t="str">
            <v>0125-010333</v>
          </cell>
          <cell r="B111" t="e">
            <v>#N/A</v>
          </cell>
          <cell r="C111" t="e">
            <v>#N/A</v>
          </cell>
          <cell r="D111" t="e">
            <v>#N/A</v>
          </cell>
          <cell r="F111">
            <v>0</v>
          </cell>
          <cell r="G111" t="e">
            <v>#N/A</v>
          </cell>
          <cell r="H111" t="str">
            <v>MICHEL / LEONARDO</v>
          </cell>
          <cell r="K111" t="str">
            <v>FATURADO</v>
          </cell>
        </row>
        <row r="112">
          <cell r="A112" t="str">
            <v>0225-007390</v>
          </cell>
          <cell r="B112" t="e">
            <v>#N/A</v>
          </cell>
          <cell r="C112" t="e">
            <v>#N/A</v>
          </cell>
          <cell r="D112" t="e">
            <v>#N/A</v>
          </cell>
          <cell r="F112">
            <v>0</v>
          </cell>
          <cell r="G112" t="e">
            <v>#N/A</v>
          </cell>
          <cell r="H112" t="str">
            <v>MANFAC - 4</v>
          </cell>
          <cell r="K112" t="str">
            <v>FATURADO</v>
          </cell>
        </row>
        <row r="113">
          <cell r="A113" t="str">
            <v>0226-005835</v>
          </cell>
          <cell r="B113" t="str">
            <v>DP SANTA CRUZ 1</v>
          </cell>
          <cell r="C113" t="str">
            <v>Bom dia, estamos com a parede da filial descascando devido a uma infiltração no telhado precisamos embolsar e pintar novamente a parede do salão de vendas e retaguarda.</v>
          </cell>
          <cell r="D113" t="str">
            <v>CIVIL</v>
          </cell>
          <cell r="F113" t="e">
            <v>#REF!</v>
          </cell>
          <cell r="G113" t="str">
            <v>JUAN</v>
          </cell>
          <cell r="I113" t="str">
            <v>MANFAC OBRAS SPOT</v>
          </cell>
          <cell r="K113" t="str">
            <v>FATURADO</v>
          </cell>
        </row>
        <row r="114">
          <cell r="A114" t="str">
            <v>1225-009085</v>
          </cell>
          <cell r="B114" t="e">
            <v>#N/A</v>
          </cell>
          <cell r="C114" t="str">
            <v>DESENTUPIDORA ACIONADA - MAU USO</v>
          </cell>
          <cell r="D114" t="e">
            <v>#N/A</v>
          </cell>
          <cell r="E114" t="str">
            <v>DESENTUPIDORA - MAU USO</v>
          </cell>
          <cell r="F114" t="e">
            <v>#REF!</v>
          </cell>
          <cell r="G114" t="e">
            <v>#N/A</v>
          </cell>
          <cell r="I114" t="str">
            <v>MANFAC OBRAS SPOT</v>
          </cell>
          <cell r="K114" t="str">
            <v>FATURADO</v>
          </cell>
        </row>
        <row r="115">
          <cell r="A115" t="str">
            <v>0126-009024</v>
          </cell>
          <cell r="B115" t="str">
            <v>DP RECREIO 10</v>
          </cell>
          <cell r="C115" t="str">
            <v>Boa tarde a todos!
 Solicito o reparo da grade do ralo, porque fica na entrada da loja podendo ocasionar acidente.
 OBS: A equipe que veio anteriormente, somente virou o lado quebrado do meio para a ponta.</v>
          </cell>
          <cell r="D115" t="str">
            <v>HIDRAULICA</v>
          </cell>
          <cell r="F115" t="e">
            <v>#REF!</v>
          </cell>
          <cell r="G115" t="str">
            <v>JUAN</v>
          </cell>
          <cell r="I115" t="str">
            <v>MANFAC OBRAS SPOT</v>
          </cell>
          <cell r="K115" t="str">
            <v>FATURADO</v>
          </cell>
        </row>
        <row r="116">
          <cell r="A116" t="str">
            <v>0426-006465</v>
          </cell>
          <cell r="B116" t="str">
            <v>DP LUCIO COSTA</v>
          </cell>
          <cell r="C116" t="str">
            <v>Bom dia! solicito por gentileza Agua pra loja
 att celandia obrigado</v>
          </cell>
          <cell r="D116" t="str">
            <v>HIDRAULICA</v>
          </cell>
          <cell r="E116" t="str">
            <v>LIBERADOR POR JUAN - 04/04/2026</v>
          </cell>
          <cell r="F116" t="e">
            <v>#REF!</v>
          </cell>
          <cell r="G116" t="str">
            <v>JUAN</v>
          </cell>
          <cell r="I116" t="str">
            <v>MANFAC OBRAS SPOT</v>
          </cell>
          <cell r="K116" t="str">
            <v>FATURADO</v>
          </cell>
        </row>
        <row r="117">
          <cell r="A117" t="str">
            <v>0326-009951</v>
          </cell>
          <cell r="B117" t="str">
            <v>DP RECREIO 7</v>
          </cell>
          <cell r="C117" t="str">
            <v>Solicito pintura de parede externa pichada.</v>
          </cell>
          <cell r="D117" t="str">
            <v>CIVIL</v>
          </cell>
          <cell r="E117" t="str">
            <v>MANFAC 5</v>
          </cell>
          <cell r="F117" t="e">
            <v>#REF!</v>
          </cell>
          <cell r="G117" t="str">
            <v>JUAN</v>
          </cell>
          <cell r="I117" t="str">
            <v>MANFAC OBRAS SPOT</v>
          </cell>
          <cell r="K117" t="str">
            <v>FATURADO</v>
          </cell>
        </row>
        <row r="118">
          <cell r="A118" t="str">
            <v>0326-018509</v>
          </cell>
          <cell r="B118" t="str">
            <v>DP LAGOA I</v>
          </cell>
          <cell r="C118" t="str">
            <v>Reparo em forro danificado pela água da chuva.</v>
          </cell>
          <cell r="D118" t="str">
            <v>CIVIL</v>
          </cell>
          <cell r="F118" t="e">
            <v>#REF!</v>
          </cell>
          <cell r="G118" t="str">
            <v>LEANDRO</v>
          </cell>
          <cell r="I118" t="str">
            <v>MANFAC OBRAS SPOT</v>
          </cell>
          <cell r="K118" t="str">
            <v>FATURADO</v>
          </cell>
        </row>
        <row r="119">
          <cell r="A119" t="str">
            <v>0426-010903</v>
          </cell>
          <cell r="B119" t="str">
            <v>DP COPACABANA 12</v>
          </cell>
          <cell r="C119" t="str">
            <v>Adequação das colunas de Drywall e ajuste do mobiliário da obra da reforma light.</v>
          </cell>
          <cell r="D119" t="str">
            <v>CIVIL</v>
          </cell>
          <cell r="E119" t="str">
            <v>LIBERADO POR LEANDRO - 18/12/2025</v>
          </cell>
          <cell r="F119" t="e">
            <v>#REF!</v>
          </cell>
          <cell r="G119" t="str">
            <v>LEANDRO</v>
          </cell>
          <cell r="I119" t="str">
            <v>MANFAC OBRAS SPOT</v>
          </cell>
          <cell r="K119" t="str">
            <v>FATURADO</v>
          </cell>
        </row>
        <row r="120">
          <cell r="A120" t="str">
            <v>0326-018436</v>
          </cell>
          <cell r="B120" t="str">
            <v>ATAUFO DE PAIVA 80</v>
          </cell>
          <cell r="C120" t="str">
            <v>ABASTECIMENTO</v>
          </cell>
          <cell r="D120" t="str">
            <v>HIDRAULICA</v>
          </cell>
          <cell r="E120" t="str">
            <v>LIBERADO POR LEANDRO - 02/03/2026</v>
          </cell>
          <cell r="F120" t="e">
            <v>#REF!</v>
          </cell>
          <cell r="G120" t="str">
            <v>LEANDRO</v>
          </cell>
          <cell r="I120" t="str">
            <v>MANFAC OBRAS SPOT</v>
          </cell>
          <cell r="K120" t="str">
            <v>FATURADO</v>
          </cell>
        </row>
        <row r="121">
          <cell r="A121" t="str">
            <v>0326-015501</v>
          </cell>
          <cell r="B121" t="str">
            <v>DP LUCIO COSTA</v>
          </cell>
          <cell r="C121" t="str">
            <v>solicito carro pipa loja sem água</v>
          </cell>
          <cell r="D121" t="str">
            <v>HIDRAULICA</v>
          </cell>
          <cell r="E121" t="str">
            <v>LIBERADO POR JUAN - 19/03/2026</v>
          </cell>
          <cell r="F121" t="e">
            <v>#REF!</v>
          </cell>
          <cell r="G121" t="str">
            <v>JUAN</v>
          </cell>
          <cell r="I121" t="str">
            <v>MANFAC OBRAS SPOT</v>
          </cell>
          <cell r="K121" t="str">
            <v>FATURADO</v>
          </cell>
        </row>
        <row r="122">
          <cell r="A122" t="str">
            <v>0426-007708</v>
          </cell>
          <cell r="B122" t="str">
            <v>DP RECREIO 8</v>
          </cell>
          <cell r="C122" t="str">
            <v>a loja estar sem um pingo de agua.</v>
          </cell>
          <cell r="D122" t="str">
            <v>HIDRAULICA</v>
          </cell>
          <cell r="E122" t="str">
            <v>LIBERADOR POR JUAN - 05/04/2026</v>
          </cell>
          <cell r="F122" t="e">
            <v>#REF!</v>
          </cell>
          <cell r="G122" t="str">
            <v>JUAN</v>
          </cell>
          <cell r="I122" t="str">
            <v>MANFAC OBRAS SPOT</v>
          </cell>
          <cell r="K122" t="str">
            <v>FATURADO</v>
          </cell>
        </row>
        <row r="123">
          <cell r="A123" t="str">
            <v>1225-004391</v>
          </cell>
          <cell r="B123" t="e">
            <v>#N/A</v>
          </cell>
          <cell r="C123" t="e">
            <v>#N/A</v>
          </cell>
          <cell r="D123" t="str">
            <v>NOBREAK</v>
          </cell>
          <cell r="F123" t="e">
            <v>#REF!</v>
          </cell>
          <cell r="G123" t="e">
            <v>#N/A</v>
          </cell>
          <cell r="I123" t="str">
            <v>MANFAC OBRAS REFORMAS</v>
          </cell>
          <cell r="K123" t="str">
            <v>FATURADO</v>
          </cell>
        </row>
        <row r="124">
          <cell r="A124" t="str">
            <v>1225-004401</v>
          </cell>
          <cell r="B124" t="e">
            <v>#N/A</v>
          </cell>
          <cell r="C124" t="e">
            <v>#N/A</v>
          </cell>
          <cell r="D124" t="str">
            <v>NOBREAK</v>
          </cell>
          <cell r="F124" t="e">
            <v>#REF!</v>
          </cell>
          <cell r="G124" t="e">
            <v>#N/A</v>
          </cell>
          <cell r="I124" t="str">
            <v>MANFAC OBRAS REFORMAS</v>
          </cell>
          <cell r="K124" t="str">
            <v>FATURADO</v>
          </cell>
        </row>
        <row r="125">
          <cell r="A125" t="str">
            <v>1225-005777</v>
          </cell>
          <cell r="B125" t="e">
            <v>#N/A</v>
          </cell>
          <cell r="C125" t="e">
            <v>#N/A</v>
          </cell>
          <cell r="D125" t="e">
            <v>#N/A</v>
          </cell>
          <cell r="F125" t="e">
            <v>#REF!</v>
          </cell>
          <cell r="G125" t="e">
            <v>#N/A</v>
          </cell>
          <cell r="I125" t="str">
            <v>MANFAC OBRAS REFORMAS</v>
          </cell>
          <cell r="K125" t="str">
            <v>FATURADO</v>
          </cell>
        </row>
        <row r="126">
          <cell r="A126" t="str">
            <v>1225-004408</v>
          </cell>
          <cell r="B126" t="e">
            <v>#N/A</v>
          </cell>
          <cell r="C126" t="e">
            <v>#N/A</v>
          </cell>
          <cell r="D126" t="str">
            <v>NOBREAK</v>
          </cell>
          <cell r="F126" t="e">
            <v>#REF!</v>
          </cell>
          <cell r="G126" t="e">
            <v>#N/A</v>
          </cell>
          <cell r="I126" t="str">
            <v>MANFAC OBRAS REFORMAS</v>
          </cell>
          <cell r="K126" t="str">
            <v>FATURADO</v>
          </cell>
        </row>
        <row r="127">
          <cell r="A127" t="str">
            <v>0226-014472</v>
          </cell>
          <cell r="B127" t="str">
            <v>DP ROCINHA</v>
          </cell>
          <cell r="C127" t="str">
            <v>solicito reparo na rachadura da parede do estoque, ocasionado pelas agua do forro que caiu.
 Att. Patricia</v>
          </cell>
          <cell r="D127" t="str">
            <v>CIVIL</v>
          </cell>
          <cell r="E127" t="str">
            <v>LIBERADO POR LEANDRO - 23/02/2026</v>
          </cell>
          <cell r="F127" t="e">
            <v>#REF!</v>
          </cell>
          <cell r="G127" t="str">
            <v>LEANDRO</v>
          </cell>
          <cell r="I127" t="str">
            <v>MANFAC OBRAS SPOT</v>
          </cell>
          <cell r="K127" t="str">
            <v>FATURADO</v>
          </cell>
        </row>
        <row r="128">
          <cell r="A128" t="str">
            <v>0226-006228</v>
          </cell>
          <cell r="B128" t="str">
            <v>DP RECREIO 4</v>
          </cell>
          <cell r="C128" t="str">
            <v>Boa noite
 solicito reparo para o cano da bomba d'água, o mesmo já é a segunda vez que acontece esse mesmo problema e não tem solução definitiva em nenhum dos reparos. Gerando prejuízo para a filial.</v>
          </cell>
          <cell r="D128" t="str">
            <v>HIDRAULICA</v>
          </cell>
          <cell r="E128" t="str">
            <v>LIBERADO POR ALINE - 06/02/2026</v>
          </cell>
          <cell r="F128" t="e">
            <v>#REF!</v>
          </cell>
          <cell r="G128" t="str">
            <v>JUAN</v>
          </cell>
          <cell r="I128" t="str">
            <v>MANFAC OBRAS SPOT</v>
          </cell>
          <cell r="K128" t="str">
            <v>FATURADO</v>
          </cell>
        </row>
        <row r="129">
          <cell r="A129" t="str">
            <v>0326-018667</v>
          </cell>
          <cell r="B129" t="str">
            <v>DP RECREIO 8</v>
          </cell>
          <cell r="C129" t="str">
            <v>Solicito um caminhão pipa para abastecimento da loja.</v>
          </cell>
          <cell r="D129" t="str">
            <v>HIDRAULICA</v>
          </cell>
          <cell r="E129" t="str">
            <v>SOLICITADO POR JUAN - 25/03/2026</v>
          </cell>
          <cell r="F129" t="e">
            <v>#REF!</v>
          </cell>
          <cell r="G129" t="str">
            <v>JUAN</v>
          </cell>
          <cell r="I129" t="str">
            <v>MANFAC OBRAS SPOT</v>
          </cell>
          <cell r="K129" t="str">
            <v>FATURADO</v>
          </cell>
        </row>
        <row r="130">
          <cell r="A130" t="str">
            <v>0326-017809</v>
          </cell>
          <cell r="B130" t="str">
            <v>DP RECREIO 4</v>
          </cell>
          <cell r="C130" t="str">
            <v>Boa tarde
 solicito caminhão pipa para abastecimento de agua na loja por favor</v>
          </cell>
          <cell r="D130" t="str">
            <v>HIDRAULICA</v>
          </cell>
          <cell r="F130" t="e">
            <v>#REF!</v>
          </cell>
          <cell r="G130" t="str">
            <v>JUAN</v>
          </cell>
          <cell r="I130" t="str">
            <v>MANFAC OBRAS SPOT</v>
          </cell>
          <cell r="K130" t="str">
            <v>FATURADO</v>
          </cell>
        </row>
        <row r="131">
          <cell r="A131" t="str">
            <v>0326-009621</v>
          </cell>
          <cell r="B131" t="str">
            <v>DP RECREIO 8</v>
          </cell>
          <cell r="C131" t="str">
            <v>solicito reabastecimento de agua,</v>
          </cell>
          <cell r="D131" t="str">
            <v>HIDRAULICA</v>
          </cell>
          <cell r="E131" t="str">
            <v>LIBERADOR POR JUAN - 07/03/2026</v>
          </cell>
          <cell r="F131" t="e">
            <v>#REF!</v>
          </cell>
          <cell r="G131" t="str">
            <v>JUAN</v>
          </cell>
          <cell r="I131" t="str">
            <v>MANFAC OBRAS SPOT</v>
          </cell>
          <cell r="K131" t="str">
            <v>FATURADO</v>
          </cell>
        </row>
        <row r="132">
          <cell r="A132" t="str">
            <v>0326-016837</v>
          </cell>
          <cell r="B132" t="str">
            <v>DP RECREIO 7</v>
          </cell>
          <cell r="C132" t="str">
            <v>Boa noite,
 Filial sem agua;
 Consegue me ajudar?
 Att. Ronan</v>
          </cell>
          <cell r="D132" t="str">
            <v>HIDRAULICA</v>
          </cell>
          <cell r="E132" t="str">
            <v>SOLICITADO POR JUAN - 23/03/2026</v>
          </cell>
          <cell r="F132" t="e">
            <v>#REF!</v>
          </cell>
          <cell r="G132" t="str">
            <v>JUAN</v>
          </cell>
          <cell r="I132" t="str">
            <v>MANFAC OBRAS SPOT</v>
          </cell>
          <cell r="K132" t="str">
            <v>FATURADO</v>
          </cell>
        </row>
        <row r="133">
          <cell r="A133" t="str">
            <v>0226-010769</v>
          </cell>
          <cell r="B133" t="str">
            <v>DP RECREIO 7</v>
          </cell>
          <cell r="C133" t="str">
            <v>Boa tarde!
 loja encontra-se se água, por favor reabastecimento.
 Obrigada !</v>
          </cell>
          <cell r="D133" t="str">
            <v>HIDRAULICA</v>
          </cell>
          <cell r="E133" t="str">
            <v>LIBERADO POR ALINE - 16/02/2026</v>
          </cell>
          <cell r="F133" t="e">
            <v>#REF!</v>
          </cell>
          <cell r="G133" t="str">
            <v>JUAN</v>
          </cell>
          <cell r="I133" t="str">
            <v>MANFAC OBRAS SPOT</v>
          </cell>
          <cell r="K133" t="str">
            <v>FATURADO</v>
          </cell>
        </row>
        <row r="134">
          <cell r="A134" t="str">
            <v>0326-010850</v>
          </cell>
          <cell r="B134" t="str">
            <v>DP RECREIO 7</v>
          </cell>
          <cell r="C134" t="str">
            <v>Boa noite,
 Filial sem agua;
 Att. Ronan</v>
          </cell>
          <cell r="D134" t="str">
            <v>HIDRAULICA</v>
          </cell>
          <cell r="E134" t="str">
            <v>LIBERADOR POR JUAN - 09/03/2026</v>
          </cell>
          <cell r="F134" t="e">
            <v>#REF!</v>
          </cell>
          <cell r="G134" t="str">
            <v>JUAN</v>
          </cell>
          <cell r="I134" t="str">
            <v>MANFAC OBRAS SPOT</v>
          </cell>
          <cell r="K134" t="str">
            <v>FATURADO</v>
          </cell>
        </row>
        <row r="135">
          <cell r="A135" t="str">
            <v>0426-007590</v>
          </cell>
          <cell r="B135" t="str">
            <v>DP RECREIO 4</v>
          </cell>
          <cell r="C135" t="str">
            <v>Bom dia ! Solicito por favor abastecimento do carro Pipa. Loja sem água.</v>
          </cell>
          <cell r="D135" t="str">
            <v>HIDRAULICA</v>
          </cell>
          <cell r="E135" t="str">
            <v>LIBERADOR POR JUAN - 04/04/2026</v>
          </cell>
          <cell r="F135" t="e">
            <v>#REF!</v>
          </cell>
          <cell r="G135" t="str">
            <v>JUAN</v>
          </cell>
          <cell r="I135" t="str">
            <v>MANFAC OBRAS SPOT</v>
          </cell>
          <cell r="K135" t="str">
            <v>FATURADO</v>
          </cell>
        </row>
        <row r="136">
          <cell r="A136" t="str">
            <v>0226-014226</v>
          </cell>
          <cell r="B136" t="str">
            <v xml:space="preserve">SHOPPING TIJUCA </v>
          </cell>
          <cell r="C136" t="str">
            <v>DESMOBILIZAÇÃO</v>
          </cell>
          <cell r="D136" t="str">
            <v>CLIMATIZÇÃO</v>
          </cell>
          <cell r="E136" t="str">
            <v>LIBERADO POR JUAN - 24/02/2026</v>
          </cell>
          <cell r="F136">
            <v>3999</v>
          </cell>
          <cell r="G136" t="str">
            <v>JUAN</v>
          </cell>
          <cell r="I136" t="str">
            <v>MANFAC OBRAS SPOT</v>
          </cell>
          <cell r="K136" t="str">
            <v>FATURADO</v>
          </cell>
        </row>
        <row r="137">
          <cell r="A137" t="str">
            <v>0226-008841</v>
          </cell>
          <cell r="B137" t="str">
            <v>DP SANTA CRUZ 4</v>
          </cell>
          <cell r="C137" t="str">
            <v>Boa tarde em conforme com a equipe de manutenção que veio aqui hoje, informou que tem que trocar a chave das portas, as postas é automaticas, e muitas das vezes ficamos lá fora por horas tentando abrir.a loja abre as 7:00 hoje por causa da chave somente conseguimos abrir as 8:30.</v>
          </cell>
          <cell r="D137" t="str">
            <v>SERRALHERIA</v>
          </cell>
          <cell r="F137" t="e">
            <v>#REF!</v>
          </cell>
          <cell r="G137" t="str">
            <v>JUAN</v>
          </cell>
          <cell r="I137" t="str">
            <v>MANFAC OBRAS SPOT</v>
          </cell>
          <cell r="K137" t="str">
            <v>FATURADO</v>
          </cell>
        </row>
        <row r="138">
          <cell r="A138" t="str">
            <v>0226-005859</v>
          </cell>
          <cell r="B138" t="str">
            <v>DP RIO DAS OSTRAS</v>
          </cell>
          <cell r="C138" t="str">
            <v>Apos a realização da OS 1125-011793, foi comprovado pelo tecnico que sera necessario a adequação do circuito da eletrica (nova rede eletrica estabelizada) para atender ao balcao, caixas, rack de internet, cftv e lampadas de emergencia, para assim todos os equipamentos necessarios ficarem ligadas no nobreak e o funcionamento da filial em caso de falta de luz.</v>
          </cell>
          <cell r="D138" t="str">
            <v>ELETRICA</v>
          </cell>
          <cell r="E138" t="str">
            <v>LEANDRO - 05/02/2026</v>
          </cell>
          <cell r="F138" t="e">
            <v>#REF!</v>
          </cell>
          <cell r="G138" t="str">
            <v>LEANDRO</v>
          </cell>
          <cell r="I138" t="str">
            <v>MANFAC OBRAS SPOT</v>
          </cell>
          <cell r="K138" t="str">
            <v>FATURADO</v>
          </cell>
        </row>
        <row r="139">
          <cell r="A139" t="str">
            <v>0226-012444</v>
          </cell>
          <cell r="B139" t="str">
            <v>DP ANDRADAS</v>
          </cell>
          <cell r="C139" t="str">
            <v>Boa tarde, loja está sem água novamente. Solicito reparo urgente.</v>
          </cell>
          <cell r="D139" t="str">
            <v>HIDRAULICA</v>
          </cell>
          <cell r="E139" t="str">
            <v>LIBERADO POR LEANDRO - 19/02/2026</v>
          </cell>
          <cell r="F139" t="e">
            <v>#REF!</v>
          </cell>
          <cell r="G139" t="str">
            <v>LEANDRO</v>
          </cell>
          <cell r="H139" t="str">
            <v>MANFAC - 19</v>
          </cell>
          <cell r="I139" t="str">
            <v>MANFAC OBRAS SPOT</v>
          </cell>
          <cell r="K139" t="str">
            <v>FATURADO</v>
          </cell>
        </row>
        <row r="140">
          <cell r="A140" t="str">
            <v>1225-015808</v>
          </cell>
          <cell r="B140" t="str">
            <v>DP LAGOA I</v>
          </cell>
          <cell r="C140" t="str">
            <v>Solicito a instalação de uma bomba pressurizadora.</v>
          </cell>
          <cell r="D140" t="str">
            <v>HIDRAULICA</v>
          </cell>
          <cell r="E140" t="str">
            <v>LIBERADO POR LEANDRO - 19/02/2026</v>
          </cell>
          <cell r="F140" t="e">
            <v>#REF!</v>
          </cell>
          <cell r="G140" t="str">
            <v>LEANDRO</v>
          </cell>
          <cell r="I140" t="str">
            <v>MANFAC OBRAS SPOT</v>
          </cell>
          <cell r="K140" t="str">
            <v>FATURADO</v>
          </cell>
        </row>
        <row r="141">
          <cell r="A141" t="str">
            <v>0326-010886</v>
          </cell>
          <cell r="B141" t="str">
            <v>DP IPANEMA 1</v>
          </cell>
          <cell r="C141" t="str">
            <v>A filial foi assaltada nessa madrugada e levaram todos os controles das portas automáticas.</v>
          </cell>
          <cell r="D141" t="str">
            <v>SERRALHERIA</v>
          </cell>
          <cell r="F141" t="e">
            <v>#REF!</v>
          </cell>
          <cell r="G141" t="str">
            <v>LEANDRO</v>
          </cell>
          <cell r="I141" t="str">
            <v>MANFAC OBRAS SPOT</v>
          </cell>
          <cell r="K141" t="str">
            <v>FATURADO</v>
          </cell>
        </row>
        <row r="142">
          <cell r="A142" t="str">
            <v>0226-008107</v>
          </cell>
          <cell r="B142" t="str">
            <v>DP RECREIO 4</v>
          </cell>
          <cell r="C142" t="str">
            <v>Boa noite
 Caros, mais uma vez venho solicitar reparo para este mesmo problema, problema esse que nunca tem solução e sempre tá gerando prejuízo, e gasto desnecessário de água potável, e importe que venha uma equipe especializada para o concerto definitivo desse problema que estar se arrastando a meses.</v>
          </cell>
          <cell r="D142" t="str">
            <v>HIDRAULICA</v>
          </cell>
          <cell r="F142" t="e">
            <v>#REF!</v>
          </cell>
          <cell r="G142" t="str">
            <v>JUAN</v>
          </cell>
          <cell r="I142" t="str">
            <v>MANFAC OBRAS SPOT</v>
          </cell>
          <cell r="K142" t="str">
            <v>FATURADO</v>
          </cell>
        </row>
        <row r="143">
          <cell r="A143" t="str">
            <v>0226-010661</v>
          </cell>
          <cell r="B143" t="str">
            <v>DP BARRA DA TIJUCA 8</v>
          </cell>
          <cell r="C143" t="str">
            <v>reparo na tampa de bueiro na área externa</v>
          </cell>
          <cell r="D143" t="str">
            <v>CIVIL</v>
          </cell>
          <cell r="E143" t="str">
            <v>LIBERADO POR LEANDRO - 25/02/2026</v>
          </cell>
          <cell r="F143" t="e">
            <v>#REF!</v>
          </cell>
          <cell r="G143" t="str">
            <v>LEANDRO</v>
          </cell>
          <cell r="I143" t="str">
            <v>MANFAC OBRAS SPOT</v>
          </cell>
          <cell r="K143" t="str">
            <v>FATURADO</v>
          </cell>
        </row>
        <row r="144">
          <cell r="A144" t="str">
            <v>0226-006841</v>
          </cell>
          <cell r="B144" t="str">
            <v>DP CATETE 5</v>
          </cell>
          <cell r="C144" t="str">
            <v>Solicito um caminhao pipa, pois a loja encontra-se sem agua</v>
          </cell>
          <cell r="D144" t="str">
            <v>HIDRAULICA</v>
          </cell>
          <cell r="E144" t="str">
            <v>LIBERADO POR LEANDRO - 07/02/2026</v>
          </cell>
          <cell r="F144" t="e">
            <v>#REF!</v>
          </cell>
          <cell r="G144" t="str">
            <v>LEANDRO</v>
          </cell>
          <cell r="I144" t="str">
            <v>MANFAC OBRAS SPOT</v>
          </cell>
          <cell r="K144" t="str">
            <v>FATURADO</v>
          </cell>
        </row>
        <row r="145">
          <cell r="A145" t="str">
            <v>0226-008662</v>
          </cell>
          <cell r="B145" t="str">
            <v>DP LUCIO COSTA</v>
          </cell>
          <cell r="C145" t="str">
            <v>Bom dia!solicito,por gentileza,água pra loja
 agradeço
 att celandia martins</v>
          </cell>
          <cell r="D145" t="str">
            <v>HIDRAULICA</v>
          </cell>
          <cell r="E145" t="str">
            <v>LIBERADO POR ALINE - 11/02/2026</v>
          </cell>
          <cell r="F145" t="e">
            <v>#REF!</v>
          </cell>
          <cell r="G145" t="str">
            <v>JUAN</v>
          </cell>
          <cell r="I145" t="str">
            <v>MANFAC OBRAS SPOT</v>
          </cell>
          <cell r="K145" t="str">
            <v>FATURADO</v>
          </cell>
        </row>
        <row r="146">
          <cell r="A146" t="str">
            <v>0226-015633</v>
          </cell>
          <cell r="B146" t="str">
            <v>DP PIABETA 1</v>
          </cell>
          <cell r="C146" t="str">
            <v>Solicito um caminhão pipa pois a unidade encontra-se sem água e não há formas de abastece-la.</v>
          </cell>
          <cell r="D146" t="str">
            <v>HIDRAULICA</v>
          </cell>
          <cell r="E146" t="str">
            <v>LIBERADO POR LEANDRO - 27/02/2026</v>
          </cell>
          <cell r="F146" t="e">
            <v>#REF!</v>
          </cell>
          <cell r="G146" t="str">
            <v>AMANDA</v>
          </cell>
          <cell r="I146" t="str">
            <v>MANFAC OBRAS SPOT</v>
          </cell>
          <cell r="K146" t="str">
            <v>FATURADO</v>
          </cell>
        </row>
        <row r="147">
          <cell r="A147" t="str">
            <v>0326-009292</v>
          </cell>
          <cell r="B147" t="str">
            <v>DP LUCIO COSTA</v>
          </cell>
          <cell r="C147" t="str">
            <v>Boa tarde
 Solicito caminhão pipa pois loja encontra-se sem água. Obrigada.</v>
          </cell>
          <cell r="D147" t="str">
            <v>HIDRAULICA</v>
          </cell>
          <cell r="E147" t="str">
            <v>LIBERADOR POR JUAN - 05/03/2026</v>
          </cell>
          <cell r="F147" t="e">
            <v>#REF!</v>
          </cell>
          <cell r="G147" t="str">
            <v>JUAN</v>
          </cell>
          <cell r="I147" t="str">
            <v>MANFAC OBRAS SPOT</v>
          </cell>
          <cell r="K147" t="str">
            <v>FATURADO</v>
          </cell>
        </row>
        <row r="148">
          <cell r="A148" t="str">
            <v>0326-013226</v>
          </cell>
          <cell r="B148" t="str">
            <v>DP LUCIO COSTA</v>
          </cell>
          <cell r="C148" t="str">
            <v>Boa tarde! solicito por gentileza água pra loja
 att Celandia martins</v>
          </cell>
          <cell r="D148" t="str">
            <v>HIDRAULICA</v>
          </cell>
          <cell r="E148" t="str">
            <v>LIBERADO POR JUAN - 14/03/2026</v>
          </cell>
          <cell r="F148" t="e">
            <v>#REF!</v>
          </cell>
          <cell r="G148" t="str">
            <v>JUAN</v>
          </cell>
          <cell r="I148" t="str">
            <v>MANFAC OBRAS SPOT</v>
          </cell>
          <cell r="K148" t="str">
            <v>FATURADO</v>
          </cell>
        </row>
        <row r="149">
          <cell r="A149" t="str">
            <v>0226-011058</v>
          </cell>
          <cell r="B149" t="str">
            <v>DP PEDRA DE GUARATIBA</v>
          </cell>
          <cell r="C149" t="str">
            <v>filial sem água. solicito caminhão pipa</v>
          </cell>
          <cell r="D149" t="str">
            <v>HIDRAULICA</v>
          </cell>
          <cell r="E149" t="str">
            <v>LIBERADO POR ALINE - 18/02/2026</v>
          </cell>
          <cell r="F149" t="e">
            <v>#REF!</v>
          </cell>
          <cell r="G149" t="str">
            <v>JUAN</v>
          </cell>
          <cell r="I149" t="str">
            <v>MANFAC OBRAS SPOT</v>
          </cell>
          <cell r="K149" t="str">
            <v>FATURADO</v>
          </cell>
        </row>
        <row r="150">
          <cell r="A150" t="str">
            <v>0226-010044</v>
          </cell>
          <cell r="B150" t="str">
            <v>DP LUCIO COSTA</v>
          </cell>
          <cell r="C150" t="str">
            <v>Solicito carro pipa pois a loja esta sem agua</v>
          </cell>
          <cell r="D150" t="str">
            <v>HIDRAULICA</v>
          </cell>
          <cell r="E150" t="str">
            <v>LIBERADO POR ALINE - 14/02/2026</v>
          </cell>
          <cell r="F150" t="e">
            <v>#REF!</v>
          </cell>
          <cell r="G150" t="str">
            <v>JUAN</v>
          </cell>
          <cell r="I150" t="str">
            <v>MANFAC OBRAS SPOT</v>
          </cell>
          <cell r="K150" t="str">
            <v>FATURADO</v>
          </cell>
        </row>
        <row r="151">
          <cell r="A151" t="str">
            <v>0326-012740</v>
          </cell>
          <cell r="B151" t="str">
            <v xml:space="preserve">DP PEDRA DE GUARATIBA </v>
          </cell>
          <cell r="C151" t="str">
            <v>falta de água na filial. solicito caminhão pipa</v>
          </cell>
          <cell r="D151" t="str">
            <v>HIDRAULICA</v>
          </cell>
          <cell r="E151" t="str">
            <v>LIBERADO POR JUAN - 12/03/2026</v>
          </cell>
          <cell r="F151" t="e">
            <v>#REF!</v>
          </cell>
          <cell r="G151" t="str">
            <v>JUAN</v>
          </cell>
          <cell r="I151" t="str">
            <v>MANFAC OBRAS SPOT</v>
          </cell>
          <cell r="K151" t="str">
            <v>FATURADO</v>
          </cell>
        </row>
        <row r="152">
          <cell r="A152" t="str">
            <v>0326-009480</v>
          </cell>
          <cell r="B152" t="str">
            <v>DP PEDRA DE GUARATIBA</v>
          </cell>
          <cell r="C152" t="str">
            <v>falta de água na filial. solicito caminhão pipa</v>
          </cell>
          <cell r="D152" t="str">
            <v>HIDRAULICA</v>
          </cell>
          <cell r="E152" t="str">
            <v>LIBERADOR POR JUAN - 06/03/2026</v>
          </cell>
          <cell r="F152" t="e">
            <v>#REF!</v>
          </cell>
          <cell r="G152" t="str">
            <v>JUAN</v>
          </cell>
          <cell r="I152" t="str">
            <v>MANFAC OBRAS SPOT</v>
          </cell>
          <cell r="K152" t="str">
            <v>FATURADO</v>
          </cell>
        </row>
        <row r="153">
          <cell r="A153" t="str">
            <v>0226-008236</v>
          </cell>
          <cell r="B153" t="str">
            <v>DP PEDRA DE GUARATIBA</v>
          </cell>
          <cell r="C153" t="str">
            <v>FALTA DE ÁGUA NA LOJA, SOLICITO CAMINHÃO PIPA</v>
          </cell>
          <cell r="D153" t="str">
            <v>HIDRAULICA</v>
          </cell>
          <cell r="E153" t="str">
            <v>LIBERADO POR ALINE - 10/02/2026</v>
          </cell>
          <cell r="F153" t="e">
            <v>#REF!</v>
          </cell>
          <cell r="G153" t="str">
            <v>JUAN</v>
          </cell>
          <cell r="I153" t="str">
            <v>MANFAC OBRAS SPOT</v>
          </cell>
          <cell r="K153" t="str">
            <v>FATURADO</v>
          </cell>
        </row>
        <row r="154">
          <cell r="A154" t="str">
            <v>1225-010789</v>
          </cell>
          <cell r="B154" t="e">
            <v>#N/A</v>
          </cell>
          <cell r="C154" t="e">
            <v>#N/A</v>
          </cell>
          <cell r="D154" t="e">
            <v>#N/A</v>
          </cell>
          <cell r="F154" t="e">
            <v>#REF!</v>
          </cell>
          <cell r="G154" t="e">
            <v>#N/A</v>
          </cell>
          <cell r="I154" t="str">
            <v>MANFAC OBRAS SPOT</v>
          </cell>
          <cell r="K154" t="str">
            <v>FATURADO</v>
          </cell>
        </row>
        <row r="155">
          <cell r="A155" t="str">
            <v>0226-012087</v>
          </cell>
          <cell r="B155" t="str">
            <v>DP IPANEMA 1</v>
          </cell>
          <cell r="C155" t="str">
            <v>Solicito a troca da porta do psicológico, sofremos um assalto e foi preciso quebrar a porta.</v>
          </cell>
          <cell r="D155" t="str">
            <v>CIVIL</v>
          </cell>
          <cell r="E155" t="str">
            <v>LIBERADO POR LEANDRO - 21/02/2026</v>
          </cell>
          <cell r="F155" t="e">
            <v>#REF!</v>
          </cell>
          <cell r="G155" t="str">
            <v>LEANDRO</v>
          </cell>
          <cell r="I155" t="str">
            <v>MANFAC OBRAS SPOT</v>
          </cell>
          <cell r="K155" t="str">
            <v>FATURADO</v>
          </cell>
        </row>
        <row r="156">
          <cell r="A156" t="str">
            <v>0126-017146</v>
          </cell>
          <cell r="B156" t="str">
            <v>DP CAMPOS 6</v>
          </cell>
          <cell r="C156" t="str">
            <v>Piso da sala de serviço estufado e trincando. Predial teve na filial para retirar alguns e reduzir os riscos</v>
          </cell>
          <cell r="D156" t="str">
            <v>CIVIL</v>
          </cell>
          <cell r="E156" t="str">
            <v>LIBERAADO POR LEANDRO - 28/01/2026</v>
          </cell>
          <cell r="F156" t="e">
            <v>#REF!</v>
          </cell>
          <cell r="G156" t="str">
            <v>LEANDRO</v>
          </cell>
          <cell r="I156" t="str">
            <v>MANFAC OBRAS SPOT</v>
          </cell>
          <cell r="K156" t="str">
            <v>FATURADO</v>
          </cell>
        </row>
        <row r="157">
          <cell r="A157" t="str">
            <v>0226-009216</v>
          </cell>
          <cell r="B157" t="str">
            <v>DP NOVA FRIBURGO</v>
          </cell>
          <cell r="C157" t="str">
            <v>solicito instalação de cabo de rede para computador corporativo</v>
          </cell>
          <cell r="D157" t="str">
            <v>ELETRICA</v>
          </cell>
          <cell r="F157" t="e">
            <v>#REF!</v>
          </cell>
          <cell r="G157" t="str">
            <v>AMANDA</v>
          </cell>
          <cell r="I157" t="str">
            <v>MANFAC OBRAS SPOT</v>
          </cell>
          <cell r="K157" t="str">
            <v>FATURADO</v>
          </cell>
        </row>
        <row r="158">
          <cell r="A158" t="str">
            <v>0226-009396</v>
          </cell>
          <cell r="B158" t="str">
            <v>DP MAGE 1</v>
          </cell>
          <cell r="C158" t="str">
            <v>PRECISO DE INSTALAÇÃO DE CABO DE REDE, PARA FUNCIOINAMENTO DO COMPUTADOR DA FACULDADE CORPORATIVA..</v>
          </cell>
          <cell r="D158" t="str">
            <v>ELETRICA</v>
          </cell>
          <cell r="F158" t="e">
            <v>#REF!</v>
          </cell>
          <cell r="G158" t="str">
            <v>AMANDA</v>
          </cell>
          <cell r="I158" t="str">
            <v>MANFAC OBRAS SPOT</v>
          </cell>
          <cell r="K158" t="str">
            <v>FATURADO</v>
          </cell>
        </row>
        <row r="159">
          <cell r="A159" t="str">
            <v>0226-009223</v>
          </cell>
          <cell r="B159" t="str">
            <v>DP NOVA FRIBURGO</v>
          </cell>
          <cell r="C159" t="str">
            <v>solicito instalação de novo ponto de lampada para copa</v>
          </cell>
          <cell r="D159" t="str">
            <v>ELETRICA</v>
          </cell>
          <cell r="F159" t="e">
            <v>#REF!</v>
          </cell>
          <cell r="G159" t="str">
            <v>AMANDA</v>
          </cell>
          <cell r="I159" t="str">
            <v>MANFAC OBRAS SPOT</v>
          </cell>
          <cell r="K159" t="str">
            <v>FATURADO</v>
          </cell>
        </row>
        <row r="160">
          <cell r="A160" t="str">
            <v>0226-009212</v>
          </cell>
          <cell r="B160" t="str">
            <v>DP NOVA FRIBURGO</v>
          </cell>
          <cell r="C160" t="str">
            <v>Solicito instalação de um ponto de tomada</v>
          </cell>
          <cell r="D160" t="str">
            <v>ELETRICA</v>
          </cell>
          <cell r="F160" t="e">
            <v>#REF!</v>
          </cell>
          <cell r="G160" t="str">
            <v>AMANDA</v>
          </cell>
          <cell r="I160" t="str">
            <v>MANFAC OBRAS SPOT</v>
          </cell>
          <cell r="K160" t="str">
            <v>FATURADO</v>
          </cell>
        </row>
        <row r="161">
          <cell r="A161" t="str">
            <v>0126-021169</v>
          </cell>
          <cell r="B161" t="str">
            <v>DP RECREIO 4</v>
          </cell>
          <cell r="C161" t="str">
            <v>Boa tarde.
 O ventilador da retaguarda/copa se encontra parado e o mesmo condenado pelo time de manutenção, visando melhoria na qualidade dos colaboradores solicito um equipamento novo.</v>
          </cell>
          <cell r="D161" t="str">
            <v>EQUIPAMENTO</v>
          </cell>
          <cell r="E161" t="str">
            <v>LIBERADO POR ALINE - 09/02/2026</v>
          </cell>
          <cell r="F161" t="e">
            <v>#REF!</v>
          </cell>
          <cell r="G161" t="str">
            <v>LEANDRO</v>
          </cell>
          <cell r="I161" t="str">
            <v>MANFAC OBRAS SPOT</v>
          </cell>
          <cell r="K161" t="str">
            <v>FATURADO</v>
          </cell>
        </row>
        <row r="162">
          <cell r="A162" t="str">
            <v>0126-018118</v>
          </cell>
          <cell r="B162" t="str">
            <v>DP ALCANTARA 4</v>
          </cell>
          <cell r="C162" t="str">
            <v>REFORMA LIGHT - MO CIVIL</v>
          </cell>
          <cell r="D162" t="str">
            <v>CAPEX</v>
          </cell>
          <cell r="E162" t="str">
            <v>FATURAMENTO 80% DO VALOR TOTAL</v>
          </cell>
          <cell r="F162">
            <v>116941.61</v>
          </cell>
          <cell r="G162" t="str">
            <v>AMANDA</v>
          </cell>
          <cell r="I162" t="str">
            <v>MANFAC REFORMAS</v>
          </cell>
          <cell r="K162" t="str">
            <v>FATURADO</v>
          </cell>
        </row>
        <row r="163">
          <cell r="A163" t="str">
            <v>0126-009962</v>
          </cell>
          <cell r="B163" t="str">
            <v>DP PEDRA DE GUARATIBA 2</v>
          </cell>
          <cell r="C163" t="str">
            <v>Salao de vendas com infiltração saindo pela iluminação do salão de vendas</v>
          </cell>
          <cell r="D163" t="str">
            <v>TELHADO</v>
          </cell>
          <cell r="F163" t="e">
            <v>#REF!</v>
          </cell>
          <cell r="G163" t="str">
            <v>JUAN</v>
          </cell>
          <cell r="K163" t="str">
            <v>FATURADO</v>
          </cell>
        </row>
        <row r="164">
          <cell r="A164" t="str">
            <v>1025-005151</v>
          </cell>
          <cell r="B164" t="str">
            <v>DP BUZIOS</v>
          </cell>
          <cell r="C164" t="e">
            <v>#N/A</v>
          </cell>
          <cell r="D164" t="str">
            <v>EQUIPAMENTO</v>
          </cell>
          <cell r="E164" t="str">
            <v>LIBERADO POR JUAN - 31/10/2025</v>
          </cell>
          <cell r="F164" t="e">
            <v>#REF!</v>
          </cell>
          <cell r="G164" t="str">
            <v>LEANDRO</v>
          </cell>
          <cell r="K164" t="str">
            <v>FATURADO</v>
          </cell>
        </row>
        <row r="165">
          <cell r="A165" t="str">
            <v>0226-006226</v>
          </cell>
          <cell r="B165" t="str">
            <v>DP RECREIO 4</v>
          </cell>
          <cell r="C165" t="str">
            <v>Boa noite, solicito abastecimento de água para filial.</v>
          </cell>
          <cell r="D165" t="str">
            <v>HIDRAULICA</v>
          </cell>
          <cell r="E165" t="str">
            <v>LIBERADO POR LEANDRO - 05/02/2026</v>
          </cell>
          <cell r="F165">
            <v>4000</v>
          </cell>
          <cell r="G165" t="str">
            <v>JUAN</v>
          </cell>
          <cell r="K165" t="str">
            <v>FATURADO</v>
          </cell>
        </row>
        <row r="166">
          <cell r="A166" t="str">
            <v>0126-010192</v>
          </cell>
          <cell r="B166" t="str">
            <v>DP RECREIO 8</v>
          </cell>
          <cell r="C166" t="str">
            <v>estamos sem agua na caixa.</v>
          </cell>
          <cell r="D166" t="str">
            <v>HIDRAULICA</v>
          </cell>
          <cell r="E166" t="str">
            <v>LIBERADO POR AMANDA - 07/01/2026</v>
          </cell>
          <cell r="F166" t="e">
            <v>#REF!</v>
          </cell>
          <cell r="G166" t="str">
            <v>JUAN</v>
          </cell>
          <cell r="K166" t="str">
            <v>FATURADO</v>
          </cell>
        </row>
        <row r="167">
          <cell r="A167" t="str">
            <v>0226-005141</v>
          </cell>
          <cell r="B167" t="str">
            <v>DP RECREIO 8</v>
          </cell>
          <cell r="D167" t="str">
            <v>HIDRAULICA</v>
          </cell>
          <cell r="E167" t="str">
            <v>LIBERADO POR ALINE - 04/02/2026</v>
          </cell>
          <cell r="F167">
            <v>4000</v>
          </cell>
          <cell r="G167" t="str">
            <v>JUAN</v>
          </cell>
          <cell r="K167" t="str">
            <v>FATURADO</v>
          </cell>
        </row>
        <row r="168">
          <cell r="A168" t="str">
            <v>1125-011748</v>
          </cell>
          <cell r="B168" t="str">
            <v>DP BARRA DE SAO JOAO</v>
          </cell>
          <cell r="C168" t="str">
            <v>Boa tarde
 solicito a trocar da pia da copa</v>
          </cell>
          <cell r="D168" t="str">
            <v>EQUIPAMENTO</v>
          </cell>
          <cell r="F168" t="e">
            <v>#REF!</v>
          </cell>
          <cell r="G168" t="str">
            <v>LEANDRO</v>
          </cell>
          <cell r="K168" t="str">
            <v>FATURADO</v>
          </cell>
        </row>
        <row r="169">
          <cell r="A169" t="str">
            <v>0226-004008</v>
          </cell>
          <cell r="B169" t="str">
            <v>DP LUCIO COSTA</v>
          </cell>
          <cell r="D169" t="str">
            <v>HIDRAULICA</v>
          </cell>
          <cell r="E169" t="str">
            <v>LIBERADO POR LEANDRO - 02/02/2026</v>
          </cell>
          <cell r="F169">
            <v>2000</v>
          </cell>
          <cell r="G169" t="str">
            <v>JUAN</v>
          </cell>
          <cell r="K169" t="str">
            <v>FATURADO</v>
          </cell>
        </row>
        <row r="170">
          <cell r="A170" t="str">
            <v>1225-003965</v>
          </cell>
          <cell r="B170" t="e">
            <v>#N/A</v>
          </cell>
          <cell r="C170" t="e">
            <v>#N/A</v>
          </cell>
          <cell r="D170" t="e">
            <v>#N/A</v>
          </cell>
          <cell r="F170" t="e">
            <v>#REF!</v>
          </cell>
          <cell r="G170" t="e">
            <v>#N/A</v>
          </cell>
          <cell r="K170" t="str">
            <v>FATURADO</v>
          </cell>
        </row>
        <row r="171">
          <cell r="A171" t="str">
            <v>1225-007816</v>
          </cell>
          <cell r="B171" t="e">
            <v>#N/A</v>
          </cell>
          <cell r="C171" t="e">
            <v>#N/A</v>
          </cell>
          <cell r="D171" t="e">
            <v>#N/A</v>
          </cell>
          <cell r="F171" t="e">
            <v>#REF!</v>
          </cell>
          <cell r="G171" t="e">
            <v>#N/A</v>
          </cell>
          <cell r="K171" t="str">
            <v>FATURADO</v>
          </cell>
        </row>
        <row r="172">
          <cell r="A172" t="str">
            <v>1125-013429</v>
          </cell>
          <cell r="B172" t="str">
            <v>DP ARARUAMA 3</v>
          </cell>
          <cell r="C172" t="str">
            <v>FORRO SE ENCONTRA DANIFICADOS DEVIDO A VAZAMENTOS .</v>
          </cell>
          <cell r="D172" t="str">
            <v>CIVIL</v>
          </cell>
          <cell r="E172" t="str">
            <v>LIBERADO POE JUAN  - 04/11/2029 - EDITAR LPU</v>
          </cell>
          <cell r="F172" t="e">
            <v>#REF!</v>
          </cell>
          <cell r="G172" t="str">
            <v>LEANDRO</v>
          </cell>
          <cell r="K172" t="str">
            <v>FATURADO</v>
          </cell>
        </row>
        <row r="173">
          <cell r="A173" t="str">
            <v>0126-021427</v>
          </cell>
          <cell r="B173" t="str">
            <v>DP TIJUCA 13</v>
          </cell>
          <cell r="C173" t="str">
            <v>AR CONDICIONADO</v>
          </cell>
          <cell r="D173" t="str">
            <v>CLIMATIZAÇÃO</v>
          </cell>
          <cell r="F173">
            <v>32746.76</v>
          </cell>
          <cell r="G173" t="str">
            <v>LEANDRO</v>
          </cell>
          <cell r="I173" t="str">
            <v>MANFAC REFORMAS</v>
          </cell>
          <cell r="K173" t="str">
            <v>FATURADO</v>
          </cell>
        </row>
        <row r="174">
          <cell r="A174" t="str">
            <v>1025-008607</v>
          </cell>
          <cell r="B174" t="e">
            <v>#N/A</v>
          </cell>
          <cell r="C174" t="e">
            <v>#N/A</v>
          </cell>
          <cell r="D174" t="e">
            <v>#N/A</v>
          </cell>
          <cell r="E174" t="str">
            <v>LIBERADO POR LEANDRO EM 01/12/2025</v>
          </cell>
          <cell r="F174" t="e">
            <v>#REF!</v>
          </cell>
          <cell r="G174" t="e">
            <v>#N/A</v>
          </cell>
          <cell r="K174" t="str">
            <v>FATURADO</v>
          </cell>
        </row>
        <row r="175">
          <cell r="A175" t="str">
            <v>REPARO NO AR CONDICIONADO</v>
          </cell>
          <cell r="B175" t="str">
            <v>DP IPANEMA 8</v>
          </cell>
          <cell r="D175" t="str">
            <v>CLIMATIZAÇÃO</v>
          </cell>
          <cell r="F175">
            <v>17877.5</v>
          </cell>
          <cell r="G175" t="str">
            <v>LEANDRO</v>
          </cell>
          <cell r="I175" t="str">
            <v>MANFAC REFORMAS</v>
          </cell>
          <cell r="K175" t="str">
            <v>FATURADO</v>
          </cell>
        </row>
        <row r="176">
          <cell r="A176" t="str">
            <v>1125-017900</v>
          </cell>
          <cell r="B176" t="e">
            <v>#N/A</v>
          </cell>
          <cell r="C176" t="e">
            <v>#N/A</v>
          </cell>
          <cell r="D176" t="e">
            <v>#N/A</v>
          </cell>
          <cell r="F176" t="e">
            <v>#REF!</v>
          </cell>
          <cell r="G176" t="e">
            <v>#N/A</v>
          </cell>
          <cell r="K176" t="str">
            <v>FATURADO</v>
          </cell>
        </row>
        <row r="177">
          <cell r="A177" t="str">
            <v>0126-012073</v>
          </cell>
          <cell r="B177" t="str">
            <v>DP RECREIO 4</v>
          </cell>
          <cell r="C177" t="str">
            <v>Boa tarde, solicito abastecimento de água para filial, por gentileza.</v>
          </cell>
          <cell r="D177" t="str">
            <v>HIDRAULICA</v>
          </cell>
          <cell r="E177" t="str">
            <v>LIBERADO POR AMANDA - 09/01/2026</v>
          </cell>
          <cell r="F177">
            <v>4000</v>
          </cell>
          <cell r="G177" t="str">
            <v>JUAN</v>
          </cell>
          <cell r="K177" t="str">
            <v>FATURADO</v>
          </cell>
        </row>
        <row r="178">
          <cell r="A178" t="str">
            <v>0126-011137</v>
          </cell>
          <cell r="B178" t="str">
            <v>DP RECREIO 7</v>
          </cell>
          <cell r="C178" t="str">
            <v>Boa tarde,
 Filial sem água;
 Consegue me ajudar?
 Att. Ronan</v>
          </cell>
          <cell r="D178" t="str">
            <v>HIDRAULICA</v>
          </cell>
          <cell r="E178" t="str">
            <v>LIBERADO POR AMANDA - 07/01/2026</v>
          </cell>
          <cell r="F178" t="e">
            <v>#REF!</v>
          </cell>
          <cell r="G178" t="str">
            <v>JUAN</v>
          </cell>
          <cell r="K178" t="str">
            <v>FATURADO</v>
          </cell>
        </row>
        <row r="179">
          <cell r="A179" t="str">
            <v>1125-011771</v>
          </cell>
          <cell r="B179" t="str">
            <v>DP RIO DAS OSTRAS</v>
          </cell>
          <cell r="C179" t="str">
            <v>solicito reparo das gôndolas, as mesmas estão bambas, sendo necessário a colocação de papelão para as mesmas não ficarem bambas, porem se alguém se apoiar na gondola a mesma balança</v>
          </cell>
          <cell r="D179" t="str">
            <v>SERRALHERIA</v>
          </cell>
          <cell r="F179" t="e">
            <v>#REF!</v>
          </cell>
          <cell r="G179" t="str">
            <v>LEANDRO</v>
          </cell>
          <cell r="K179" t="str">
            <v>FATURADO</v>
          </cell>
        </row>
        <row r="180">
          <cell r="A180" t="str">
            <v>0226-004689</v>
          </cell>
          <cell r="B180" t="str">
            <v>DP PEDRA DE GUARATIBA</v>
          </cell>
          <cell r="D180" t="str">
            <v>HIDRAULICA</v>
          </cell>
          <cell r="E180" t="str">
            <v>LIBERADO POR LEANDRO - 02/02/2026</v>
          </cell>
          <cell r="F180">
            <v>2000</v>
          </cell>
          <cell r="G180" t="str">
            <v>JUAN</v>
          </cell>
          <cell r="K180" t="str">
            <v>FATURADO</v>
          </cell>
        </row>
        <row r="181">
          <cell r="A181" t="str">
            <v>0126-017083</v>
          </cell>
          <cell r="B181" t="str">
            <v>DP RECREIO 6</v>
          </cell>
          <cell r="C181" t="str">
            <v>olá boa tarde!
 solicito agua para loja pois estamos sem agua solicito com ajudante.</v>
          </cell>
          <cell r="D181" t="str">
            <v>HIDRAULICA</v>
          </cell>
          <cell r="E181" t="str">
            <v>LIBERADO POR AMANDA - 21/01/2026</v>
          </cell>
          <cell r="F181">
            <v>2000</v>
          </cell>
          <cell r="G181" t="str">
            <v>JUAN</v>
          </cell>
          <cell r="K181" t="str">
            <v>FATURADO</v>
          </cell>
        </row>
        <row r="182">
          <cell r="A182" t="str">
            <v>0126-017457</v>
          </cell>
          <cell r="B182" t="str">
            <v>DP CATETE 5</v>
          </cell>
          <cell r="C182" t="str">
            <v>Solicito pintura da fachada do laboratório, pois esta pinchada</v>
          </cell>
          <cell r="D182" t="str">
            <v>CIVIL</v>
          </cell>
          <cell r="F182" t="e">
            <v>#REF!</v>
          </cell>
          <cell r="G182" t="str">
            <v>LEANDRO</v>
          </cell>
          <cell r="K182" t="str">
            <v>FATURADO</v>
          </cell>
        </row>
        <row r="183">
          <cell r="A183" t="str">
            <v>1125-013547</v>
          </cell>
          <cell r="B183" t="str">
            <v>DP RIO DAS OSTRAS 3</v>
          </cell>
          <cell r="C183" t="str">
            <v>necessário a instalação da grade do hidrômetro</v>
          </cell>
          <cell r="D183" t="str">
            <v>SERRALHERIA</v>
          </cell>
          <cell r="F183" t="e">
            <v>#REF!</v>
          </cell>
          <cell r="G183" t="str">
            <v>LEANDRO</v>
          </cell>
          <cell r="K183" t="str">
            <v>FATURADO</v>
          </cell>
        </row>
        <row r="184">
          <cell r="A184" t="str">
            <v>1025-012127</v>
          </cell>
          <cell r="B184" t="e">
            <v>#N/A</v>
          </cell>
          <cell r="C184" t="e">
            <v>#N/A</v>
          </cell>
          <cell r="D184" t="e">
            <v>#N/A</v>
          </cell>
          <cell r="F184" t="e">
            <v>#REF!</v>
          </cell>
          <cell r="G184" t="e">
            <v>#N/A</v>
          </cell>
          <cell r="K184" t="str">
            <v>FATURADO</v>
          </cell>
        </row>
        <row r="185">
          <cell r="A185" t="str">
            <v>1225-013640</v>
          </cell>
          <cell r="B185" t="e">
            <v>#N/A</v>
          </cell>
          <cell r="C185" t="e">
            <v>#N/A</v>
          </cell>
          <cell r="D185" t="e">
            <v>#N/A</v>
          </cell>
          <cell r="E185" t="str">
            <v>LIBERADO POR AMANDA - 12/01/2026</v>
          </cell>
          <cell r="F185" t="e">
            <v>#REF!</v>
          </cell>
          <cell r="G185" t="e">
            <v>#N/A</v>
          </cell>
          <cell r="K185" t="str">
            <v>FATURADO</v>
          </cell>
        </row>
        <row r="186">
          <cell r="A186" t="str">
            <v>1125-014510</v>
          </cell>
          <cell r="B186" t="str">
            <v>DP RECREIO 7</v>
          </cell>
          <cell r="C186" t="str">
            <v>Solicito reparo da grade da valeta de escoamento localizada no estacionamento da filial
 Necessário urgência pois é uma área de passagem de pedestres e veículos e oferece risco de acidentes.</v>
          </cell>
          <cell r="D186" t="str">
            <v>SERRALHERIA</v>
          </cell>
          <cell r="F186" t="e">
            <v>#REF!</v>
          </cell>
          <cell r="G186" t="str">
            <v>LEANDRO</v>
          </cell>
          <cell r="K186" t="str">
            <v>FATURADO</v>
          </cell>
        </row>
        <row r="187">
          <cell r="A187" t="str">
            <v>0825-012690</v>
          </cell>
          <cell r="B187" t="e">
            <v>#N/A</v>
          </cell>
          <cell r="C187" t="e">
            <v>#N/A</v>
          </cell>
          <cell r="D187" t="e">
            <v>#N/A</v>
          </cell>
          <cell r="F187" t="e">
            <v>#REF!</v>
          </cell>
          <cell r="G187" t="e">
            <v>#N/A</v>
          </cell>
          <cell r="K187" t="str">
            <v>FATURADO</v>
          </cell>
        </row>
        <row r="188">
          <cell r="A188" t="str">
            <v>0126-018222</v>
          </cell>
          <cell r="B188" t="str">
            <v>DP ICARAI 3</v>
          </cell>
          <cell r="C188" t="str">
            <v>bom dia
 solicito reforço da dedetizacao,pois a loja esta cheia de baratas e muito mosquito</v>
          </cell>
          <cell r="D188" t="str">
            <v>DEDETIZAÇÃO</v>
          </cell>
          <cell r="E188" t="str">
            <v>LIBARADO POR AMANDA - 29/01/2026</v>
          </cell>
          <cell r="F188">
            <v>960</v>
          </cell>
          <cell r="G188" t="str">
            <v>AMANDA</v>
          </cell>
          <cell r="K188" t="str">
            <v>FATURADO</v>
          </cell>
        </row>
        <row r="189">
          <cell r="A189" t="str">
            <v>0525-014807</v>
          </cell>
          <cell r="B189" t="e">
            <v>#N/A</v>
          </cell>
          <cell r="C189" t="e">
            <v>#N/A</v>
          </cell>
          <cell r="D189" t="e">
            <v>#N/A</v>
          </cell>
          <cell r="E189" t="str">
            <v>FINALIZADO?</v>
          </cell>
          <cell r="F189" t="e">
            <v>#REF!</v>
          </cell>
          <cell r="G189" t="str">
            <v>LEANDRO</v>
          </cell>
          <cell r="K189" t="str">
            <v>FATURADO</v>
          </cell>
        </row>
        <row r="190">
          <cell r="A190" t="str">
            <v>0126-010209</v>
          </cell>
          <cell r="B190" t="str">
            <v>DSP BARCAS</v>
          </cell>
          <cell r="C190" t="str">
            <v>boa tarde, esta tampa de boieiro está solta. um guarda veio ate a loja informar que este boieiro é de um comercio particular. e que seria nosso.
 solicito o reparo no mesmo</v>
          </cell>
          <cell r="D190" t="str">
            <v>CIVIL</v>
          </cell>
          <cell r="E190" t="str">
            <v>LIBERADO POR AMANDA - 08/01/2026</v>
          </cell>
          <cell r="F190" t="e">
            <v>#REF!</v>
          </cell>
          <cell r="G190" t="str">
            <v>AMANDA</v>
          </cell>
          <cell r="K190" t="str">
            <v>FATURADO</v>
          </cell>
        </row>
        <row r="191">
          <cell r="A191" t="str">
            <v>0625-010701</v>
          </cell>
          <cell r="B191" t="e">
            <v>#N/A</v>
          </cell>
          <cell r="C191" t="e">
            <v>#N/A</v>
          </cell>
          <cell r="D191" t="e">
            <v>#N/A</v>
          </cell>
          <cell r="F191" t="e">
            <v>#REF!</v>
          </cell>
          <cell r="G191" t="str">
            <v>LEANDRO</v>
          </cell>
          <cell r="K191" t="str">
            <v>FATURADO</v>
          </cell>
        </row>
        <row r="192">
          <cell r="A192" t="str">
            <v>1125-010381</v>
          </cell>
          <cell r="B192" t="str">
            <v>DP PETROPOLIS 5</v>
          </cell>
          <cell r="C192" t="str">
            <v>Solicito reparo da porta principal da loja.</v>
          </cell>
          <cell r="D192" t="str">
            <v>SERRALHERIA</v>
          </cell>
          <cell r="E192" t="str">
            <v>LIBERADO EM REUNIÃO 02/12/2027</v>
          </cell>
          <cell r="F192" t="e">
            <v>#REF!</v>
          </cell>
          <cell r="G192" t="str">
            <v>AMANDA</v>
          </cell>
          <cell r="K192" t="str">
            <v>FATURADO</v>
          </cell>
        </row>
        <row r="193">
          <cell r="A193" t="str">
            <v>1025-008557</v>
          </cell>
          <cell r="B193" t="e">
            <v>#N/A</v>
          </cell>
          <cell r="C193" t="e">
            <v>#N/A</v>
          </cell>
          <cell r="D193" t="e">
            <v>#N/A</v>
          </cell>
          <cell r="E193" t="str">
            <v>LIBERADO EM REUNIÃO 02/12/2028</v>
          </cell>
          <cell r="F193" t="e">
            <v>#REF!</v>
          </cell>
          <cell r="G193" t="e">
            <v>#N/A</v>
          </cell>
          <cell r="K193" t="str">
            <v>FATURADO</v>
          </cell>
        </row>
        <row r="194">
          <cell r="A194" t="str">
            <v>1225-008332</v>
          </cell>
          <cell r="B194" t="e">
            <v>#N/A</v>
          </cell>
          <cell r="C194" t="e">
            <v>#N/A</v>
          </cell>
          <cell r="D194" t="e">
            <v>#N/A</v>
          </cell>
          <cell r="F194" t="e">
            <v>#REF!</v>
          </cell>
          <cell r="G194" t="e">
            <v>#N/A</v>
          </cell>
          <cell r="K194" t="str">
            <v>FATURADO</v>
          </cell>
        </row>
        <row r="195">
          <cell r="A195" t="str">
            <v>0126-020377</v>
          </cell>
          <cell r="B195" t="str">
            <v>DP PEDRA DE GUARATIBA</v>
          </cell>
          <cell r="C195" t="str">
            <v>Filial com vazamento crítico na sala de psicotrópicos. Causando risco sanitário grave, além de perda de medicamentos.</v>
          </cell>
          <cell r="D195" t="str">
            <v>TELHADO</v>
          </cell>
          <cell r="F195" t="e">
            <v>#REF!</v>
          </cell>
          <cell r="G195" t="str">
            <v>JUAN</v>
          </cell>
          <cell r="K195" t="str">
            <v>FATURADO</v>
          </cell>
        </row>
        <row r="196">
          <cell r="A196" t="str">
            <v>1125-016442</v>
          </cell>
          <cell r="B196" t="str">
            <v>DP PENDOTIBA</v>
          </cell>
          <cell r="C196" t="str">
            <v>Goteira em frente a entrada principal.</v>
          </cell>
          <cell r="D196" t="str">
            <v>CIVIL</v>
          </cell>
          <cell r="F196" t="e">
            <v>#REF!</v>
          </cell>
          <cell r="G196" t="str">
            <v>AMANDA</v>
          </cell>
          <cell r="K196" t="str">
            <v>FATURADO</v>
          </cell>
        </row>
        <row r="197">
          <cell r="A197" t="str">
            <v>1125-011056</v>
          </cell>
          <cell r="B197" t="str">
            <v>DP URUGUAIANA</v>
          </cell>
          <cell r="C197" t="str">
            <v>INTENSIVO DE DEDETIZAÇÃO</v>
          </cell>
          <cell r="D197" t="str">
            <v>DEDETIZAÇÃO</v>
          </cell>
          <cell r="E197" t="str">
            <v>ALINHADO EM REUNIÃO</v>
          </cell>
          <cell r="F197" t="e">
            <v>#REF!</v>
          </cell>
          <cell r="G197" t="str">
            <v>LEANDRO</v>
          </cell>
          <cell r="K197" t="str">
            <v>FATURADO</v>
          </cell>
        </row>
        <row r="198">
          <cell r="A198" t="str">
            <v>1025-010875</v>
          </cell>
          <cell r="B198" t="e">
            <v>#N/A</v>
          </cell>
          <cell r="C198" t="e">
            <v>#N/A</v>
          </cell>
          <cell r="D198" t="e">
            <v>#N/A</v>
          </cell>
          <cell r="E198" t="str">
            <v>LIBERADO POR AMANDA - 05/12/2025</v>
          </cell>
          <cell r="F198" t="e">
            <v>#REF!</v>
          </cell>
          <cell r="G198" t="e">
            <v>#N/A</v>
          </cell>
          <cell r="K198" t="str">
            <v>FATURADO</v>
          </cell>
        </row>
        <row r="199">
          <cell r="A199" t="str">
            <v>1225-010880</v>
          </cell>
          <cell r="B199" t="e">
            <v>#N/A</v>
          </cell>
          <cell r="C199" t="e">
            <v>#N/A</v>
          </cell>
          <cell r="D199" t="e">
            <v>#N/A</v>
          </cell>
          <cell r="E199" t="str">
            <v>LIBERADO POR AMANDA - 23/12/2025</v>
          </cell>
          <cell r="F199" t="e">
            <v>#REF!</v>
          </cell>
          <cell r="G199" t="e">
            <v>#N/A</v>
          </cell>
          <cell r="K199" t="str">
            <v>FATURADO</v>
          </cell>
        </row>
        <row r="200">
          <cell r="A200" t="str">
            <v>0126-016904</v>
          </cell>
          <cell r="B200" t="str">
            <v>DP INGA 2</v>
          </cell>
          <cell r="C200" t="str">
            <v>Telhado vazando e loja em curto algumas luzes apagadas do salão e luzes piscando</v>
          </cell>
          <cell r="D200" t="str">
            <v>TELHADO</v>
          </cell>
          <cell r="E200" t="str">
            <v>LIBERADO POR AMANDA - 23/01/2026</v>
          </cell>
          <cell r="F200" t="e">
            <v>#REF!</v>
          </cell>
          <cell r="G200" t="str">
            <v>AMANDA</v>
          </cell>
          <cell r="K200" t="str">
            <v>FATURADO</v>
          </cell>
        </row>
        <row r="201">
          <cell r="A201" t="str">
            <v>1225-011514</v>
          </cell>
          <cell r="B201" t="str">
            <v>DP ICARAI 11</v>
          </cell>
          <cell r="C201" t="str">
            <v>Instalação de corrimão na entrada da loja para auxílio de entrada dos idosos na loja</v>
          </cell>
          <cell r="D201" t="str">
            <v>SERRALHERIA</v>
          </cell>
          <cell r="E201" t="str">
            <v>LIBERADO POR AMANDA - 19/12/2025</v>
          </cell>
          <cell r="F201" t="e">
            <v>#REF!</v>
          </cell>
          <cell r="G201" t="str">
            <v>AMANDA</v>
          </cell>
          <cell r="K201" t="str">
            <v>FATURADO</v>
          </cell>
        </row>
        <row r="202">
          <cell r="A202" t="str">
            <v>1025-016861</v>
          </cell>
          <cell r="B202" t="e">
            <v>#N/A</v>
          </cell>
          <cell r="C202" t="e">
            <v>#N/A</v>
          </cell>
          <cell r="D202" t="e">
            <v>#N/A</v>
          </cell>
          <cell r="E202" t="str">
            <v>LIBERADO EM REUNIÃO 02/12/2025</v>
          </cell>
          <cell r="F202" t="e">
            <v>#REF!</v>
          </cell>
          <cell r="G202" t="e">
            <v>#N/A</v>
          </cell>
          <cell r="K202" t="str">
            <v>FATURADO</v>
          </cell>
        </row>
        <row r="203">
          <cell r="A203" t="str">
            <v>1225-010730</v>
          </cell>
          <cell r="B203" t="e">
            <v>#N/A</v>
          </cell>
          <cell r="C203" t="e">
            <v>#N/A</v>
          </cell>
          <cell r="D203" t="e">
            <v>#N/A</v>
          </cell>
          <cell r="E203" t="str">
            <v>LIBERADO POR LEANDRO - 19/12/2025</v>
          </cell>
          <cell r="F203" t="e">
            <v>#REF!</v>
          </cell>
          <cell r="G203" t="e">
            <v>#N/A</v>
          </cell>
          <cell r="K203" t="str">
            <v>FATURADO</v>
          </cell>
        </row>
        <row r="204">
          <cell r="A204" t="str">
            <v>1225-014284</v>
          </cell>
          <cell r="B204" t="str">
            <v>DP RECREIO 1</v>
          </cell>
          <cell r="C204" t="str">
            <v>Bom dia.
 Loja enfestada de mosquitos e cupins.
 Mobiliário da sala de psicotrópicos cheios de cupins.</v>
          </cell>
          <cell r="D204" t="str">
            <v>DEDETIZAÇÃO</v>
          </cell>
          <cell r="E204" t="str">
            <v>LIBERADO POR AMANDA - 08/01/2026</v>
          </cell>
          <cell r="F204" t="e">
            <v>#REF!</v>
          </cell>
          <cell r="G204" t="str">
            <v>JUAN</v>
          </cell>
          <cell r="K204" t="str">
            <v>FATURADO</v>
          </cell>
        </row>
        <row r="205">
          <cell r="A205" t="str">
            <v>1225-013694</v>
          </cell>
          <cell r="B205" t="e">
            <v>#N/A</v>
          </cell>
          <cell r="C205" t="e">
            <v>#N/A</v>
          </cell>
          <cell r="D205" t="e">
            <v>#N/A</v>
          </cell>
          <cell r="E205" t="str">
            <v>LIBERADO POR AMANDA - 27/12/2025</v>
          </cell>
          <cell r="F205" t="e">
            <v>#REF!</v>
          </cell>
          <cell r="G205" t="e">
            <v>#N/A</v>
          </cell>
          <cell r="K205" t="str">
            <v>FATURADO</v>
          </cell>
        </row>
        <row r="206">
          <cell r="A206" t="str">
            <v>0825-007561</v>
          </cell>
          <cell r="B206" t="e">
            <v>#N/A</v>
          </cell>
          <cell r="C206" t="e">
            <v>#N/A</v>
          </cell>
          <cell r="D206" t="e">
            <v>#N/A</v>
          </cell>
          <cell r="F206" t="e">
            <v>#REF!</v>
          </cell>
          <cell r="G206" t="e">
            <v>#N/A</v>
          </cell>
          <cell r="K206" t="str">
            <v>FATURADO</v>
          </cell>
        </row>
        <row r="207">
          <cell r="A207" t="str">
            <v>1225-011290</v>
          </cell>
          <cell r="B207" t="e">
            <v>#N/A</v>
          </cell>
          <cell r="C207" t="e">
            <v>#N/A</v>
          </cell>
          <cell r="D207" t="e">
            <v>#N/A</v>
          </cell>
          <cell r="E207" t="str">
            <v>LIBERADO POR JUAN - 22/12/2025</v>
          </cell>
          <cell r="F207" t="e">
            <v>#REF!</v>
          </cell>
          <cell r="G207" t="e">
            <v>#N/A</v>
          </cell>
          <cell r="K207" t="str">
            <v>FATURADO</v>
          </cell>
        </row>
        <row r="208">
          <cell r="A208" t="str">
            <v>1225-008110</v>
          </cell>
          <cell r="B208" t="e">
            <v>#N/A</v>
          </cell>
          <cell r="C208" t="e">
            <v>#N/A</v>
          </cell>
          <cell r="D208" t="e">
            <v>#N/A</v>
          </cell>
          <cell r="E208" t="str">
            <v>LIBERADO POR LEANDRO - 13/12/2025</v>
          </cell>
          <cell r="F208" t="e">
            <v>#REF!</v>
          </cell>
          <cell r="G208" t="e">
            <v>#N/A</v>
          </cell>
          <cell r="K208" t="str">
            <v>FATURADO</v>
          </cell>
        </row>
        <row r="209">
          <cell r="A209" t="str">
            <v>1125-011102</v>
          </cell>
          <cell r="B209" t="str">
            <v>DP MAGE 3</v>
          </cell>
          <cell r="C209" t="str">
            <v>Após incidente com travamento da porta, ao tentar fecha-la com a corrente de forma manual, os forros acabaram sendo danificados. Solicito a troca de 2 forros para o salão de vendas.</v>
          </cell>
          <cell r="D209" t="str">
            <v>CIVIL</v>
          </cell>
          <cell r="F209" t="e">
            <v>#REF!</v>
          </cell>
          <cell r="G209" t="str">
            <v>AMANDA</v>
          </cell>
          <cell r="K209" t="str">
            <v>FATURADO</v>
          </cell>
        </row>
        <row r="210">
          <cell r="A210" t="str">
            <v>1125-008778</v>
          </cell>
          <cell r="B210" t="e">
            <v>#N/A</v>
          </cell>
          <cell r="C210" t="e">
            <v>#N/A</v>
          </cell>
          <cell r="D210" t="e">
            <v>#N/A</v>
          </cell>
          <cell r="F210" t="e">
            <v>#REF!</v>
          </cell>
          <cell r="G210" t="e">
            <v>#N/A</v>
          </cell>
          <cell r="K210" t="str">
            <v>FATURADO</v>
          </cell>
        </row>
        <row r="211">
          <cell r="A211" t="str">
            <v>1225-015957</v>
          </cell>
          <cell r="B211" t="str">
            <v>DP IPANEMA 8</v>
          </cell>
          <cell r="C211" t="str">
            <v>Boa noite, solicito troca de lugar da geladeira de medicamento para dentro da sala de controlados com urgência, a pedido da acionista.</v>
          </cell>
          <cell r="D211" t="str">
            <v>EQUIPAMENTO</v>
          </cell>
          <cell r="E211" t="str">
            <v>LIBERADO POR AMANDA - 08/01/2026</v>
          </cell>
          <cell r="F211" t="e">
            <v>#REF!</v>
          </cell>
          <cell r="G211" t="str">
            <v>LEANDRO</v>
          </cell>
          <cell r="K211" t="str">
            <v>FATURADO</v>
          </cell>
        </row>
        <row r="212">
          <cell r="A212" t="str">
            <v>1225-015962</v>
          </cell>
          <cell r="B212" t="str">
            <v>DP IPANEMA 8</v>
          </cell>
          <cell r="C212" t="str">
            <v>Boa noite, solicito que movimente os moveis da filial para frente de loja para que se abra um espaço no balcão, pedido urgente da acionista.</v>
          </cell>
          <cell r="D212" t="str">
            <v>CIVIL</v>
          </cell>
          <cell r="E212" t="str">
            <v>LIBERADO POR AMANDA - 08/01/2026</v>
          </cell>
          <cell r="F212" t="e">
            <v>#REF!</v>
          </cell>
          <cell r="G212" t="str">
            <v>LEANDRO</v>
          </cell>
          <cell r="K212" t="str">
            <v>FATURADO</v>
          </cell>
        </row>
        <row r="213">
          <cell r="A213" t="str">
            <v>1025-013383</v>
          </cell>
          <cell r="B213" t="e">
            <v>#N/A</v>
          </cell>
          <cell r="C213" t="e">
            <v>#N/A</v>
          </cell>
          <cell r="D213" t="e">
            <v>#N/A</v>
          </cell>
          <cell r="F213" t="e">
            <v>#REF!</v>
          </cell>
          <cell r="G213" t="e">
            <v>#N/A</v>
          </cell>
          <cell r="K213" t="str">
            <v>FATURADO</v>
          </cell>
        </row>
        <row r="214">
          <cell r="A214" t="str">
            <v>0126-010714</v>
          </cell>
          <cell r="B214" t="str">
            <v>DP LARANJEIRAS 1</v>
          </cell>
          <cell r="C214" t="str">
            <v>ADESIVOS E REPARO EM PAREDE</v>
          </cell>
          <cell r="D214" t="str">
            <v>CIVIL</v>
          </cell>
          <cell r="E214" t="str">
            <v>LIBERADO POR CLAUDIO - 06/01/2026</v>
          </cell>
          <cell r="F214" t="e">
            <v>#REF!</v>
          </cell>
          <cell r="G214" t="str">
            <v>LEANDRO</v>
          </cell>
          <cell r="K214" t="str">
            <v>FATURADO</v>
          </cell>
        </row>
        <row r="215">
          <cell r="A215" t="str">
            <v>1025-016168</v>
          </cell>
          <cell r="B215" t="e">
            <v>#N/A</v>
          </cell>
          <cell r="C215" t="e">
            <v>#N/A</v>
          </cell>
          <cell r="D215" t="e">
            <v>#N/A</v>
          </cell>
          <cell r="E215" t="str">
            <v>LIBERADO POR AMANDA - 08/01/2026</v>
          </cell>
          <cell r="F215" t="e">
            <v>#REF!</v>
          </cell>
          <cell r="G215" t="e">
            <v>#N/A</v>
          </cell>
          <cell r="K215" t="str">
            <v>FATURADO</v>
          </cell>
        </row>
        <row r="216">
          <cell r="A216" t="str">
            <v>0126-011608</v>
          </cell>
          <cell r="B216" t="str">
            <v>DP LAGOA I</v>
          </cell>
          <cell r="C216" t="str">
            <v>Boa tarde,
 Foi solicitado pela diretoria a troca das placas do teto do salão de vendas pois estão manchadas.
 20 placas.</v>
          </cell>
          <cell r="D216" t="str">
            <v>TELHADO</v>
          </cell>
          <cell r="E216" t="str">
            <v>LIBERADO POR AMANDA - 09/01/2026</v>
          </cell>
          <cell r="F216" t="e">
            <v>#REF!</v>
          </cell>
          <cell r="G216" t="str">
            <v>LEANDRO</v>
          </cell>
          <cell r="K216" t="str">
            <v>FATURADO</v>
          </cell>
        </row>
        <row r="217">
          <cell r="A217" t="str">
            <v>1225-014586</v>
          </cell>
          <cell r="B217" t="str">
            <v>DP COPACABANA 5</v>
          </cell>
          <cell r="C217" t="str">
            <v>Solicito carro pipa, falta de água na loja.</v>
          </cell>
          <cell r="D217" t="str">
            <v>HIDRAULICA</v>
          </cell>
          <cell r="E217" t="str">
            <v>LIBERADO POR AMANDA - 28/12/2025</v>
          </cell>
          <cell r="F217" t="e">
            <v>#REF!</v>
          </cell>
          <cell r="G217" t="str">
            <v>LEANDRO</v>
          </cell>
          <cell r="K217" t="str">
            <v>FATURADO</v>
          </cell>
        </row>
        <row r="218">
          <cell r="A218" t="str">
            <v>0126-011090</v>
          </cell>
          <cell r="B218" t="str">
            <v>DP COPACABANA 5</v>
          </cell>
          <cell r="C218" t="str">
            <v>SOLICITO CAMINHÃO PIPA COM URGENCIA. FILIAL COM FALTA DE ÁGUA, CHÃO E BANHEIROS PENDENTES DE LIMPEZA.</v>
          </cell>
          <cell r="D218" t="str">
            <v>HIDRAULICA</v>
          </cell>
          <cell r="E218" t="str">
            <v>LIBERADO POR AMANDA - 08/01/2026</v>
          </cell>
          <cell r="F218" t="e">
            <v>#REF!</v>
          </cell>
          <cell r="G218" t="str">
            <v>LEANDRO</v>
          </cell>
          <cell r="K218" t="str">
            <v>FATURADO</v>
          </cell>
        </row>
        <row r="219">
          <cell r="A219" t="str">
            <v>0126-017154</v>
          </cell>
          <cell r="B219" t="str">
            <v>DP COPACABANA 5</v>
          </cell>
          <cell r="C219" t="str">
            <v>SOLICITO CARRO PIPA, FILIAL SEM AGUÁ NOVAMENTE.</v>
          </cell>
          <cell r="D219" t="str">
            <v>HIDRAULICA</v>
          </cell>
          <cell r="E219" t="str">
            <v>LIBERADO POR AMANDA - 22/01/2026</v>
          </cell>
          <cell r="F219" t="e">
            <v>#REF!</v>
          </cell>
          <cell r="G219" t="str">
            <v>LEANDRO</v>
          </cell>
          <cell r="K219" t="str">
            <v>FATURADO</v>
          </cell>
        </row>
        <row r="220">
          <cell r="A220" t="str">
            <v>0126-019316</v>
          </cell>
          <cell r="B220" t="str">
            <v>DP COPACABANA 5</v>
          </cell>
          <cell r="C220" t="str">
            <v>Bom dia. Solicito caminhão pipa, filial sem água novamente.</v>
          </cell>
          <cell r="D220" t="str">
            <v>HIDRAULICA</v>
          </cell>
          <cell r="E220" t="str">
            <v>LIBERADO POR AMANDA - 26/01/2026</v>
          </cell>
          <cell r="F220" t="e">
            <v>#REF!</v>
          </cell>
          <cell r="G220" t="str">
            <v>LEANDRO</v>
          </cell>
          <cell r="K220" t="str">
            <v>FATURADO</v>
          </cell>
        </row>
        <row r="221">
          <cell r="A221" t="str">
            <v>1225-013884</v>
          </cell>
          <cell r="B221" t="e">
            <v>#N/A</v>
          </cell>
          <cell r="C221" t="e">
            <v>#N/A</v>
          </cell>
          <cell r="D221" t="e">
            <v>#N/A</v>
          </cell>
          <cell r="E221" t="str">
            <v>LIBERADO POR AMANDA - 27/12/2025</v>
          </cell>
          <cell r="F221" t="e">
            <v>#REF!</v>
          </cell>
          <cell r="G221" t="e">
            <v>#N/A</v>
          </cell>
          <cell r="K221" t="str">
            <v>FATURADO</v>
          </cell>
        </row>
        <row r="222">
          <cell r="A222" t="str">
            <v>0126-021692</v>
          </cell>
          <cell r="B222" t="str">
            <v>DP INGA 2</v>
          </cell>
          <cell r="C222" t="str">
            <v>Bom Dia ! 
 Informo que a loja está sem agua desde de ontem (30/01/26) a Loja faz serviço farmacêutico e sem agua não tem serviço. 
 Solicito um caminhão pipa.</v>
          </cell>
          <cell r="D222" t="str">
            <v>HIDRAULICA</v>
          </cell>
          <cell r="E222" t="str">
            <v>LIBERADO POR AMANDA - 31/01/2026</v>
          </cell>
          <cell r="F222" t="e">
            <v>#REF!</v>
          </cell>
          <cell r="G222" t="str">
            <v>AMANDA</v>
          </cell>
          <cell r="K222" t="str">
            <v>FATURADO</v>
          </cell>
        </row>
        <row r="223">
          <cell r="A223" t="str">
            <v>0226-006633</v>
          </cell>
          <cell r="B223" t="str">
            <v>DP INGA 2</v>
          </cell>
          <cell r="C223" t="str">
            <v>Boa tarde ,estamos sem água em loja ,solicito com urgência um caminhão pipa ,foi entrado em contato com á Aguas do Rio e foi dado um prazo de 3 dias .Número protocolo :202611016727876 |número da solicitação:6674806.</v>
          </cell>
          <cell r="D223" t="str">
            <v>HIDRAULICA</v>
          </cell>
          <cell r="E223" t="str">
            <v>LIBERADO POR LEANDRO - 05/02/2026</v>
          </cell>
          <cell r="F223" t="e">
            <v>#REF!</v>
          </cell>
          <cell r="G223" t="str">
            <v>AMANDA</v>
          </cell>
          <cell r="K223" t="str">
            <v>FATURADO</v>
          </cell>
        </row>
        <row r="224">
          <cell r="A224" t="str">
            <v>1225-013715</v>
          </cell>
          <cell r="B224" t="e">
            <v>#N/A</v>
          </cell>
          <cell r="C224" t="e">
            <v>#N/A</v>
          </cell>
          <cell r="D224" t="e">
            <v>#N/A</v>
          </cell>
          <cell r="E224" t="str">
            <v>LIBERADO POR AMANDA - 26/12/2025</v>
          </cell>
          <cell r="F224" t="e">
            <v>#REF!</v>
          </cell>
          <cell r="G224" t="e">
            <v>#N/A</v>
          </cell>
          <cell r="K224" t="str">
            <v>FATURADO</v>
          </cell>
        </row>
        <row r="225">
          <cell r="A225" t="str">
            <v>1225-014846</v>
          </cell>
          <cell r="B225" t="str">
            <v>DP LUCIO COSTA</v>
          </cell>
          <cell r="C225" t="str">
            <v>Boa tarde, solicito carro pipa pois a loja esta sem água.</v>
          </cell>
          <cell r="D225" t="str">
            <v>HIDRAULICA</v>
          </cell>
          <cell r="E225" t="str">
            <v>LIBERADO POR AMANDA - 28/12/2025</v>
          </cell>
          <cell r="F225" t="e">
            <v>#REF!</v>
          </cell>
          <cell r="G225" t="str">
            <v>JUAN</v>
          </cell>
          <cell r="K225" t="str">
            <v>FATURADO</v>
          </cell>
        </row>
        <row r="226">
          <cell r="A226" t="str">
            <v>0126-012426</v>
          </cell>
          <cell r="B226" t="str">
            <v>DP LUCIO COSTA</v>
          </cell>
          <cell r="C226" t="str">
            <v>Bom dia! solicito água pra loja</v>
          </cell>
          <cell r="D226" t="str">
            <v>HIDRAULICA</v>
          </cell>
          <cell r="E226" t="str">
            <v>LIBERADO POR AMANDA - 09/01/2026</v>
          </cell>
          <cell r="F226" t="e">
            <v>#REF!</v>
          </cell>
          <cell r="G226" t="str">
            <v>JUAN</v>
          </cell>
          <cell r="K226" t="str">
            <v>FATURADO</v>
          </cell>
        </row>
        <row r="227">
          <cell r="A227" t="str">
            <v>1225-015151</v>
          </cell>
          <cell r="B227" t="e">
            <v>#N/A</v>
          </cell>
          <cell r="C227" t="e">
            <v>#N/A</v>
          </cell>
          <cell r="D227" t="e">
            <v>#N/A</v>
          </cell>
          <cell r="E227" t="str">
            <v>LIBERADO POR AMANDA - 29/12/2025</v>
          </cell>
          <cell r="F227" t="e">
            <v>#REF!</v>
          </cell>
          <cell r="G227" t="e">
            <v>#N/A</v>
          </cell>
          <cell r="K227" t="str">
            <v>FATURADO</v>
          </cell>
        </row>
        <row r="228">
          <cell r="A228" t="str">
            <v>0126-020370</v>
          </cell>
          <cell r="B228" t="str">
            <v>DP PIABETA 1</v>
          </cell>
          <cell r="C228" t="str">
            <v>bom dia solicito caminhão pipa pra loja pois a loja estar sem agua pra nada
 caixa d agua vazia e a cisterna da loja também estar vazia</v>
          </cell>
          <cell r="D228" t="str">
            <v>HIDRAULICA</v>
          </cell>
          <cell r="E228" t="str">
            <v>LIBERADO POR AMANDA - 28/01/2026</v>
          </cell>
          <cell r="F228" t="e">
            <v>#REF!</v>
          </cell>
          <cell r="G228" t="str">
            <v>AMANDA</v>
          </cell>
          <cell r="K228" t="str">
            <v>FATURADO</v>
          </cell>
        </row>
        <row r="229">
          <cell r="A229" t="str">
            <v>0226-003724</v>
          </cell>
          <cell r="B229" t="str">
            <v>DP PIABETA 1</v>
          </cell>
          <cell r="C229" t="str">
            <v>bom dia falta de agua na loja
 sem agua pra nada na loja</v>
          </cell>
          <cell r="D229" t="str">
            <v>HIDRAULICA</v>
          </cell>
          <cell r="F229" t="e">
            <v>#REF!</v>
          </cell>
          <cell r="G229" t="str">
            <v>AMANDA</v>
          </cell>
          <cell r="K229" t="str">
            <v>FATURADO</v>
          </cell>
        </row>
        <row r="230">
          <cell r="A230" t="str">
            <v>1225-014514</v>
          </cell>
          <cell r="B230" t="e">
            <v>#N/A</v>
          </cell>
          <cell r="C230" t="e">
            <v>#N/A</v>
          </cell>
          <cell r="D230" t="e">
            <v>#N/A</v>
          </cell>
          <cell r="E230" t="str">
            <v>LIBERADO POR AMANDA - 28/12/2025</v>
          </cell>
          <cell r="F230" t="e">
            <v>#REF!</v>
          </cell>
          <cell r="G230" t="e">
            <v>#N/A</v>
          </cell>
          <cell r="K230" t="str">
            <v>FATURADO</v>
          </cell>
        </row>
        <row r="231">
          <cell r="A231" t="str">
            <v>0925-012830</v>
          </cell>
          <cell r="B231" t="e">
            <v>#N/A</v>
          </cell>
          <cell r="C231" t="e">
            <v>#N/A</v>
          </cell>
          <cell r="D231" t="e">
            <v>#N/A</v>
          </cell>
          <cell r="F231" t="e">
            <v>#REF!</v>
          </cell>
          <cell r="G231" t="e">
            <v>#N/A</v>
          </cell>
          <cell r="K231" t="str">
            <v>FATURADO</v>
          </cell>
        </row>
        <row r="232">
          <cell r="A232" t="str">
            <v>1225-007672</v>
          </cell>
          <cell r="B232" t="e">
            <v>#N/A</v>
          </cell>
          <cell r="C232" t="e">
            <v>#N/A</v>
          </cell>
          <cell r="D232" t="e">
            <v>#N/A</v>
          </cell>
          <cell r="F232" t="e">
            <v>#REF!</v>
          </cell>
          <cell r="G232" t="e">
            <v>#N/A</v>
          </cell>
          <cell r="K232" t="str">
            <v>FATURADO</v>
          </cell>
        </row>
        <row r="233">
          <cell r="A233" t="str">
            <v>1225-010605</v>
          </cell>
          <cell r="B233" t="e">
            <v>#N/A</v>
          </cell>
          <cell r="C233" t="e">
            <v>#N/A</v>
          </cell>
          <cell r="D233" t="e">
            <v>#N/A</v>
          </cell>
          <cell r="E233" t="str">
            <v>LIBERADO POR JUAN - 18/12/2025</v>
          </cell>
          <cell r="F233" t="e">
            <v>#REF!</v>
          </cell>
          <cell r="G233" t="e">
            <v>#N/A</v>
          </cell>
          <cell r="K233" t="str">
            <v>FATURADO</v>
          </cell>
        </row>
        <row r="234">
          <cell r="A234" t="str">
            <v>0525-015061</v>
          </cell>
          <cell r="B234" t="e">
            <v>#N/A</v>
          </cell>
          <cell r="C234" t="e">
            <v>#N/A</v>
          </cell>
          <cell r="D234" t="e">
            <v>#N/A</v>
          </cell>
          <cell r="E234" t="str">
            <v>LIBERADO POR AMANDA - 28/12/2025</v>
          </cell>
          <cell r="F234" t="e">
            <v>#REF!</v>
          </cell>
          <cell r="G234" t="e">
            <v>#N/A</v>
          </cell>
          <cell r="K234" t="str">
            <v>FATURADO</v>
          </cell>
        </row>
        <row r="235">
          <cell r="A235" t="str">
            <v>1125-012905</v>
          </cell>
          <cell r="B235" t="str">
            <v>DP CURICICA</v>
          </cell>
          <cell r="C235" t="str">
            <v>Solicito limpeza da caixa d' agua</v>
          </cell>
          <cell r="D235" t="str">
            <v>DEDETIZAÇÃO</v>
          </cell>
          <cell r="E235" t="str">
            <v>SOLICITADO POR CLAUDIO - 09/01/2025</v>
          </cell>
          <cell r="F235" t="e">
            <v>#REF!</v>
          </cell>
          <cell r="G235" t="str">
            <v>JUAN</v>
          </cell>
          <cell r="K235" t="str">
            <v>FATURADO</v>
          </cell>
        </row>
        <row r="236">
          <cell r="A236" t="str">
            <v>1225-007472</v>
          </cell>
          <cell r="B236" t="e">
            <v>#N/A</v>
          </cell>
          <cell r="C236" t="e">
            <v>#N/A</v>
          </cell>
          <cell r="D236" t="e">
            <v>#N/A</v>
          </cell>
          <cell r="E236" t="str">
            <v>LIBERADO POR AMANDA - 19/12/2025</v>
          </cell>
          <cell r="F236" t="e">
            <v>#REF!</v>
          </cell>
          <cell r="G236" t="e">
            <v>#N/A</v>
          </cell>
          <cell r="K236" t="str">
            <v>FATURADO</v>
          </cell>
        </row>
        <row r="237">
          <cell r="A237" t="str">
            <v>0126-016151</v>
          </cell>
          <cell r="B237" t="str">
            <v>DP MARICA 2</v>
          </cell>
          <cell r="C237" t="str">
            <v>Solicito novo ponto de tomada na filial para kibbon</v>
          </cell>
          <cell r="D237" t="str">
            <v>ELETRICA</v>
          </cell>
          <cell r="E237" t="str">
            <v>LIBERADO POR AMANDA - 09/01/2026</v>
          </cell>
          <cell r="F237" t="e">
            <v>#REF!</v>
          </cell>
          <cell r="G237" t="str">
            <v>LEANDRO</v>
          </cell>
          <cell r="K237" t="str">
            <v>FATURADO</v>
          </cell>
        </row>
        <row r="238">
          <cell r="A238" t="str">
            <v>0126-010746</v>
          </cell>
          <cell r="B238" t="str">
            <v>DP COPACABANA 16</v>
          </cell>
          <cell r="C238" t="str">
            <v>Prezados área do checkout esta com insetos (baratas pequenas) por toda área
 Solicito detetização urgente</v>
          </cell>
          <cell r="D238" t="str">
            <v>DEDETIZAÇÃO</v>
          </cell>
          <cell r="F238" t="e">
            <v>#REF!</v>
          </cell>
          <cell r="G238" t="str">
            <v>LEANDRO</v>
          </cell>
          <cell r="K238" t="str">
            <v>FATURADO</v>
          </cell>
        </row>
        <row r="239">
          <cell r="A239" t="str">
            <v>1225-015056</v>
          </cell>
          <cell r="B239" t="str">
            <v>DP NITEROI 9</v>
          </cell>
          <cell r="C239" t="str">
            <v>A loja está com baratas aparecendo mortas em excesso, em todos os lugares da loja, com foco embaixo da escada. Preciso de mais uma dedetização para não ter problemas regulatórios.</v>
          </cell>
          <cell r="D239" t="str">
            <v>DEDETIZAÇÃO</v>
          </cell>
          <cell r="F239" t="e">
            <v>#REF!</v>
          </cell>
          <cell r="G239" t="str">
            <v>AMANDA</v>
          </cell>
          <cell r="K239" t="str">
            <v>FATURADO</v>
          </cell>
        </row>
        <row r="240">
          <cell r="A240" t="str">
            <v>0126-009629</v>
          </cell>
          <cell r="B240" t="str">
            <v>DP ITABORAI</v>
          </cell>
          <cell r="C240" t="str">
            <v>Boa Noite!!
 Solicito Troca de Sanitário do banheiro femino, descarga é troca e continua vazando. Solicio novo</v>
          </cell>
          <cell r="D240" t="str">
            <v>EQUIPAMENTO</v>
          </cell>
          <cell r="E240" t="str">
            <v>LIBERADO POR AMANDA - 21/01/2026</v>
          </cell>
          <cell r="F240" t="e">
            <v>#REF!</v>
          </cell>
          <cell r="G240" t="str">
            <v>AMANDA</v>
          </cell>
          <cell r="K240" t="str">
            <v>FATURADO</v>
          </cell>
        </row>
        <row r="241">
          <cell r="A241" t="str">
            <v>1125-014752</v>
          </cell>
          <cell r="B241" t="str">
            <v>DP ITABORAI 3</v>
          </cell>
          <cell r="C241" t="str">
            <v>Boa tarde, solicito TROCA da tomada da cozinha que esta com mal contato. Já fizeram reparo, mas o problema persiste, correndo risco de queimar algum eletrodoméstico.</v>
          </cell>
          <cell r="D241" t="str">
            <v>ELETRICA</v>
          </cell>
          <cell r="E241" t="str">
            <v>LIBERADO POR AMANDA - 02/12/2026</v>
          </cell>
          <cell r="F241" t="e">
            <v>#REF!</v>
          </cell>
          <cell r="G241" t="str">
            <v>AMANDA</v>
          </cell>
          <cell r="K241" t="str">
            <v>FATURADO</v>
          </cell>
        </row>
        <row r="242">
          <cell r="A242" t="str">
            <v>1125-013782</v>
          </cell>
          <cell r="B242" t="str">
            <v>DP ALCANTARA 4</v>
          </cell>
          <cell r="C242" t="e">
            <v>#N/A</v>
          </cell>
          <cell r="D242" t="e">
            <v>#N/A</v>
          </cell>
          <cell r="F242" t="e">
            <v>#REF!</v>
          </cell>
          <cell r="G242" t="str">
            <v>AMANDA</v>
          </cell>
          <cell r="K242" t="str">
            <v>FATURADO</v>
          </cell>
        </row>
        <row r="243">
          <cell r="A243" t="str">
            <v>1125-011023</v>
          </cell>
          <cell r="B243" t="str">
            <v>DP ALCANTARA 5</v>
          </cell>
          <cell r="C243" t="e">
            <v>#N/A</v>
          </cell>
          <cell r="D243" t="e">
            <v>#N/A</v>
          </cell>
          <cell r="F243" t="e">
            <v>#REF!</v>
          </cell>
          <cell r="G243" t="str">
            <v>AMANDA</v>
          </cell>
          <cell r="K243" t="str">
            <v>FATURADO</v>
          </cell>
        </row>
        <row r="244">
          <cell r="A244" t="str">
            <v>1225-005940</v>
          </cell>
          <cell r="B244" t="e">
            <v>#N/A</v>
          </cell>
          <cell r="C244" t="e">
            <v>#N/A</v>
          </cell>
          <cell r="D244" t="e">
            <v>#N/A</v>
          </cell>
          <cell r="F244" t="e">
            <v>#REF!</v>
          </cell>
          <cell r="G244" t="e">
            <v>#N/A</v>
          </cell>
          <cell r="K244" t="str">
            <v>FATURADO</v>
          </cell>
        </row>
        <row r="245">
          <cell r="A245" t="str">
            <v>1225-005557</v>
          </cell>
          <cell r="B245" t="e">
            <v>#N/A</v>
          </cell>
          <cell r="C245" t="e">
            <v>#N/A</v>
          </cell>
          <cell r="D245" t="e">
            <v>#N/A</v>
          </cell>
          <cell r="F245" t="e">
            <v>#REF!</v>
          </cell>
          <cell r="G245" t="e">
            <v>#N/A</v>
          </cell>
          <cell r="K245" t="str">
            <v>FATURADO</v>
          </cell>
        </row>
        <row r="246">
          <cell r="A246" t="str">
            <v>1225-006974</v>
          </cell>
          <cell r="B246" t="e">
            <v>#N/A</v>
          </cell>
          <cell r="C246" t="e">
            <v>#N/A</v>
          </cell>
          <cell r="D246" t="e">
            <v>#N/A</v>
          </cell>
          <cell r="F246" t="e">
            <v>#REF!</v>
          </cell>
          <cell r="G246" t="e">
            <v>#N/A</v>
          </cell>
          <cell r="K246" t="str">
            <v>FATURADO</v>
          </cell>
        </row>
        <row r="247">
          <cell r="A247" t="str">
            <v>1125-013222</v>
          </cell>
          <cell r="B247" t="str">
            <v>DP ITAIPAVA</v>
          </cell>
          <cell r="C247" t="e">
            <v>#N/A</v>
          </cell>
          <cell r="D247" t="e">
            <v>#N/A</v>
          </cell>
          <cell r="F247" t="e">
            <v>#REF!</v>
          </cell>
          <cell r="G247" t="str">
            <v>AMANDA</v>
          </cell>
          <cell r="K247" t="str">
            <v>FATURADO</v>
          </cell>
        </row>
        <row r="248">
          <cell r="A248" t="str">
            <v>0126-009978</v>
          </cell>
          <cell r="B248" t="str">
            <v>DP RIO BONITO</v>
          </cell>
          <cell r="C248" t="str">
            <v>As duas portas laterais não abrem, uma está quebrada a chave dentro do tambor e a outra não conseguiu abrir</v>
          </cell>
          <cell r="D248" t="str">
            <v>SERRALHERIA</v>
          </cell>
          <cell r="E248" t="str">
            <v>MAU USO - 01/2026</v>
          </cell>
          <cell r="F248" t="e">
            <v>#REF!</v>
          </cell>
          <cell r="G248" t="str">
            <v>AMANDA</v>
          </cell>
          <cell r="K248" t="str">
            <v>FATURADO</v>
          </cell>
        </row>
        <row r="249">
          <cell r="A249" t="str">
            <v>1125-017733</v>
          </cell>
          <cell r="B249" t="e">
            <v>#N/A</v>
          </cell>
          <cell r="C249" t="e">
            <v>#N/A</v>
          </cell>
          <cell r="D249" t="e">
            <v>#N/A</v>
          </cell>
          <cell r="F249" t="e">
            <v>#REF!</v>
          </cell>
          <cell r="G249" t="e">
            <v>#N/A</v>
          </cell>
          <cell r="K249" t="str">
            <v>FATURADO</v>
          </cell>
        </row>
        <row r="250">
          <cell r="A250" t="str">
            <v>1125-017209</v>
          </cell>
          <cell r="B250" t="str">
            <v>DP SÃO GONCALO 5</v>
          </cell>
          <cell r="C250" t="e">
            <v>#N/A</v>
          </cell>
          <cell r="D250" t="e">
            <v>#N/A</v>
          </cell>
          <cell r="F250" t="e">
            <v>#REF!</v>
          </cell>
          <cell r="G250" t="str">
            <v>AMANDA</v>
          </cell>
          <cell r="K250" t="str">
            <v>FATURADO</v>
          </cell>
        </row>
        <row r="251">
          <cell r="A251" t="str">
            <v>0126-013417</v>
          </cell>
          <cell r="B251" t="str">
            <v>DP URUGUAIANA</v>
          </cell>
          <cell r="C251" t="str">
            <v>Solicito urgência para a chave da porta principal a lateral a chave quebrou e estamos em inventário loja vai ficar em funcionamento na madrugada,preciso de suporte urgente</v>
          </cell>
          <cell r="D251" t="str">
            <v>SERRALHERIA</v>
          </cell>
          <cell r="E251" t="str">
            <v>MAU USO - 01/2026</v>
          </cell>
          <cell r="F251" t="e">
            <v>#REF!</v>
          </cell>
          <cell r="G251" t="str">
            <v>LEANDRO</v>
          </cell>
          <cell r="K251" t="str">
            <v>FATURADO</v>
          </cell>
        </row>
        <row r="252">
          <cell r="A252" t="str">
            <v>1125-013012</v>
          </cell>
          <cell r="B252" t="str">
            <v>DP ALCANTARA 5</v>
          </cell>
          <cell r="C252" t="e">
            <v>#N/A</v>
          </cell>
          <cell r="D252" t="e">
            <v>#N/A</v>
          </cell>
          <cell r="F252" t="e">
            <v>#REF!</v>
          </cell>
          <cell r="G252" t="str">
            <v>AMANDA</v>
          </cell>
          <cell r="K252" t="str">
            <v>FATURADO</v>
          </cell>
        </row>
        <row r="253">
          <cell r="A253" t="str">
            <v>1225-005057</v>
          </cell>
          <cell r="B253" t="e">
            <v>#N/A</v>
          </cell>
          <cell r="C253" t="e">
            <v>#N/A</v>
          </cell>
          <cell r="D253" t="e">
            <v>#N/A</v>
          </cell>
          <cell r="F253" t="e">
            <v>#REF!</v>
          </cell>
          <cell r="G253" t="e">
            <v>#N/A</v>
          </cell>
          <cell r="K253" t="str">
            <v>FATURADO</v>
          </cell>
        </row>
        <row r="254">
          <cell r="A254" t="str">
            <v>1125-015626</v>
          </cell>
          <cell r="B254" t="str">
            <v>DP IGUABA</v>
          </cell>
          <cell r="C254" t="str">
            <v>Boa noite!
 Solicito reparo na fechadura da porta da gerência pois não estamos conseguindo abrir a tranca.</v>
          </cell>
          <cell r="D254" t="str">
            <v>CIVIL</v>
          </cell>
          <cell r="F254" t="e">
            <v>#REF!</v>
          </cell>
          <cell r="G254" t="str">
            <v>LEANDRO</v>
          </cell>
          <cell r="K254" t="str">
            <v>FATURADO</v>
          </cell>
        </row>
        <row r="255">
          <cell r="A255" t="str">
            <v>1125-012360</v>
          </cell>
          <cell r="B255" t="e">
            <v>#N/A</v>
          </cell>
          <cell r="C255" t="e">
            <v>#N/A</v>
          </cell>
          <cell r="D255" t="e">
            <v>#N/A</v>
          </cell>
          <cell r="E255" t="str">
            <v>LIBERADO EM REUNIÃO 02/12/2026</v>
          </cell>
          <cell r="F255" t="e">
            <v>#REF!</v>
          </cell>
          <cell r="G255" t="e">
            <v>#N/A</v>
          </cell>
          <cell r="K255" t="str">
            <v>FATURADO</v>
          </cell>
        </row>
        <row r="256">
          <cell r="A256" t="str">
            <v>1125-011793</v>
          </cell>
          <cell r="B256" t="str">
            <v>DP RIO DAS OSTRAS</v>
          </cell>
          <cell r="C256" t="str">
            <v>Balanceamento de cargas do nobreak pois não está incluso iluminação nem CFTV e nenhum computador do balcão.</v>
          </cell>
          <cell r="D256" t="str">
            <v>NOBREAK</v>
          </cell>
          <cell r="F256" t="e">
            <v>#REF!</v>
          </cell>
          <cell r="G256" t="str">
            <v>LEANDRO</v>
          </cell>
          <cell r="K256" t="str">
            <v>FATURADO</v>
          </cell>
        </row>
        <row r="257">
          <cell r="A257" t="str">
            <v>1125-015959</v>
          </cell>
          <cell r="B257" t="str">
            <v>DP CABO FRIO 1</v>
          </cell>
          <cell r="C257" t="str">
            <v>Bom dia!
 Solicito Reparo nas paredes do PC, tem parede com buraco e manchas .
 Verificar fotos em anexos.
 Irany Lobato</v>
          </cell>
          <cell r="D257" t="str">
            <v>CIVIL</v>
          </cell>
          <cell r="E257" t="str">
            <v>LIBERADO POE JUAN  - 04/11/2028</v>
          </cell>
          <cell r="F257" t="e">
            <v>#REF!</v>
          </cell>
          <cell r="G257" t="str">
            <v>LEANDRO</v>
          </cell>
          <cell r="K257" t="str">
            <v>FATURADO</v>
          </cell>
        </row>
        <row r="258">
          <cell r="A258" t="str">
            <v>1225-012877</v>
          </cell>
          <cell r="B258" t="e">
            <v>#N/A</v>
          </cell>
          <cell r="C258" t="e">
            <v>#N/A</v>
          </cell>
          <cell r="D258" t="e">
            <v>#N/A</v>
          </cell>
          <cell r="F258" t="e">
            <v>#REF!</v>
          </cell>
          <cell r="G258" t="e">
            <v>#N/A</v>
          </cell>
          <cell r="K258" t="str">
            <v>FATURADO</v>
          </cell>
        </row>
        <row r="259">
          <cell r="A259" t="str">
            <v>0725-017533</v>
          </cell>
          <cell r="B259" t="e">
            <v>#N/A</v>
          </cell>
          <cell r="C259" t="e">
            <v>#N/A</v>
          </cell>
          <cell r="D259" t="e">
            <v>#N/A</v>
          </cell>
          <cell r="F259" t="e">
            <v>#REF!</v>
          </cell>
          <cell r="G259" t="e">
            <v>#N/A</v>
          </cell>
          <cell r="K259" t="str">
            <v>FATURADO</v>
          </cell>
        </row>
        <row r="260">
          <cell r="A260" t="str">
            <v>0925-014511</v>
          </cell>
          <cell r="B260" t="e">
            <v>#N/A</v>
          </cell>
          <cell r="C260" t="e">
            <v>#N/A</v>
          </cell>
          <cell r="D260" t="e">
            <v>#N/A</v>
          </cell>
          <cell r="E260">
            <v>45962</v>
          </cell>
          <cell r="F260" t="e">
            <v>#REF!</v>
          </cell>
          <cell r="G260" t="e">
            <v>#N/A</v>
          </cell>
          <cell r="H260" t="str">
            <v>MANFAC - 7</v>
          </cell>
          <cell r="K260" t="str">
            <v>FATURADO</v>
          </cell>
        </row>
        <row r="261">
          <cell r="A261" t="str">
            <v>1025-006894</v>
          </cell>
          <cell r="B261" t="e">
            <v>#N/A</v>
          </cell>
          <cell r="C261" t="e">
            <v>#N/A</v>
          </cell>
          <cell r="D261" t="e">
            <v>#N/A</v>
          </cell>
          <cell r="E261">
            <v>45964</v>
          </cell>
          <cell r="F261" t="e">
            <v>#REF!</v>
          </cell>
          <cell r="G261" t="e">
            <v>#N/A</v>
          </cell>
          <cell r="K261" t="str">
            <v>FATURADO</v>
          </cell>
        </row>
        <row r="262">
          <cell r="A262" t="str">
            <v>0825-013782</v>
          </cell>
          <cell r="B262" t="e">
            <v>#N/A</v>
          </cell>
          <cell r="C262" t="e">
            <v>#N/A</v>
          </cell>
          <cell r="D262" t="e">
            <v>#N/A</v>
          </cell>
          <cell r="E262" t="str">
            <v>LIBERADO POR LEANDRO - 22/09/2025</v>
          </cell>
          <cell r="F262" t="e">
            <v>#REF!</v>
          </cell>
          <cell r="G262" t="e">
            <v>#N/A</v>
          </cell>
          <cell r="K262" t="str">
            <v>FATURADO</v>
          </cell>
        </row>
        <row r="263">
          <cell r="A263" t="str">
            <v>1025-011877</v>
          </cell>
          <cell r="B263" t="e">
            <v>#N/A</v>
          </cell>
          <cell r="C263" t="e">
            <v>#N/A</v>
          </cell>
          <cell r="D263" t="e">
            <v>#N/A</v>
          </cell>
          <cell r="E263" t="str">
            <v>LIBERADO POR AMANDA - 18/10/2025</v>
          </cell>
          <cell r="F263" t="e">
            <v>#REF!</v>
          </cell>
          <cell r="G263" t="str">
            <v>AMANDA</v>
          </cell>
          <cell r="K263" t="str">
            <v>FATURADO</v>
          </cell>
        </row>
        <row r="264">
          <cell r="A264" t="str">
            <v>1025-011189</v>
          </cell>
          <cell r="B264" t="e">
            <v>#N/A</v>
          </cell>
          <cell r="C264" t="e">
            <v>#N/A</v>
          </cell>
          <cell r="D264" t="e">
            <v>#N/A</v>
          </cell>
          <cell r="E264" t="str">
            <v>LIBERADO POR LEANDRO - 16/10/2025</v>
          </cell>
          <cell r="F264" t="e">
            <v>#REF!</v>
          </cell>
          <cell r="G264" t="str">
            <v>AMANDA</v>
          </cell>
          <cell r="K264" t="str">
            <v>FATURADO</v>
          </cell>
        </row>
        <row r="265">
          <cell r="A265" t="str">
            <v>1225-006859</v>
          </cell>
          <cell r="B265" t="e">
            <v>#N/A</v>
          </cell>
          <cell r="C265" t="e">
            <v>#N/A</v>
          </cell>
          <cell r="D265" t="e">
            <v>#N/A</v>
          </cell>
          <cell r="F265" t="e">
            <v>#REF!</v>
          </cell>
          <cell r="G265" t="e">
            <v>#N/A</v>
          </cell>
          <cell r="K265" t="str">
            <v>FATURADO</v>
          </cell>
        </row>
        <row r="266">
          <cell r="A266" t="str">
            <v>0725-011715</v>
          </cell>
          <cell r="B266" t="e">
            <v>#N/A</v>
          </cell>
          <cell r="C266" t="e">
            <v>#N/A</v>
          </cell>
          <cell r="D266" t="e">
            <v>#N/A</v>
          </cell>
          <cell r="E266">
            <v>45966</v>
          </cell>
          <cell r="F266" t="e">
            <v>#REF!</v>
          </cell>
          <cell r="G266" t="e">
            <v>#N/A</v>
          </cell>
          <cell r="H266" t="str">
            <v>MANFAC - 12</v>
          </cell>
          <cell r="K266" t="str">
            <v>FATURADO</v>
          </cell>
        </row>
        <row r="267">
          <cell r="A267" t="str">
            <v>1225-006657</v>
          </cell>
          <cell r="B267" t="e">
            <v>#N/A</v>
          </cell>
          <cell r="C267" t="e">
            <v>#N/A</v>
          </cell>
          <cell r="D267" t="e">
            <v>#N/A</v>
          </cell>
          <cell r="F267" t="e">
            <v>#REF!</v>
          </cell>
          <cell r="G267" t="e">
            <v>#N/A</v>
          </cell>
          <cell r="K267" t="str">
            <v>FATURADO</v>
          </cell>
        </row>
        <row r="268">
          <cell r="A268" t="str">
            <v>1125-016931</v>
          </cell>
          <cell r="B268" t="e">
            <v>#N/A</v>
          </cell>
          <cell r="C268" t="e">
            <v>#N/A</v>
          </cell>
          <cell r="D268" t="e">
            <v>#N/A</v>
          </cell>
          <cell r="F268" t="e">
            <v>#REF!</v>
          </cell>
          <cell r="G268" t="e">
            <v>#N/A</v>
          </cell>
          <cell r="K268" t="str">
            <v>FATURADO</v>
          </cell>
        </row>
        <row r="269">
          <cell r="A269" t="str">
            <v>1225-005766</v>
          </cell>
          <cell r="B269" t="e">
            <v>#N/A</v>
          </cell>
          <cell r="C269" t="e">
            <v>#N/A</v>
          </cell>
          <cell r="D269" t="e">
            <v>#N/A</v>
          </cell>
          <cell r="F269" t="e">
            <v>#REF!</v>
          </cell>
          <cell r="G269" t="e">
            <v>#N/A</v>
          </cell>
          <cell r="K269" t="str">
            <v>FATURADO</v>
          </cell>
        </row>
        <row r="270">
          <cell r="A270" t="str">
            <v>1225-008135</v>
          </cell>
          <cell r="B270" t="e">
            <v>#N/A</v>
          </cell>
          <cell r="C270" t="e">
            <v>#N/A</v>
          </cell>
          <cell r="D270" t="e">
            <v>#N/A</v>
          </cell>
          <cell r="F270" t="e">
            <v>#REF!</v>
          </cell>
          <cell r="G270" t="e">
            <v>#N/A</v>
          </cell>
          <cell r="K270" t="str">
            <v>FATURADO</v>
          </cell>
        </row>
        <row r="271">
          <cell r="A271" t="str">
            <v>1225-005973</v>
          </cell>
          <cell r="B271" t="e">
            <v>#N/A</v>
          </cell>
          <cell r="C271" t="e">
            <v>#N/A</v>
          </cell>
          <cell r="D271" t="e">
            <v>#N/A</v>
          </cell>
          <cell r="F271" t="e">
            <v>#REF!</v>
          </cell>
          <cell r="G271" t="e">
            <v>#N/A</v>
          </cell>
          <cell r="K271" t="str">
            <v>FATURADO</v>
          </cell>
        </row>
        <row r="272">
          <cell r="A272" t="str">
            <v>1125-016237</v>
          </cell>
          <cell r="B272" t="str">
            <v>DP ITAPERUNA</v>
          </cell>
          <cell r="C272" t="str">
            <v>Escopo Base - Adequação Elétrica para Nobreak 6kva-Itens que serão alimentados pelo quadro de emergência: 100% dos computadores da loja e dispositivos de TI (impressoras, tira teima, ponto eletrônico e servidor), geladeira de medicamento, câmeras + rack/servidor de CFTV e Parte da iluminação (definir com analista a quantidade de luminárias)-Remanejamento de circuitos para quadro de emergência com chave reversora que será alimentado pelo nobreak-Instalação de quadro bypass -Instalação e Balanceamento de cargas no quadro bypass e emergência-Verificar se as geladeiras, Kibon, Redbull estão no mesmo circuito do caixa.. caso contrário, criar um circuito independente</v>
          </cell>
          <cell r="D272" t="str">
            <v>CAPEX</v>
          </cell>
          <cell r="F272" t="e">
            <v>#REF!</v>
          </cell>
          <cell r="G272" t="str">
            <v>LEANDRO</v>
          </cell>
          <cell r="I272" t="str">
            <v>MANFAC REFORMAS</v>
          </cell>
          <cell r="K272" t="str">
            <v>FATURADO</v>
          </cell>
        </row>
        <row r="273">
          <cell r="A273" t="str">
            <v>1225-005216</v>
          </cell>
          <cell r="B273" t="e">
            <v>#N/A</v>
          </cell>
          <cell r="C273" t="e">
            <v>#N/A</v>
          </cell>
          <cell r="D273" t="e">
            <v>#N/A</v>
          </cell>
          <cell r="F273" t="e">
            <v>#REF!</v>
          </cell>
          <cell r="G273" t="e">
            <v>#N/A</v>
          </cell>
          <cell r="H273" t="str">
            <v>MANFAC 3</v>
          </cell>
          <cell r="I273" t="str">
            <v>MANFAC REFORMAS</v>
          </cell>
          <cell r="K273" t="str">
            <v>FATURADO</v>
          </cell>
        </row>
        <row r="274">
          <cell r="A274" t="str">
            <v>1225-009359</v>
          </cell>
          <cell r="B274" t="e">
            <v>#N/A</v>
          </cell>
          <cell r="C274" t="e">
            <v>#N/A</v>
          </cell>
          <cell r="D274" t="e">
            <v>#N/A</v>
          </cell>
          <cell r="F274" t="e">
            <v>#REF!</v>
          </cell>
          <cell r="G274" t="e">
            <v>#N/A</v>
          </cell>
          <cell r="K274" t="str">
            <v>FATURADO</v>
          </cell>
        </row>
        <row r="275">
          <cell r="A275" t="str">
            <v>1225-005248</v>
          </cell>
          <cell r="B275" t="e">
            <v>#N/A</v>
          </cell>
          <cell r="C275" t="e">
            <v>#N/A</v>
          </cell>
          <cell r="D275" t="e">
            <v>#N/A</v>
          </cell>
          <cell r="F275" t="e">
            <v>#REF!</v>
          </cell>
          <cell r="G275" t="e">
            <v>#N/A</v>
          </cell>
          <cell r="H275" t="str">
            <v>MANFAC 1</v>
          </cell>
          <cell r="I275" t="str">
            <v>MANFAC REFORMAS</v>
          </cell>
          <cell r="K275" t="str">
            <v>FATURADO</v>
          </cell>
        </row>
        <row r="276">
          <cell r="A276" t="str">
            <v>1225-005229</v>
          </cell>
          <cell r="B276" t="e">
            <v>#N/A</v>
          </cell>
          <cell r="C276" t="e">
            <v>#N/A</v>
          </cell>
          <cell r="D276" t="e">
            <v>#N/A</v>
          </cell>
          <cell r="F276" t="e">
            <v>#REF!</v>
          </cell>
          <cell r="G276" t="e">
            <v>#N/A</v>
          </cell>
          <cell r="H276" t="str">
            <v>MANFAC 1</v>
          </cell>
          <cell r="I276" t="str">
            <v>MANFAC REFORMAS</v>
          </cell>
          <cell r="K276" t="str">
            <v>FATURADO</v>
          </cell>
        </row>
        <row r="277">
          <cell r="A277" t="str">
            <v>1225-004364</v>
          </cell>
          <cell r="B277" t="e">
            <v>#N/A</v>
          </cell>
          <cell r="C277" t="e">
            <v>#N/A</v>
          </cell>
          <cell r="D277" t="e">
            <v>#N/A</v>
          </cell>
          <cell r="F277" t="e">
            <v>#REF!</v>
          </cell>
          <cell r="G277" t="e">
            <v>#N/A</v>
          </cell>
          <cell r="H277" t="str">
            <v>MANFAC 4</v>
          </cell>
          <cell r="I277" t="str">
            <v>MANFAC REFORMAS</v>
          </cell>
          <cell r="K277" t="str">
            <v>FATURADO</v>
          </cell>
        </row>
        <row r="278">
          <cell r="A278" t="str">
            <v>1225-005778</v>
          </cell>
          <cell r="B278" t="e">
            <v>#N/A</v>
          </cell>
          <cell r="C278" t="e">
            <v>#N/A</v>
          </cell>
          <cell r="D278" t="e">
            <v>#N/A</v>
          </cell>
          <cell r="F278" t="e">
            <v>#REF!</v>
          </cell>
          <cell r="G278" t="e">
            <v>#N/A</v>
          </cell>
          <cell r="I278" t="str">
            <v>MANFAC REFORMAS</v>
          </cell>
          <cell r="K278" t="str">
            <v>FATURADO</v>
          </cell>
        </row>
        <row r="279">
          <cell r="A279" t="str">
            <v>0924-012941</v>
          </cell>
          <cell r="B279" t="e">
            <v>#N/A</v>
          </cell>
          <cell r="C279" t="e">
            <v>#N/A</v>
          </cell>
          <cell r="D279" t="e">
            <v>#N/A</v>
          </cell>
          <cell r="F279" t="e">
            <v>#REF!</v>
          </cell>
          <cell r="G279" t="e">
            <v>#N/A</v>
          </cell>
          <cell r="H279" t="str">
            <v>MANFAC - 7</v>
          </cell>
          <cell r="K279" t="str">
            <v>CANCELADO</v>
          </cell>
        </row>
        <row r="280">
          <cell r="A280" t="str">
            <v>1225-007112</v>
          </cell>
          <cell r="B280" t="e">
            <v>#N/A</v>
          </cell>
          <cell r="C280" t="e">
            <v>#N/A</v>
          </cell>
          <cell r="D280" t="e">
            <v>#N/A</v>
          </cell>
          <cell r="F280" t="e">
            <v>#REF!</v>
          </cell>
          <cell r="G280" t="e">
            <v>#N/A</v>
          </cell>
          <cell r="I280" t="str">
            <v>MANFAC REFORMAS</v>
          </cell>
          <cell r="K280" t="str">
            <v>FATURADO</v>
          </cell>
        </row>
        <row r="281">
          <cell r="A281" t="str">
            <v>1225-005257</v>
          </cell>
          <cell r="B281" t="e">
            <v>#N/A</v>
          </cell>
          <cell r="C281" t="e">
            <v>#N/A</v>
          </cell>
          <cell r="D281" t="e">
            <v>#N/A</v>
          </cell>
          <cell r="F281" t="e">
            <v>#REF!</v>
          </cell>
          <cell r="G281" t="e">
            <v>#N/A</v>
          </cell>
          <cell r="H281" t="str">
            <v>MANFAC 3</v>
          </cell>
          <cell r="I281" t="str">
            <v>MANFAC REFORMAS</v>
          </cell>
          <cell r="K281" t="str">
            <v>FATURADO</v>
          </cell>
        </row>
        <row r="282">
          <cell r="A282" t="str">
            <v>1225-005261</v>
          </cell>
          <cell r="B282" t="e">
            <v>#N/A</v>
          </cell>
          <cell r="C282" t="e">
            <v>#N/A</v>
          </cell>
          <cell r="D282" t="e">
            <v>#N/A</v>
          </cell>
          <cell r="F282" t="e">
            <v>#REF!</v>
          </cell>
          <cell r="G282" t="e">
            <v>#N/A</v>
          </cell>
          <cell r="H282" t="str">
            <v>MANFAC 1</v>
          </cell>
          <cell r="I282" t="str">
            <v>MANFAC REFORMAS</v>
          </cell>
          <cell r="K282" t="str">
            <v>FATURADO</v>
          </cell>
        </row>
        <row r="283">
          <cell r="A283" t="str">
            <v>1225-005260</v>
          </cell>
          <cell r="B283" t="e">
            <v>#N/A</v>
          </cell>
          <cell r="C283" t="e">
            <v>#N/A</v>
          </cell>
          <cell r="D283" t="e">
            <v>#N/A</v>
          </cell>
          <cell r="F283" t="e">
            <v>#REF!</v>
          </cell>
          <cell r="G283" t="e">
            <v>#N/A</v>
          </cell>
          <cell r="H283" t="str">
            <v>MANFAC 3</v>
          </cell>
          <cell r="I283" t="str">
            <v>MANFAC REFORMAS</v>
          </cell>
          <cell r="K283" t="str">
            <v>FATURADO</v>
          </cell>
        </row>
        <row r="284">
          <cell r="A284" t="str">
            <v>1225-004361</v>
          </cell>
          <cell r="B284" t="e">
            <v>#N/A</v>
          </cell>
          <cell r="C284" t="e">
            <v>#N/A</v>
          </cell>
          <cell r="D284" t="e">
            <v>#N/A</v>
          </cell>
          <cell r="F284" t="e">
            <v>#REF!</v>
          </cell>
          <cell r="G284" t="e">
            <v>#N/A</v>
          </cell>
          <cell r="H284" t="str">
            <v>MANFAC 4</v>
          </cell>
          <cell r="I284" t="str">
            <v>MANFAC REFORMAS</v>
          </cell>
          <cell r="K284" t="str">
            <v>FATURADO</v>
          </cell>
        </row>
        <row r="285">
          <cell r="A285" t="str">
            <v>1225-004355</v>
          </cell>
          <cell r="B285" t="e">
            <v>#N/A</v>
          </cell>
          <cell r="C285" t="e">
            <v>#N/A</v>
          </cell>
          <cell r="D285" t="e">
            <v>#N/A</v>
          </cell>
          <cell r="F285" t="e">
            <v>#REF!</v>
          </cell>
          <cell r="G285" t="e">
            <v>#N/A</v>
          </cell>
          <cell r="H285" t="str">
            <v>MANFAC 4</v>
          </cell>
          <cell r="I285" t="str">
            <v>MANFAC REFORMAS</v>
          </cell>
          <cell r="K285" t="str">
            <v>FATURADO</v>
          </cell>
        </row>
        <row r="286">
          <cell r="A286" t="str">
            <v>1025-014434</v>
          </cell>
          <cell r="B286" t="str">
            <v>DP RIO DAS OSTRAS 2</v>
          </cell>
          <cell r="C286" t="str">
            <v>Solicito reparo na marquise que está com infiltração, pintura danificada, tendo até plantas nascendo na estrutura</v>
          </cell>
          <cell r="D286" t="str">
            <v>CIVIL</v>
          </cell>
          <cell r="F286" t="e">
            <v>#REF!</v>
          </cell>
          <cell r="G286" t="str">
            <v>LEANDRO</v>
          </cell>
          <cell r="H286" t="str">
            <v>MANFAC 4</v>
          </cell>
          <cell r="K286" t="str">
            <v>FATURADO</v>
          </cell>
        </row>
        <row r="287">
          <cell r="A287" t="str">
            <v>1225-005243</v>
          </cell>
          <cell r="B287" t="e">
            <v>#N/A</v>
          </cell>
          <cell r="C287" t="e">
            <v>#N/A</v>
          </cell>
          <cell r="D287" t="e">
            <v>#N/A</v>
          </cell>
          <cell r="F287" t="e">
            <v>#REF!</v>
          </cell>
          <cell r="G287" t="e">
            <v>#N/A</v>
          </cell>
          <cell r="H287" t="str">
            <v>MANFAC 1</v>
          </cell>
          <cell r="I287" t="str">
            <v>MANFAC REFORMAS</v>
          </cell>
          <cell r="K287" t="str">
            <v>FATURADO</v>
          </cell>
        </row>
        <row r="288">
          <cell r="A288" t="str">
            <v>1225-009407</v>
          </cell>
          <cell r="B288" t="e">
            <v>#N/A</v>
          </cell>
          <cell r="C288" t="e">
            <v>#N/A</v>
          </cell>
          <cell r="D288" t="e">
            <v>#N/A</v>
          </cell>
          <cell r="F288" t="e">
            <v>#REF!</v>
          </cell>
          <cell r="G288" t="e">
            <v>#N/A</v>
          </cell>
          <cell r="K288" t="str">
            <v>FATURADO</v>
          </cell>
        </row>
        <row r="289">
          <cell r="A289" t="str">
            <v>0625-009847</v>
          </cell>
          <cell r="B289" t="e">
            <v>#N/A</v>
          </cell>
          <cell r="C289" t="e">
            <v>#N/A</v>
          </cell>
          <cell r="D289" t="e">
            <v>#N/A</v>
          </cell>
          <cell r="E289" t="str">
            <v>LIBERADO POR AMANDA - 01/12/2025</v>
          </cell>
          <cell r="F289" t="e">
            <v>#REF!</v>
          </cell>
          <cell r="G289" t="e">
            <v>#N/A</v>
          </cell>
          <cell r="H289" t="str">
            <v>PARCEIRO</v>
          </cell>
          <cell r="K289" t="str">
            <v>FATURADO</v>
          </cell>
        </row>
        <row r="290">
          <cell r="A290" t="str">
            <v>1025-016464</v>
          </cell>
          <cell r="B290" t="e">
            <v>#N/A</v>
          </cell>
          <cell r="C290" t="e">
            <v>#N/A</v>
          </cell>
          <cell r="D290" t="e">
            <v>#N/A</v>
          </cell>
          <cell r="E290" t="str">
            <v xml:space="preserve">LIBERADO EM REUNIÃO - 11/11 </v>
          </cell>
          <cell r="F290" t="e">
            <v>#REF!</v>
          </cell>
          <cell r="G290" t="e">
            <v>#N/A</v>
          </cell>
          <cell r="K290" t="str">
            <v>FATURADO</v>
          </cell>
        </row>
        <row r="291">
          <cell r="A291" t="str">
            <v>1225-005219</v>
          </cell>
          <cell r="B291" t="e">
            <v>#N/A</v>
          </cell>
          <cell r="C291" t="e">
            <v>#N/A</v>
          </cell>
          <cell r="D291" t="e">
            <v>#N/A</v>
          </cell>
          <cell r="F291" t="e">
            <v>#REF!</v>
          </cell>
          <cell r="G291" t="e">
            <v>#N/A</v>
          </cell>
          <cell r="H291" t="str">
            <v>MANFAC 3</v>
          </cell>
          <cell r="K291" t="str">
            <v>FATURADO</v>
          </cell>
        </row>
        <row r="292">
          <cell r="A292" t="str">
            <v>0925-010244</v>
          </cell>
          <cell r="B292" t="str">
            <v>DP RIO DAS OSTRAS</v>
          </cell>
          <cell r="C292" t="str">
            <v>Bom dia! Forro danificado, com isso deixando fios pendurados na entrada da loja..</v>
          </cell>
          <cell r="D292" t="str">
            <v>CIVIL</v>
          </cell>
          <cell r="F292" t="e">
            <v>#REF!</v>
          </cell>
          <cell r="G292" t="str">
            <v>LEANDRO</v>
          </cell>
          <cell r="H292" t="str">
            <v>MANFAC 4</v>
          </cell>
          <cell r="K292" t="str">
            <v>FATURADO</v>
          </cell>
        </row>
        <row r="293">
          <cell r="A293" t="str">
            <v>1125-017926</v>
          </cell>
          <cell r="B293" t="e">
            <v>#N/A</v>
          </cell>
          <cell r="C293" t="e">
            <v>#N/A</v>
          </cell>
          <cell r="D293" t="e">
            <v>#N/A</v>
          </cell>
          <cell r="F293" t="e">
            <v>#REF!</v>
          </cell>
          <cell r="G293" t="e">
            <v>#N/A</v>
          </cell>
          <cell r="K293" t="str">
            <v>FATURADO</v>
          </cell>
        </row>
        <row r="294">
          <cell r="A294" t="str">
            <v>1025-016961</v>
          </cell>
          <cell r="B294" t="str">
            <v>DSP BARCAS</v>
          </cell>
          <cell r="C294" t="str">
            <v>Precisamos de um ferro para essa porta, para podermos fechar a loja quando necessário</v>
          </cell>
          <cell r="D294" t="str">
            <v>SERRALHERIA</v>
          </cell>
          <cell r="E294" t="str">
            <v xml:space="preserve">LIBERADO EM REUNIÃO - 11/11 </v>
          </cell>
          <cell r="F294" t="e">
            <v>#REF!</v>
          </cell>
          <cell r="G294" t="str">
            <v>AMANDA</v>
          </cell>
          <cell r="H294" t="str">
            <v>MANFAC 7</v>
          </cell>
          <cell r="K294" t="str">
            <v>FATURADO</v>
          </cell>
        </row>
        <row r="295">
          <cell r="A295" t="str">
            <v>1125-009646</v>
          </cell>
          <cell r="B295" t="e">
            <v>#N/A</v>
          </cell>
          <cell r="C295" t="e">
            <v>#N/A</v>
          </cell>
          <cell r="D295" t="e">
            <v>#N/A</v>
          </cell>
          <cell r="F295" t="e">
            <v>#REF!</v>
          </cell>
          <cell r="G295" t="e">
            <v>#N/A</v>
          </cell>
          <cell r="K295" t="str">
            <v>FATURADO</v>
          </cell>
        </row>
        <row r="296">
          <cell r="A296" t="str">
            <v>0126-008811</v>
          </cell>
          <cell r="B296" t="str">
            <v>DP LUCIO COSTA</v>
          </cell>
          <cell r="C296" t="str">
            <v>Bom Dia! Solicito um carro pipa, a loja estar sem água.
 obrigado.</v>
          </cell>
          <cell r="D296" t="str">
            <v>HIDRAULICA</v>
          </cell>
          <cell r="E296" t="str">
            <v>LIBERADO POR AMANDA - 02/01/2026</v>
          </cell>
          <cell r="F296" t="e">
            <v>#REF!</v>
          </cell>
          <cell r="G296" t="str">
            <v>JUAN</v>
          </cell>
          <cell r="K296" t="str">
            <v>FATURADO</v>
          </cell>
        </row>
        <row r="297">
          <cell r="A297" t="str">
            <v>1125-017406</v>
          </cell>
          <cell r="B297" t="e">
            <v>#N/A</v>
          </cell>
          <cell r="C297" t="e">
            <v>#N/A</v>
          </cell>
          <cell r="D297" t="e">
            <v>#N/A</v>
          </cell>
          <cell r="E297" t="str">
            <v>LIBERADO POR LEANDRO - 27/11/2025</v>
          </cell>
          <cell r="F297" t="e">
            <v>#REF!</v>
          </cell>
          <cell r="G297" t="e">
            <v>#N/A</v>
          </cell>
          <cell r="K297" t="str">
            <v>FATURADO</v>
          </cell>
        </row>
        <row r="298">
          <cell r="A298" t="str">
            <v>0825-008852</v>
          </cell>
          <cell r="B298" t="str">
            <v>DP BARRA DA TIJUCA 7</v>
          </cell>
          <cell r="C298" t="str">
            <v>Solicito a limpeza da marquise da entrada de loja bem como a da entrada pro lado do estacionamento</v>
          </cell>
          <cell r="D298" t="str">
            <v>CIVIL</v>
          </cell>
          <cell r="E298" t="str">
            <v>VISITA</v>
          </cell>
          <cell r="F298" t="e">
            <v>#REF!</v>
          </cell>
          <cell r="G298" t="str">
            <v>LEANDRO</v>
          </cell>
          <cell r="K298" t="str">
            <v>FATURADO</v>
          </cell>
        </row>
        <row r="299">
          <cell r="A299" t="str">
            <v>1125-010967</v>
          </cell>
          <cell r="B299" t="str">
            <v>DP RIO DAS OSTRAS 3</v>
          </cell>
          <cell r="C299" t="str">
            <v>forro danificado na entrada do balcão</v>
          </cell>
          <cell r="D299" t="str">
            <v>CIVIL</v>
          </cell>
          <cell r="F299" t="e">
            <v>#REF!</v>
          </cell>
          <cell r="G299" t="str">
            <v>LEANDRO</v>
          </cell>
          <cell r="H299" t="str">
            <v>MANFAC 4</v>
          </cell>
          <cell r="K299" t="str">
            <v>FATURADO</v>
          </cell>
        </row>
        <row r="300">
          <cell r="A300" t="str">
            <v>1225-007802</v>
          </cell>
          <cell r="B300" t="e">
            <v>#N/A</v>
          </cell>
          <cell r="C300" t="e">
            <v>#N/A</v>
          </cell>
          <cell r="D300" t="e">
            <v>#N/A</v>
          </cell>
          <cell r="E300" t="str">
            <v>LIBERADO POR CLAUDIO - 30/12/2025</v>
          </cell>
          <cell r="F300" t="e">
            <v>#REF!</v>
          </cell>
          <cell r="G300" t="e">
            <v>#N/A</v>
          </cell>
          <cell r="K300" t="str">
            <v>FATURADO</v>
          </cell>
        </row>
        <row r="301">
          <cell r="A301" t="str">
            <v>0126-013192</v>
          </cell>
          <cell r="B301" t="str">
            <v>DP LEBLON 3</v>
          </cell>
          <cell r="C301" t="str">
            <v>solicito pintura da cortina de ar.</v>
          </cell>
          <cell r="D301" t="str">
            <v>CIVIL</v>
          </cell>
          <cell r="F301" t="e">
            <v>#REF!</v>
          </cell>
          <cell r="G301" t="str">
            <v>LEANDRO</v>
          </cell>
          <cell r="K301" t="str">
            <v>FATURADO</v>
          </cell>
        </row>
        <row r="302">
          <cell r="A302" t="str">
            <v>1025-010650</v>
          </cell>
          <cell r="B302" t="e">
            <v>#N/A</v>
          </cell>
          <cell r="C302" t="e">
            <v>#N/A</v>
          </cell>
          <cell r="D302" t="e">
            <v>#N/A</v>
          </cell>
          <cell r="E302" t="str">
            <v>FINALIZAÇÃO DIA 09/01</v>
          </cell>
          <cell r="F302" t="e">
            <v>#REF!</v>
          </cell>
          <cell r="G302" t="e">
            <v>#N/A</v>
          </cell>
          <cell r="H302" t="str">
            <v>RODRIGO</v>
          </cell>
          <cell r="K302" t="str">
            <v>FATURADO</v>
          </cell>
        </row>
        <row r="303">
          <cell r="A303" t="str">
            <v>1125-016288</v>
          </cell>
          <cell r="B303" t="str">
            <v>DP RECREIO 1</v>
          </cell>
          <cell r="C303" t="str">
            <v>Vazamento no estoque, muita agua descendo pela luminária.
 Videos e fotos em anexo</v>
          </cell>
          <cell r="D303" t="str">
            <v>TELHADO</v>
          </cell>
          <cell r="E303" t="str">
            <v xml:space="preserve">FINALIZA 05/12 </v>
          </cell>
          <cell r="F303" t="e">
            <v>#REF!</v>
          </cell>
          <cell r="G303" t="str">
            <v>JUAN</v>
          </cell>
          <cell r="H303" t="str">
            <v>GABRIEL</v>
          </cell>
          <cell r="K303" t="str">
            <v>FATURADO</v>
          </cell>
        </row>
        <row r="304">
          <cell r="A304" t="str">
            <v>1125-015043</v>
          </cell>
          <cell r="B304" t="str">
            <v>DP RECREIO 7</v>
          </cell>
          <cell r="C304" t="str">
            <v>Boa tarde! Solicito reforço das telas em aço que protegem as grades das janelas que dão acesso a loja pelo estacionamento da filial.</v>
          </cell>
          <cell r="D304" t="str">
            <v>SERRALHERIA</v>
          </cell>
          <cell r="E304" t="str">
            <v xml:space="preserve">FINALIZA 02/12 </v>
          </cell>
          <cell r="F304" t="e">
            <v>#REF!</v>
          </cell>
          <cell r="G304" t="str">
            <v>JUAN</v>
          </cell>
          <cell r="K304" t="str">
            <v>FATURADO</v>
          </cell>
        </row>
        <row r="305">
          <cell r="A305" t="str">
            <v>1025-010658</v>
          </cell>
          <cell r="B305" t="e">
            <v>#N/A</v>
          </cell>
          <cell r="C305" t="e">
            <v>#N/A</v>
          </cell>
          <cell r="D305" t="e">
            <v>#N/A</v>
          </cell>
          <cell r="E305" t="str">
            <v>LIBERADO EM REUNIÃO - 23/10 - LEVANTAR O MATERIAL</v>
          </cell>
          <cell r="F305" t="e">
            <v>#REF!</v>
          </cell>
          <cell r="G305" t="e">
            <v>#N/A</v>
          </cell>
          <cell r="K305" t="str">
            <v>FATURADO</v>
          </cell>
        </row>
        <row r="306">
          <cell r="A306" t="str">
            <v>1225-003833</v>
          </cell>
          <cell r="B306" t="e">
            <v>#N/A</v>
          </cell>
          <cell r="C306" t="e">
            <v>#N/A</v>
          </cell>
          <cell r="D306" t="e">
            <v>#N/A</v>
          </cell>
          <cell r="E306" t="str">
            <v>LIBERADO POR LEANDRO - 01/12/2025</v>
          </cell>
          <cell r="F306" t="e">
            <v>#REF!</v>
          </cell>
          <cell r="G306" t="e">
            <v>#N/A</v>
          </cell>
          <cell r="H306" t="str">
            <v>manfac 5</v>
          </cell>
          <cell r="K306" t="str">
            <v>FATURADO</v>
          </cell>
        </row>
        <row r="307">
          <cell r="A307" t="str">
            <v>1225-006341</v>
          </cell>
          <cell r="B307" t="e">
            <v>#N/A</v>
          </cell>
          <cell r="C307" t="e">
            <v>#N/A</v>
          </cell>
          <cell r="D307" t="e">
            <v>#N/A</v>
          </cell>
          <cell r="E307" t="str">
            <v>LIBERADO POR JUAN - 18/12/2025</v>
          </cell>
          <cell r="F307" t="e">
            <v>#REF!</v>
          </cell>
          <cell r="G307" t="e">
            <v>#N/A</v>
          </cell>
          <cell r="K307" t="str">
            <v>FATURADO</v>
          </cell>
        </row>
        <row r="308">
          <cell r="A308" t="str">
            <v>1225-013908</v>
          </cell>
          <cell r="B308" t="e">
            <v>#N/A</v>
          </cell>
          <cell r="C308" t="e">
            <v>#N/A</v>
          </cell>
          <cell r="D308" t="e">
            <v>#N/A</v>
          </cell>
          <cell r="F308" t="e">
            <v>#REF!</v>
          </cell>
          <cell r="G308" t="e">
            <v>#N/A</v>
          </cell>
          <cell r="K308" t="str">
            <v>FATURADO</v>
          </cell>
        </row>
        <row r="309">
          <cell r="A309" t="str">
            <v>1125-017906</v>
          </cell>
          <cell r="B309" t="e">
            <v>#N/A</v>
          </cell>
          <cell r="C309" t="e">
            <v>#N/A</v>
          </cell>
          <cell r="D309" t="e">
            <v>#N/A</v>
          </cell>
          <cell r="E309" t="str">
            <v>LIBERADO POR LEANDRO - 01/12/2025</v>
          </cell>
          <cell r="F309" t="e">
            <v>#REF!</v>
          </cell>
          <cell r="G309" t="e">
            <v>#N/A</v>
          </cell>
          <cell r="K309" t="str">
            <v>FATURADO</v>
          </cell>
        </row>
        <row r="310">
          <cell r="A310" t="str">
            <v>1225-010766</v>
          </cell>
          <cell r="B310" t="e">
            <v>#N/A</v>
          </cell>
          <cell r="C310" t="e">
            <v>#N/A</v>
          </cell>
          <cell r="D310" t="e">
            <v>#N/A</v>
          </cell>
          <cell r="F310" t="e">
            <v>#REF!</v>
          </cell>
          <cell r="G310" t="e">
            <v>#N/A</v>
          </cell>
          <cell r="K310" t="str">
            <v>FATURADO</v>
          </cell>
        </row>
        <row r="311">
          <cell r="A311" t="str">
            <v>1125-017210</v>
          </cell>
          <cell r="B311" t="e">
            <v>#N/A</v>
          </cell>
          <cell r="C311" t="e">
            <v>#N/A</v>
          </cell>
          <cell r="D311" t="e">
            <v>#N/A</v>
          </cell>
          <cell r="E311" t="str">
            <v>LIBERADO POR LEANDRO EM - 08/12/2025</v>
          </cell>
          <cell r="F311" t="e">
            <v>#REF!</v>
          </cell>
          <cell r="G311" t="e">
            <v>#N/A</v>
          </cell>
          <cell r="K311" t="str">
            <v>FATURADO</v>
          </cell>
        </row>
        <row r="312">
          <cell r="A312" t="str">
            <v>1225-007005</v>
          </cell>
          <cell r="B312" t="e">
            <v>#N/A</v>
          </cell>
          <cell r="C312" t="e">
            <v>#N/A</v>
          </cell>
          <cell r="D312" t="e">
            <v>#N/A</v>
          </cell>
          <cell r="E312" t="str">
            <v>LIBERADO POR LEANDRO - 19/12/2025</v>
          </cell>
          <cell r="F312" t="e">
            <v>#REF!</v>
          </cell>
          <cell r="G312" t="e">
            <v>#N/A</v>
          </cell>
          <cell r="K312" t="str">
            <v>FATURADO</v>
          </cell>
        </row>
        <row r="313">
          <cell r="A313" t="str">
            <v>1225-012493</v>
          </cell>
          <cell r="B313" t="str">
            <v>DP BOTAFOGO 6</v>
          </cell>
          <cell r="C313" t="str">
            <v>Solicito a retirada do painel atrás dos caixas e a instalação do mobiliário que precisaremos pegar a Recreio 8.</v>
          </cell>
          <cell r="D313" t="str">
            <v>CIVIL</v>
          </cell>
          <cell r="E313" t="str">
            <v>LIBERADO POR LEANDRO - 18/12/2025</v>
          </cell>
          <cell r="F313" t="e">
            <v>#REF!</v>
          </cell>
          <cell r="G313" t="str">
            <v>LEANDRO</v>
          </cell>
          <cell r="K313" t="str">
            <v>FATURADO</v>
          </cell>
        </row>
        <row r="314">
          <cell r="A314" t="str">
            <v>0126-009288</v>
          </cell>
          <cell r="B314" t="str">
            <v>DP BARRA DE SAO JOAO</v>
          </cell>
          <cell r="C314" t="str">
            <v>Bom dia bomba da caixa d'água não funcionando. Não sabemos se é disjuntor ou bomba que ficou ruim. Atualmente estamos sem água</v>
          </cell>
          <cell r="D314" t="str">
            <v>HIDRAULICA</v>
          </cell>
          <cell r="E314" t="str">
            <v>LIBERADO POR JUAN - 06/01/2026</v>
          </cell>
          <cell r="F314" t="e">
            <v>#REF!</v>
          </cell>
          <cell r="G314" t="str">
            <v>LEANDRO</v>
          </cell>
          <cell r="K314" t="str">
            <v>FATURADO</v>
          </cell>
        </row>
        <row r="315">
          <cell r="A315" t="str">
            <v>1225-006422</v>
          </cell>
          <cell r="B315" t="e">
            <v>#N/A</v>
          </cell>
          <cell r="C315" t="e">
            <v>#N/A</v>
          </cell>
          <cell r="D315" t="e">
            <v>#N/A</v>
          </cell>
          <cell r="E315" t="str">
            <v>LIBERADO POR JUAN - EM 07/12/2025</v>
          </cell>
          <cell r="F315" t="e">
            <v>#REF!</v>
          </cell>
          <cell r="G315" t="e">
            <v>#N/A</v>
          </cell>
          <cell r="K315" t="str">
            <v>FATURADO</v>
          </cell>
        </row>
        <row r="316">
          <cell r="A316" t="str">
            <v>1025-007022</v>
          </cell>
          <cell r="B316" t="e">
            <v>#N/A</v>
          </cell>
          <cell r="C316" t="e">
            <v>#N/A</v>
          </cell>
          <cell r="D316" t="e">
            <v>#N/A</v>
          </cell>
          <cell r="F316" t="e">
            <v>#REF!</v>
          </cell>
          <cell r="G316" t="str">
            <v>LEANDRO</v>
          </cell>
          <cell r="K316" t="str">
            <v>FATURADO</v>
          </cell>
        </row>
        <row r="317">
          <cell r="A317" t="str">
            <v>1125-017884</v>
          </cell>
          <cell r="B317" t="str">
            <v>DP FLAMENGO 2</v>
          </cell>
          <cell r="C317" t="e">
            <v>#N/A</v>
          </cell>
          <cell r="D317" t="e">
            <v>#N/A</v>
          </cell>
          <cell r="E317" t="str">
            <v>LIBERADO POR LEANDRO - 27/11/2025</v>
          </cell>
          <cell r="F317">
            <v>2225.1999999999998</v>
          </cell>
          <cell r="G317" t="str">
            <v>LEANDRO</v>
          </cell>
          <cell r="K317" t="str">
            <v>FATURADO</v>
          </cell>
        </row>
        <row r="318">
          <cell r="A318" t="str">
            <v>0825-005779</v>
          </cell>
          <cell r="B318" t="e">
            <v>#N/A</v>
          </cell>
          <cell r="C318" t="e">
            <v>#N/A</v>
          </cell>
          <cell r="D318" t="e">
            <v>#N/A</v>
          </cell>
          <cell r="F318" t="e">
            <v>#REF!</v>
          </cell>
          <cell r="G318" t="e">
            <v>#N/A</v>
          </cell>
          <cell r="K318" t="str">
            <v>FATURADO</v>
          </cell>
        </row>
        <row r="319">
          <cell r="A319" t="str">
            <v>1025-011183</v>
          </cell>
          <cell r="B319" t="e">
            <v>#N/A</v>
          </cell>
          <cell r="C319" t="e">
            <v>#N/A</v>
          </cell>
          <cell r="D319" t="e">
            <v>#N/A</v>
          </cell>
          <cell r="F319" t="e">
            <v>#REF!</v>
          </cell>
          <cell r="G319" t="e">
            <v>#N/A</v>
          </cell>
          <cell r="K319" t="str">
            <v>FATURADO</v>
          </cell>
        </row>
        <row r="320">
          <cell r="A320" t="str">
            <v>1225-006484</v>
          </cell>
          <cell r="B320" t="e">
            <v>#N/A</v>
          </cell>
          <cell r="C320" t="e">
            <v>#N/A</v>
          </cell>
          <cell r="D320" t="e">
            <v>#N/A</v>
          </cell>
          <cell r="E320" t="str">
            <v>LIBERADO POR AMANDA EM - 08/12/2025</v>
          </cell>
          <cell r="F320" t="e">
            <v>#REF!</v>
          </cell>
          <cell r="G320" t="e">
            <v>#N/A</v>
          </cell>
          <cell r="K320" t="str">
            <v>FATURADO</v>
          </cell>
        </row>
        <row r="321">
          <cell r="A321" t="str">
            <v>1225-015052</v>
          </cell>
          <cell r="B321" t="str">
            <v>DP MACAE 3</v>
          </cell>
          <cell r="C321" t="str">
            <v>Solicito de uma nova instalação de tomada na voltagem 127V para geladeira que será utilizada para armazenamento dos medicamentos termolábeis. Ressalto que só temos tomadas 220v, por isso precisamosm com urgência desse novo ponto.</v>
          </cell>
          <cell r="D321" t="str">
            <v>ELETRICA</v>
          </cell>
          <cell r="F321" t="e">
            <v>#REF!</v>
          </cell>
          <cell r="G321" t="str">
            <v>LEANDRO</v>
          </cell>
          <cell r="K321" t="str">
            <v>FATURADO</v>
          </cell>
        </row>
        <row r="322">
          <cell r="A322" t="str">
            <v>0925-009246</v>
          </cell>
          <cell r="B322" t="e">
            <v>#N/A</v>
          </cell>
          <cell r="C322" t="e">
            <v>#N/A</v>
          </cell>
          <cell r="D322" t="e">
            <v>#N/A</v>
          </cell>
          <cell r="E322" t="str">
            <v>LIBERADO POE JUAN  - 04/11/2026</v>
          </cell>
          <cell r="F322">
            <v>1057.5999999999999</v>
          </cell>
          <cell r="G322" t="e">
            <v>#N/A</v>
          </cell>
          <cell r="H322" t="str">
            <v>MANFAC 4</v>
          </cell>
          <cell r="K322" t="str">
            <v>FATURADO</v>
          </cell>
        </row>
        <row r="323">
          <cell r="A323" t="str">
            <v>1125-017938</v>
          </cell>
          <cell r="B323" t="e">
            <v>#N/A</v>
          </cell>
          <cell r="C323" t="e">
            <v>#N/A</v>
          </cell>
          <cell r="D323" t="e">
            <v>#N/A</v>
          </cell>
          <cell r="E323" t="str">
            <v>LIBERADO POR LEANDRO - 19/12/2025</v>
          </cell>
          <cell r="F323" t="e">
            <v>#REF!</v>
          </cell>
          <cell r="G323" t="e">
            <v>#N/A</v>
          </cell>
          <cell r="K323" t="str">
            <v>FATURADO</v>
          </cell>
        </row>
        <row r="324">
          <cell r="A324" t="str">
            <v>1225-003964</v>
          </cell>
          <cell r="B324" t="e">
            <v>#N/A</v>
          </cell>
          <cell r="C324" t="e">
            <v>#N/A</v>
          </cell>
          <cell r="D324" t="e">
            <v>#N/A</v>
          </cell>
          <cell r="E324" t="str">
            <v>LIBERADO POR LEANDRO - 19/12/2025</v>
          </cell>
          <cell r="F324" t="e">
            <v>#REF!</v>
          </cell>
          <cell r="G324" t="e">
            <v>#N/A</v>
          </cell>
          <cell r="K324" t="str">
            <v>FATURADO</v>
          </cell>
        </row>
        <row r="325">
          <cell r="A325" t="str">
            <v>1125-012620</v>
          </cell>
          <cell r="B325" t="str">
            <v>DP CURICICA</v>
          </cell>
          <cell r="C325" t="str">
            <v>Solicito a Dedetização .</v>
          </cell>
          <cell r="D325" t="str">
            <v>DEDETIZAÇÃO</v>
          </cell>
          <cell r="F325" t="e">
            <v>#REF!</v>
          </cell>
          <cell r="G325" t="str">
            <v>JUAN</v>
          </cell>
          <cell r="K325" t="str">
            <v>FATURADO</v>
          </cell>
        </row>
        <row r="326">
          <cell r="A326" t="str">
            <v>1225-007846</v>
          </cell>
          <cell r="B326" t="e">
            <v>#N/A</v>
          </cell>
          <cell r="C326" t="e">
            <v>#N/A</v>
          </cell>
          <cell r="D326" t="e">
            <v>#N/A</v>
          </cell>
          <cell r="E326" t="str">
            <v>LIBERADO POR CLAUDIO - 30/12/2025</v>
          </cell>
          <cell r="F326" t="e">
            <v>#REF!</v>
          </cell>
          <cell r="G326" t="e">
            <v>#N/A</v>
          </cell>
          <cell r="K326" t="str">
            <v>FATURADO</v>
          </cell>
        </row>
        <row r="327">
          <cell r="A327" t="str">
            <v>1225-008179</v>
          </cell>
          <cell r="B327" t="e">
            <v>#N/A</v>
          </cell>
          <cell r="C327" t="e">
            <v>#N/A</v>
          </cell>
          <cell r="D327" t="e">
            <v>#N/A</v>
          </cell>
          <cell r="E327" t="str">
            <v>LIBERADO POR CLAUDIO - 30/12/2025</v>
          </cell>
          <cell r="F327" t="e">
            <v>#REF!</v>
          </cell>
          <cell r="G327" t="e">
            <v>#N/A</v>
          </cell>
          <cell r="K327" t="str">
            <v>FATURADO</v>
          </cell>
        </row>
        <row r="328">
          <cell r="A328" t="str">
            <v>1225-008181</v>
          </cell>
          <cell r="B328" t="str">
            <v>DPA BARRA DA TIJUCA 6</v>
          </cell>
          <cell r="C328" t="str">
            <v>Bom dia !
 Solicito a troca do filtro. e uma limpeza interna !</v>
          </cell>
          <cell r="D328" t="str">
            <v>EQUIPAMENTO</v>
          </cell>
          <cell r="E328" t="str">
            <v>LIBERADO POR CLAUDIO - 30/12/2025</v>
          </cell>
          <cell r="F328" t="e">
            <v>#REF!</v>
          </cell>
          <cell r="G328" t="str">
            <v>LEANDRO</v>
          </cell>
          <cell r="K328" t="str">
            <v>FATURADO</v>
          </cell>
        </row>
        <row r="329">
          <cell r="A329" t="str">
            <v>0126-011441</v>
          </cell>
          <cell r="B329" t="str">
            <v>DP RIO BRANCO</v>
          </cell>
          <cell r="C329" t="str">
            <v>Realizara transferência da câmera de vacinas do laboratório do Catete 5 para a Rio branco 1</v>
          </cell>
          <cell r="D329" t="str">
            <v>TRANSPORTE</v>
          </cell>
          <cell r="E329" t="str">
            <v>LIBERADO POR AMANDA - 14/01/2026</v>
          </cell>
          <cell r="F329">
            <v>500</v>
          </cell>
          <cell r="G329" t="str">
            <v>LEANDRO</v>
          </cell>
          <cell r="K329" t="str">
            <v>FATURADO</v>
          </cell>
        </row>
        <row r="330">
          <cell r="A330" t="str">
            <v>1125-017130</v>
          </cell>
          <cell r="B330" t="str">
            <v xml:space="preserve">DP RECREIO 6 </v>
          </cell>
          <cell r="C330" t="str">
            <v>STOP DOG</v>
          </cell>
          <cell r="D330" t="e">
            <v>#N/A</v>
          </cell>
          <cell r="E330" t="str">
            <v>LIBERADO POR LEANDRO - 27/11/2025</v>
          </cell>
          <cell r="F330" t="e">
            <v>#REF!</v>
          </cell>
          <cell r="G330" t="str">
            <v>LEANDRO</v>
          </cell>
          <cell r="K330" t="str">
            <v>FATURADO</v>
          </cell>
        </row>
        <row r="331">
          <cell r="A331" t="str">
            <v>1025-015019</v>
          </cell>
          <cell r="B331" t="e">
            <v>#N/A</v>
          </cell>
          <cell r="C331" t="e">
            <v>#N/A</v>
          </cell>
          <cell r="D331" t="e">
            <v>#N/A</v>
          </cell>
          <cell r="F331" t="e">
            <v>#REF!</v>
          </cell>
          <cell r="G331" t="e">
            <v>#N/A</v>
          </cell>
          <cell r="H331" t="str">
            <v>DAVI AMARO</v>
          </cell>
          <cell r="K331" t="str">
            <v>FATURADO</v>
          </cell>
        </row>
        <row r="332">
          <cell r="A332" t="str">
            <v>1125-008077</v>
          </cell>
          <cell r="B332" t="str">
            <v xml:space="preserve">DP TERESOPOLIS 1 </v>
          </cell>
          <cell r="C332" t="str">
            <v>VISA</v>
          </cell>
          <cell r="D332" t="e">
            <v>#N/A</v>
          </cell>
          <cell r="E332" t="str">
            <v xml:space="preserve">LIBERADO EM REUNIÃO - 28/10 </v>
          </cell>
          <cell r="F332" t="e">
            <v>#REF!</v>
          </cell>
          <cell r="G332" t="e">
            <v>#N/A</v>
          </cell>
          <cell r="K332" t="str">
            <v>FATURADO</v>
          </cell>
        </row>
        <row r="333">
          <cell r="A333" t="str">
            <v>1025-015336</v>
          </cell>
          <cell r="B333" t="str">
            <v>DP RIO BRANCO</v>
          </cell>
          <cell r="C333" t="str">
            <v>INTENSIVO DE DEDETIZAÇÃO</v>
          </cell>
          <cell r="D333" t="str">
            <v>DEDETIZAÇÃO</v>
          </cell>
          <cell r="E333" t="str">
            <v>ALINHADO EM REUNIÃO</v>
          </cell>
          <cell r="F333" t="e">
            <v>#REF!</v>
          </cell>
          <cell r="G333" t="str">
            <v>LEANDRO</v>
          </cell>
          <cell r="K333" t="str">
            <v>FATURADO</v>
          </cell>
        </row>
        <row r="334">
          <cell r="A334" t="str">
            <v>1125-010411</v>
          </cell>
          <cell r="B334" t="str">
            <v>DP NITEROI 4</v>
          </cell>
          <cell r="C334" t="str">
            <v>TELHADO DA COBERTURA DA LOJA FOI DANIFICADO DEVIDO A CHUVA, OCASIONANDO INFILTRAÇÃO NO SALÃO DE VENDAS</v>
          </cell>
          <cell r="D334" t="str">
            <v>TELHADO</v>
          </cell>
          <cell r="E334" t="str">
            <v>LIBERADO POR AMANDA - REPARO EMERGENCIAL</v>
          </cell>
          <cell r="F334" t="e">
            <v>#REF!</v>
          </cell>
          <cell r="G334" t="str">
            <v>AMANDA</v>
          </cell>
          <cell r="K334" t="str">
            <v>FATURADO</v>
          </cell>
        </row>
        <row r="335">
          <cell r="A335" t="str">
            <v>1125-014878</v>
          </cell>
          <cell r="B335" t="str">
            <v>DP RECREIO 4</v>
          </cell>
          <cell r="C335" t="str">
            <v>Bom dia ! Solicito por favor carro pipa. Loja sem água.</v>
          </cell>
          <cell r="D335" t="str">
            <v>HIDRAULICA</v>
          </cell>
          <cell r="E335" t="str">
            <v>LIBERADO POR LEANDRO - 21/11/2025</v>
          </cell>
          <cell r="F335" t="e">
            <v>#REF!</v>
          </cell>
          <cell r="G335" t="str">
            <v>JUAN</v>
          </cell>
          <cell r="K335" t="str">
            <v>FATURADO</v>
          </cell>
        </row>
        <row r="336">
          <cell r="A336" t="str">
            <v>1125-018037</v>
          </cell>
          <cell r="B336" t="e">
            <v>#N/A</v>
          </cell>
          <cell r="C336" t="e">
            <v>#N/A</v>
          </cell>
          <cell r="D336" t="e">
            <v>#N/A</v>
          </cell>
          <cell r="E336" t="str">
            <v>ACIONAMENTO DE PLANTÃO 29/11/2025</v>
          </cell>
          <cell r="F336" t="e">
            <v>#REF!</v>
          </cell>
          <cell r="G336" t="e">
            <v>#N/A</v>
          </cell>
          <cell r="K336" t="str">
            <v>FATURADO</v>
          </cell>
        </row>
        <row r="337">
          <cell r="A337" t="str">
            <v>1225-004156</v>
          </cell>
          <cell r="B337" t="e">
            <v>#N/A</v>
          </cell>
          <cell r="C337" t="e">
            <v>#N/A</v>
          </cell>
          <cell r="D337" t="e">
            <v>#N/A</v>
          </cell>
          <cell r="E337" t="str">
            <v>LIBERADO POR LEANDRO - 28/11/2025</v>
          </cell>
          <cell r="F337" t="e">
            <v>#REF!</v>
          </cell>
          <cell r="G337" t="e">
            <v>#N/A</v>
          </cell>
          <cell r="K337" t="str">
            <v>FATURADO</v>
          </cell>
        </row>
        <row r="338">
          <cell r="A338" t="str">
            <v>1225-011445</v>
          </cell>
          <cell r="B338" t="e">
            <v>#N/A</v>
          </cell>
          <cell r="C338" t="e">
            <v>#N/A</v>
          </cell>
          <cell r="D338" t="e">
            <v>#N/A</v>
          </cell>
          <cell r="E338" t="str">
            <v>LIBERADO POR LEANDRO - 19/12/2025</v>
          </cell>
          <cell r="F338" t="e">
            <v>#REF!</v>
          </cell>
          <cell r="G338" t="e">
            <v>#N/A</v>
          </cell>
          <cell r="K338" t="str">
            <v>FATURADO</v>
          </cell>
        </row>
        <row r="339">
          <cell r="A339" t="str">
            <v>1125-014058</v>
          </cell>
          <cell r="B339" t="str">
            <v>DP RECREIO 4</v>
          </cell>
          <cell r="C339" t="str">
            <v>boa tarde, solicito pintura na teto da retaguarda de loja</v>
          </cell>
          <cell r="D339" t="str">
            <v>CIVIL</v>
          </cell>
          <cell r="E339" t="str">
            <v>LIBERADO POR LEANDRO - 08/12/2025</v>
          </cell>
          <cell r="F339" t="e">
            <v>#REF!</v>
          </cell>
          <cell r="G339" t="str">
            <v>JUAN</v>
          </cell>
          <cell r="K339" t="str">
            <v>FATURADO</v>
          </cell>
        </row>
        <row r="340">
          <cell r="A340" t="str">
            <v>1225-010467</v>
          </cell>
          <cell r="B340" t="e">
            <v>#N/A</v>
          </cell>
          <cell r="C340" t="e">
            <v>#N/A</v>
          </cell>
          <cell r="D340" t="e">
            <v>#N/A</v>
          </cell>
          <cell r="F340" t="e">
            <v>#REF!</v>
          </cell>
          <cell r="G340" t="e">
            <v>#N/A</v>
          </cell>
          <cell r="K340" t="str">
            <v>FATURADO</v>
          </cell>
        </row>
        <row r="341">
          <cell r="A341" t="str">
            <v>1125-010535</v>
          </cell>
          <cell r="B341" t="str">
            <v>DP ICARAI 13</v>
          </cell>
          <cell r="C341" t="str">
            <v>MARQUISE</v>
          </cell>
          <cell r="D341" t="e">
            <v>#N/A</v>
          </cell>
          <cell r="E341" t="str">
            <v>LIBERADO POR AMANDA - 11/11/2025</v>
          </cell>
          <cell r="F341" t="e">
            <v>#REF!</v>
          </cell>
          <cell r="G341" t="str">
            <v>AMANDA</v>
          </cell>
          <cell r="H341" t="str">
            <v>MANFAC 6</v>
          </cell>
          <cell r="K341" t="str">
            <v>FATURADO</v>
          </cell>
        </row>
        <row r="342">
          <cell r="A342" t="str">
            <v>1025-016911</v>
          </cell>
          <cell r="B342" t="str">
            <v>DP GUAPIMIRIM</v>
          </cell>
          <cell r="C342" t="str">
            <v>MEDIANTE UMA VISITA PARA VER UMA OS DO DERMO HOUVE UM CURTO NO SALÃO
 SEGUE VIDEO</v>
          </cell>
          <cell r="D342" t="str">
            <v>ELETRICA</v>
          </cell>
          <cell r="E342" t="str">
            <v>LIBERADO PARA VISITA</v>
          </cell>
          <cell r="F342" t="e">
            <v>#REF!</v>
          </cell>
          <cell r="G342" t="str">
            <v>AMANDA</v>
          </cell>
          <cell r="K342" t="str">
            <v>FATURADO</v>
          </cell>
        </row>
        <row r="343">
          <cell r="A343" t="str">
            <v>1225-008096</v>
          </cell>
          <cell r="B343" t="e">
            <v>#N/A</v>
          </cell>
          <cell r="C343" t="e">
            <v>#N/A</v>
          </cell>
          <cell r="D343" t="e">
            <v>#N/A</v>
          </cell>
          <cell r="E343" t="str">
            <v>LIBERADO POR AMANDA EM - 10/12/2025</v>
          </cell>
          <cell r="F343" t="e">
            <v>#REF!</v>
          </cell>
          <cell r="G343" t="e">
            <v>#N/A</v>
          </cell>
          <cell r="K343" t="str">
            <v>FATURADO</v>
          </cell>
        </row>
        <row r="344">
          <cell r="A344" t="str">
            <v>1125-016427</v>
          </cell>
          <cell r="B344" t="str">
            <v>DP COPACABANA 5</v>
          </cell>
          <cell r="C344" t="str">
            <v>Loja sem água pra nenhum tipo de atividade. Banheiros e limpeza geral de loja por fazer</v>
          </cell>
          <cell r="D344" t="str">
            <v>HIDRAULICA</v>
          </cell>
          <cell r="E344" t="str">
            <v>LIBERADO POR LEANDRO - 25/11/2025</v>
          </cell>
          <cell r="F344" t="e">
            <v>#REF!</v>
          </cell>
          <cell r="G344" t="str">
            <v>LEANDRO</v>
          </cell>
          <cell r="K344" t="str">
            <v>FATURADO</v>
          </cell>
        </row>
        <row r="345">
          <cell r="A345" t="str">
            <v>1125-017251</v>
          </cell>
          <cell r="B345" t="e">
            <v>#N/A</v>
          </cell>
          <cell r="C345" t="e">
            <v>#N/A</v>
          </cell>
          <cell r="D345" t="e">
            <v>#N/A</v>
          </cell>
          <cell r="E345" t="str">
            <v>LIBERADO POR LEANDRO - 27/11/2025</v>
          </cell>
          <cell r="F345" t="e">
            <v>#REF!</v>
          </cell>
          <cell r="G345" t="e">
            <v>#N/A</v>
          </cell>
          <cell r="K345" t="str">
            <v>FATURADO</v>
          </cell>
        </row>
        <row r="346">
          <cell r="A346" t="str">
            <v>1125-017611</v>
          </cell>
          <cell r="B346" t="e">
            <v>#N/A</v>
          </cell>
          <cell r="C346" t="e">
            <v>#N/A</v>
          </cell>
          <cell r="D346" t="e">
            <v>#N/A</v>
          </cell>
          <cell r="E346" t="str">
            <v>LIBERADO POR LEANDRO - 28/11/2025</v>
          </cell>
          <cell r="F346" t="e">
            <v>#REF!</v>
          </cell>
          <cell r="G346" t="e">
            <v>#N/A</v>
          </cell>
          <cell r="K346" t="str">
            <v>FATURADO</v>
          </cell>
        </row>
        <row r="347">
          <cell r="A347" t="str">
            <v>1125-017648</v>
          </cell>
          <cell r="B347" t="e">
            <v>#N/A</v>
          </cell>
          <cell r="C347" t="e">
            <v>#N/A</v>
          </cell>
          <cell r="D347" t="e">
            <v>#N/A</v>
          </cell>
          <cell r="E347" t="str">
            <v>LIBERADO POR LEANDRO - 28/11/2025</v>
          </cell>
          <cell r="F347" t="e">
            <v>#REF!</v>
          </cell>
          <cell r="G347" t="e">
            <v>#N/A</v>
          </cell>
          <cell r="K347" t="str">
            <v>FATURADO</v>
          </cell>
        </row>
        <row r="348">
          <cell r="A348" t="str">
            <v>1125-017688</v>
          </cell>
          <cell r="B348" t="e">
            <v>#N/A</v>
          </cell>
          <cell r="C348" t="e">
            <v>#N/A</v>
          </cell>
          <cell r="D348" t="e">
            <v>#N/A</v>
          </cell>
          <cell r="E348" t="str">
            <v>LIBERADO POR LEANDRO - 29/11/2025</v>
          </cell>
          <cell r="F348" t="e">
            <v>#REF!</v>
          </cell>
          <cell r="G348" t="e">
            <v>#N/A</v>
          </cell>
          <cell r="K348" t="str">
            <v>FATURADO</v>
          </cell>
        </row>
        <row r="349">
          <cell r="A349" t="str">
            <v>1125-017934</v>
          </cell>
          <cell r="B349" t="e">
            <v>#N/A</v>
          </cell>
          <cell r="C349" t="e">
            <v>#N/A</v>
          </cell>
          <cell r="D349" t="e">
            <v>#N/A</v>
          </cell>
          <cell r="E349" t="str">
            <v>LIBERADO POR LEANDRO - 29/11/2025</v>
          </cell>
          <cell r="F349" t="e">
            <v>#REF!</v>
          </cell>
          <cell r="G349" t="e">
            <v>#N/A</v>
          </cell>
          <cell r="K349" t="str">
            <v>FATURADO</v>
          </cell>
        </row>
        <row r="350">
          <cell r="A350" t="str">
            <v>1125-017936</v>
          </cell>
          <cell r="B350" t="e">
            <v>#N/A</v>
          </cell>
          <cell r="C350" t="e">
            <v>#N/A</v>
          </cell>
          <cell r="D350" t="e">
            <v>#N/A</v>
          </cell>
          <cell r="E350" t="str">
            <v>ACIONAMENTO DE PLANTÃO 29/11/2025</v>
          </cell>
          <cell r="F350" t="e">
            <v>#REF!</v>
          </cell>
          <cell r="G350" t="e">
            <v>#N/A</v>
          </cell>
          <cell r="K350" t="str">
            <v>FATURADO</v>
          </cell>
        </row>
        <row r="351">
          <cell r="A351" t="str">
            <v>1125-015394</v>
          </cell>
          <cell r="B351" t="str">
            <v>DP RECREIO 1</v>
          </cell>
          <cell r="C351" t="str">
            <v>reparo urgente sala de serviço farmacêutico</v>
          </cell>
          <cell r="D351" t="str">
            <v>CIVIL</v>
          </cell>
          <cell r="E351" t="str">
            <v>LIBERADO POR LEANDRO - 22/11/2025</v>
          </cell>
          <cell r="F351" t="e">
            <v>#REF!</v>
          </cell>
          <cell r="G351" t="str">
            <v>JUAN</v>
          </cell>
          <cell r="K351" t="str">
            <v>FATURADO</v>
          </cell>
        </row>
        <row r="352">
          <cell r="A352" t="str">
            <v>1125-011321</v>
          </cell>
          <cell r="B352" t="e">
            <v>#N/A</v>
          </cell>
          <cell r="C352" t="e">
            <v>#N/A</v>
          </cell>
          <cell r="D352" t="e">
            <v>#N/A</v>
          </cell>
          <cell r="E352" t="str">
            <v>LIBERADO POR AMANDA - 11/11</v>
          </cell>
          <cell r="F352" t="e">
            <v>#REF!</v>
          </cell>
          <cell r="G352" t="str">
            <v>AMANDA</v>
          </cell>
          <cell r="K352" t="str">
            <v>FATURADO</v>
          </cell>
        </row>
        <row r="353">
          <cell r="A353" t="str">
            <v>1225-004431</v>
          </cell>
          <cell r="B353" t="str">
            <v>DP LARGO DA BATALHA</v>
          </cell>
          <cell r="C353" t="e">
            <v>#N/A</v>
          </cell>
          <cell r="D353" t="e">
            <v>#N/A</v>
          </cell>
          <cell r="E353" t="str">
            <v>LIBERADO POR AMANDA - 02/12/2025</v>
          </cell>
          <cell r="F353" t="e">
            <v>#REF!</v>
          </cell>
          <cell r="G353" t="str">
            <v>AMANDA</v>
          </cell>
          <cell r="K353" t="str">
            <v>FATURADO</v>
          </cell>
        </row>
        <row r="354">
          <cell r="A354" t="str">
            <v>1125-013802</v>
          </cell>
          <cell r="B354" t="str">
            <v>DP ITABORAI</v>
          </cell>
          <cell r="C354" t="str">
            <v>Bom dia,
 postes das placas de estacionamento tombados para cima da fachada.</v>
          </cell>
          <cell r="D354" t="str">
            <v>CIVIL</v>
          </cell>
          <cell r="E354" t="str">
            <v>LIBERADO POR AMANDA - 01/12/2025</v>
          </cell>
          <cell r="F354" t="e">
            <v>#REF!</v>
          </cell>
          <cell r="G354" t="str">
            <v>AMANDA</v>
          </cell>
          <cell r="K354" t="str">
            <v>FATURADO</v>
          </cell>
        </row>
        <row r="355">
          <cell r="A355" t="str">
            <v>1025-017021</v>
          </cell>
          <cell r="B355" t="e">
            <v>#N/A</v>
          </cell>
          <cell r="C355" t="e">
            <v>#N/A</v>
          </cell>
          <cell r="D355" t="e">
            <v>#N/A</v>
          </cell>
          <cell r="F355" t="e">
            <v>#REF!</v>
          </cell>
          <cell r="G355" t="e">
            <v>#N/A</v>
          </cell>
          <cell r="H355" t="str">
            <v>MANFAC 4</v>
          </cell>
          <cell r="K355" t="str">
            <v>FATURADO</v>
          </cell>
        </row>
        <row r="356">
          <cell r="A356" t="str">
            <v>0925-016166</v>
          </cell>
          <cell r="B356" t="e">
            <v>#N/A</v>
          </cell>
          <cell r="C356" t="e">
            <v>#N/A</v>
          </cell>
          <cell r="D356" t="e">
            <v>#N/A</v>
          </cell>
          <cell r="F356" t="e">
            <v>#REF!</v>
          </cell>
          <cell r="G356" t="e">
            <v>#N/A</v>
          </cell>
          <cell r="K356" t="str">
            <v>FATURADO</v>
          </cell>
        </row>
        <row r="357">
          <cell r="A357" t="str">
            <v>1025-007632</v>
          </cell>
          <cell r="B357" t="e">
            <v>#N/A</v>
          </cell>
          <cell r="C357" t="e">
            <v>#N/A</v>
          </cell>
          <cell r="D357" t="e">
            <v>#N/A</v>
          </cell>
          <cell r="F357" t="e">
            <v>#REF!</v>
          </cell>
          <cell r="G357" t="e">
            <v>#N/A</v>
          </cell>
          <cell r="H357" t="str">
            <v>MANFAC 6</v>
          </cell>
          <cell r="K357" t="str">
            <v>FATURADO</v>
          </cell>
        </row>
        <row r="358">
          <cell r="A358" t="str">
            <v>1125-014474</v>
          </cell>
          <cell r="B358" t="str">
            <v>DP BUZIOS</v>
          </cell>
          <cell r="C358" t="str">
            <v>solicito pintura para parede lateral pixada</v>
          </cell>
          <cell r="D358" t="str">
            <v>CIVIL</v>
          </cell>
          <cell r="E358" t="str">
            <v>LIBERADO POR JUAN - 26/11/2025</v>
          </cell>
          <cell r="F358" t="e">
            <v>#REF!</v>
          </cell>
          <cell r="G358" t="str">
            <v>LEANDRO</v>
          </cell>
          <cell r="K358" t="str">
            <v>FATURADO</v>
          </cell>
        </row>
        <row r="359">
          <cell r="A359" t="str">
            <v>1225-011247</v>
          </cell>
          <cell r="B359" t="e">
            <v>#N/A</v>
          </cell>
          <cell r="C359" t="e">
            <v>#N/A</v>
          </cell>
          <cell r="D359" t="e">
            <v>#N/A</v>
          </cell>
          <cell r="E359" t="str">
            <v>LIBERADO POR LEANDRO - 18/12/2025</v>
          </cell>
          <cell r="F359" t="e">
            <v>#REF!</v>
          </cell>
          <cell r="G359" t="e">
            <v>#N/A</v>
          </cell>
          <cell r="K359" t="str">
            <v>FATURADO</v>
          </cell>
        </row>
        <row r="360">
          <cell r="A360" t="str">
            <v>0925-012540</v>
          </cell>
          <cell r="B360" t="e">
            <v>#N/A</v>
          </cell>
          <cell r="C360" t="e">
            <v>#N/A</v>
          </cell>
          <cell r="D360" t="e">
            <v>#N/A</v>
          </cell>
          <cell r="F360" t="e">
            <v>#REF!</v>
          </cell>
          <cell r="G360" t="e">
            <v>#N/A</v>
          </cell>
          <cell r="H360" t="str">
            <v>MANFAC 2</v>
          </cell>
          <cell r="K360" t="str">
            <v>FATURADO</v>
          </cell>
        </row>
        <row r="361">
          <cell r="A361" t="str">
            <v>0925-015851</v>
          </cell>
          <cell r="B361" t="e">
            <v>#N/A</v>
          </cell>
          <cell r="C361" t="e">
            <v>#N/A</v>
          </cell>
          <cell r="D361" t="e">
            <v>#N/A</v>
          </cell>
          <cell r="E361" t="str">
            <v>LIBERADO POR AMANDA - 12/11/2025</v>
          </cell>
          <cell r="F361" t="e">
            <v>#REF!</v>
          </cell>
          <cell r="G361" t="e">
            <v>#N/A</v>
          </cell>
          <cell r="K361" t="str">
            <v>FATURADO</v>
          </cell>
        </row>
        <row r="362">
          <cell r="A362" t="str">
            <v>1125-012235</v>
          </cell>
          <cell r="B362" t="e">
            <v>#N/A</v>
          </cell>
          <cell r="C362" t="e">
            <v>#N/A</v>
          </cell>
          <cell r="D362" t="e">
            <v>#N/A</v>
          </cell>
          <cell r="E362" t="str">
            <v>LIBERADO POR AMANDA - 12/11/2025</v>
          </cell>
          <cell r="F362" t="e">
            <v>#REF!</v>
          </cell>
          <cell r="G362" t="str">
            <v>AMANDA</v>
          </cell>
          <cell r="K362" t="str">
            <v>FATURADO</v>
          </cell>
        </row>
        <row r="363">
          <cell r="A363" t="str">
            <v>1125-012298</v>
          </cell>
          <cell r="B363" t="e">
            <v>#N/A</v>
          </cell>
          <cell r="C363" t="e">
            <v>#N/A</v>
          </cell>
          <cell r="D363" t="e">
            <v>#N/A</v>
          </cell>
          <cell r="F363" t="e">
            <v>#REF!</v>
          </cell>
          <cell r="G363" t="e">
            <v>#N/A</v>
          </cell>
          <cell r="K363" t="str">
            <v>FATURADO</v>
          </cell>
        </row>
        <row r="364">
          <cell r="A364" t="str">
            <v>1025-015931</v>
          </cell>
          <cell r="B364" t="str">
            <v>DP PENDOTIBA</v>
          </cell>
          <cell r="C364" t="str">
            <v>Chave da sala de psicotropico quebrou.</v>
          </cell>
          <cell r="D364" t="str">
            <v>SERRALHERIA</v>
          </cell>
          <cell r="F364" t="e">
            <v>#REF!</v>
          </cell>
          <cell r="G364" t="str">
            <v>AMANDA</v>
          </cell>
          <cell r="K364" t="str">
            <v>FATURADO</v>
          </cell>
        </row>
        <row r="365">
          <cell r="A365" t="str">
            <v>1025-016750</v>
          </cell>
          <cell r="B365" t="str">
            <v>DP SAO GONCALO 3</v>
          </cell>
          <cell r="C365" t="str">
            <v>A chave que abre a porta principal quebrou, necessitando de uma nova chave</v>
          </cell>
          <cell r="D365" t="str">
            <v>SERRALHERIA</v>
          </cell>
          <cell r="F365" t="e">
            <v>#REF!</v>
          </cell>
          <cell r="G365" t="str">
            <v>AMANDA</v>
          </cell>
          <cell r="K365" t="str">
            <v>FATURADO</v>
          </cell>
        </row>
        <row r="366">
          <cell r="A366" t="str">
            <v>1125-011237</v>
          </cell>
          <cell r="B366" t="e">
            <v>#N/A</v>
          </cell>
          <cell r="C366" t="e">
            <v>#N/A</v>
          </cell>
          <cell r="D366" t="e">
            <v>#N/A</v>
          </cell>
          <cell r="F366" t="e">
            <v>#REF!</v>
          </cell>
          <cell r="G366" t="e">
            <v>#N/A</v>
          </cell>
          <cell r="K366" t="str">
            <v>FATURADO</v>
          </cell>
        </row>
        <row r="367">
          <cell r="A367" t="str">
            <v>1125-014491</v>
          </cell>
          <cell r="B367" t="str">
            <v>DP RECREIO 7</v>
          </cell>
          <cell r="C367" t="str">
            <v>Boa tarde! As lâmpadas da parte inferior não estão ascendendo, os cabos estão pendurados e como os fios da câmera ao lado foram arrebentados, parece ser furto. Solicito reparo.
 São 7 lâmpadas.
 Agradeço.</v>
          </cell>
          <cell r="D367" t="str">
            <v>ELETRICA</v>
          </cell>
          <cell r="F367" t="e">
            <v>#REF!</v>
          </cell>
          <cell r="G367" t="str">
            <v>JUAN</v>
          </cell>
          <cell r="K367" t="str">
            <v>FATURADO</v>
          </cell>
        </row>
        <row r="368">
          <cell r="A368" t="str">
            <v>1125-011363</v>
          </cell>
          <cell r="B368" t="e">
            <v>#N/A</v>
          </cell>
          <cell r="C368" t="e">
            <v>#N/A</v>
          </cell>
          <cell r="D368" t="e">
            <v>#N/A</v>
          </cell>
          <cell r="E368" t="str">
            <v>LIBERADO POR LEANDRO - 13/11/2025</v>
          </cell>
          <cell r="F368" t="e">
            <v>#REF!</v>
          </cell>
          <cell r="G368" t="e">
            <v>#N/A</v>
          </cell>
          <cell r="K368" t="str">
            <v>FATURADO</v>
          </cell>
        </row>
        <row r="369">
          <cell r="A369" t="str">
            <v>0225-006862</v>
          </cell>
          <cell r="B369" t="e">
            <v>#N/A</v>
          </cell>
          <cell r="C369" t="e">
            <v>#N/A</v>
          </cell>
          <cell r="D369" t="e">
            <v>#N/A</v>
          </cell>
          <cell r="E369" t="str">
            <v>5 REDONDAS E 1 QUADRADA 1MT</v>
          </cell>
          <cell r="F369" t="e">
            <v>#REF!</v>
          </cell>
          <cell r="G369" t="e">
            <v>#N/A</v>
          </cell>
          <cell r="K369" t="str">
            <v>FATURADO</v>
          </cell>
        </row>
        <row r="370">
          <cell r="A370" t="str">
            <v>1025-008801</v>
          </cell>
          <cell r="B370" t="e">
            <v>#N/A</v>
          </cell>
          <cell r="C370" t="e">
            <v>#N/A</v>
          </cell>
          <cell r="D370" t="e">
            <v>#N/A</v>
          </cell>
          <cell r="E370" t="str">
            <v>LIBERADO PARA EXECUÇÃO POR AMANDA</v>
          </cell>
          <cell r="F370" t="e">
            <v>#REF!</v>
          </cell>
          <cell r="G370" t="e">
            <v>#N/A</v>
          </cell>
          <cell r="H370" t="str">
            <v>MANFAC - 6</v>
          </cell>
          <cell r="K370" t="str">
            <v>FATURADO</v>
          </cell>
        </row>
        <row r="371">
          <cell r="A371" t="str">
            <v>1125-010582</v>
          </cell>
          <cell r="B371" t="str">
            <v>DP RECREIO 6</v>
          </cell>
          <cell r="C371" t="str">
            <v>REPARO EMERGENCIAL EM TELHADO</v>
          </cell>
          <cell r="D371" t="str">
            <v>TELHADO</v>
          </cell>
          <cell r="E371" t="str">
            <v>LIBERADO POR LEANDRO - 08/11/2025</v>
          </cell>
          <cell r="F371" t="e">
            <v>#REF!</v>
          </cell>
          <cell r="G371" t="str">
            <v>JUAN</v>
          </cell>
          <cell r="K371" t="str">
            <v>FATURADO</v>
          </cell>
        </row>
        <row r="372">
          <cell r="A372" t="str">
            <v>1125-009014</v>
          </cell>
          <cell r="B372" t="str">
            <v>DP SHOPPING DOWNTOWN</v>
          </cell>
          <cell r="C372" t="str">
            <v>Bom dia,
 Solicito pintura da fachada com urgência, solicitado pelo shopping com urgência.
 Como no anexo.
 Att.,</v>
          </cell>
          <cell r="D372" t="str">
            <v>CIVIL</v>
          </cell>
          <cell r="E372" t="str">
            <v xml:space="preserve">LIBERADO EM REUNIÃO - 11/11 </v>
          </cell>
          <cell r="F372" t="e">
            <v>#REF!</v>
          </cell>
          <cell r="G372" t="str">
            <v>LEANDRO</v>
          </cell>
          <cell r="K372" t="str">
            <v>FATURADO</v>
          </cell>
        </row>
        <row r="373">
          <cell r="A373" t="str">
            <v>1025-012910</v>
          </cell>
          <cell r="B373" t="e">
            <v>#N/A</v>
          </cell>
          <cell r="C373" t="e">
            <v>#N/A</v>
          </cell>
          <cell r="D373" t="e">
            <v>#N/A</v>
          </cell>
          <cell r="E373" t="str">
            <v xml:space="preserve">LIBERADO EM REUNIÃO - 11/11 </v>
          </cell>
          <cell r="F373" t="e">
            <v>#REF!</v>
          </cell>
          <cell r="G373" t="e">
            <v>#N/A</v>
          </cell>
          <cell r="K373" t="str">
            <v>FATURADO</v>
          </cell>
        </row>
        <row r="374">
          <cell r="A374" t="str">
            <v>1125-012970</v>
          </cell>
          <cell r="B374" t="str">
            <v>DP BARRA DA TIJUCA 5</v>
          </cell>
          <cell r="C374" t="str">
            <v>A ultima porta numero 4 esta sem descer a porta de ferro, controle nao esta funcionando, todas as outras estao funcionando e ela é a unica que nao desce, solicito urgencia, loja apos um assalto.</v>
          </cell>
          <cell r="D374" t="str">
            <v>SERRALHERIA</v>
          </cell>
          <cell r="E374" t="str">
            <v>LIBERADO POR LEANDRO - 17/11/2025</v>
          </cell>
          <cell r="F374" t="e">
            <v>#REF!</v>
          </cell>
          <cell r="G374" t="str">
            <v>LEANDRO</v>
          </cell>
          <cell r="K374" t="str">
            <v>FATURADO</v>
          </cell>
        </row>
        <row r="375">
          <cell r="A375" t="str">
            <v>1125-011980</v>
          </cell>
          <cell r="B375" t="e">
            <v>#N/A</v>
          </cell>
          <cell r="C375" t="e">
            <v>#N/A</v>
          </cell>
          <cell r="D375" t="e">
            <v>#N/A</v>
          </cell>
          <cell r="E375" t="str">
            <v>LIBERADO POR LEANDRO - 13/11/2025</v>
          </cell>
          <cell r="F375" t="e">
            <v>#REF!</v>
          </cell>
          <cell r="G375" t="e">
            <v>#N/A</v>
          </cell>
          <cell r="K375" t="str">
            <v>FATURADO</v>
          </cell>
        </row>
        <row r="376">
          <cell r="A376" t="str">
            <v>1125-012919</v>
          </cell>
          <cell r="B376" t="str">
            <v>DP RECREIO 7</v>
          </cell>
          <cell r="C376" t="str">
            <v>Boa tarde! Loja sem agua, soliito abasteimento de agua , Urgente .</v>
          </cell>
          <cell r="D376" t="str">
            <v>HIDRAULICA</v>
          </cell>
          <cell r="E376" t="str">
            <v>LIBERADO POR LEANDRO - 15/11/2025</v>
          </cell>
          <cell r="F376" t="e">
            <v>#REF!</v>
          </cell>
          <cell r="G376" t="str">
            <v>JUAN</v>
          </cell>
          <cell r="K376" t="str">
            <v>FATURADO</v>
          </cell>
        </row>
        <row r="377">
          <cell r="A377" t="str">
            <v>1125-012601</v>
          </cell>
          <cell r="B377" t="e">
            <v>#N/A</v>
          </cell>
          <cell r="C377" t="e">
            <v>#N/A</v>
          </cell>
          <cell r="D377" t="e">
            <v>#N/A</v>
          </cell>
          <cell r="E377" t="str">
            <v>LIBERADO POR LEANDRO - 14/11/2025</v>
          </cell>
          <cell r="F377" t="e">
            <v>#REF!</v>
          </cell>
          <cell r="G377" t="e">
            <v>#N/A</v>
          </cell>
          <cell r="K377" t="str">
            <v>FATURADO</v>
          </cell>
        </row>
        <row r="378">
          <cell r="A378" t="str">
            <v>1125-009978</v>
          </cell>
          <cell r="B378" t="e">
            <v>#N/A</v>
          </cell>
          <cell r="C378" t="e">
            <v>#N/A</v>
          </cell>
          <cell r="D378" t="e">
            <v>#N/A</v>
          </cell>
          <cell r="E378" t="str">
            <v>LIBERADO POR LEANDRO - 13/11/2025</v>
          </cell>
          <cell r="F378" t="e">
            <v>#REF!</v>
          </cell>
          <cell r="G378" t="e">
            <v>#N/A</v>
          </cell>
          <cell r="K378" t="str">
            <v>FATURADO</v>
          </cell>
        </row>
        <row r="379">
          <cell r="A379" t="str">
            <v>1025-013984</v>
          </cell>
          <cell r="B379" t="e">
            <v>#N/A</v>
          </cell>
          <cell r="C379" t="e">
            <v>#N/A</v>
          </cell>
          <cell r="D379" t="e">
            <v>#N/A</v>
          </cell>
          <cell r="E379" t="str">
            <v>LIBERADO POR AMANDA - 27/10/2025</v>
          </cell>
          <cell r="F379" t="e">
            <v>#REF!</v>
          </cell>
          <cell r="G379" t="e">
            <v>#N/A</v>
          </cell>
          <cell r="K379" t="str">
            <v>FATURADO</v>
          </cell>
        </row>
        <row r="380">
          <cell r="A380" t="str">
            <v>1125-008942</v>
          </cell>
          <cell r="B380" t="str">
            <v>DP LEBLON 2</v>
          </cell>
          <cell r="C380" t="str">
            <v>Boa tarde, fomos informados pela sindica que há um vazamento no predio vindo da loja. Estamos abrindo esta ordem de serviço para averiguação.
 Aguardamos retorno</v>
          </cell>
          <cell r="D380" t="str">
            <v>HIDRAULICA</v>
          </cell>
          <cell r="F380" t="e">
            <v>#REF!</v>
          </cell>
          <cell r="G380" t="str">
            <v>LEANDRO</v>
          </cell>
          <cell r="K380" t="str">
            <v>FATURADO</v>
          </cell>
        </row>
        <row r="381">
          <cell r="A381" t="str">
            <v>1025-005770</v>
          </cell>
          <cell r="B381" t="str">
            <v>DP COPACABANA 16</v>
          </cell>
          <cell r="C381" t="str">
            <v>PINTURA DE FACHADA</v>
          </cell>
          <cell r="D381" t="e">
            <v>#N/A</v>
          </cell>
          <cell r="F381" t="e">
            <v>#REF!</v>
          </cell>
          <cell r="G381" t="str">
            <v>LEANDRO</v>
          </cell>
          <cell r="K381" t="str">
            <v>FATURADO</v>
          </cell>
        </row>
        <row r="382">
          <cell r="A382" t="str">
            <v>0625-011493</v>
          </cell>
          <cell r="B382" t="e">
            <v>#N/A</v>
          </cell>
          <cell r="C382" t="e">
            <v>#N/A</v>
          </cell>
          <cell r="D382" t="e">
            <v>#N/A</v>
          </cell>
          <cell r="F382" t="e">
            <v>#REF!</v>
          </cell>
          <cell r="G382" t="str">
            <v>LEANDRO</v>
          </cell>
          <cell r="K382" t="str">
            <v>FATURADO</v>
          </cell>
        </row>
        <row r="383">
          <cell r="A383" t="str">
            <v>1025-005034</v>
          </cell>
          <cell r="B383" t="e">
            <v>#N/A</v>
          </cell>
          <cell r="C383" t="e">
            <v>#N/A</v>
          </cell>
          <cell r="D383" t="e">
            <v>#N/A</v>
          </cell>
          <cell r="E383" t="str">
            <v>LIBERADO POR LEANDRO - 12/11/2025</v>
          </cell>
          <cell r="F383" t="e">
            <v>#REF!</v>
          </cell>
          <cell r="G383" t="e">
            <v>#N/A</v>
          </cell>
          <cell r="K383" t="str">
            <v>FATURADO</v>
          </cell>
        </row>
        <row r="384">
          <cell r="A384" t="str">
            <v>1125-011971</v>
          </cell>
          <cell r="B384" t="str">
            <v>DP SHOPPING BARRA SHOPPING</v>
          </cell>
          <cell r="C384" t="str">
            <v>Solicito reparo urgente!! porta de aço de rolar da entrada da loja quebrou.</v>
          </cell>
          <cell r="D384" t="str">
            <v>SERRALHERIA</v>
          </cell>
          <cell r="F384" t="e">
            <v>#REF!</v>
          </cell>
          <cell r="G384" t="str">
            <v>LEANDRO</v>
          </cell>
          <cell r="H384" t="str">
            <v>MANFAC 6</v>
          </cell>
          <cell r="K384" t="str">
            <v>FATURADO</v>
          </cell>
        </row>
        <row r="385">
          <cell r="A385" t="str">
            <v>1025-008668</v>
          </cell>
          <cell r="B385" t="e">
            <v>#N/A</v>
          </cell>
          <cell r="C385" t="e">
            <v>#N/A</v>
          </cell>
          <cell r="D385" t="e">
            <v>#N/A</v>
          </cell>
          <cell r="E385" t="str">
            <v>LIBERADO POR LEANDRO - 10/10/2025</v>
          </cell>
          <cell r="F385" t="e">
            <v>#REF!</v>
          </cell>
          <cell r="G385" t="e">
            <v>#N/A</v>
          </cell>
          <cell r="K385" t="str">
            <v>FATURADO</v>
          </cell>
        </row>
        <row r="386">
          <cell r="A386" t="str">
            <v>1125-009028</v>
          </cell>
          <cell r="B386" t="e">
            <v>#N/A</v>
          </cell>
          <cell r="C386" t="e">
            <v>#N/A</v>
          </cell>
          <cell r="D386" t="e">
            <v>#N/A</v>
          </cell>
          <cell r="E386" t="str">
            <v>LIBERADO POR LEANDRO - 04/11/2025</v>
          </cell>
          <cell r="F386" t="e">
            <v>#REF!</v>
          </cell>
          <cell r="G386" t="e">
            <v>#N/A</v>
          </cell>
          <cell r="K386" t="str">
            <v>FATURADO</v>
          </cell>
        </row>
        <row r="387">
          <cell r="A387" t="str">
            <v>1125-012638</v>
          </cell>
          <cell r="B387" t="e">
            <v>#N/A</v>
          </cell>
          <cell r="C387" t="e">
            <v>#N/A</v>
          </cell>
          <cell r="D387" t="e">
            <v>#N/A</v>
          </cell>
          <cell r="E387" t="str">
            <v>LIBERADO POR AMANDA - 14/11/2025</v>
          </cell>
          <cell r="F387" t="e">
            <v>#REF!</v>
          </cell>
          <cell r="G387" t="e">
            <v>#N/A</v>
          </cell>
          <cell r="K387" t="str">
            <v>FATURADO</v>
          </cell>
        </row>
        <row r="388">
          <cell r="A388" t="str">
            <v>1125-012796</v>
          </cell>
          <cell r="B388" t="str">
            <v>DP JARDIM OCEANICO</v>
          </cell>
          <cell r="C388" t="str">
            <v>Bom dia, estamos sem agua desde ontem. Solicito abastecimento.</v>
          </cell>
          <cell r="D388" t="str">
            <v>HIDRAULICA</v>
          </cell>
          <cell r="E388" t="str">
            <v>LIBERADO POR LEANDRO - 15/11/2025</v>
          </cell>
          <cell r="F388" t="e">
            <v>#REF!</v>
          </cell>
          <cell r="G388" t="str">
            <v>LEANDRO</v>
          </cell>
          <cell r="K388" t="str">
            <v>FATURADO</v>
          </cell>
        </row>
        <row r="389">
          <cell r="A389" t="str">
            <v>1125-012831</v>
          </cell>
          <cell r="B389" t="str">
            <v>DP JARDIM OCEANICO 2</v>
          </cell>
          <cell r="C389" t="str">
            <v>OLA BOM DIA!!!
 FILIAL SEM AGUA SOLICITAMOS O APOIO DO CARRO PIPA .
 GRATOS DESDE JÁ PELO APOIO.</v>
          </cell>
          <cell r="D389" t="str">
            <v>HIDRAULICA</v>
          </cell>
          <cell r="E389" t="str">
            <v>LIBERADO POR LEANDRO - 15/11/2025</v>
          </cell>
          <cell r="F389" t="e">
            <v>#REF!</v>
          </cell>
          <cell r="G389" t="str">
            <v>LEANDRO</v>
          </cell>
          <cell r="K389" t="str">
            <v>FATURADO</v>
          </cell>
        </row>
        <row r="390">
          <cell r="A390" t="str">
            <v>1125-011092</v>
          </cell>
          <cell r="B390" t="e">
            <v>#N/A</v>
          </cell>
          <cell r="C390" t="e">
            <v>#N/A</v>
          </cell>
          <cell r="D390" t="e">
            <v>#N/A</v>
          </cell>
          <cell r="E390" t="str">
            <v>LIBERADO POR LEANDRO - 11/11/2025</v>
          </cell>
          <cell r="F390" t="e">
            <v>#REF!</v>
          </cell>
          <cell r="G390" t="e">
            <v>#N/A</v>
          </cell>
          <cell r="K390" t="str">
            <v>FATURADO</v>
          </cell>
        </row>
        <row r="391">
          <cell r="A391" t="str">
            <v>1125-014320</v>
          </cell>
          <cell r="B391" t="str">
            <v>DP PEDRA DE GUARATIBA</v>
          </cell>
          <cell r="C391" t="str">
            <v>Filial com falta de água, solicito caminhão pipa para abastecimento da filial</v>
          </cell>
          <cell r="D391" t="str">
            <v>HIDRAULICA</v>
          </cell>
          <cell r="E391" t="str">
            <v>LIBERADO POR LEANDRO - 15/11/2025</v>
          </cell>
          <cell r="F391" t="e">
            <v>#REF!</v>
          </cell>
          <cell r="G391" t="str">
            <v>JUAN</v>
          </cell>
          <cell r="K391" t="str">
            <v>FATURADO</v>
          </cell>
        </row>
        <row r="392">
          <cell r="A392" t="str">
            <v>1125-012582</v>
          </cell>
          <cell r="B392" t="str">
            <v>DP RECREIO 6</v>
          </cell>
          <cell r="C392" t="str">
            <v>Olá boa tarde !
 Loja esta sem agua desde 12:30 Solicito reparo urgente!!!</v>
          </cell>
          <cell r="D392" t="str">
            <v>HIDRAULICA</v>
          </cell>
          <cell r="E392" t="str">
            <v>LIBERADO POR LEANDRO - 15/11/2025</v>
          </cell>
          <cell r="F392" t="e">
            <v>#REF!</v>
          </cell>
          <cell r="G392" t="str">
            <v>JUAN</v>
          </cell>
          <cell r="K392" t="str">
            <v>FATURADO</v>
          </cell>
        </row>
        <row r="393">
          <cell r="A393" t="str">
            <v>1125-017467</v>
          </cell>
          <cell r="B393" t="str">
            <v>DP TAQUARA 8</v>
          </cell>
          <cell r="C393" t="str">
            <v xml:space="preserve">ABASTECIMENTO </v>
          </cell>
          <cell r="D393" t="e">
            <v>#N/A</v>
          </cell>
          <cell r="E393" t="str">
            <v>LUBERADO POR AMANDA - 27/11/2025</v>
          </cell>
          <cell r="F393">
            <v>2000</v>
          </cell>
          <cell r="G393" t="str">
            <v>AMANDA</v>
          </cell>
          <cell r="K393" t="str">
            <v>FATURADO</v>
          </cell>
        </row>
        <row r="394">
          <cell r="A394" t="str">
            <v>1125-017147</v>
          </cell>
          <cell r="B394" t="str">
            <v xml:space="preserve">DP TIJUCA 5 </v>
          </cell>
          <cell r="C394" t="str">
            <v xml:space="preserve">ABASTECIMENTO </v>
          </cell>
          <cell r="D394" t="e">
            <v>#N/A</v>
          </cell>
          <cell r="E394" t="str">
            <v>LIBERADO POR JUAN 26/11/2025</v>
          </cell>
          <cell r="F394">
            <v>2000</v>
          </cell>
          <cell r="G394" t="str">
            <v>JUAN</v>
          </cell>
          <cell r="K394" t="str">
            <v>FATURADO</v>
          </cell>
        </row>
        <row r="395">
          <cell r="A395" t="str">
            <v>0624-005803</v>
          </cell>
          <cell r="B395" t="e">
            <v>#N/A</v>
          </cell>
          <cell r="C395" t="e">
            <v>#N/A</v>
          </cell>
          <cell r="D395" t="e">
            <v>#N/A</v>
          </cell>
          <cell r="F395" t="e">
            <v>#REF!</v>
          </cell>
          <cell r="G395" t="str">
            <v>AMANDA</v>
          </cell>
          <cell r="K395" t="str">
            <v>CANCELADO</v>
          </cell>
        </row>
        <row r="396">
          <cell r="A396" t="str">
            <v>1125-009859</v>
          </cell>
          <cell r="B396" t="e">
            <v>#N/A</v>
          </cell>
          <cell r="C396" t="e">
            <v>#N/A</v>
          </cell>
          <cell r="D396" t="e">
            <v>#N/A</v>
          </cell>
          <cell r="E396" t="str">
            <v xml:space="preserve">LIBERADO EM REUNIÃO - 11/11 </v>
          </cell>
          <cell r="F396" t="e">
            <v>#REF!</v>
          </cell>
          <cell r="G396" t="e">
            <v>#N/A</v>
          </cell>
          <cell r="K396" t="str">
            <v>FATURADO</v>
          </cell>
        </row>
        <row r="397">
          <cell r="A397" t="str">
            <v>1025-012445</v>
          </cell>
          <cell r="B397" t="e">
            <v>#N/A</v>
          </cell>
          <cell r="C397" t="e">
            <v>#N/A</v>
          </cell>
          <cell r="D397" t="e">
            <v>#N/A</v>
          </cell>
          <cell r="E397" t="str">
            <v>LIBERADO POR LEANDRO - VISITA</v>
          </cell>
          <cell r="F397" t="e">
            <v>#REF!</v>
          </cell>
          <cell r="G397" t="e">
            <v>#N/A</v>
          </cell>
          <cell r="K397" t="str">
            <v>FATURADO</v>
          </cell>
        </row>
        <row r="398">
          <cell r="A398" t="str">
            <v>1025-012448</v>
          </cell>
          <cell r="B398" t="e">
            <v>#N/A</v>
          </cell>
          <cell r="C398" t="e">
            <v>#N/A</v>
          </cell>
          <cell r="D398" t="e">
            <v>#N/A</v>
          </cell>
          <cell r="E398" t="str">
            <v>LIBERADO POR LEANDRO - VISITA</v>
          </cell>
          <cell r="F398" t="e">
            <v>#REF!</v>
          </cell>
          <cell r="G398" t="e">
            <v>#N/A</v>
          </cell>
          <cell r="K398" t="str">
            <v>FATURADO</v>
          </cell>
        </row>
        <row r="399">
          <cell r="A399" t="str">
            <v>1025-015908</v>
          </cell>
          <cell r="B399" t="e">
            <v>#N/A</v>
          </cell>
          <cell r="C399" t="e">
            <v>#N/A</v>
          </cell>
          <cell r="D399" t="e">
            <v>#N/A</v>
          </cell>
          <cell r="E399" t="str">
            <v xml:space="preserve">LIBERADO EM REUNIÃO - 11/11 </v>
          </cell>
          <cell r="F399" t="e">
            <v>#REF!</v>
          </cell>
          <cell r="G399" t="e">
            <v>#N/A</v>
          </cell>
          <cell r="K399" t="str">
            <v>FATURADO</v>
          </cell>
        </row>
        <row r="400">
          <cell r="A400" t="str">
            <v>1025-013282</v>
          </cell>
          <cell r="B400" t="e">
            <v>#N/A</v>
          </cell>
          <cell r="C400" t="e">
            <v>#N/A</v>
          </cell>
          <cell r="D400" t="e">
            <v>#N/A</v>
          </cell>
          <cell r="E400" t="str">
            <v>LIBERADO EM REUNIÃO - 23/10 04/11/2025</v>
          </cell>
          <cell r="F400" t="e">
            <v>#REF!</v>
          </cell>
          <cell r="G400" t="e">
            <v>#N/A</v>
          </cell>
          <cell r="H400" t="str">
            <v>MANFAC - 6</v>
          </cell>
          <cell r="K400" t="str">
            <v>FATURADO</v>
          </cell>
        </row>
        <row r="401">
          <cell r="A401" t="str">
            <v>0925-017541</v>
          </cell>
          <cell r="B401" t="e">
            <v>#N/A</v>
          </cell>
          <cell r="C401" t="e">
            <v>#N/A</v>
          </cell>
          <cell r="D401" t="e">
            <v>#N/A</v>
          </cell>
          <cell r="E401" t="str">
            <v>LIBERADO EM REUNIÃO - 23/10 04/11/2025</v>
          </cell>
          <cell r="F401" t="e">
            <v>#REF!</v>
          </cell>
          <cell r="G401" t="e">
            <v>#N/A</v>
          </cell>
          <cell r="H401" t="str">
            <v>MANFAC - 6</v>
          </cell>
          <cell r="K401" t="str">
            <v>FATURADO</v>
          </cell>
        </row>
        <row r="402">
          <cell r="A402" t="str">
            <v>0425-010348</v>
          </cell>
          <cell r="B402" t="e">
            <v>#N/A</v>
          </cell>
          <cell r="C402" t="e">
            <v>#N/A</v>
          </cell>
          <cell r="D402" t="e">
            <v>#N/A</v>
          </cell>
          <cell r="F402" t="e">
            <v>#REF!</v>
          </cell>
          <cell r="G402" t="e">
            <v>#N/A</v>
          </cell>
          <cell r="K402" t="str">
            <v>FATURADO</v>
          </cell>
        </row>
        <row r="403">
          <cell r="A403" t="str">
            <v>1125-014438</v>
          </cell>
          <cell r="B403" t="str">
            <v>DP BOTAFOGO 7</v>
          </cell>
          <cell r="C403" t="str">
            <v>LIMPEZA DE FACHADA</v>
          </cell>
          <cell r="D403" t="str">
            <v>CIVIL</v>
          </cell>
          <cell r="F403" t="e">
            <v>#REF!</v>
          </cell>
          <cell r="G403" t="str">
            <v>LEANDRO</v>
          </cell>
          <cell r="K403" t="str">
            <v>FATURADO</v>
          </cell>
        </row>
        <row r="404">
          <cell r="A404" t="str">
            <v>1125-009502</v>
          </cell>
          <cell r="B404" t="e">
            <v>#N/A</v>
          </cell>
          <cell r="C404" t="e">
            <v>#N/A</v>
          </cell>
          <cell r="D404" t="e">
            <v>#N/A</v>
          </cell>
          <cell r="F404" t="e">
            <v>#REF!</v>
          </cell>
          <cell r="G404" t="e">
            <v>#N/A</v>
          </cell>
          <cell r="K404" t="str">
            <v>FATURADO</v>
          </cell>
        </row>
        <row r="405">
          <cell r="A405" t="str">
            <v>1025-008400</v>
          </cell>
          <cell r="B405" t="e">
            <v>#N/A</v>
          </cell>
          <cell r="C405" t="e">
            <v>#N/A</v>
          </cell>
          <cell r="D405" t="e">
            <v>#N/A</v>
          </cell>
          <cell r="F405" t="e">
            <v>#REF!</v>
          </cell>
          <cell r="G405" t="e">
            <v>#N/A</v>
          </cell>
          <cell r="H405" t="str">
            <v>PARCEIRO</v>
          </cell>
          <cell r="K405" t="str">
            <v>FATURADO</v>
          </cell>
        </row>
        <row r="406">
          <cell r="A406" t="str">
            <v>1125-009506</v>
          </cell>
          <cell r="B406" t="str">
            <v>DP IPANEMA 8</v>
          </cell>
          <cell r="C406" t="str">
            <v>Olá, boa tarde!!
 Nosso vaso sanitário está danificado.
 Tem uma rachadura e está vazando água.
 Segue a foto em anexo.
 Att.</v>
          </cell>
          <cell r="D406" t="str">
            <v>HIDRAULICA</v>
          </cell>
          <cell r="F406" t="e">
            <v>#REF!</v>
          </cell>
          <cell r="G406" t="str">
            <v>LEANDRO</v>
          </cell>
          <cell r="K406" t="str">
            <v>FATURADO</v>
          </cell>
        </row>
        <row r="407">
          <cell r="A407" t="str">
            <v>1125-009035</v>
          </cell>
          <cell r="B407" t="e">
            <v>#N/A</v>
          </cell>
          <cell r="C407" t="e">
            <v>#N/A</v>
          </cell>
          <cell r="D407" t="e">
            <v>#N/A</v>
          </cell>
          <cell r="E407" t="str">
            <v>LIBERADO POR AMANDA - 04/11/2025</v>
          </cell>
          <cell r="F407" t="e">
            <v>#REF!</v>
          </cell>
          <cell r="G407" t="e">
            <v>#N/A</v>
          </cell>
          <cell r="K407" t="str">
            <v>FATURADO</v>
          </cell>
        </row>
        <row r="408">
          <cell r="A408" t="str">
            <v>1125-012801</v>
          </cell>
          <cell r="B408" t="str">
            <v>DP GLORIA</v>
          </cell>
          <cell r="C408" t="str">
            <v>Solicito limpeza da porta e parede pichada</v>
          </cell>
          <cell r="D408" t="str">
            <v>CIVIL</v>
          </cell>
          <cell r="F408" t="e">
            <v>#REF!</v>
          </cell>
          <cell r="G408" t="str">
            <v>LEANDRO</v>
          </cell>
          <cell r="K408" t="str">
            <v>FATURADO</v>
          </cell>
        </row>
        <row r="409">
          <cell r="A409" t="str">
            <v>1225-004902</v>
          </cell>
          <cell r="B409" t="e">
            <v>#N/A</v>
          </cell>
          <cell r="C409" t="e">
            <v>#N/A</v>
          </cell>
          <cell r="D409" t="e">
            <v>#N/A</v>
          </cell>
          <cell r="E409" t="str">
            <v>LIBERADO POR AMANDA - 04/12/2025</v>
          </cell>
          <cell r="F409" t="e">
            <v>#REF!</v>
          </cell>
          <cell r="G409" t="e">
            <v>#N/A</v>
          </cell>
          <cell r="H409" t="str">
            <v>MANFAC 7</v>
          </cell>
          <cell r="K409" t="str">
            <v>FATURADO</v>
          </cell>
        </row>
        <row r="410">
          <cell r="A410" t="str">
            <v>0925-012170</v>
          </cell>
          <cell r="B410" t="e">
            <v>#N/A</v>
          </cell>
          <cell r="C410" t="e">
            <v>#N/A</v>
          </cell>
          <cell r="D410" t="e">
            <v>#N/A</v>
          </cell>
          <cell r="E410" t="str">
            <v>MAU USO</v>
          </cell>
          <cell r="F410" t="e">
            <v>#REF!</v>
          </cell>
          <cell r="G410" t="e">
            <v>#N/A</v>
          </cell>
          <cell r="K410" t="str">
            <v>FATURADO</v>
          </cell>
        </row>
        <row r="411">
          <cell r="A411" t="str">
            <v>1025-013933</v>
          </cell>
          <cell r="B411" t="str">
            <v>DP ITAIPUACU</v>
          </cell>
          <cell r="C411" t="str">
            <v>chave não gira o miolo do tambor da porta lateral</v>
          </cell>
          <cell r="D411" t="str">
            <v>SERRALHERIA</v>
          </cell>
          <cell r="F411" t="e">
            <v>#REF!</v>
          </cell>
          <cell r="G411" t="str">
            <v>AMANDA</v>
          </cell>
          <cell r="K411" t="str">
            <v>FATURADO</v>
          </cell>
        </row>
        <row r="412">
          <cell r="A412" t="str">
            <v>0325-014139</v>
          </cell>
          <cell r="B412" t="e">
            <v>#N/A</v>
          </cell>
          <cell r="C412" t="e">
            <v>#N/A</v>
          </cell>
          <cell r="D412" t="e">
            <v>#N/A</v>
          </cell>
          <cell r="F412" t="e">
            <v>#REF!</v>
          </cell>
          <cell r="G412" t="e">
            <v>#N/A</v>
          </cell>
          <cell r="H412" t="str">
            <v>MANFAC - 13</v>
          </cell>
          <cell r="K412" t="str">
            <v>FATURADO</v>
          </cell>
        </row>
        <row r="413">
          <cell r="A413" t="str">
            <v>0925-011165</v>
          </cell>
          <cell r="B413" t="e">
            <v>#N/A</v>
          </cell>
          <cell r="C413" t="e">
            <v>#N/A</v>
          </cell>
          <cell r="D413" t="e">
            <v>#N/A</v>
          </cell>
          <cell r="F413" t="e">
            <v>#REF!</v>
          </cell>
          <cell r="G413" t="e">
            <v>#N/A</v>
          </cell>
          <cell r="K413" t="str">
            <v>FATURADO</v>
          </cell>
        </row>
        <row r="414">
          <cell r="A414" t="str">
            <v>1025-013921</v>
          </cell>
          <cell r="B414" t="e">
            <v>#N/A</v>
          </cell>
          <cell r="C414" t="e">
            <v>#N/A</v>
          </cell>
          <cell r="D414" t="e">
            <v>#N/A</v>
          </cell>
          <cell r="F414" t="e">
            <v>#REF!</v>
          </cell>
          <cell r="G414" t="e">
            <v>#N/A</v>
          </cell>
          <cell r="K414" t="str">
            <v>FATURADO</v>
          </cell>
        </row>
        <row r="415">
          <cell r="A415" t="str">
            <v>1025-012396</v>
          </cell>
          <cell r="B415" t="e">
            <v>#N/A</v>
          </cell>
          <cell r="C415" t="e">
            <v>#N/A</v>
          </cell>
          <cell r="D415" t="e">
            <v>#N/A</v>
          </cell>
          <cell r="E415">
            <v>45961</v>
          </cell>
          <cell r="F415" t="e">
            <v>#REF!</v>
          </cell>
          <cell r="G415" t="e">
            <v>#N/A</v>
          </cell>
          <cell r="H415" t="str">
            <v>MANFAC - 4</v>
          </cell>
          <cell r="K415" t="str">
            <v>FATURADO</v>
          </cell>
        </row>
        <row r="416">
          <cell r="A416" t="str">
            <v>1025-013190</v>
          </cell>
          <cell r="B416" t="e">
            <v>#N/A</v>
          </cell>
          <cell r="C416" t="e">
            <v>#N/A</v>
          </cell>
          <cell r="D416" t="e">
            <v>#N/A</v>
          </cell>
          <cell r="E416" t="str">
            <v>LIBERADO POR AMANDA - 21/10/2025</v>
          </cell>
          <cell r="F416" t="e">
            <v>#REF!</v>
          </cell>
          <cell r="G416" t="e">
            <v>#N/A</v>
          </cell>
          <cell r="K416" t="str">
            <v>FATURADO</v>
          </cell>
        </row>
        <row r="417">
          <cell r="A417" t="str">
            <v>1025-009431</v>
          </cell>
          <cell r="B417" t="e">
            <v>#N/A</v>
          </cell>
          <cell r="C417" t="e">
            <v>#N/A</v>
          </cell>
          <cell r="D417" t="e">
            <v>#N/A</v>
          </cell>
          <cell r="E417" t="str">
            <v>LIBERADO POR CLAUDIO - 28/10/2025</v>
          </cell>
          <cell r="F417" t="e">
            <v>#REF!</v>
          </cell>
          <cell r="G417" t="e">
            <v>#N/A</v>
          </cell>
          <cell r="K417" t="str">
            <v>FATURADO</v>
          </cell>
        </row>
        <row r="418">
          <cell r="A418" t="str">
            <v>1025-008763</v>
          </cell>
          <cell r="B418" t="e">
            <v>#N/A</v>
          </cell>
          <cell r="C418" t="e">
            <v>#N/A</v>
          </cell>
          <cell r="D418" t="e">
            <v>#N/A</v>
          </cell>
          <cell r="E418" t="str">
            <v>LIBERADO POR LEANDRO - 10/10/2025</v>
          </cell>
          <cell r="F418" t="e">
            <v>#REF!</v>
          </cell>
          <cell r="G418" t="e">
            <v>#N/A</v>
          </cell>
          <cell r="K418" t="str">
            <v>FATURADO</v>
          </cell>
        </row>
        <row r="419">
          <cell r="A419" t="str">
            <v>1025-012335</v>
          </cell>
          <cell r="B419" t="e">
            <v>#N/A</v>
          </cell>
          <cell r="C419" t="e">
            <v>#N/A</v>
          </cell>
          <cell r="D419" t="e">
            <v>#N/A</v>
          </cell>
          <cell r="E419" t="str">
            <v>LIBERADO POR AMANDA - 20/10/2025</v>
          </cell>
          <cell r="F419" t="e">
            <v>#REF!</v>
          </cell>
          <cell r="G419" t="e">
            <v>#N/A</v>
          </cell>
          <cell r="K419" t="str">
            <v>FATURADO</v>
          </cell>
        </row>
        <row r="420">
          <cell r="A420" t="str">
            <v>1025-012770</v>
          </cell>
          <cell r="B420" t="e">
            <v>#N/A</v>
          </cell>
          <cell r="C420" t="e">
            <v>#N/A</v>
          </cell>
          <cell r="D420" t="e">
            <v>#N/A</v>
          </cell>
          <cell r="E420" t="str">
            <v>LIBERADO POR AMANDA - 20/10/2025</v>
          </cell>
          <cell r="F420" t="e">
            <v>#REF!</v>
          </cell>
          <cell r="G420" t="e">
            <v>#N/A</v>
          </cell>
          <cell r="K420" t="str">
            <v>FATURADO</v>
          </cell>
        </row>
        <row r="421">
          <cell r="A421" t="str">
            <v>1025-013059</v>
          </cell>
          <cell r="B421" t="e">
            <v>#N/A</v>
          </cell>
          <cell r="C421" t="e">
            <v>#N/A</v>
          </cell>
          <cell r="D421" t="e">
            <v>#N/A</v>
          </cell>
          <cell r="E421" t="str">
            <v>LIBERADO POR AMANDA - 22/10/2025</v>
          </cell>
          <cell r="F421" t="e">
            <v>#REF!</v>
          </cell>
          <cell r="G421" t="e">
            <v>#N/A</v>
          </cell>
          <cell r="K421" t="str">
            <v>FATURADO</v>
          </cell>
        </row>
        <row r="422">
          <cell r="A422" t="str">
            <v>1025-017247</v>
          </cell>
          <cell r="B422" t="e">
            <v>#N/A</v>
          </cell>
          <cell r="C422" t="e">
            <v>#N/A</v>
          </cell>
          <cell r="D422" t="e">
            <v>#N/A</v>
          </cell>
          <cell r="E422" t="str">
            <v>LIBERADO POR AMANDA - 31/10/2025</v>
          </cell>
          <cell r="F422" t="e">
            <v>#REF!</v>
          </cell>
          <cell r="G422" t="e">
            <v>#N/A</v>
          </cell>
          <cell r="K422" t="str">
            <v>FATURADO</v>
          </cell>
        </row>
        <row r="423">
          <cell r="A423" t="str">
            <v>1125-008090</v>
          </cell>
          <cell r="B423" t="e">
            <v>#N/A</v>
          </cell>
          <cell r="C423" t="e">
            <v>#N/A</v>
          </cell>
          <cell r="D423" t="e">
            <v>#N/A</v>
          </cell>
          <cell r="E423" t="str">
            <v>LIBERADO POR LEANDRO - 01/11/2025</v>
          </cell>
          <cell r="F423" t="e">
            <v>#REF!</v>
          </cell>
          <cell r="G423" t="e">
            <v>#N/A</v>
          </cell>
          <cell r="K423" t="str">
            <v>FATURADO</v>
          </cell>
        </row>
        <row r="424">
          <cell r="A424" t="str">
            <v>0925-008603</v>
          </cell>
          <cell r="B424" t="e">
            <v>#N/A</v>
          </cell>
          <cell r="C424" t="e">
            <v>#N/A</v>
          </cell>
          <cell r="D424" t="e">
            <v>#N/A</v>
          </cell>
          <cell r="F424" t="e">
            <v>#REF!</v>
          </cell>
          <cell r="G424" t="e">
            <v>#N/A</v>
          </cell>
          <cell r="K424" t="str">
            <v>FATURADO</v>
          </cell>
        </row>
        <row r="425">
          <cell r="A425" t="str">
            <v>0725-016980</v>
          </cell>
          <cell r="B425" t="e">
            <v>#N/A</v>
          </cell>
          <cell r="C425" t="e">
            <v>#N/A</v>
          </cell>
          <cell r="D425" t="e">
            <v>#N/A</v>
          </cell>
          <cell r="E425" t="str">
            <v>LIBERADO POR AMANDA - 11/08/2025</v>
          </cell>
          <cell r="F425" t="e">
            <v>#REF!</v>
          </cell>
          <cell r="G425" t="e">
            <v>#N/A</v>
          </cell>
          <cell r="K425" t="str">
            <v>FATURADO</v>
          </cell>
        </row>
        <row r="426">
          <cell r="A426" t="str">
            <v>0925-014203</v>
          </cell>
          <cell r="B426" t="e">
            <v>#N/A</v>
          </cell>
          <cell r="C426" t="e">
            <v>#N/A</v>
          </cell>
          <cell r="D426" t="e">
            <v>#N/A</v>
          </cell>
          <cell r="E426" t="str">
            <v>LIBERADO POR JUAN - 31/10/2025</v>
          </cell>
          <cell r="F426" t="e">
            <v>#REF!</v>
          </cell>
          <cell r="G426" t="e">
            <v>#N/A</v>
          </cell>
          <cell r="K426" t="str">
            <v>FATURADO</v>
          </cell>
        </row>
        <row r="427">
          <cell r="A427" t="str">
            <v>1025-015914</v>
          </cell>
          <cell r="B427" t="str">
            <v>SANTA LUZIA</v>
          </cell>
          <cell r="C427" t="str">
            <v>TELHADO</v>
          </cell>
          <cell r="D427" t="e">
            <v>#N/A</v>
          </cell>
          <cell r="E427" t="str">
            <v xml:space="preserve">LIBERADO EM REUNIÃO - 28/10 </v>
          </cell>
          <cell r="F427" t="e">
            <v>#REF!</v>
          </cell>
          <cell r="G427" t="e">
            <v>#N/A</v>
          </cell>
          <cell r="K427" t="str">
            <v>FATURADO</v>
          </cell>
        </row>
        <row r="428">
          <cell r="A428" t="str">
            <v>1025-014108</v>
          </cell>
          <cell r="B428" t="e">
            <v>#N/A</v>
          </cell>
          <cell r="C428" t="e">
            <v>#N/A</v>
          </cell>
          <cell r="D428" t="e">
            <v>#N/A</v>
          </cell>
          <cell r="E428" t="str">
            <v>LIBERADO POR CLAUDIO - 24/10/2025</v>
          </cell>
          <cell r="F428" t="e">
            <v>#REF!</v>
          </cell>
          <cell r="G428" t="e">
            <v>#N/A</v>
          </cell>
          <cell r="K428" t="str">
            <v>FATURADO</v>
          </cell>
        </row>
        <row r="429">
          <cell r="A429" t="str">
            <v>1025-012441</v>
          </cell>
          <cell r="B429" t="e">
            <v>#N/A</v>
          </cell>
          <cell r="C429" t="e">
            <v>#N/A</v>
          </cell>
          <cell r="D429" t="e">
            <v>#N/A</v>
          </cell>
          <cell r="E429" t="str">
            <v>LIBERADO POR LEANDRO - VISITA</v>
          </cell>
          <cell r="F429" t="e">
            <v>#REF!</v>
          </cell>
          <cell r="G429" t="e">
            <v>#N/A</v>
          </cell>
          <cell r="K429" t="str">
            <v>FATURADO</v>
          </cell>
        </row>
        <row r="430">
          <cell r="A430" t="str">
            <v>0925-015368</v>
          </cell>
          <cell r="B430" t="e">
            <v>#N/A</v>
          </cell>
          <cell r="C430" t="e">
            <v>#N/A</v>
          </cell>
          <cell r="D430" t="e">
            <v>#N/A</v>
          </cell>
          <cell r="E430" t="str">
            <v>LIBERADO PARA EXECUÇÃO POR AMANDA</v>
          </cell>
          <cell r="F430" t="e">
            <v>#REF!</v>
          </cell>
          <cell r="G430" t="e">
            <v>#N/A</v>
          </cell>
          <cell r="K430" t="str">
            <v>FATURADO</v>
          </cell>
        </row>
        <row r="431">
          <cell r="A431" t="str">
            <v>1125-009783</v>
          </cell>
          <cell r="B431" t="e">
            <v>#N/A</v>
          </cell>
          <cell r="C431" t="e">
            <v>#N/A</v>
          </cell>
          <cell r="D431" t="e">
            <v>#N/A</v>
          </cell>
          <cell r="F431" t="e">
            <v>#REF!</v>
          </cell>
          <cell r="G431" t="e">
            <v>#N/A</v>
          </cell>
          <cell r="K431" t="str">
            <v>FATURADO</v>
          </cell>
        </row>
        <row r="432">
          <cell r="A432" t="str">
            <v>0925-015372</v>
          </cell>
          <cell r="B432" t="e">
            <v>#N/A</v>
          </cell>
          <cell r="C432" t="e">
            <v>#N/A</v>
          </cell>
          <cell r="D432" t="e">
            <v>#N/A</v>
          </cell>
          <cell r="E432" t="str">
            <v>LIBERADO PARA EXECUÇÃO POR AMANDA</v>
          </cell>
          <cell r="F432" t="e">
            <v>#REF!</v>
          </cell>
          <cell r="G432" t="e">
            <v>#N/A</v>
          </cell>
          <cell r="K432" t="str">
            <v>FATURADO</v>
          </cell>
        </row>
        <row r="433">
          <cell r="A433" t="str">
            <v>1025-006086</v>
          </cell>
          <cell r="B433" t="e">
            <v>#N/A</v>
          </cell>
          <cell r="C433" t="e">
            <v>#N/A</v>
          </cell>
          <cell r="D433" t="e">
            <v>#N/A</v>
          </cell>
          <cell r="E433" t="str">
            <v>LIBERADO POR AMANDA - 03/10/2025</v>
          </cell>
          <cell r="F433" t="e">
            <v>#REF!</v>
          </cell>
          <cell r="G433" t="e">
            <v>#N/A</v>
          </cell>
          <cell r="K433" t="str">
            <v>FATURADO</v>
          </cell>
        </row>
        <row r="434">
          <cell r="A434" t="str">
            <v>1025-012450</v>
          </cell>
          <cell r="B434" t="e">
            <v>#N/A</v>
          </cell>
          <cell r="C434" t="e">
            <v>#N/A</v>
          </cell>
          <cell r="D434" t="e">
            <v>#N/A</v>
          </cell>
          <cell r="E434" t="str">
            <v>LIBERADO POR LEANDRO - VISITA</v>
          </cell>
          <cell r="F434" t="e">
            <v>#REF!</v>
          </cell>
          <cell r="G434" t="e">
            <v>#N/A</v>
          </cell>
          <cell r="K434" t="str">
            <v>FATURADO</v>
          </cell>
        </row>
        <row r="435">
          <cell r="A435" t="str">
            <v>0925-017406</v>
          </cell>
          <cell r="B435" t="e">
            <v>#N/A</v>
          </cell>
          <cell r="C435" t="e">
            <v>#N/A</v>
          </cell>
          <cell r="D435" t="e">
            <v>#N/A</v>
          </cell>
          <cell r="E435" t="str">
            <v>LIBERADO EM REUNIÃO - 28/10 03/11/2025</v>
          </cell>
          <cell r="F435" t="e">
            <v>#REF!</v>
          </cell>
          <cell r="G435" t="e">
            <v>#N/A</v>
          </cell>
          <cell r="K435" t="str">
            <v>FATURADO</v>
          </cell>
        </row>
        <row r="436">
          <cell r="A436" t="str">
            <v>0925-008686</v>
          </cell>
          <cell r="B436" t="e">
            <v>#N/A</v>
          </cell>
          <cell r="C436" t="e">
            <v>#N/A</v>
          </cell>
          <cell r="D436" t="e">
            <v>#N/A</v>
          </cell>
          <cell r="E436" t="str">
            <v>LIBERADO POR LEANDRO - 26/08/2025</v>
          </cell>
          <cell r="F436" t="e">
            <v>#REF!</v>
          </cell>
          <cell r="G436" t="e">
            <v>#N/A</v>
          </cell>
          <cell r="K436" t="str">
            <v>FATURADO</v>
          </cell>
        </row>
        <row r="437">
          <cell r="A437" t="str">
            <v>1025-006466</v>
          </cell>
          <cell r="B437" t="e">
            <v>#N/A</v>
          </cell>
          <cell r="C437" t="e">
            <v>#N/A</v>
          </cell>
          <cell r="D437" t="e">
            <v>#N/A</v>
          </cell>
          <cell r="E437" t="str">
            <v>LIBERADO POR AMANDA - 07/10/2025</v>
          </cell>
          <cell r="F437">
            <v>2000</v>
          </cell>
          <cell r="G437" t="str">
            <v>AMANDA</v>
          </cell>
          <cell r="K437" t="str">
            <v>FATURADO</v>
          </cell>
        </row>
        <row r="438">
          <cell r="A438" t="str">
            <v>1025-008894</v>
          </cell>
          <cell r="B438" t="e">
            <v>#N/A</v>
          </cell>
          <cell r="C438" t="e">
            <v>#N/A</v>
          </cell>
          <cell r="D438" t="e">
            <v>#N/A</v>
          </cell>
          <cell r="E438" t="str">
            <v>LIBERADO POR AMANDA - 10/10/2025</v>
          </cell>
          <cell r="F438" t="e">
            <v>#REF!</v>
          </cell>
          <cell r="G438" t="str">
            <v>AMANDA</v>
          </cell>
          <cell r="K438" t="str">
            <v>FATURADO</v>
          </cell>
        </row>
        <row r="439">
          <cell r="A439" t="str">
            <v>1025-010569</v>
          </cell>
          <cell r="B439" t="e">
            <v>#N/A</v>
          </cell>
          <cell r="C439" t="e">
            <v>#N/A</v>
          </cell>
          <cell r="D439" t="e">
            <v>#N/A</v>
          </cell>
          <cell r="E439" t="str">
            <v>LIBERADO POR AMANDA - 13/10/2025</v>
          </cell>
          <cell r="F439">
            <v>2000</v>
          </cell>
          <cell r="G439" t="str">
            <v>AMANDA</v>
          </cell>
          <cell r="K439" t="str">
            <v>FATURADO</v>
          </cell>
        </row>
        <row r="440">
          <cell r="A440" t="str">
            <v>1025-011191</v>
          </cell>
          <cell r="B440" t="e">
            <v>#N/A</v>
          </cell>
          <cell r="C440" t="e">
            <v>#N/A</v>
          </cell>
          <cell r="D440" t="e">
            <v>#N/A</v>
          </cell>
          <cell r="E440" t="str">
            <v>LIBERADO POR AMANDA - 15/10/2025</v>
          </cell>
          <cell r="F440" t="e">
            <v>#REF!</v>
          </cell>
          <cell r="G440" t="e">
            <v>#N/A</v>
          </cell>
          <cell r="K440" t="str">
            <v>FATURADO</v>
          </cell>
        </row>
        <row r="441">
          <cell r="A441" t="str">
            <v>1025-014226</v>
          </cell>
          <cell r="B441" t="e">
            <v>#N/A</v>
          </cell>
          <cell r="C441" t="e">
            <v>#N/A</v>
          </cell>
          <cell r="D441" t="e">
            <v>#N/A</v>
          </cell>
          <cell r="E441" t="str">
            <v>LIBERADO POR AMANDA - 24/10/2025</v>
          </cell>
          <cell r="F441" t="e">
            <v>#REF!</v>
          </cell>
          <cell r="G441" t="e">
            <v>#N/A</v>
          </cell>
          <cell r="K441" t="str">
            <v>FATURADO</v>
          </cell>
        </row>
        <row r="442">
          <cell r="A442" t="str">
            <v>1025-014229</v>
          </cell>
          <cell r="B442" t="e">
            <v>#N/A</v>
          </cell>
          <cell r="C442" t="e">
            <v>#N/A</v>
          </cell>
          <cell r="D442" t="e">
            <v>#N/A</v>
          </cell>
          <cell r="E442" t="str">
            <v>LIBERADO POR AMANDA - 24/10/2025</v>
          </cell>
          <cell r="F442" t="e">
            <v>#REF!</v>
          </cell>
          <cell r="G442" t="e">
            <v>#N/A</v>
          </cell>
          <cell r="K442" t="str">
            <v>FATURADO</v>
          </cell>
        </row>
        <row r="443">
          <cell r="A443" t="str">
            <v>1025-017190</v>
          </cell>
          <cell r="B443" t="e">
            <v>#N/A</v>
          </cell>
          <cell r="C443" t="e">
            <v>#N/A</v>
          </cell>
          <cell r="D443" t="e">
            <v>#N/A</v>
          </cell>
          <cell r="E443" t="str">
            <v>LIBERADO POR AMANDA - 31/10/2025</v>
          </cell>
          <cell r="F443" t="e">
            <v>#REF!</v>
          </cell>
          <cell r="G443" t="e">
            <v>#N/A</v>
          </cell>
          <cell r="K443" t="str">
            <v>FATURADO</v>
          </cell>
        </row>
        <row r="444">
          <cell r="A444" t="str">
            <v>1025-017385</v>
          </cell>
          <cell r="B444" t="e">
            <v>#N/A</v>
          </cell>
          <cell r="C444" t="e">
            <v>#N/A</v>
          </cell>
          <cell r="D444" t="e">
            <v>#N/A</v>
          </cell>
          <cell r="E444" t="str">
            <v>LIBERADO POR LEANDRO - 01/11/2025</v>
          </cell>
          <cell r="F444" t="e">
            <v>#REF!</v>
          </cell>
          <cell r="G444" t="e">
            <v>#N/A</v>
          </cell>
          <cell r="K444" t="str">
            <v>FATURADO</v>
          </cell>
        </row>
        <row r="445">
          <cell r="A445" t="str">
            <v>1125-009361</v>
          </cell>
          <cell r="B445" t="e">
            <v>#N/A</v>
          </cell>
          <cell r="C445" t="e">
            <v>#N/A</v>
          </cell>
          <cell r="D445" t="e">
            <v>#N/A</v>
          </cell>
          <cell r="E445" t="str">
            <v>LIBERADO POR LEANDRO - 05/11/2025</v>
          </cell>
          <cell r="F445" t="e">
            <v>#REF!</v>
          </cell>
          <cell r="G445" t="e">
            <v>#N/A</v>
          </cell>
          <cell r="K445" t="str">
            <v>FATURADO</v>
          </cell>
        </row>
        <row r="446">
          <cell r="A446" t="str">
            <v>1025-013291</v>
          </cell>
          <cell r="B446" t="e">
            <v>#N/A</v>
          </cell>
          <cell r="C446" t="e">
            <v>#N/A</v>
          </cell>
          <cell r="D446" t="e">
            <v>#N/A</v>
          </cell>
          <cell r="E446" t="str">
            <v>LIBERADO EM REUNIÃO - 23/10 04/11/2025</v>
          </cell>
          <cell r="F446" t="e">
            <v>#REF!</v>
          </cell>
          <cell r="G446" t="e">
            <v>#REF!</v>
          </cell>
          <cell r="H446" t="str">
            <v>MANFAC - 6</v>
          </cell>
          <cell r="K446" t="str">
            <v>FATURADO</v>
          </cell>
        </row>
        <row r="447">
          <cell r="A447" t="str">
            <v>1025-014168</v>
          </cell>
          <cell r="B447" t="e">
            <v>#N/A</v>
          </cell>
          <cell r="C447" t="e">
            <v>#N/A</v>
          </cell>
          <cell r="D447" t="e">
            <v>#N/A</v>
          </cell>
          <cell r="E447" t="str">
            <v>LIBERADO EM REUNIÃO - 28/10 03/11/2025</v>
          </cell>
          <cell r="F447" t="e">
            <v>#REF!</v>
          </cell>
          <cell r="G447" t="e">
            <v>#N/A</v>
          </cell>
          <cell r="H447" t="str">
            <v>MANFAC - 6</v>
          </cell>
          <cell r="K447" t="str">
            <v>FATURADO</v>
          </cell>
        </row>
        <row r="448">
          <cell r="A448" t="str">
            <v>1025-015852</v>
          </cell>
          <cell r="B448" t="e">
            <v>#N/A</v>
          </cell>
          <cell r="C448" t="e">
            <v>#N/A</v>
          </cell>
          <cell r="D448" t="e">
            <v>#N/A</v>
          </cell>
          <cell r="E448" t="str">
            <v>LIBERADO EM REUNIÃO - 28/10 03/11/2025</v>
          </cell>
          <cell r="F448" t="e">
            <v>#REF!</v>
          </cell>
          <cell r="G448" t="e">
            <v>#N/A</v>
          </cell>
          <cell r="H448" t="str">
            <v>MANFAC - 6</v>
          </cell>
          <cell r="K448" t="str">
            <v>FATURADO</v>
          </cell>
        </row>
        <row r="449">
          <cell r="A449" t="str">
            <v>0925-015095</v>
          </cell>
          <cell r="B449" t="e">
            <v>#N/A</v>
          </cell>
          <cell r="C449" t="e">
            <v>#N/A</v>
          </cell>
          <cell r="D449" t="e">
            <v>#N/A</v>
          </cell>
          <cell r="E449" t="str">
            <v>MAU USO - SISTEMA HIDRÁULICO</v>
          </cell>
          <cell r="F449" t="e">
            <v>#REF!</v>
          </cell>
          <cell r="G449" t="e">
            <v>#N/A</v>
          </cell>
          <cell r="K449" t="str">
            <v>FATURADO</v>
          </cell>
        </row>
        <row r="450">
          <cell r="A450" t="str">
            <v>0425-006625</v>
          </cell>
          <cell r="B450" t="e">
            <v>#N/A</v>
          </cell>
          <cell r="C450" t="e">
            <v>#N/A</v>
          </cell>
          <cell r="D450" t="e">
            <v>#N/A</v>
          </cell>
          <cell r="F450" t="e">
            <v>#REF!</v>
          </cell>
          <cell r="G450" t="str">
            <v>LEANDRO</v>
          </cell>
          <cell r="K450" t="str">
            <v>CANCELADO</v>
          </cell>
        </row>
        <row r="451">
          <cell r="A451" t="str">
            <v>0825-012917</v>
          </cell>
          <cell r="B451" t="e">
            <v>#N/A</v>
          </cell>
          <cell r="C451" t="e">
            <v>#N/A</v>
          </cell>
          <cell r="D451" t="e">
            <v>#N/A</v>
          </cell>
          <cell r="E451" t="str">
            <v>LIBERADO POR AMANDA - 12/09/2025</v>
          </cell>
          <cell r="F451" t="e">
            <v>#REF!</v>
          </cell>
          <cell r="G451" t="e">
            <v>#N/A</v>
          </cell>
          <cell r="K451" t="str">
            <v>FATURADO</v>
          </cell>
        </row>
        <row r="452">
          <cell r="A452" t="str">
            <v>0625-005209</v>
          </cell>
          <cell r="B452" t="e">
            <v>#N/A</v>
          </cell>
          <cell r="C452" t="e">
            <v>#N/A</v>
          </cell>
          <cell r="D452" t="e">
            <v>#N/A</v>
          </cell>
          <cell r="F452" t="e">
            <v>#REF!</v>
          </cell>
          <cell r="G452" t="str">
            <v>LEANDRO</v>
          </cell>
          <cell r="K452" t="str">
            <v>CANCELADO</v>
          </cell>
        </row>
        <row r="453">
          <cell r="A453" t="str">
            <v>0925-012213</v>
          </cell>
          <cell r="B453" t="e">
            <v>#N/A</v>
          </cell>
          <cell r="C453" t="e">
            <v>#N/A</v>
          </cell>
          <cell r="D453" t="e">
            <v>#N/A</v>
          </cell>
          <cell r="E453" t="str">
            <v>LIBERADO POR LEANDRO - 22/09/2025</v>
          </cell>
          <cell r="F453" t="e">
            <v>#REF!</v>
          </cell>
          <cell r="G453" t="e">
            <v>#N/A</v>
          </cell>
          <cell r="K453" t="str">
            <v>FATURADO</v>
          </cell>
        </row>
        <row r="454">
          <cell r="A454" t="str">
            <v>0825-013323</v>
          </cell>
          <cell r="B454" t="e">
            <v>#N/A</v>
          </cell>
          <cell r="C454" t="e">
            <v>#N/A</v>
          </cell>
          <cell r="D454" t="e">
            <v>#N/A</v>
          </cell>
          <cell r="E454" t="str">
            <v>LIBERADO POR AMANDA - 12/09/2025</v>
          </cell>
          <cell r="F454" t="e">
            <v>#REF!</v>
          </cell>
          <cell r="G454" t="e">
            <v>#N/A</v>
          </cell>
          <cell r="K454" t="str">
            <v>FATURADO</v>
          </cell>
        </row>
        <row r="455">
          <cell r="A455" t="str">
            <v>0925-014129</v>
          </cell>
          <cell r="B455" t="e">
            <v>#N/A</v>
          </cell>
          <cell r="C455" t="e">
            <v>#N/A</v>
          </cell>
          <cell r="D455" t="e">
            <v>#N/A</v>
          </cell>
          <cell r="E455">
            <v>45965</v>
          </cell>
          <cell r="F455" t="e">
            <v>#REF!</v>
          </cell>
          <cell r="G455" t="e">
            <v>#N/A</v>
          </cell>
          <cell r="K455" t="str">
            <v>FATURADO</v>
          </cell>
        </row>
        <row r="456">
          <cell r="A456" t="str">
            <v>0825-013391</v>
          </cell>
          <cell r="B456" t="e">
            <v>#N/A</v>
          </cell>
          <cell r="C456" t="e">
            <v>#N/A</v>
          </cell>
          <cell r="D456" t="e">
            <v>#N/A</v>
          </cell>
          <cell r="F456" t="e">
            <v>#REF!</v>
          </cell>
          <cell r="G456" t="e">
            <v>#N/A</v>
          </cell>
          <cell r="K456" t="str">
            <v>FATURADO</v>
          </cell>
        </row>
        <row r="457">
          <cell r="A457" t="str">
            <v>0925-009549</v>
          </cell>
          <cell r="B457" t="e">
            <v>#N/A</v>
          </cell>
          <cell r="C457" t="e">
            <v>#N/A</v>
          </cell>
          <cell r="D457" t="e">
            <v>#N/A</v>
          </cell>
          <cell r="E457" t="str">
            <v>LIBERADO POR LEANDRO - 06/09/2025</v>
          </cell>
          <cell r="F457" t="e">
            <v>#REF!</v>
          </cell>
          <cell r="G457" t="e">
            <v>#N/A</v>
          </cell>
          <cell r="K457" t="str">
            <v>FATURADO</v>
          </cell>
        </row>
        <row r="458">
          <cell r="A458" t="str">
            <v>0925-013185</v>
          </cell>
          <cell r="B458" t="e">
            <v>#N/A</v>
          </cell>
          <cell r="C458" t="e">
            <v>#N/A</v>
          </cell>
          <cell r="D458" t="e">
            <v>#N/A</v>
          </cell>
          <cell r="F458" t="e">
            <v>#REF!</v>
          </cell>
          <cell r="G458" t="e">
            <v>#N/A</v>
          </cell>
          <cell r="K458" t="str">
            <v>FATURADO</v>
          </cell>
        </row>
        <row r="459">
          <cell r="A459" t="str">
            <v>1025-008953</v>
          </cell>
          <cell r="B459" t="e">
            <v>#N/A</v>
          </cell>
          <cell r="C459" t="e">
            <v>#N/A</v>
          </cell>
          <cell r="D459" t="e">
            <v>#N/A</v>
          </cell>
          <cell r="E459" t="str">
            <v>LIBERADO POR AMANDA - 24/10/2025</v>
          </cell>
          <cell r="F459" t="e">
            <v>#REF!</v>
          </cell>
          <cell r="G459" t="e">
            <v>#N/A</v>
          </cell>
          <cell r="K459" t="str">
            <v>FATURADO</v>
          </cell>
        </row>
        <row r="460">
          <cell r="A460" t="str">
            <v>1025-015344</v>
          </cell>
          <cell r="B460" t="e">
            <v>#N/A</v>
          </cell>
          <cell r="C460" t="e">
            <v>#N/A</v>
          </cell>
          <cell r="D460" t="e">
            <v>#N/A</v>
          </cell>
          <cell r="E460" t="str">
            <v>LIBERADO POR AMANDA - 27/10/2025</v>
          </cell>
          <cell r="F460" t="e">
            <v>#REF!</v>
          </cell>
          <cell r="G460" t="e">
            <v>#N/A</v>
          </cell>
          <cell r="K460" t="str">
            <v>FATURADO</v>
          </cell>
        </row>
        <row r="461">
          <cell r="A461" t="str">
            <v>1025-010931</v>
          </cell>
          <cell r="B461" t="e">
            <v>#N/A</v>
          </cell>
          <cell r="C461" t="e">
            <v>#N/A</v>
          </cell>
          <cell r="D461" t="e">
            <v>#N/A</v>
          </cell>
          <cell r="E461" t="str">
            <v>LIBERADO EM REUNIÃO - 23/10 31/10/2025</v>
          </cell>
          <cell r="F461" t="e">
            <v>#REF!</v>
          </cell>
          <cell r="G461" t="e">
            <v>#N/A</v>
          </cell>
          <cell r="H461" t="str">
            <v>MANFAC - 6</v>
          </cell>
          <cell r="K461" t="str">
            <v>FATURADO</v>
          </cell>
        </row>
        <row r="462">
          <cell r="A462" t="str">
            <v>0925-011670</v>
          </cell>
          <cell r="B462" t="e">
            <v>#N/A</v>
          </cell>
          <cell r="C462" t="e">
            <v>#N/A</v>
          </cell>
          <cell r="D462" t="e">
            <v>#N/A</v>
          </cell>
          <cell r="E462" t="str">
            <v>LIBERADO POR LEANDRO - 26/08/2025</v>
          </cell>
          <cell r="F462" t="e">
            <v>#REF!</v>
          </cell>
          <cell r="G462" t="e">
            <v>#N/A</v>
          </cell>
          <cell r="K462" t="str">
            <v>FATURADO</v>
          </cell>
        </row>
        <row r="463">
          <cell r="A463" t="str">
            <v>0825-013606</v>
          </cell>
          <cell r="B463" t="e">
            <v>#N/A</v>
          </cell>
          <cell r="C463" t="e">
            <v>#N/A</v>
          </cell>
          <cell r="D463" t="e">
            <v>#N/A</v>
          </cell>
          <cell r="E463" t="str">
            <v>LIBERADO EM REUNIÃO - 23/10 03/11/2025</v>
          </cell>
          <cell r="F463" t="e">
            <v>#REF!</v>
          </cell>
          <cell r="G463" t="e">
            <v>#N/A</v>
          </cell>
          <cell r="H463" t="str">
            <v>MANFAC - 2</v>
          </cell>
          <cell r="K463" t="str">
            <v>FATURADO</v>
          </cell>
        </row>
        <row r="464">
          <cell r="A464" t="str">
            <v>1025-016143</v>
          </cell>
          <cell r="B464" t="e">
            <v>#N/A</v>
          </cell>
          <cell r="C464" t="e">
            <v>#N/A</v>
          </cell>
          <cell r="D464" t="e">
            <v>#N/A</v>
          </cell>
          <cell r="F464" t="e">
            <v>#REF!</v>
          </cell>
          <cell r="G464" t="e">
            <v>#N/A</v>
          </cell>
          <cell r="K464" t="str">
            <v>FATURADO</v>
          </cell>
        </row>
        <row r="465">
          <cell r="A465" t="str">
            <v>0925-011385</v>
          </cell>
          <cell r="B465" t="e">
            <v>#N/A</v>
          </cell>
          <cell r="C465" t="e">
            <v>#N/A</v>
          </cell>
          <cell r="D465" t="e">
            <v>#N/A</v>
          </cell>
          <cell r="E465">
            <v>45965</v>
          </cell>
          <cell r="F465" t="e">
            <v>#REF!</v>
          </cell>
          <cell r="G465" t="e">
            <v>#N/A</v>
          </cell>
          <cell r="K465" t="str">
            <v>FATURADO</v>
          </cell>
        </row>
        <row r="466">
          <cell r="A466" t="str">
            <v>0925-015933</v>
          </cell>
          <cell r="B466" t="e">
            <v>#N/A</v>
          </cell>
          <cell r="C466" t="e">
            <v>#N/A</v>
          </cell>
          <cell r="D466" t="e">
            <v>#N/A</v>
          </cell>
          <cell r="E466" t="str">
            <v>MAU USO</v>
          </cell>
          <cell r="F466" t="e">
            <v>#REF!</v>
          </cell>
          <cell r="G466" t="e">
            <v>#N/A</v>
          </cell>
          <cell r="K466" t="str">
            <v>FATURADO</v>
          </cell>
        </row>
        <row r="467">
          <cell r="A467" t="str">
            <v>0825-014256</v>
          </cell>
          <cell r="B467" t="e">
            <v>#N/A</v>
          </cell>
          <cell r="C467" t="e">
            <v>#N/A</v>
          </cell>
          <cell r="D467" t="e">
            <v>#N/A</v>
          </cell>
          <cell r="E467" t="str">
            <v>MAU USO</v>
          </cell>
          <cell r="F467" t="e">
            <v>#REF!</v>
          </cell>
          <cell r="G467" t="e">
            <v>#N/A</v>
          </cell>
          <cell r="K467" t="str">
            <v>FATURADO</v>
          </cell>
        </row>
        <row r="468">
          <cell r="A468" t="str">
            <v>0925-010819</v>
          </cell>
          <cell r="B468" t="e">
            <v>#N/A</v>
          </cell>
          <cell r="C468" t="e">
            <v>#N/A</v>
          </cell>
          <cell r="D468" t="e">
            <v>#N/A</v>
          </cell>
          <cell r="E468" t="str">
            <v>MAU USO</v>
          </cell>
          <cell r="F468" t="e">
            <v>#REF!</v>
          </cell>
          <cell r="G468" t="e">
            <v>#N/A</v>
          </cell>
          <cell r="K468" t="str">
            <v>FATURADO</v>
          </cell>
        </row>
        <row r="469">
          <cell r="A469" t="str">
            <v>0925-014840</v>
          </cell>
          <cell r="B469" t="e">
            <v>#N/A</v>
          </cell>
          <cell r="C469" t="e">
            <v>#N/A</v>
          </cell>
          <cell r="D469" t="e">
            <v>#N/A</v>
          </cell>
          <cell r="E469" t="str">
            <v>MAU USO</v>
          </cell>
          <cell r="F469" t="e">
            <v>#REF!</v>
          </cell>
          <cell r="G469" t="e">
            <v>#N/A</v>
          </cell>
          <cell r="K469" t="str">
            <v>FATURADO</v>
          </cell>
        </row>
        <row r="470">
          <cell r="A470" t="str">
            <v>1025-005954</v>
          </cell>
          <cell r="B470" t="e">
            <v>#N/A</v>
          </cell>
          <cell r="C470" t="e">
            <v>#N/A</v>
          </cell>
          <cell r="D470" t="e">
            <v>#N/A</v>
          </cell>
          <cell r="E470" t="str">
            <v>MAU USO</v>
          </cell>
          <cell r="F470" t="e">
            <v>#REF!</v>
          </cell>
          <cell r="G470" t="e">
            <v>#N/A</v>
          </cell>
          <cell r="K470" t="str">
            <v>FATURADO</v>
          </cell>
        </row>
        <row r="471">
          <cell r="A471" t="str">
            <v>1025-008978</v>
          </cell>
          <cell r="B471" t="e">
            <v>#N/A</v>
          </cell>
          <cell r="C471" t="e">
            <v>#N/A</v>
          </cell>
          <cell r="D471" t="e">
            <v>#N/A</v>
          </cell>
          <cell r="E471" t="str">
            <v>MAU USO</v>
          </cell>
          <cell r="F471" t="e">
            <v>#REF!</v>
          </cell>
          <cell r="G471" t="e">
            <v>#N/A</v>
          </cell>
          <cell r="K471" t="str">
            <v>FATURADO</v>
          </cell>
        </row>
        <row r="472">
          <cell r="A472" t="str">
            <v>1025-010591</v>
          </cell>
          <cell r="B472" t="e">
            <v>#N/A</v>
          </cell>
          <cell r="C472" t="e">
            <v>#N/A</v>
          </cell>
          <cell r="D472" t="e">
            <v>#N/A</v>
          </cell>
          <cell r="E472" t="str">
            <v>MAU USO</v>
          </cell>
          <cell r="F472" t="e">
            <v>#REF!</v>
          </cell>
          <cell r="G472" t="e">
            <v>#N/A</v>
          </cell>
          <cell r="K472" t="str">
            <v>FATURADO</v>
          </cell>
        </row>
        <row r="473">
          <cell r="A473" t="str">
            <v>1025-012299</v>
          </cell>
          <cell r="B473" t="e">
            <v>#N/A</v>
          </cell>
          <cell r="C473" t="e">
            <v>#N/A</v>
          </cell>
          <cell r="D473" t="e">
            <v>#N/A</v>
          </cell>
          <cell r="E473" t="str">
            <v>MAU USO</v>
          </cell>
          <cell r="F473" t="e">
            <v>#REF!</v>
          </cell>
          <cell r="G473" t="e">
            <v>#N/A</v>
          </cell>
          <cell r="K473" t="str">
            <v>FATURADO</v>
          </cell>
        </row>
        <row r="474">
          <cell r="A474" t="str">
            <v>1025-012310</v>
          </cell>
          <cell r="B474" t="e">
            <v>#N/A</v>
          </cell>
          <cell r="C474" t="e">
            <v>#N/A</v>
          </cell>
          <cell r="D474" t="e">
            <v>#N/A</v>
          </cell>
          <cell r="E474" t="str">
            <v>MAU USO</v>
          </cell>
          <cell r="F474" t="e">
            <v>#REF!</v>
          </cell>
          <cell r="G474" t="e">
            <v>#N/A</v>
          </cell>
          <cell r="K474" t="str">
            <v>FATURADO</v>
          </cell>
        </row>
        <row r="475">
          <cell r="A475" t="str">
            <v>1025-012865</v>
          </cell>
          <cell r="B475" t="e">
            <v>#N/A</v>
          </cell>
          <cell r="C475" t="e">
            <v>#N/A</v>
          </cell>
          <cell r="D475" t="e">
            <v>#N/A</v>
          </cell>
          <cell r="E475" t="str">
            <v>MAU USO</v>
          </cell>
          <cell r="F475" t="e">
            <v>#REF!</v>
          </cell>
          <cell r="G475" t="e">
            <v>#N/A</v>
          </cell>
          <cell r="K475" t="str">
            <v>FATURADO</v>
          </cell>
        </row>
        <row r="476">
          <cell r="A476" t="str">
            <v>1025-012896</v>
          </cell>
          <cell r="B476" t="e">
            <v>#N/A</v>
          </cell>
          <cell r="C476" t="e">
            <v>#N/A</v>
          </cell>
          <cell r="D476" t="e">
            <v>#N/A</v>
          </cell>
          <cell r="E476" t="str">
            <v>MAU USO</v>
          </cell>
          <cell r="F476" t="e">
            <v>#REF!</v>
          </cell>
          <cell r="G476" t="e">
            <v>#N/A</v>
          </cell>
          <cell r="K476" t="str">
            <v>FATURADO</v>
          </cell>
        </row>
        <row r="477">
          <cell r="A477" t="str">
            <v>1025-013288</v>
          </cell>
          <cell r="B477" t="e">
            <v>#N/A</v>
          </cell>
          <cell r="C477" t="e">
            <v>#N/A</v>
          </cell>
          <cell r="D477" t="e">
            <v>#N/A</v>
          </cell>
          <cell r="E477" t="str">
            <v>MAU USO</v>
          </cell>
          <cell r="F477" t="e">
            <v>#REF!</v>
          </cell>
          <cell r="G477" t="e">
            <v>#N/A</v>
          </cell>
          <cell r="K477" t="str">
            <v>FATURADO</v>
          </cell>
        </row>
        <row r="478">
          <cell r="A478" t="str">
            <v>1025-014218</v>
          </cell>
          <cell r="B478" t="e">
            <v>#N/A</v>
          </cell>
          <cell r="C478" t="e">
            <v>#N/A</v>
          </cell>
          <cell r="D478" t="e">
            <v>#N/A</v>
          </cell>
          <cell r="E478" t="str">
            <v>MAU USO</v>
          </cell>
          <cell r="F478" t="e">
            <v>#REF!</v>
          </cell>
          <cell r="G478" t="e">
            <v>#N/A</v>
          </cell>
          <cell r="K478" t="str">
            <v>FATURADO</v>
          </cell>
        </row>
        <row r="479">
          <cell r="A479" t="str">
            <v>1025-014641</v>
          </cell>
          <cell r="B479" t="e">
            <v>#N/A</v>
          </cell>
          <cell r="C479" t="e">
            <v>#N/A</v>
          </cell>
          <cell r="D479" t="e">
            <v>#N/A</v>
          </cell>
          <cell r="F479" t="e">
            <v>#REF!</v>
          </cell>
          <cell r="G479" t="e">
            <v>#N/A</v>
          </cell>
          <cell r="K479" t="str">
            <v>FATURADO</v>
          </cell>
        </row>
        <row r="480">
          <cell r="A480" t="str">
            <v>1025-014894</v>
          </cell>
          <cell r="B480" t="e">
            <v>#N/A</v>
          </cell>
          <cell r="C480" t="e">
            <v>#N/A</v>
          </cell>
          <cell r="D480" t="e">
            <v>#N/A</v>
          </cell>
          <cell r="E480" t="str">
            <v>MAU USO</v>
          </cell>
          <cell r="F480" t="e">
            <v>#REF!</v>
          </cell>
          <cell r="G480" t="e">
            <v>#N/A</v>
          </cell>
          <cell r="K480" t="str">
            <v>FATURADO</v>
          </cell>
        </row>
        <row r="481">
          <cell r="A481" t="str">
            <v>0925-015107</v>
          </cell>
          <cell r="B481" t="e">
            <v>#N/A</v>
          </cell>
          <cell r="C481" t="e">
            <v>#N/A</v>
          </cell>
          <cell r="D481" t="e">
            <v>#N/A</v>
          </cell>
          <cell r="E481" t="str">
            <v>PEGAR NA RECREIO 8 - MANFAC 4 NA 04/11/2025</v>
          </cell>
          <cell r="F481" t="e">
            <v>#REF!</v>
          </cell>
          <cell r="G481" t="e">
            <v>#N/A</v>
          </cell>
          <cell r="H481" t="str">
            <v>MANFAC - 4</v>
          </cell>
          <cell r="K481" t="str">
            <v>FATURADO</v>
          </cell>
        </row>
        <row r="482">
          <cell r="A482" t="str">
            <v>0825-008971</v>
          </cell>
          <cell r="B482" t="e">
            <v>#N/A</v>
          </cell>
          <cell r="C482" t="e">
            <v>#N/A</v>
          </cell>
          <cell r="D482" t="e">
            <v>#N/A</v>
          </cell>
          <cell r="F482" t="e">
            <v>#REF!</v>
          </cell>
          <cell r="G482" t="e">
            <v>#N/A</v>
          </cell>
          <cell r="K482" t="str">
            <v>FATURADO</v>
          </cell>
        </row>
        <row r="483">
          <cell r="A483" t="str">
            <v>0725-012096</v>
          </cell>
          <cell r="B483" t="e">
            <v>#N/A</v>
          </cell>
          <cell r="C483" t="e">
            <v>#N/A</v>
          </cell>
          <cell r="D483" t="e">
            <v>#N/A</v>
          </cell>
          <cell r="F483" t="e">
            <v>#REF!</v>
          </cell>
          <cell r="G483" t="e">
            <v>#N/A</v>
          </cell>
          <cell r="K483" t="str">
            <v>FATURADO</v>
          </cell>
        </row>
        <row r="484">
          <cell r="A484" t="str">
            <v>0925-012254</v>
          </cell>
          <cell r="B484" t="e">
            <v>#N/A</v>
          </cell>
          <cell r="C484" t="e">
            <v>#N/A</v>
          </cell>
          <cell r="D484" t="e">
            <v>#N/A</v>
          </cell>
          <cell r="E484" t="str">
            <v>LIBERADO POR LEANDRO - 19/09/2025</v>
          </cell>
          <cell r="F484" t="e">
            <v>#REF!</v>
          </cell>
          <cell r="G484" t="e">
            <v>#N/A</v>
          </cell>
          <cell r="K484" t="str">
            <v>FATURADO</v>
          </cell>
        </row>
        <row r="485">
          <cell r="A485" t="str">
            <v>0325-016045</v>
          </cell>
          <cell r="B485" t="e">
            <v>#N/A</v>
          </cell>
          <cell r="C485" t="e">
            <v>#N/A</v>
          </cell>
          <cell r="D485" t="e">
            <v>#N/A</v>
          </cell>
          <cell r="E485" t="str">
            <v>OS FISICA</v>
          </cell>
          <cell r="F485" t="e">
            <v>#REF!</v>
          </cell>
          <cell r="G485" t="e">
            <v>#N/A</v>
          </cell>
          <cell r="K485" t="str">
            <v>FATURADO</v>
          </cell>
        </row>
        <row r="486">
          <cell r="A486" t="str">
            <v>1025-008946</v>
          </cell>
          <cell r="B486" t="e">
            <v>#N/A</v>
          </cell>
          <cell r="C486" t="e">
            <v>#N/A</v>
          </cell>
          <cell r="D486" t="e">
            <v>#N/A</v>
          </cell>
          <cell r="F486" t="e">
            <v>#REF!</v>
          </cell>
          <cell r="G486" t="e">
            <v>#N/A</v>
          </cell>
          <cell r="K486" t="str">
            <v>FATURADO</v>
          </cell>
        </row>
        <row r="487">
          <cell r="A487" t="str">
            <v>0925-011080</v>
          </cell>
          <cell r="B487" t="e">
            <v>#N/A</v>
          </cell>
          <cell r="C487" t="e">
            <v>#N/A</v>
          </cell>
          <cell r="D487" t="e">
            <v>#N/A</v>
          </cell>
          <cell r="E487" t="str">
            <v>LIBERADO POR LEANDRO - 19/09/2025</v>
          </cell>
          <cell r="F487" t="e">
            <v>#REF!</v>
          </cell>
          <cell r="G487" t="e">
            <v>#N/A</v>
          </cell>
          <cell r="K487" t="str">
            <v>FATURADO</v>
          </cell>
        </row>
        <row r="488">
          <cell r="A488" t="str">
            <v>0925-011668</v>
          </cell>
          <cell r="B488" t="e">
            <v>#N/A</v>
          </cell>
          <cell r="C488" t="e">
            <v>#N/A</v>
          </cell>
          <cell r="D488" t="e">
            <v>#N/A</v>
          </cell>
          <cell r="E488" t="str">
            <v>LIBERADO POR LEANDRO - 26/08/2025</v>
          </cell>
          <cell r="F488" t="e">
            <v>#REF!</v>
          </cell>
          <cell r="G488" t="e">
            <v>#N/A</v>
          </cell>
          <cell r="K488" t="str">
            <v>FATURADO</v>
          </cell>
        </row>
        <row r="489">
          <cell r="A489" t="str">
            <v>1025-005836</v>
          </cell>
          <cell r="B489" t="e">
            <v>#N/A</v>
          </cell>
          <cell r="C489" t="e">
            <v>#N/A</v>
          </cell>
          <cell r="D489" t="e">
            <v>#N/A</v>
          </cell>
          <cell r="F489" t="e">
            <v>#REF!</v>
          </cell>
          <cell r="G489" t="e">
            <v>#N/A</v>
          </cell>
          <cell r="K489" t="str">
            <v>FATURADO</v>
          </cell>
        </row>
        <row r="490">
          <cell r="A490" t="str">
            <v>1025-012109</v>
          </cell>
          <cell r="B490" t="e">
            <v>#N/A</v>
          </cell>
          <cell r="C490" t="e">
            <v>#N/A</v>
          </cell>
          <cell r="D490" t="e">
            <v>#N/A</v>
          </cell>
          <cell r="F490" t="e">
            <v>#REF!</v>
          </cell>
          <cell r="G490" t="e">
            <v>#N/A</v>
          </cell>
          <cell r="K490" t="str">
            <v>FATURADO</v>
          </cell>
        </row>
        <row r="491">
          <cell r="A491" t="str">
            <v>0925-014154</v>
          </cell>
          <cell r="B491" t="e">
            <v>#N/A</v>
          </cell>
          <cell r="C491" t="e">
            <v>#N/A</v>
          </cell>
          <cell r="D491" t="e">
            <v>#N/A</v>
          </cell>
          <cell r="E491" t="str">
            <v>LIBERADO POR AMANDA - 22/09/2025</v>
          </cell>
          <cell r="F491" t="e">
            <v>#REF!</v>
          </cell>
          <cell r="G491" t="e">
            <v>#N/A</v>
          </cell>
          <cell r="K491" t="str">
            <v>FATURADO</v>
          </cell>
        </row>
        <row r="492">
          <cell r="A492" t="str">
            <v>1025-006443</v>
          </cell>
          <cell r="B492" t="e">
            <v>#N/A</v>
          </cell>
          <cell r="C492" t="e">
            <v>#N/A</v>
          </cell>
          <cell r="D492" t="e">
            <v>#N/A</v>
          </cell>
          <cell r="F492" t="e">
            <v>#REF!</v>
          </cell>
          <cell r="G492" t="e">
            <v>#N/A</v>
          </cell>
          <cell r="K492" t="str">
            <v>FATURADO</v>
          </cell>
        </row>
        <row r="493">
          <cell r="A493" t="str">
            <v>0925-014456</v>
          </cell>
          <cell r="B493" t="e">
            <v>#N/A</v>
          </cell>
          <cell r="C493" t="e">
            <v>#N/A</v>
          </cell>
          <cell r="D493" t="e">
            <v>#N/A</v>
          </cell>
          <cell r="E493" t="str">
            <v>LIBERADO POR LEANDRO - 30/09/2025</v>
          </cell>
          <cell r="F493" t="e">
            <v>#REF!</v>
          </cell>
          <cell r="G493" t="e">
            <v>#N/A</v>
          </cell>
          <cell r="H493" t="str">
            <v>MANFAC - 5</v>
          </cell>
          <cell r="K493" t="str">
            <v>FATURADO</v>
          </cell>
        </row>
        <row r="494">
          <cell r="A494" t="str">
            <v>0925-010059</v>
          </cell>
          <cell r="B494" t="e">
            <v>#N/A</v>
          </cell>
          <cell r="C494" t="e">
            <v>#N/A</v>
          </cell>
          <cell r="D494" t="e">
            <v>#N/A</v>
          </cell>
          <cell r="F494" t="e">
            <v>#REF!</v>
          </cell>
          <cell r="G494" t="e">
            <v>#N/A</v>
          </cell>
          <cell r="K494" t="str">
            <v>FATURADO</v>
          </cell>
        </row>
        <row r="495">
          <cell r="A495" t="str">
            <v>0925-013646</v>
          </cell>
          <cell r="B495" t="e">
            <v>#N/A</v>
          </cell>
          <cell r="C495" t="e">
            <v>#N/A</v>
          </cell>
          <cell r="D495" t="e">
            <v>#N/A</v>
          </cell>
          <cell r="E495" t="str">
            <v>LIBERADO POR LEANDRO - 19/09/2025</v>
          </cell>
          <cell r="F495" t="e">
            <v>#REF!</v>
          </cell>
          <cell r="G495" t="e">
            <v>#N/A</v>
          </cell>
          <cell r="K495" t="str">
            <v>FATURADO</v>
          </cell>
        </row>
        <row r="496">
          <cell r="A496" t="str">
            <v>0925-010745</v>
          </cell>
          <cell r="B496" t="e">
            <v>#N/A</v>
          </cell>
          <cell r="C496" t="e">
            <v>#N/A</v>
          </cell>
          <cell r="D496" t="e">
            <v>#N/A</v>
          </cell>
          <cell r="E496" t="str">
            <v>LIBERADO POR LEANDRO - 12/09/2025</v>
          </cell>
          <cell r="F496" t="e">
            <v>#REF!</v>
          </cell>
          <cell r="G496" t="e">
            <v>#N/A</v>
          </cell>
          <cell r="K496" t="str">
            <v>FATURADO</v>
          </cell>
        </row>
        <row r="497">
          <cell r="A497" t="str">
            <v>1025-009370</v>
          </cell>
          <cell r="B497" t="e">
            <v>#N/A</v>
          </cell>
          <cell r="C497" t="e">
            <v>#N/A</v>
          </cell>
          <cell r="D497" t="e">
            <v>#N/A</v>
          </cell>
          <cell r="F497" t="e">
            <v>#REF!</v>
          </cell>
          <cell r="G497" t="e">
            <v>#N/A</v>
          </cell>
          <cell r="H497" t="str">
            <v>MANFAC - 2</v>
          </cell>
          <cell r="K497" t="str">
            <v>FATURADO</v>
          </cell>
        </row>
        <row r="498">
          <cell r="A498" t="str">
            <v>0825-006136</v>
          </cell>
          <cell r="B498" t="str">
            <v>RECREIO 2</v>
          </cell>
          <cell r="C498" t="e">
            <v>#N/A</v>
          </cell>
          <cell r="D498" t="e">
            <v>#N/A</v>
          </cell>
          <cell r="E498">
            <v>45961</v>
          </cell>
          <cell r="F498" t="e">
            <v>#REF!</v>
          </cell>
          <cell r="G498" t="e">
            <v>#N/A</v>
          </cell>
          <cell r="H498" t="str">
            <v>MANFAC - 6</v>
          </cell>
          <cell r="K498" t="str">
            <v>FATURADO</v>
          </cell>
        </row>
        <row r="499">
          <cell r="A499" t="str">
            <v>0825-004384</v>
          </cell>
          <cell r="B499" t="e">
            <v>#N/A</v>
          </cell>
          <cell r="C499" t="e">
            <v>#N/A</v>
          </cell>
          <cell r="D499" t="e">
            <v>#N/A</v>
          </cell>
          <cell r="F499" t="e">
            <v>#REF!</v>
          </cell>
          <cell r="G499" t="e">
            <v>#N/A</v>
          </cell>
          <cell r="H499" t="str">
            <v>MANFAC - 7 E 4</v>
          </cell>
          <cell r="K499" t="str">
            <v>FATURADO</v>
          </cell>
        </row>
        <row r="500">
          <cell r="A500" t="str">
            <v>0825-013314</v>
          </cell>
          <cell r="B500" t="e">
            <v>#N/A</v>
          </cell>
          <cell r="C500" t="e">
            <v>#N/A</v>
          </cell>
          <cell r="D500" t="e">
            <v>#N/A</v>
          </cell>
          <cell r="E500" t="str">
            <v>LIBERADO POR AMANDA - 12/09/2025</v>
          </cell>
          <cell r="F500" t="e">
            <v>#REF!</v>
          </cell>
          <cell r="G500" t="e">
            <v>#N/A</v>
          </cell>
          <cell r="K500" t="str">
            <v>FATURADO</v>
          </cell>
        </row>
        <row r="501">
          <cell r="A501" t="str">
            <v>0825-006002</v>
          </cell>
          <cell r="B501" t="e">
            <v>#N/A</v>
          </cell>
          <cell r="C501" t="e">
            <v>#N/A</v>
          </cell>
          <cell r="D501" t="e">
            <v>#N/A</v>
          </cell>
          <cell r="E501" t="str">
            <v>LIBERADO POR AMANDA - 12/09/2025</v>
          </cell>
          <cell r="F501" t="e">
            <v>#REF!</v>
          </cell>
          <cell r="G501" t="e">
            <v>#N/A</v>
          </cell>
          <cell r="K501" t="str">
            <v>FATURADO</v>
          </cell>
        </row>
        <row r="502">
          <cell r="A502" t="str">
            <v>0825-013308</v>
          </cell>
          <cell r="B502" t="e">
            <v>#N/A</v>
          </cell>
          <cell r="C502" t="e">
            <v>#N/A</v>
          </cell>
          <cell r="D502" t="e">
            <v>#N/A</v>
          </cell>
          <cell r="E502" t="str">
            <v>LIBERADO POR AMANDA - 12/09/2025</v>
          </cell>
          <cell r="F502" t="e">
            <v>#REF!</v>
          </cell>
          <cell r="G502" t="e">
            <v>#N/A</v>
          </cell>
          <cell r="K502" t="str">
            <v>FATURADO</v>
          </cell>
        </row>
        <row r="503">
          <cell r="A503" t="str">
            <v>0925-011660</v>
          </cell>
          <cell r="B503" t="e">
            <v>#N/A</v>
          </cell>
          <cell r="C503" t="e">
            <v>#N/A</v>
          </cell>
          <cell r="D503" t="e">
            <v>#N/A</v>
          </cell>
          <cell r="E503" t="str">
            <v>LIBERADO POR LEANDRO - 26/08/2025</v>
          </cell>
          <cell r="F503" t="e">
            <v>#REF!</v>
          </cell>
          <cell r="G503" t="e">
            <v>#N/A</v>
          </cell>
          <cell r="K503" t="str">
            <v>FATURADO</v>
          </cell>
        </row>
        <row r="504">
          <cell r="A504" t="str">
            <v>0925-011672</v>
          </cell>
          <cell r="B504" t="e">
            <v>#N/A</v>
          </cell>
          <cell r="C504" t="e">
            <v>#N/A</v>
          </cell>
          <cell r="D504" t="e">
            <v>#N/A</v>
          </cell>
          <cell r="E504" t="str">
            <v>LIBERADO POR LEANDRO - 26/08/2025</v>
          </cell>
          <cell r="F504" t="e">
            <v>#REF!</v>
          </cell>
          <cell r="G504" t="e">
            <v>#N/A</v>
          </cell>
          <cell r="K504" t="str">
            <v>FATURADO</v>
          </cell>
        </row>
        <row r="505">
          <cell r="A505" t="str">
            <v>0725-017539</v>
          </cell>
          <cell r="B505" t="e">
            <v>#N/A</v>
          </cell>
          <cell r="C505" t="e">
            <v>#N/A</v>
          </cell>
          <cell r="D505" t="e">
            <v>#N/A</v>
          </cell>
          <cell r="F505" t="e">
            <v>#REF!</v>
          </cell>
          <cell r="G505" t="e">
            <v>#N/A</v>
          </cell>
          <cell r="K505" t="str">
            <v>FATURADO</v>
          </cell>
        </row>
        <row r="506">
          <cell r="A506" t="str">
            <v>1025-006132</v>
          </cell>
          <cell r="B506" t="e">
            <v>#N/A</v>
          </cell>
          <cell r="C506" t="e">
            <v>#N/A</v>
          </cell>
          <cell r="D506" t="e">
            <v>#N/A</v>
          </cell>
          <cell r="F506" t="e">
            <v>#REF!</v>
          </cell>
          <cell r="G506" t="e">
            <v>#N/A</v>
          </cell>
          <cell r="K506" t="str">
            <v>FATURADO</v>
          </cell>
        </row>
        <row r="507">
          <cell r="A507" t="str">
            <v>0925-015158</v>
          </cell>
          <cell r="B507" t="e">
            <v>#N/A</v>
          </cell>
          <cell r="C507" t="e">
            <v>#N/A</v>
          </cell>
          <cell r="D507" t="e">
            <v>#N/A</v>
          </cell>
          <cell r="E507" t="str">
            <v>LIBERADO POR LEANDRO - 23/09/2025</v>
          </cell>
          <cell r="F507" t="e">
            <v>#REF!</v>
          </cell>
          <cell r="G507" t="e">
            <v>#N/A</v>
          </cell>
          <cell r="K507" t="str">
            <v>FATURADO</v>
          </cell>
        </row>
        <row r="508">
          <cell r="A508" t="str">
            <v>0525-014527</v>
          </cell>
          <cell r="B508" t="e">
            <v>#N/A</v>
          </cell>
          <cell r="C508" t="e">
            <v>#N/A</v>
          </cell>
          <cell r="D508" t="e">
            <v>#N/A</v>
          </cell>
          <cell r="E508" t="str">
            <v>LIBERADO POR LEANDRO - 19/09/2025</v>
          </cell>
          <cell r="F508" t="e">
            <v>#REF!</v>
          </cell>
          <cell r="G508" t="e">
            <v>#N/A</v>
          </cell>
          <cell r="K508" t="str">
            <v>FATURADO</v>
          </cell>
        </row>
        <row r="509">
          <cell r="A509" t="str">
            <v>0925-013398</v>
          </cell>
          <cell r="B509" t="e">
            <v>#N/A</v>
          </cell>
          <cell r="C509" t="e">
            <v>#N/A</v>
          </cell>
          <cell r="D509" t="e">
            <v>#N/A</v>
          </cell>
          <cell r="E509">
            <v>45961</v>
          </cell>
          <cell r="F509" t="e">
            <v>#REF!</v>
          </cell>
          <cell r="G509" t="e">
            <v>#N/A</v>
          </cell>
          <cell r="K509" t="str">
            <v>FATURADO</v>
          </cell>
        </row>
        <row r="510">
          <cell r="A510" t="str">
            <v>0925-011664</v>
          </cell>
          <cell r="B510" t="e">
            <v>#N/A</v>
          </cell>
          <cell r="C510" t="e">
            <v>#N/A</v>
          </cell>
          <cell r="D510" t="e">
            <v>#N/A</v>
          </cell>
          <cell r="E510" t="str">
            <v>LIBERADO POR LEANDRO - 26/08/2025</v>
          </cell>
          <cell r="F510" t="e">
            <v>#REF!</v>
          </cell>
          <cell r="G510" t="e">
            <v>#N/A</v>
          </cell>
          <cell r="K510" t="str">
            <v>FATURADO</v>
          </cell>
        </row>
        <row r="511">
          <cell r="A511" t="str">
            <v>0725-010236</v>
          </cell>
          <cell r="B511" t="e">
            <v>#N/A</v>
          </cell>
          <cell r="C511" t="e">
            <v>#N/A</v>
          </cell>
          <cell r="D511" t="e">
            <v>#N/A</v>
          </cell>
          <cell r="E511">
            <v>45961</v>
          </cell>
          <cell r="F511" t="e">
            <v>#REF!</v>
          </cell>
          <cell r="G511" t="e">
            <v>#N/A</v>
          </cell>
          <cell r="K511" t="str">
            <v>FATURADO</v>
          </cell>
        </row>
        <row r="512">
          <cell r="A512" t="str">
            <v>0925-011658</v>
          </cell>
          <cell r="B512" t="e">
            <v>#N/A</v>
          </cell>
          <cell r="C512" t="e">
            <v>#N/A</v>
          </cell>
          <cell r="D512" t="e">
            <v>#N/A</v>
          </cell>
          <cell r="E512" t="str">
            <v>LIBERADO POR LEANDRO - 26/08/2025</v>
          </cell>
          <cell r="F512" t="e">
            <v>#REF!</v>
          </cell>
          <cell r="G512" t="str">
            <v>LEANDRO</v>
          </cell>
          <cell r="K512" t="str">
            <v>FATURADO</v>
          </cell>
        </row>
        <row r="513">
          <cell r="A513" t="str">
            <v>0725-008850</v>
          </cell>
          <cell r="B513" t="e">
            <v>#N/A</v>
          </cell>
          <cell r="C513" t="e">
            <v>#N/A</v>
          </cell>
          <cell r="D513" t="e">
            <v>#N/A</v>
          </cell>
          <cell r="E513" t="str">
            <v>PENDENTE FORRO + PINTURA - 25/09</v>
          </cell>
          <cell r="F513">
            <v>12827.6</v>
          </cell>
          <cell r="G513" t="e">
            <v>#N/A</v>
          </cell>
          <cell r="K513" t="str">
            <v>FATURADO</v>
          </cell>
        </row>
        <row r="514">
          <cell r="A514" t="str">
            <v>0725-010700</v>
          </cell>
          <cell r="B514" t="e">
            <v>#N/A</v>
          </cell>
          <cell r="C514" t="e">
            <v>#N/A</v>
          </cell>
          <cell r="D514" t="e">
            <v>#N/A</v>
          </cell>
          <cell r="F514">
            <v>12486.37</v>
          </cell>
          <cell r="G514" t="e">
            <v>#N/A</v>
          </cell>
          <cell r="K514" t="str">
            <v>FATURADO</v>
          </cell>
        </row>
        <row r="515">
          <cell r="A515" t="str">
            <v>0925-011163</v>
          </cell>
          <cell r="B515" t="e">
            <v>#N/A</v>
          </cell>
          <cell r="C515" t="e">
            <v>#N/A</v>
          </cell>
          <cell r="D515" t="e">
            <v>#N/A</v>
          </cell>
          <cell r="E515" t="str">
            <v>LIBERADO POR LEANDRO - 19/09/2025</v>
          </cell>
          <cell r="F515" t="e">
            <v>#REF!</v>
          </cell>
          <cell r="G515" t="e">
            <v>#N/A</v>
          </cell>
          <cell r="K515" t="str">
            <v>FATURADO</v>
          </cell>
        </row>
        <row r="516">
          <cell r="A516" t="str">
            <v>0525-014081</v>
          </cell>
          <cell r="B516" t="e">
            <v>#N/A</v>
          </cell>
          <cell r="C516" t="e">
            <v>#N/A</v>
          </cell>
          <cell r="D516" t="e">
            <v>#N/A</v>
          </cell>
          <cell r="F516" t="e">
            <v>#REF!</v>
          </cell>
          <cell r="G516" t="e">
            <v>#N/A</v>
          </cell>
          <cell r="K516" t="str">
            <v>FATURADO</v>
          </cell>
        </row>
        <row r="517">
          <cell r="A517" t="str">
            <v>0725-014060</v>
          </cell>
          <cell r="B517" t="e">
            <v>#N/A</v>
          </cell>
          <cell r="C517" t="e">
            <v>#N/A</v>
          </cell>
          <cell r="D517" t="e">
            <v>#N/A</v>
          </cell>
          <cell r="E517">
            <v>45854</v>
          </cell>
          <cell r="F517" t="e">
            <v>#REF!</v>
          </cell>
          <cell r="G517" t="e">
            <v>#N/A</v>
          </cell>
          <cell r="K517" t="str">
            <v>FATURADO</v>
          </cell>
        </row>
        <row r="518">
          <cell r="A518" t="str">
            <v>0825-013541</v>
          </cell>
          <cell r="B518" t="e">
            <v>#N/A</v>
          </cell>
          <cell r="C518" t="e">
            <v>#N/A</v>
          </cell>
          <cell r="D518" t="e">
            <v>#N/A</v>
          </cell>
          <cell r="E518" t="str">
            <v>LIBERADO POR LEANDRO - 23/09/2025</v>
          </cell>
          <cell r="F518" t="e">
            <v>#REF!</v>
          </cell>
          <cell r="G518" t="e">
            <v>#N/A</v>
          </cell>
          <cell r="K518" t="str">
            <v>FATURADO</v>
          </cell>
        </row>
        <row r="519">
          <cell r="A519" t="str">
            <v>0925-011123</v>
          </cell>
          <cell r="B519" t="e">
            <v>#N/A</v>
          </cell>
          <cell r="C519" t="e">
            <v>#N/A</v>
          </cell>
          <cell r="D519" t="e">
            <v>#N/A</v>
          </cell>
          <cell r="E519" t="str">
            <v>LIBERADO POR LEANDRO - 12/09/2025</v>
          </cell>
          <cell r="F519" t="e">
            <v>#REF!</v>
          </cell>
          <cell r="G519" t="e">
            <v>#N/A</v>
          </cell>
          <cell r="K519" t="str">
            <v>FATURADO</v>
          </cell>
        </row>
        <row r="520">
          <cell r="A520" t="str">
            <v>0925-011737</v>
          </cell>
          <cell r="B520" t="e">
            <v>#N/A</v>
          </cell>
          <cell r="C520" t="e">
            <v>#N/A</v>
          </cell>
          <cell r="D520" t="e">
            <v>#N/A</v>
          </cell>
          <cell r="E520" t="str">
            <v>LIBERADO POR LEANDRO - 15/09/2025</v>
          </cell>
          <cell r="F520" t="e">
            <v>#REF!</v>
          </cell>
          <cell r="G520" t="e">
            <v>#N/A</v>
          </cell>
          <cell r="K520" t="str">
            <v>FATURADO</v>
          </cell>
        </row>
        <row r="521">
          <cell r="A521" t="str">
            <v>0925-015680</v>
          </cell>
          <cell r="B521" t="e">
            <v>#N/A</v>
          </cell>
          <cell r="C521" t="e">
            <v>#N/A</v>
          </cell>
          <cell r="D521" t="e">
            <v>#N/A</v>
          </cell>
          <cell r="E521" t="str">
            <v>LIBERADO POR LEANDRO - 24/09/2025</v>
          </cell>
          <cell r="F521" t="e">
            <v>#REF!</v>
          </cell>
          <cell r="G521" t="e">
            <v>#N/A</v>
          </cell>
          <cell r="K521" t="str">
            <v>FATURADO</v>
          </cell>
        </row>
        <row r="522">
          <cell r="A522" t="str">
            <v>0925-017149</v>
          </cell>
          <cell r="B522" t="e">
            <v>#N/A</v>
          </cell>
          <cell r="C522" t="e">
            <v>#N/A</v>
          </cell>
          <cell r="D522" t="e">
            <v>#N/A</v>
          </cell>
          <cell r="E522" t="str">
            <v>LIBERADO POR LEANDRO - 29/09/2025</v>
          </cell>
          <cell r="F522" t="e">
            <v>#REF!</v>
          </cell>
          <cell r="G522" t="e">
            <v>#N/A</v>
          </cell>
          <cell r="K522" t="str">
            <v>FATURADO</v>
          </cell>
        </row>
        <row r="523">
          <cell r="A523" t="str">
            <v>1025-006872</v>
          </cell>
          <cell r="B523" t="e">
            <v>#N/A</v>
          </cell>
          <cell r="C523" t="e">
            <v>#N/A</v>
          </cell>
          <cell r="D523" t="e">
            <v>#N/A</v>
          </cell>
          <cell r="E523" t="str">
            <v>LIBERADO POR LEANDRO - 07/10/2025</v>
          </cell>
          <cell r="F523" t="e">
            <v>#REF!</v>
          </cell>
          <cell r="G523" t="e">
            <v>#N/A</v>
          </cell>
          <cell r="K523" t="str">
            <v>FATURADO</v>
          </cell>
        </row>
        <row r="524">
          <cell r="A524" t="str">
            <v>0825-012308</v>
          </cell>
          <cell r="B524" t="e">
            <v>#N/A</v>
          </cell>
          <cell r="C524" t="e">
            <v>#N/A</v>
          </cell>
          <cell r="D524" t="e">
            <v>#N/A</v>
          </cell>
          <cell r="F524" t="e">
            <v>#REF!</v>
          </cell>
          <cell r="G524" t="e">
            <v>#N/A</v>
          </cell>
          <cell r="K524" t="str">
            <v>FATURADO</v>
          </cell>
        </row>
        <row r="525">
          <cell r="A525" t="str">
            <v>0825-013962</v>
          </cell>
          <cell r="B525" t="e">
            <v>#N/A</v>
          </cell>
          <cell r="C525" t="e">
            <v>#N/A</v>
          </cell>
          <cell r="D525" t="e">
            <v>#N/A</v>
          </cell>
          <cell r="F525" t="e">
            <v>#REF!</v>
          </cell>
          <cell r="G525" t="e">
            <v>#N/A</v>
          </cell>
          <cell r="K525" t="str">
            <v>FATURADO</v>
          </cell>
        </row>
        <row r="526">
          <cell r="A526" t="str">
            <v>0725-017183</v>
          </cell>
          <cell r="B526" t="e">
            <v>#N/A</v>
          </cell>
          <cell r="C526" t="e">
            <v>#N/A</v>
          </cell>
          <cell r="D526" t="e">
            <v>#N/A</v>
          </cell>
          <cell r="E526" t="str">
            <v>MARCELO VERIFICAR</v>
          </cell>
          <cell r="F526" t="e">
            <v>#REF!</v>
          </cell>
          <cell r="G526" t="e">
            <v>#N/A</v>
          </cell>
          <cell r="K526" t="str">
            <v>FATURADO</v>
          </cell>
        </row>
        <row r="527">
          <cell r="A527" t="str">
            <v>0725-014451</v>
          </cell>
          <cell r="B527" t="e">
            <v>#N/A</v>
          </cell>
          <cell r="C527" t="e">
            <v>#N/A</v>
          </cell>
          <cell r="D527" t="e">
            <v>#N/A</v>
          </cell>
          <cell r="F527" t="e">
            <v>#REF!</v>
          </cell>
          <cell r="G527" t="e">
            <v>#N/A</v>
          </cell>
          <cell r="K527" t="str">
            <v>FATURADO</v>
          </cell>
        </row>
        <row r="528">
          <cell r="A528" t="str">
            <v>0925-008728</v>
          </cell>
          <cell r="B528" t="e">
            <v>#N/A</v>
          </cell>
          <cell r="C528" t="e">
            <v>#N/A</v>
          </cell>
          <cell r="D528" t="e">
            <v>#N/A</v>
          </cell>
          <cell r="E528" t="str">
            <v>LIBERADO POR LEANDRO - 22/09/2025</v>
          </cell>
          <cell r="F528" t="e">
            <v>#REF!</v>
          </cell>
          <cell r="G528" t="e">
            <v>#N/A</v>
          </cell>
          <cell r="K528" t="str">
            <v>FATURADO</v>
          </cell>
        </row>
        <row r="529">
          <cell r="A529" t="str">
            <v>0725-010319</v>
          </cell>
          <cell r="B529" t="e">
            <v>#N/A</v>
          </cell>
          <cell r="C529" t="e">
            <v>#N/A</v>
          </cell>
          <cell r="D529" t="e">
            <v>#N/A</v>
          </cell>
          <cell r="F529" t="e">
            <v>#REF!</v>
          </cell>
          <cell r="G529" t="e">
            <v>#N/A</v>
          </cell>
          <cell r="K529" t="str">
            <v>FATURADO</v>
          </cell>
        </row>
        <row r="530">
          <cell r="A530" t="str">
            <v>0825-009830</v>
          </cell>
          <cell r="B530" t="e">
            <v>#N/A</v>
          </cell>
          <cell r="C530" t="e">
            <v>#N/A</v>
          </cell>
          <cell r="D530" t="e">
            <v>#N/A</v>
          </cell>
          <cell r="E530" t="str">
            <v>OS FISICA</v>
          </cell>
          <cell r="F530" t="e">
            <v>#REF!</v>
          </cell>
          <cell r="G530" t="e">
            <v>#N/A</v>
          </cell>
          <cell r="K530" t="str">
            <v>FATURADO</v>
          </cell>
        </row>
        <row r="531">
          <cell r="A531" t="str">
            <v>0925-013738</v>
          </cell>
          <cell r="B531" t="e">
            <v>#N/A</v>
          </cell>
          <cell r="C531" t="e">
            <v>#N/A</v>
          </cell>
          <cell r="D531" t="e">
            <v>#N/A</v>
          </cell>
          <cell r="F531" t="e">
            <v>#REF!</v>
          </cell>
          <cell r="G531" t="e">
            <v>#N/A</v>
          </cell>
          <cell r="K531" t="str">
            <v>FATURADO</v>
          </cell>
        </row>
        <row r="532">
          <cell r="A532" t="str">
            <v>0925-015915</v>
          </cell>
          <cell r="B532" t="e">
            <v>#N/A</v>
          </cell>
          <cell r="C532" t="e">
            <v>#N/A</v>
          </cell>
          <cell r="D532" t="e">
            <v>#N/A</v>
          </cell>
          <cell r="E532" t="str">
            <v>LIBERADO POR LEANDRO - 25/09/2025</v>
          </cell>
          <cell r="F532" t="e">
            <v>#REF!</v>
          </cell>
          <cell r="G532" t="e">
            <v>#N/A</v>
          </cell>
          <cell r="K532" t="str">
            <v>FATURADO</v>
          </cell>
        </row>
        <row r="533">
          <cell r="A533" t="str">
            <v>0925-017291</v>
          </cell>
          <cell r="B533" t="e">
            <v>#N/A</v>
          </cell>
          <cell r="C533" t="e">
            <v>#N/A</v>
          </cell>
          <cell r="D533" t="e">
            <v>#N/A</v>
          </cell>
          <cell r="E533" t="str">
            <v>LIBERADO POR LEANDRO - 30/09/2025</v>
          </cell>
          <cell r="F533" t="e">
            <v>#REF!</v>
          </cell>
          <cell r="G533" t="e">
            <v>#N/A</v>
          </cell>
          <cell r="K533" t="str">
            <v>FATURADO</v>
          </cell>
        </row>
        <row r="534">
          <cell r="A534" t="str">
            <v>1025-006357</v>
          </cell>
          <cell r="B534" t="e">
            <v>#N/A</v>
          </cell>
          <cell r="C534" t="e">
            <v>#N/A</v>
          </cell>
          <cell r="D534" t="e">
            <v>#N/A</v>
          </cell>
          <cell r="E534" t="str">
            <v>LIBERADO POR LEANDRO - 04/10/2025</v>
          </cell>
          <cell r="F534" t="e">
            <v>#REF!</v>
          </cell>
          <cell r="G534" t="e">
            <v>#N/A</v>
          </cell>
          <cell r="K534" t="str">
            <v>FATURADO</v>
          </cell>
        </row>
        <row r="535">
          <cell r="A535" t="str">
            <v>0825-013431</v>
          </cell>
          <cell r="B535" t="e">
            <v>#N/A</v>
          </cell>
          <cell r="C535" t="e">
            <v>#N/A</v>
          </cell>
          <cell r="D535" t="e">
            <v>#N/A</v>
          </cell>
          <cell r="F535" t="e">
            <v>#REF!</v>
          </cell>
          <cell r="G535" t="e">
            <v>#N/A</v>
          </cell>
          <cell r="K535" t="str">
            <v>FATURADO</v>
          </cell>
        </row>
        <row r="536">
          <cell r="A536" t="str">
            <v>0825-008888</v>
          </cell>
          <cell r="B536" t="e">
            <v>#N/A</v>
          </cell>
          <cell r="C536" t="e">
            <v>#N/A</v>
          </cell>
          <cell r="D536" t="e">
            <v>#N/A</v>
          </cell>
          <cell r="F536" t="e">
            <v>#REF!</v>
          </cell>
          <cell r="G536" t="e">
            <v>#N/A</v>
          </cell>
          <cell r="K536" t="str">
            <v>FATURADO</v>
          </cell>
        </row>
        <row r="537">
          <cell r="A537" t="str">
            <v>0825-008885</v>
          </cell>
          <cell r="B537" t="e">
            <v>#N/A</v>
          </cell>
          <cell r="C537" t="e">
            <v>#N/A</v>
          </cell>
          <cell r="D537" t="e">
            <v>#N/A</v>
          </cell>
          <cell r="F537" t="e">
            <v>#REF!</v>
          </cell>
          <cell r="G537" t="e">
            <v>#N/A</v>
          </cell>
          <cell r="K537" t="str">
            <v>FATURADO</v>
          </cell>
        </row>
        <row r="538">
          <cell r="A538" t="str">
            <v>0825-004385</v>
          </cell>
          <cell r="B538" t="e">
            <v>#N/A</v>
          </cell>
          <cell r="C538" t="e">
            <v>#N/A</v>
          </cell>
          <cell r="D538" t="e">
            <v>#N/A</v>
          </cell>
          <cell r="F538" t="e">
            <v>#REF!</v>
          </cell>
          <cell r="G538" t="e">
            <v>#N/A</v>
          </cell>
          <cell r="K538" t="str">
            <v>FATURADO</v>
          </cell>
        </row>
        <row r="539">
          <cell r="A539" t="str">
            <v>1025-005910</v>
          </cell>
          <cell r="B539" t="e">
            <v>#N/A</v>
          </cell>
          <cell r="C539" t="e">
            <v>#N/A</v>
          </cell>
          <cell r="D539" t="e">
            <v>#N/A</v>
          </cell>
          <cell r="F539" t="e">
            <v>#REF!</v>
          </cell>
          <cell r="G539" t="e">
            <v>#N/A</v>
          </cell>
          <cell r="K539" t="str">
            <v>FATURADO</v>
          </cell>
        </row>
        <row r="540">
          <cell r="A540" t="str">
            <v>0524-014084</v>
          </cell>
          <cell r="B540" t="e">
            <v>#N/A</v>
          </cell>
          <cell r="C540" t="e">
            <v>#N/A</v>
          </cell>
          <cell r="D540" t="e">
            <v>#N/A</v>
          </cell>
          <cell r="F540" t="e">
            <v>#REF!</v>
          </cell>
          <cell r="G540" t="e">
            <v>#N/A</v>
          </cell>
          <cell r="K540" t="str">
            <v>FATURADO</v>
          </cell>
        </row>
        <row r="541">
          <cell r="A541" t="str">
            <v>0825-008646</v>
          </cell>
          <cell r="B541" t="e">
            <v>#N/A</v>
          </cell>
          <cell r="C541" t="e">
            <v>#N/A</v>
          </cell>
          <cell r="D541" t="e">
            <v>#N/A</v>
          </cell>
          <cell r="F541" t="e">
            <v>#REF!</v>
          </cell>
          <cell r="G541" t="e">
            <v>#N/A</v>
          </cell>
          <cell r="K541" t="str">
            <v>FATURADO</v>
          </cell>
        </row>
        <row r="542">
          <cell r="A542" t="str">
            <v>0825-008892</v>
          </cell>
          <cell r="B542" t="e">
            <v>#N/A</v>
          </cell>
          <cell r="C542" t="e">
            <v>#N/A</v>
          </cell>
          <cell r="D542" t="e">
            <v>#N/A</v>
          </cell>
          <cell r="F542" t="e">
            <v>#REF!</v>
          </cell>
          <cell r="G542" t="e">
            <v>#N/A</v>
          </cell>
          <cell r="K542" t="str">
            <v>FATURADO</v>
          </cell>
        </row>
        <row r="543">
          <cell r="A543" t="str">
            <v>0825-008886</v>
          </cell>
          <cell r="B543" t="e">
            <v>#N/A</v>
          </cell>
          <cell r="C543" t="e">
            <v>#N/A</v>
          </cell>
          <cell r="D543" t="e">
            <v>#N/A</v>
          </cell>
          <cell r="F543" t="e">
            <v>#REF!</v>
          </cell>
          <cell r="G543" t="e">
            <v>#N/A</v>
          </cell>
          <cell r="K543" t="str">
            <v>FATURADO</v>
          </cell>
        </row>
        <row r="544">
          <cell r="A544" t="str">
            <v>0825-008689</v>
          </cell>
          <cell r="B544" t="e">
            <v>#N/A</v>
          </cell>
          <cell r="C544" t="e">
            <v>#N/A</v>
          </cell>
          <cell r="D544" t="e">
            <v>#N/A</v>
          </cell>
          <cell r="F544" t="e">
            <v>#REF!</v>
          </cell>
          <cell r="G544" t="e">
            <v>#N/A</v>
          </cell>
          <cell r="K544" t="str">
            <v>FATURADO</v>
          </cell>
        </row>
        <row r="545">
          <cell r="A545" t="str">
            <v>0825-010750</v>
          </cell>
          <cell r="B545" t="e">
            <v>#N/A</v>
          </cell>
          <cell r="C545" t="e">
            <v>#N/A</v>
          </cell>
          <cell r="D545" t="e">
            <v>#N/A</v>
          </cell>
          <cell r="F545" t="e">
            <v>#REF!</v>
          </cell>
          <cell r="G545" t="e">
            <v>#N/A</v>
          </cell>
          <cell r="K545" t="str">
            <v>FATURADO</v>
          </cell>
        </row>
        <row r="546">
          <cell r="A546" t="str">
            <v>0825-005876</v>
          </cell>
          <cell r="B546" t="e">
            <v>#N/A</v>
          </cell>
          <cell r="C546" t="e">
            <v>#N/A</v>
          </cell>
          <cell r="D546" t="e">
            <v>#N/A</v>
          </cell>
          <cell r="E546" t="str">
            <v>OS FISICA</v>
          </cell>
          <cell r="F546" t="e">
            <v>#REF!</v>
          </cell>
          <cell r="G546" t="e">
            <v>#N/A</v>
          </cell>
          <cell r="K546" t="str">
            <v>FATURADO</v>
          </cell>
        </row>
        <row r="547">
          <cell r="A547" t="str">
            <v>0824-005732</v>
          </cell>
          <cell r="B547" t="e">
            <v>#N/A</v>
          </cell>
          <cell r="C547" t="e">
            <v>#N/A</v>
          </cell>
          <cell r="D547" t="e">
            <v>#N/A</v>
          </cell>
          <cell r="F547" t="e">
            <v>#REF!</v>
          </cell>
          <cell r="G547" t="e">
            <v>#N/A</v>
          </cell>
          <cell r="K547" t="str">
            <v>FATURADO</v>
          </cell>
        </row>
        <row r="548">
          <cell r="A548" t="str">
            <v>0225-012422</v>
          </cell>
          <cell r="B548" t="e">
            <v>#N/A</v>
          </cell>
          <cell r="C548" t="e">
            <v>#N/A</v>
          </cell>
          <cell r="D548" t="e">
            <v>#N/A</v>
          </cell>
          <cell r="F548" t="e">
            <v>#REF!</v>
          </cell>
          <cell r="G548" t="e">
            <v>#N/A</v>
          </cell>
          <cell r="K548" t="str">
            <v>FATURADO</v>
          </cell>
        </row>
        <row r="549">
          <cell r="A549" t="str">
            <v>0825-006356</v>
          </cell>
          <cell r="B549" t="e">
            <v>#N/A</v>
          </cell>
          <cell r="C549" t="e">
            <v>#N/A</v>
          </cell>
          <cell r="D549" t="e">
            <v>#N/A</v>
          </cell>
          <cell r="F549" t="e">
            <v>#REF!</v>
          </cell>
          <cell r="G549" t="e">
            <v>#N/A</v>
          </cell>
          <cell r="K549" t="str">
            <v>FATURADO</v>
          </cell>
        </row>
        <row r="550">
          <cell r="A550" t="str">
            <v>0825-011001</v>
          </cell>
          <cell r="B550" t="e">
            <v>#N/A</v>
          </cell>
          <cell r="C550" t="e">
            <v>#N/A</v>
          </cell>
          <cell r="D550" t="e">
            <v>#N/A</v>
          </cell>
          <cell r="F550" t="e">
            <v>#REF!</v>
          </cell>
          <cell r="G550" t="e">
            <v>#N/A</v>
          </cell>
          <cell r="K550" t="str">
            <v>FATURADO</v>
          </cell>
        </row>
        <row r="551">
          <cell r="A551" t="str">
            <v>0725-013297</v>
          </cell>
          <cell r="B551" t="e">
            <v>#N/A</v>
          </cell>
          <cell r="C551" t="e">
            <v>#N/A</v>
          </cell>
          <cell r="D551" t="e">
            <v>#N/A</v>
          </cell>
          <cell r="F551" t="e">
            <v>#REF!</v>
          </cell>
          <cell r="G551" t="e">
            <v>#N/A</v>
          </cell>
          <cell r="K551" t="str">
            <v>FATURADO</v>
          </cell>
        </row>
        <row r="552">
          <cell r="A552" t="str">
            <v>0725-017504</v>
          </cell>
          <cell r="B552" t="e">
            <v>#N/A</v>
          </cell>
          <cell r="C552" t="e">
            <v>#N/A</v>
          </cell>
          <cell r="D552" t="e">
            <v>#N/A</v>
          </cell>
          <cell r="F552" t="e">
            <v>#REF!</v>
          </cell>
          <cell r="G552" t="e">
            <v>#N/A</v>
          </cell>
          <cell r="K552" t="str">
            <v>FATURADO</v>
          </cell>
        </row>
        <row r="553">
          <cell r="A553" t="str">
            <v>0825-004167</v>
          </cell>
          <cell r="B553" t="e">
            <v>#N/A</v>
          </cell>
          <cell r="C553" t="e">
            <v>#N/A</v>
          </cell>
          <cell r="D553" t="e">
            <v>#N/A</v>
          </cell>
          <cell r="F553" t="e">
            <v>#REF!</v>
          </cell>
          <cell r="G553" t="e">
            <v>#N/A</v>
          </cell>
          <cell r="K553" t="str">
            <v>FATURADO</v>
          </cell>
        </row>
        <row r="554">
          <cell r="A554" t="str">
            <v>0525-015989</v>
          </cell>
          <cell r="B554" t="e">
            <v>#N/A</v>
          </cell>
          <cell r="C554" t="e">
            <v>#N/A</v>
          </cell>
          <cell r="D554" t="e">
            <v>#N/A</v>
          </cell>
          <cell r="F554" t="e">
            <v>#REF!</v>
          </cell>
          <cell r="G554" t="e">
            <v>#N/A</v>
          </cell>
          <cell r="K554" t="str">
            <v>FATURADO</v>
          </cell>
        </row>
        <row r="555">
          <cell r="A555" t="str">
            <v>0825-012247</v>
          </cell>
          <cell r="B555" t="e">
            <v>#N/A</v>
          </cell>
          <cell r="C555" t="e">
            <v>#N/A</v>
          </cell>
          <cell r="D555" t="e">
            <v>#N/A</v>
          </cell>
          <cell r="E555" t="str">
            <v>LIBERADO POR LEANDRO - 25/08/2025</v>
          </cell>
          <cell r="F555" t="e">
            <v>#REF!</v>
          </cell>
          <cell r="G555" t="e">
            <v>#N/A</v>
          </cell>
          <cell r="K555" t="str">
            <v>FATURADO</v>
          </cell>
        </row>
        <row r="556">
          <cell r="A556" t="str">
            <v>0925-010328</v>
          </cell>
          <cell r="B556" t="e">
            <v>#N/A</v>
          </cell>
          <cell r="C556" t="e">
            <v>#N/A</v>
          </cell>
          <cell r="D556" t="e">
            <v>#N/A</v>
          </cell>
          <cell r="E556" t="str">
            <v>LIBERADO POR LEANDRO - 09/09/2025</v>
          </cell>
          <cell r="F556" t="e">
            <v>#REF!</v>
          </cell>
          <cell r="G556" t="e">
            <v>#N/A</v>
          </cell>
          <cell r="K556" t="str">
            <v>FATURADO</v>
          </cell>
        </row>
        <row r="557">
          <cell r="A557" t="str">
            <v>0825-008701</v>
          </cell>
          <cell r="B557" t="e">
            <v>#N/A</v>
          </cell>
          <cell r="C557" t="e">
            <v>#N/A</v>
          </cell>
          <cell r="D557" t="e">
            <v>#N/A</v>
          </cell>
          <cell r="F557" t="e">
            <v>#REF!</v>
          </cell>
          <cell r="G557" t="e">
            <v>#N/A</v>
          </cell>
          <cell r="K557" t="str">
            <v>FATURADO</v>
          </cell>
        </row>
        <row r="558">
          <cell r="A558" t="str">
            <v>0925-010063</v>
          </cell>
          <cell r="B558" t="e">
            <v>#N/A</v>
          </cell>
          <cell r="C558" t="e">
            <v>#N/A</v>
          </cell>
          <cell r="D558" t="e">
            <v>#N/A</v>
          </cell>
          <cell r="F558" t="e">
            <v>#REF!</v>
          </cell>
          <cell r="G558" t="e">
            <v>#N/A</v>
          </cell>
          <cell r="K558" t="str">
            <v>FATURADO</v>
          </cell>
        </row>
        <row r="559">
          <cell r="A559" t="str">
            <v>0525-012778</v>
          </cell>
          <cell r="B559" t="e">
            <v>#N/A</v>
          </cell>
          <cell r="C559" t="e">
            <v>#N/A</v>
          </cell>
          <cell r="D559" t="e">
            <v>#N/A</v>
          </cell>
          <cell r="F559">
            <v>2967.17</v>
          </cell>
          <cell r="G559" t="e">
            <v>#N/A</v>
          </cell>
          <cell r="K559" t="str">
            <v>FATURADO</v>
          </cell>
        </row>
        <row r="560">
          <cell r="A560" t="str">
            <v>0725-016244</v>
          </cell>
          <cell r="B560" t="e">
            <v>#N/A</v>
          </cell>
          <cell r="C560" t="e">
            <v>#N/A</v>
          </cell>
          <cell r="D560" t="e">
            <v>#N/A</v>
          </cell>
          <cell r="E560" t="str">
            <v>LIBERADO ´PARA EXECUÇÃO - 28/07/2025</v>
          </cell>
          <cell r="F560" t="e">
            <v>#REF!</v>
          </cell>
          <cell r="G560" t="e">
            <v>#N/A</v>
          </cell>
          <cell r="K560" t="str">
            <v>FATURADO</v>
          </cell>
        </row>
        <row r="561">
          <cell r="A561" t="str">
            <v>0825-010194</v>
          </cell>
          <cell r="B561" t="e">
            <v>#N/A</v>
          </cell>
          <cell r="C561" t="e">
            <v>#N/A</v>
          </cell>
          <cell r="D561" t="e">
            <v>#N/A</v>
          </cell>
          <cell r="F561">
            <v>2176.58</v>
          </cell>
          <cell r="G561" t="e">
            <v>#N/A</v>
          </cell>
          <cell r="K561" t="str">
            <v>FATURADO</v>
          </cell>
        </row>
        <row r="562">
          <cell r="A562" t="str">
            <v>0925-008919</v>
          </cell>
          <cell r="B562" t="e">
            <v>#N/A</v>
          </cell>
          <cell r="C562" t="e">
            <v>#N/A</v>
          </cell>
          <cell r="D562" t="e">
            <v>#N/A</v>
          </cell>
          <cell r="E562" t="str">
            <v>LIBERADO POR AMANDA - 04/09/2025</v>
          </cell>
          <cell r="F562">
            <v>2000</v>
          </cell>
          <cell r="G562" t="e">
            <v>#N/A</v>
          </cell>
          <cell r="K562" t="str">
            <v>FATURADO</v>
          </cell>
        </row>
        <row r="563">
          <cell r="A563" t="str">
            <v>0825-007946</v>
          </cell>
          <cell r="B563" t="e">
            <v>#N/A</v>
          </cell>
          <cell r="C563" t="e">
            <v>#N/A</v>
          </cell>
          <cell r="D563" t="e">
            <v>#N/A</v>
          </cell>
          <cell r="F563" t="e">
            <v>#REF!</v>
          </cell>
          <cell r="G563" t="e">
            <v>#N/A</v>
          </cell>
          <cell r="K563" t="str">
            <v>FATURADO</v>
          </cell>
        </row>
        <row r="564">
          <cell r="A564" t="str">
            <v>0825-010749</v>
          </cell>
          <cell r="B564" t="e">
            <v>#N/A</v>
          </cell>
          <cell r="C564" t="e">
            <v>#N/A</v>
          </cell>
          <cell r="D564" t="e">
            <v>#N/A</v>
          </cell>
          <cell r="F564" t="e">
            <v>#REF!</v>
          </cell>
          <cell r="G564" t="e">
            <v>#N/A</v>
          </cell>
          <cell r="K564" t="str">
            <v>FATURADO</v>
          </cell>
        </row>
        <row r="565">
          <cell r="A565" t="str">
            <v>0225-009862</v>
          </cell>
          <cell r="B565" t="e">
            <v>#N/A</v>
          </cell>
          <cell r="C565" t="e">
            <v>#N/A</v>
          </cell>
          <cell r="D565" t="e">
            <v>#N/A</v>
          </cell>
          <cell r="E565" t="str">
            <v>VISITA</v>
          </cell>
          <cell r="F565" t="e">
            <v>#REF!</v>
          </cell>
          <cell r="G565" t="e">
            <v>#N/A</v>
          </cell>
          <cell r="K565" t="str">
            <v>FATURADO</v>
          </cell>
        </row>
        <row r="566">
          <cell r="A566" t="str">
            <v>0825-008753</v>
          </cell>
          <cell r="B566" t="e">
            <v>#N/A</v>
          </cell>
          <cell r="C566" t="e">
            <v>#N/A</v>
          </cell>
          <cell r="D566" t="e">
            <v>#N/A</v>
          </cell>
          <cell r="F566" t="e">
            <v>#REF!</v>
          </cell>
          <cell r="G566" t="e">
            <v>#N/A</v>
          </cell>
          <cell r="K566" t="str">
            <v>FATURADO</v>
          </cell>
        </row>
        <row r="567">
          <cell r="A567" t="str">
            <v>0825-011886</v>
          </cell>
          <cell r="B567" t="e">
            <v>#N/A</v>
          </cell>
          <cell r="C567" t="e">
            <v>#N/A</v>
          </cell>
          <cell r="D567" t="e">
            <v>#N/A</v>
          </cell>
          <cell r="F567" t="e">
            <v>#REF!</v>
          </cell>
          <cell r="G567" t="e">
            <v>#N/A</v>
          </cell>
          <cell r="K567" t="str">
            <v>FATURADO</v>
          </cell>
        </row>
        <row r="568">
          <cell r="A568" t="str">
            <v>0825-010753</v>
          </cell>
          <cell r="B568" t="e">
            <v>#N/A</v>
          </cell>
          <cell r="C568" t="e">
            <v>#N/A</v>
          </cell>
          <cell r="D568" t="e">
            <v>#N/A</v>
          </cell>
          <cell r="F568" t="e">
            <v>#REF!</v>
          </cell>
          <cell r="G568" t="e">
            <v>#N/A</v>
          </cell>
          <cell r="K568" t="str">
            <v>FATURADO</v>
          </cell>
        </row>
        <row r="569">
          <cell r="A569" t="str">
            <v>0725-017214</v>
          </cell>
          <cell r="B569" t="e">
            <v>#N/A</v>
          </cell>
          <cell r="C569" t="e">
            <v>#N/A</v>
          </cell>
          <cell r="D569" t="e">
            <v>#N/A</v>
          </cell>
          <cell r="F569" t="e">
            <v>#REF!</v>
          </cell>
          <cell r="G569" t="e">
            <v>#N/A</v>
          </cell>
          <cell r="K569" t="str">
            <v>FATURADO</v>
          </cell>
        </row>
        <row r="570">
          <cell r="A570" t="str">
            <v>0625-011334</v>
          </cell>
          <cell r="B570" t="e">
            <v>#N/A</v>
          </cell>
          <cell r="C570" t="e">
            <v>#N/A</v>
          </cell>
          <cell r="D570" t="e">
            <v>#N/A</v>
          </cell>
          <cell r="F570">
            <v>13494.2</v>
          </cell>
          <cell r="G570" t="str">
            <v>AMANDA</v>
          </cell>
          <cell r="K570" t="str">
            <v>FATURADO</v>
          </cell>
        </row>
        <row r="571">
          <cell r="A571" t="str">
            <v>0725-016266</v>
          </cell>
          <cell r="B571" t="e">
            <v>#N/A</v>
          </cell>
          <cell r="C571" t="e">
            <v>#N/A</v>
          </cell>
          <cell r="D571" t="e">
            <v>#N/A</v>
          </cell>
          <cell r="F571" t="e">
            <v>#REF!</v>
          </cell>
          <cell r="G571" t="e">
            <v>#N/A</v>
          </cell>
          <cell r="K571" t="str">
            <v>FATURADO</v>
          </cell>
        </row>
        <row r="572">
          <cell r="A572" t="str">
            <v>0824-007734</v>
          </cell>
          <cell r="B572" t="e">
            <v>#N/A</v>
          </cell>
          <cell r="C572" t="e">
            <v>#N/A</v>
          </cell>
          <cell r="D572" t="e">
            <v>#N/A</v>
          </cell>
          <cell r="E572" t="str">
            <v>PEGAR FISICA COM A LOJA</v>
          </cell>
          <cell r="F572">
            <v>11429.52</v>
          </cell>
          <cell r="G572" t="e">
            <v>#N/A</v>
          </cell>
          <cell r="K572" t="str">
            <v>FATURADO</v>
          </cell>
        </row>
        <row r="573">
          <cell r="A573" t="str">
            <v>0725-017337</v>
          </cell>
          <cell r="B573" t="e">
            <v>#N/A</v>
          </cell>
          <cell r="C573" t="e">
            <v>#N/A</v>
          </cell>
          <cell r="D573" t="e">
            <v>#N/A</v>
          </cell>
          <cell r="F573" t="e">
            <v>#REF!</v>
          </cell>
          <cell r="G573" t="str">
            <v>LEANDRO</v>
          </cell>
          <cell r="K573" t="str">
            <v>FATURADO</v>
          </cell>
        </row>
        <row r="574">
          <cell r="A574" t="str">
            <v>0725-015520</v>
          </cell>
          <cell r="B574" t="e">
            <v>#N/A</v>
          </cell>
          <cell r="C574" t="e">
            <v>#N/A</v>
          </cell>
          <cell r="D574" t="e">
            <v>#N/A</v>
          </cell>
          <cell r="F574" t="e">
            <v>#REF!</v>
          </cell>
          <cell r="G574" t="e">
            <v>#N/A</v>
          </cell>
          <cell r="K574" t="str">
            <v>FATURADO</v>
          </cell>
        </row>
        <row r="575">
          <cell r="A575" t="str">
            <v>0725-015852</v>
          </cell>
          <cell r="B575" t="e">
            <v>#N/A</v>
          </cell>
          <cell r="C575" t="e">
            <v>#N/A</v>
          </cell>
          <cell r="D575" t="e">
            <v>#N/A</v>
          </cell>
          <cell r="F575" t="e">
            <v>#REF!</v>
          </cell>
          <cell r="G575" t="e">
            <v>#N/A</v>
          </cell>
          <cell r="K575" t="str">
            <v>FATURADO</v>
          </cell>
        </row>
        <row r="576">
          <cell r="A576" t="str">
            <v>0825-008837</v>
          </cell>
          <cell r="B576" t="e">
            <v>#N/A</v>
          </cell>
          <cell r="C576" t="e">
            <v>#N/A</v>
          </cell>
          <cell r="D576" t="e">
            <v>#N/A</v>
          </cell>
          <cell r="F576" t="e">
            <v>#REF!</v>
          </cell>
          <cell r="G576" t="e">
            <v>#N/A</v>
          </cell>
          <cell r="K576" t="str">
            <v>FATURADO</v>
          </cell>
        </row>
        <row r="577">
          <cell r="A577" t="str">
            <v>0725-010659</v>
          </cell>
          <cell r="B577" t="e">
            <v>#N/A</v>
          </cell>
          <cell r="C577" t="e">
            <v>#N/A</v>
          </cell>
          <cell r="D577" t="e">
            <v>#N/A</v>
          </cell>
          <cell r="F577" t="e">
            <v>#REF!</v>
          </cell>
          <cell r="G577" t="e">
            <v>#N/A</v>
          </cell>
          <cell r="K577" t="str">
            <v>FATURADO</v>
          </cell>
        </row>
        <row r="578">
          <cell r="A578" t="str">
            <v>0725-014516</v>
          </cell>
          <cell r="B578" t="e">
            <v>#N/A</v>
          </cell>
          <cell r="C578" t="e">
            <v>#N/A</v>
          </cell>
          <cell r="D578" t="e">
            <v>#N/A</v>
          </cell>
          <cell r="E578" t="str">
            <v>OS FISICA</v>
          </cell>
          <cell r="F578" t="e">
            <v>#REF!</v>
          </cell>
          <cell r="G578" t="e">
            <v>#N/A</v>
          </cell>
          <cell r="K578" t="str">
            <v>FATURADO</v>
          </cell>
        </row>
        <row r="579">
          <cell r="A579" t="str">
            <v>0725-016334</v>
          </cell>
          <cell r="B579" t="e">
            <v>#N/A</v>
          </cell>
          <cell r="C579" t="e">
            <v>#N/A</v>
          </cell>
          <cell r="D579" t="e">
            <v>#N/A</v>
          </cell>
          <cell r="F579" t="e">
            <v>#REF!</v>
          </cell>
          <cell r="G579" t="e">
            <v>#N/A</v>
          </cell>
          <cell r="K579" t="str">
            <v>FATURADO</v>
          </cell>
        </row>
        <row r="580">
          <cell r="A580" t="str">
            <v>0825-004513</v>
          </cell>
          <cell r="B580" t="e">
            <v>#N/A</v>
          </cell>
          <cell r="C580" t="e">
            <v>#N/A</v>
          </cell>
          <cell r="D580" t="e">
            <v>#N/A</v>
          </cell>
          <cell r="E580" t="str">
            <v>OS FISICA</v>
          </cell>
          <cell r="F580" t="e">
            <v>#REF!</v>
          </cell>
          <cell r="G580" t="e">
            <v>#N/A</v>
          </cell>
          <cell r="K580" t="str">
            <v>FATURADO</v>
          </cell>
        </row>
        <row r="581">
          <cell r="A581" t="str">
            <v>0825-005293</v>
          </cell>
          <cell r="B581" t="e">
            <v>#N/A</v>
          </cell>
          <cell r="C581" t="e">
            <v>#N/A</v>
          </cell>
          <cell r="D581" t="e">
            <v>#N/A</v>
          </cell>
          <cell r="E581" t="str">
            <v>OS FISICA</v>
          </cell>
          <cell r="F581">
            <v>4000</v>
          </cell>
          <cell r="G581" t="e">
            <v>#N/A</v>
          </cell>
          <cell r="K581" t="str">
            <v>FATURADO</v>
          </cell>
        </row>
        <row r="582">
          <cell r="A582" t="str">
            <v>0825-007189</v>
          </cell>
          <cell r="B582" t="e">
            <v>#N/A</v>
          </cell>
          <cell r="C582" t="e">
            <v>#N/A</v>
          </cell>
          <cell r="D582" t="e">
            <v>#N/A</v>
          </cell>
          <cell r="F582" t="e">
            <v>#REF!</v>
          </cell>
          <cell r="G582" t="e">
            <v>#N/A</v>
          </cell>
          <cell r="K582" t="str">
            <v>FATURADO</v>
          </cell>
        </row>
        <row r="583">
          <cell r="A583" t="str">
            <v>0825-012043</v>
          </cell>
          <cell r="B583" t="e">
            <v>#N/A</v>
          </cell>
          <cell r="C583" t="e">
            <v>#N/A</v>
          </cell>
          <cell r="D583" t="e">
            <v>#N/A</v>
          </cell>
          <cell r="F583">
            <v>3251.57</v>
          </cell>
          <cell r="G583" t="e">
            <v>#N/A</v>
          </cell>
          <cell r="K583" t="str">
            <v>FATURADO</v>
          </cell>
        </row>
        <row r="584">
          <cell r="A584" t="str">
            <v>0725-017188</v>
          </cell>
          <cell r="B584" t="e">
            <v>#N/A</v>
          </cell>
          <cell r="C584" t="e">
            <v>#N/A</v>
          </cell>
          <cell r="D584" t="e">
            <v>#N/A</v>
          </cell>
          <cell r="F584">
            <v>2840.65</v>
          </cell>
          <cell r="G584" t="e">
            <v>#N/A</v>
          </cell>
          <cell r="K584" t="str">
            <v>FATURADO</v>
          </cell>
        </row>
        <row r="585">
          <cell r="A585" t="str">
            <v>0725-009398</v>
          </cell>
          <cell r="B585" t="e">
            <v>#N/A</v>
          </cell>
          <cell r="C585" t="e">
            <v>#N/A</v>
          </cell>
          <cell r="D585" t="e">
            <v>#N/A</v>
          </cell>
          <cell r="F585" t="e">
            <v>#REF!</v>
          </cell>
          <cell r="G585" t="e">
            <v>#N/A</v>
          </cell>
          <cell r="K585" t="str">
            <v>FATURADO</v>
          </cell>
        </row>
        <row r="586">
          <cell r="A586" t="str">
            <v>0825-008242</v>
          </cell>
          <cell r="B586" t="e">
            <v>#N/A</v>
          </cell>
          <cell r="C586" t="e">
            <v>#N/A</v>
          </cell>
          <cell r="D586" t="e">
            <v>#N/A</v>
          </cell>
          <cell r="F586">
            <v>2604.08</v>
          </cell>
          <cell r="G586" t="e">
            <v>#N/A</v>
          </cell>
          <cell r="K586" t="str">
            <v>FATURADO</v>
          </cell>
        </row>
        <row r="587">
          <cell r="A587" t="str">
            <v>0825-009319</v>
          </cell>
          <cell r="B587" t="e">
            <v>#N/A</v>
          </cell>
          <cell r="C587" t="e">
            <v>#N/A</v>
          </cell>
          <cell r="D587" t="e">
            <v>#N/A</v>
          </cell>
          <cell r="F587" t="e">
            <v>#REF!</v>
          </cell>
          <cell r="G587" t="e">
            <v>#N/A</v>
          </cell>
          <cell r="K587" t="str">
            <v>FATURADO</v>
          </cell>
        </row>
        <row r="588">
          <cell r="A588" t="str">
            <v>0725-013402</v>
          </cell>
          <cell r="B588" t="e">
            <v>#N/A</v>
          </cell>
          <cell r="C588" t="e">
            <v>#N/A</v>
          </cell>
          <cell r="D588" t="e">
            <v>#N/A</v>
          </cell>
          <cell r="F588">
            <v>2081.25</v>
          </cell>
          <cell r="G588" t="e">
            <v>#N/A</v>
          </cell>
          <cell r="K588" t="str">
            <v>FATURADO</v>
          </cell>
        </row>
        <row r="589">
          <cell r="A589" t="str">
            <v>0725-012315</v>
          </cell>
          <cell r="B589" t="e">
            <v>#N/A</v>
          </cell>
          <cell r="C589" t="e">
            <v>#N/A</v>
          </cell>
          <cell r="D589" t="e">
            <v>#N/A</v>
          </cell>
          <cell r="F589">
            <v>2011.2</v>
          </cell>
          <cell r="G589" t="e">
            <v>#N/A</v>
          </cell>
          <cell r="K589" t="str">
            <v>FATURADO</v>
          </cell>
        </row>
        <row r="590">
          <cell r="A590" t="str">
            <v>0825-006418</v>
          </cell>
          <cell r="B590" t="e">
            <v>#N/A</v>
          </cell>
          <cell r="C590" t="e">
            <v>#N/A</v>
          </cell>
          <cell r="D590" t="e">
            <v>#N/A</v>
          </cell>
          <cell r="E590" t="str">
            <v>OS FISICA</v>
          </cell>
          <cell r="F590" t="e">
            <v>#REF!</v>
          </cell>
          <cell r="G590" t="e">
            <v>#N/A</v>
          </cell>
          <cell r="K590" t="str">
            <v>FATURADO</v>
          </cell>
        </row>
        <row r="591">
          <cell r="A591" t="str">
            <v>0825-012494</v>
          </cell>
          <cell r="B591" t="str">
            <v>DPA JARDIM PRIMAVERA</v>
          </cell>
          <cell r="C591" t="str">
            <v>Loja sem agua</v>
          </cell>
          <cell r="D591" t="e">
            <v>#N/A</v>
          </cell>
          <cell r="F591">
            <v>2000</v>
          </cell>
          <cell r="G591" t="str">
            <v>ALINE</v>
          </cell>
          <cell r="K591" t="str">
            <v>FATURADO</v>
          </cell>
        </row>
        <row r="592">
          <cell r="A592" t="str">
            <v>0825-006326</v>
          </cell>
          <cell r="B592" t="e">
            <v>#N/A</v>
          </cell>
          <cell r="C592" t="e">
            <v>#N/A</v>
          </cell>
          <cell r="D592" t="e">
            <v>#N/A</v>
          </cell>
          <cell r="F592" t="e">
            <v>#REF!</v>
          </cell>
          <cell r="G592" t="e">
            <v>#N/A</v>
          </cell>
          <cell r="K592" t="str">
            <v>FATURADO</v>
          </cell>
        </row>
        <row r="593">
          <cell r="A593" t="str">
            <v>0725-017228</v>
          </cell>
          <cell r="B593" t="e">
            <v>#N/A</v>
          </cell>
          <cell r="C593" t="e">
            <v>#N/A</v>
          </cell>
          <cell r="D593" t="e">
            <v>#N/A</v>
          </cell>
          <cell r="F593" t="e">
            <v>#REF!</v>
          </cell>
          <cell r="G593" t="e">
            <v>#N/A</v>
          </cell>
          <cell r="K593" t="str">
            <v>FATURADO</v>
          </cell>
        </row>
        <row r="594">
          <cell r="A594" t="str">
            <v>0825-008328</v>
          </cell>
          <cell r="B594" t="e">
            <v>#N/A</v>
          </cell>
          <cell r="C594" t="e">
            <v>#N/A</v>
          </cell>
          <cell r="D594" t="e">
            <v>#N/A</v>
          </cell>
          <cell r="F594" t="e">
            <v>#REF!</v>
          </cell>
          <cell r="G594" t="e">
            <v>#N/A</v>
          </cell>
          <cell r="K594" t="str">
            <v>FATURADO</v>
          </cell>
        </row>
        <row r="595">
          <cell r="A595" t="str">
            <v>0825-005126</v>
          </cell>
          <cell r="B595" t="e">
            <v>#N/A</v>
          </cell>
          <cell r="C595" t="e">
            <v>#N/A</v>
          </cell>
          <cell r="D595" t="e">
            <v>#N/A</v>
          </cell>
          <cell r="F595" t="e">
            <v>#REF!</v>
          </cell>
          <cell r="G595" t="e">
            <v>#N/A</v>
          </cell>
          <cell r="K595" t="str">
            <v>FATURADO</v>
          </cell>
        </row>
        <row r="596">
          <cell r="A596" t="str">
            <v>0125-010837</v>
          </cell>
          <cell r="B596" t="e">
            <v>#N/A</v>
          </cell>
          <cell r="C596" t="e">
            <v>#N/A</v>
          </cell>
          <cell r="D596" t="e">
            <v>#N/A</v>
          </cell>
          <cell r="F596" t="e">
            <v>#REF!</v>
          </cell>
          <cell r="G596" t="e">
            <v>#N/A</v>
          </cell>
          <cell r="K596" t="str">
            <v>FATURADO</v>
          </cell>
        </row>
        <row r="597">
          <cell r="A597" t="str">
            <v>0425-013900</v>
          </cell>
          <cell r="B597" t="str">
            <v>DP RIO BRANCO 2</v>
          </cell>
          <cell r="C597" t="str">
            <v>BALCÃO COZINHA</v>
          </cell>
          <cell r="D597" t="e">
            <v>#N/A</v>
          </cell>
          <cell r="F597">
            <v>998.57</v>
          </cell>
          <cell r="G597" t="str">
            <v>LEANDRO</v>
          </cell>
          <cell r="K597" t="str">
            <v>FATURADO</v>
          </cell>
        </row>
        <row r="598">
          <cell r="A598" t="str">
            <v>0625-011483</v>
          </cell>
          <cell r="B598" t="e">
            <v>#N/A</v>
          </cell>
          <cell r="C598" t="e">
            <v>#N/A</v>
          </cell>
          <cell r="D598" t="e">
            <v>#N/A</v>
          </cell>
          <cell r="E598" t="str">
            <v>OS FISICA</v>
          </cell>
          <cell r="F598">
            <v>960</v>
          </cell>
          <cell r="G598" t="str">
            <v>LEANDRO</v>
          </cell>
          <cell r="K598" t="str">
            <v>FATURADO</v>
          </cell>
        </row>
        <row r="599">
          <cell r="A599" t="str">
            <v>0625-012586</v>
          </cell>
          <cell r="B599" t="e">
            <v>#N/A</v>
          </cell>
          <cell r="C599" t="e">
            <v>#N/A</v>
          </cell>
          <cell r="D599" t="e">
            <v>#N/A</v>
          </cell>
          <cell r="E599" t="str">
            <v>OS FISICA</v>
          </cell>
          <cell r="F599" t="e">
            <v>#REF!</v>
          </cell>
          <cell r="G599" t="e">
            <v>#N/A</v>
          </cell>
          <cell r="K599" t="str">
            <v>FATURADO</v>
          </cell>
        </row>
        <row r="600">
          <cell r="A600" t="str">
            <v>0625-012782</v>
          </cell>
          <cell r="B600" t="e">
            <v>#N/A</v>
          </cell>
          <cell r="C600" t="e">
            <v>#N/A</v>
          </cell>
          <cell r="D600" t="e">
            <v>#N/A</v>
          </cell>
          <cell r="F600" t="e">
            <v>#REF!</v>
          </cell>
          <cell r="G600" t="e">
            <v>#N/A</v>
          </cell>
          <cell r="K600" t="str">
            <v>FATURADO</v>
          </cell>
        </row>
        <row r="601">
          <cell r="A601" t="str">
            <v>0725-008125</v>
          </cell>
          <cell r="B601" t="e">
            <v>#N/A</v>
          </cell>
          <cell r="C601" t="e">
            <v>#N/A</v>
          </cell>
          <cell r="D601" t="e">
            <v>#N/A</v>
          </cell>
          <cell r="E601" t="str">
            <v>OS FISICA</v>
          </cell>
          <cell r="F601">
            <v>960</v>
          </cell>
          <cell r="G601" t="str">
            <v>AMANDA</v>
          </cell>
          <cell r="K601" t="str">
            <v>FATURADO</v>
          </cell>
        </row>
        <row r="602">
          <cell r="A602" t="str">
            <v>0725-012419</v>
          </cell>
          <cell r="B602" t="e">
            <v>#N/A</v>
          </cell>
          <cell r="C602" t="e">
            <v>#N/A</v>
          </cell>
          <cell r="D602" t="e">
            <v>#N/A</v>
          </cell>
          <cell r="E602" t="str">
            <v>OS FISICA</v>
          </cell>
          <cell r="F602" t="e">
            <v>#REF!</v>
          </cell>
          <cell r="G602" t="e">
            <v>#N/A</v>
          </cell>
          <cell r="K602" t="str">
            <v>FATURADO</v>
          </cell>
        </row>
        <row r="603">
          <cell r="A603" t="str">
            <v>0725-015414</v>
          </cell>
          <cell r="B603" t="e">
            <v>#N/A</v>
          </cell>
          <cell r="C603" t="e">
            <v>#N/A</v>
          </cell>
          <cell r="D603" t="e">
            <v>#N/A</v>
          </cell>
          <cell r="E603" t="str">
            <v>OS FISICA</v>
          </cell>
          <cell r="F603" t="e">
            <v>#REF!</v>
          </cell>
          <cell r="G603" t="e">
            <v>#N/A</v>
          </cell>
          <cell r="K603" t="str">
            <v>FATURADO</v>
          </cell>
        </row>
        <row r="604">
          <cell r="A604" t="str">
            <v>0725-016138</v>
          </cell>
          <cell r="B604" t="e">
            <v>#N/A</v>
          </cell>
          <cell r="C604" t="e">
            <v>#N/A</v>
          </cell>
          <cell r="D604" t="e">
            <v>#N/A</v>
          </cell>
          <cell r="E604" t="str">
            <v>OS FISICA</v>
          </cell>
          <cell r="F604" t="e">
            <v>#REF!</v>
          </cell>
          <cell r="G604" t="e">
            <v>#N/A</v>
          </cell>
          <cell r="K604" t="str">
            <v>FATURADO</v>
          </cell>
        </row>
        <row r="605">
          <cell r="A605" t="str">
            <v>0825-004228</v>
          </cell>
          <cell r="B605" t="e">
            <v>#N/A</v>
          </cell>
          <cell r="C605" t="e">
            <v>#N/A</v>
          </cell>
          <cell r="D605" t="e">
            <v>#N/A</v>
          </cell>
          <cell r="E605" t="str">
            <v>OS FISICA</v>
          </cell>
          <cell r="F605" t="e">
            <v>#REF!</v>
          </cell>
          <cell r="G605" t="e">
            <v>#N/A</v>
          </cell>
          <cell r="K605" t="str">
            <v>FATURADO</v>
          </cell>
        </row>
        <row r="606">
          <cell r="A606" t="str">
            <v>0825-004283</v>
          </cell>
          <cell r="B606" t="e">
            <v>#N/A</v>
          </cell>
          <cell r="C606" t="e">
            <v>#N/A</v>
          </cell>
          <cell r="D606" t="e">
            <v>#N/A</v>
          </cell>
          <cell r="E606" t="str">
            <v>OS FISICA</v>
          </cell>
          <cell r="F606" t="e">
            <v>#REF!</v>
          </cell>
          <cell r="G606" t="e">
            <v>#N/A</v>
          </cell>
          <cell r="K606" t="str">
            <v>FATURADO</v>
          </cell>
        </row>
        <row r="607">
          <cell r="A607" t="str">
            <v>0825-010729</v>
          </cell>
          <cell r="B607" t="e">
            <v>#N/A</v>
          </cell>
          <cell r="C607" t="e">
            <v>#N/A</v>
          </cell>
          <cell r="D607" t="e">
            <v>#N/A</v>
          </cell>
          <cell r="F607" t="e">
            <v>#REF!</v>
          </cell>
          <cell r="G607" t="e">
            <v>#N/A</v>
          </cell>
          <cell r="K607" t="str">
            <v>FATURADO</v>
          </cell>
        </row>
        <row r="608">
          <cell r="A608" t="str">
            <v>0725-010652</v>
          </cell>
          <cell r="B608" t="e">
            <v>#N/A</v>
          </cell>
          <cell r="C608" t="e">
            <v>#N/A</v>
          </cell>
          <cell r="D608" t="e">
            <v>#N/A</v>
          </cell>
          <cell r="F608">
            <v>835.3</v>
          </cell>
          <cell r="G608" t="e">
            <v>#N/A</v>
          </cell>
          <cell r="K608" t="str">
            <v>FATURADO</v>
          </cell>
        </row>
        <row r="609">
          <cell r="A609" t="str">
            <v>0825-005384</v>
          </cell>
          <cell r="B609" t="e">
            <v>#N/A</v>
          </cell>
          <cell r="C609" t="e">
            <v>#N/A</v>
          </cell>
          <cell r="D609" t="e">
            <v>#N/A</v>
          </cell>
          <cell r="E609" t="str">
            <v>OS FISICA</v>
          </cell>
          <cell r="F609" t="e">
            <v>#REF!</v>
          </cell>
          <cell r="G609" t="e">
            <v>#N/A</v>
          </cell>
          <cell r="K609" t="str">
            <v>FATURADO</v>
          </cell>
        </row>
        <row r="610">
          <cell r="A610" t="str">
            <v>0825-004626</v>
          </cell>
          <cell r="B610" t="e">
            <v>#N/A</v>
          </cell>
          <cell r="C610" t="e">
            <v>#N/A</v>
          </cell>
          <cell r="D610" t="e">
            <v>#N/A</v>
          </cell>
          <cell r="F610" t="e">
            <v>#REF!</v>
          </cell>
          <cell r="G610" t="e">
            <v>#N/A</v>
          </cell>
          <cell r="K610" t="str">
            <v>FATURADO</v>
          </cell>
        </row>
        <row r="611">
          <cell r="A611" t="str">
            <v>0325-015906</v>
          </cell>
          <cell r="B611" t="e">
            <v>#N/A</v>
          </cell>
          <cell r="C611" t="e">
            <v>#N/A</v>
          </cell>
          <cell r="D611" t="e">
            <v>#N/A</v>
          </cell>
          <cell r="F611" t="e">
            <v>#REF!</v>
          </cell>
          <cell r="G611" t="e">
            <v>#N/A</v>
          </cell>
          <cell r="K611" t="str">
            <v>FATURADO</v>
          </cell>
        </row>
        <row r="612">
          <cell r="A612" t="str">
            <v>0725-016315</v>
          </cell>
          <cell r="B612" t="e">
            <v>#N/A</v>
          </cell>
          <cell r="C612" t="e">
            <v>#N/A</v>
          </cell>
          <cell r="D612" t="e">
            <v>#N/A</v>
          </cell>
          <cell r="F612" t="e">
            <v>#REF!</v>
          </cell>
          <cell r="G612" t="e">
            <v>#N/A</v>
          </cell>
          <cell r="K612" t="str">
            <v>FATURADO</v>
          </cell>
        </row>
        <row r="613">
          <cell r="A613" t="str">
            <v>0825-010008</v>
          </cell>
          <cell r="B613" t="e">
            <v>#N/A</v>
          </cell>
          <cell r="C613" t="e">
            <v>#N/A</v>
          </cell>
          <cell r="D613" t="e">
            <v>#N/A</v>
          </cell>
          <cell r="F613" t="e">
            <v>#REF!</v>
          </cell>
          <cell r="G613" t="e">
            <v>#N/A</v>
          </cell>
          <cell r="K613" t="str">
            <v>FATURADO</v>
          </cell>
        </row>
        <row r="614">
          <cell r="A614" t="str">
            <v>0725-013210</v>
          </cell>
          <cell r="B614" t="e">
            <v>#N/A</v>
          </cell>
          <cell r="C614" t="e">
            <v>#N/A</v>
          </cell>
          <cell r="D614" t="e">
            <v>#N/A</v>
          </cell>
          <cell r="F614" t="e">
            <v>#REF!</v>
          </cell>
          <cell r="G614" t="e">
            <v>#N/A</v>
          </cell>
          <cell r="K614" t="str">
            <v>FATURADO</v>
          </cell>
        </row>
        <row r="615">
          <cell r="A615" t="str">
            <v>0825-008527</v>
          </cell>
          <cell r="B615" t="e">
            <v>#N/A</v>
          </cell>
          <cell r="C615" t="e">
            <v>#N/A</v>
          </cell>
          <cell r="D615" t="e">
            <v>#N/A</v>
          </cell>
          <cell r="F615">
            <v>6291.69</v>
          </cell>
          <cell r="G615" t="e">
            <v>#N/A</v>
          </cell>
          <cell r="K615" t="str">
            <v>FATURADO</v>
          </cell>
        </row>
        <row r="616">
          <cell r="A616" t="str">
            <v>0425-014454</v>
          </cell>
          <cell r="B616" t="e">
            <v>#N/A</v>
          </cell>
          <cell r="C616" t="e">
            <v>#N/A</v>
          </cell>
          <cell r="D616" t="e">
            <v>#N/A</v>
          </cell>
          <cell r="F616" t="e">
            <v>#REF!</v>
          </cell>
          <cell r="G616" t="e">
            <v>#N/A</v>
          </cell>
          <cell r="K616" t="str">
            <v>FATURADO</v>
          </cell>
        </row>
        <row r="617">
          <cell r="A617" t="str">
            <v>0825-006977</v>
          </cell>
          <cell r="B617" t="e">
            <v>#N/A</v>
          </cell>
          <cell r="C617" t="e">
            <v>#N/A</v>
          </cell>
          <cell r="D617" t="e">
            <v>#N/A</v>
          </cell>
          <cell r="F617" t="e">
            <v>#REF!</v>
          </cell>
          <cell r="G617" t="e">
            <v>#N/A</v>
          </cell>
          <cell r="K617" t="str">
            <v>FATURADO</v>
          </cell>
        </row>
        <row r="618">
          <cell r="A618" t="str">
            <v>0725-009391</v>
          </cell>
          <cell r="B618" t="e">
            <v>#N/A</v>
          </cell>
          <cell r="C618" t="e">
            <v>#N/A</v>
          </cell>
          <cell r="D618" t="e">
            <v>#N/A</v>
          </cell>
          <cell r="F618" t="e">
            <v>#REF!</v>
          </cell>
          <cell r="G618" t="e">
            <v>#N/A</v>
          </cell>
          <cell r="K618" t="str">
            <v>FATURADO</v>
          </cell>
        </row>
        <row r="619">
          <cell r="A619" t="str">
            <v>0324-013528</v>
          </cell>
          <cell r="B619" t="e">
            <v>#N/A</v>
          </cell>
          <cell r="C619" t="e">
            <v>#N/A</v>
          </cell>
          <cell r="D619" t="e">
            <v>#N/A</v>
          </cell>
          <cell r="F619" t="e">
            <v>#REF!</v>
          </cell>
          <cell r="G619" t="e">
            <v>#N/A</v>
          </cell>
          <cell r="K619" t="str">
            <v>FATURADO</v>
          </cell>
        </row>
        <row r="620">
          <cell r="A620" t="str">
            <v>0725-012383</v>
          </cell>
          <cell r="B620" t="e">
            <v>#N/A</v>
          </cell>
          <cell r="C620" t="e">
            <v>#N/A</v>
          </cell>
          <cell r="D620" t="e">
            <v>#N/A</v>
          </cell>
          <cell r="F620" t="e">
            <v>#REF!</v>
          </cell>
          <cell r="G620" t="e">
            <v>#N/A</v>
          </cell>
          <cell r="K620" t="str">
            <v>FATURADO</v>
          </cell>
        </row>
        <row r="621">
          <cell r="A621" t="str">
            <v>0725-017414</v>
          </cell>
          <cell r="B621" t="e">
            <v>#N/A</v>
          </cell>
          <cell r="C621" t="e">
            <v>#N/A</v>
          </cell>
          <cell r="D621" t="e">
            <v>#N/A</v>
          </cell>
          <cell r="F621">
            <v>2176.58</v>
          </cell>
          <cell r="G621" t="e">
            <v>#N/A</v>
          </cell>
          <cell r="K621" t="str">
            <v>FATURADO</v>
          </cell>
        </row>
        <row r="622">
          <cell r="A622" t="str">
            <v>0425-013883</v>
          </cell>
          <cell r="B622" t="e">
            <v>#N/A</v>
          </cell>
          <cell r="C622" t="e">
            <v>#N/A</v>
          </cell>
          <cell r="D622" t="e">
            <v>#N/A</v>
          </cell>
          <cell r="E622" t="str">
            <v>NECESSÁRIO RELATÓRIO FOTOGRAFICO</v>
          </cell>
          <cell r="F622" t="e">
            <v>#REF!</v>
          </cell>
          <cell r="G622" t="str">
            <v>AMANDA</v>
          </cell>
          <cell r="H622" t="str">
            <v>JC</v>
          </cell>
          <cell r="K622" t="str">
            <v>FATURADO</v>
          </cell>
        </row>
        <row r="623">
          <cell r="A623" t="str">
            <v>0725-013927</v>
          </cell>
          <cell r="B623" t="e">
            <v>#N/A</v>
          </cell>
          <cell r="C623" t="e">
            <v>#N/A</v>
          </cell>
          <cell r="D623" t="e">
            <v>#N/A</v>
          </cell>
          <cell r="F623" t="e">
            <v>#REF!</v>
          </cell>
          <cell r="G623" t="e">
            <v>#N/A</v>
          </cell>
          <cell r="K623" t="str">
            <v>FATURADO</v>
          </cell>
        </row>
        <row r="624">
          <cell r="A624" t="str">
            <v>0525-015380</v>
          </cell>
          <cell r="B624" t="str">
            <v>DP CAMPOS 5</v>
          </cell>
          <cell r="C624" t="str">
            <v>Ar condicionado do meio do salão esta vazando agua no cano, molhando os produtos, computador e corredor da loja</v>
          </cell>
          <cell r="D624" t="e">
            <v>#N/A</v>
          </cell>
          <cell r="F624">
            <v>1859.5</v>
          </cell>
          <cell r="G624" t="str">
            <v>LEANDRO</v>
          </cell>
          <cell r="K624" t="str">
            <v>FATURADO</v>
          </cell>
        </row>
        <row r="625">
          <cell r="A625" t="str">
            <v>0425-009291</v>
          </cell>
          <cell r="B625" t="e">
            <v>#N/A</v>
          </cell>
          <cell r="C625" t="e">
            <v>#N/A</v>
          </cell>
          <cell r="D625" t="e">
            <v>#N/A</v>
          </cell>
          <cell r="F625" t="e">
            <v>#REF!</v>
          </cell>
          <cell r="G625" t="e">
            <v>#N/A</v>
          </cell>
          <cell r="K625" t="str">
            <v>FATURADO</v>
          </cell>
        </row>
        <row r="626">
          <cell r="A626" t="str">
            <v>0625-012106</v>
          </cell>
          <cell r="B626" t="e">
            <v>#N/A</v>
          </cell>
          <cell r="C626" t="e">
            <v>#N/A</v>
          </cell>
          <cell r="D626" t="e">
            <v>#N/A</v>
          </cell>
          <cell r="F626" t="e">
            <v>#REF!</v>
          </cell>
          <cell r="G626" t="e">
            <v>#N/A</v>
          </cell>
          <cell r="K626" t="str">
            <v>FATURADO</v>
          </cell>
        </row>
        <row r="627">
          <cell r="A627" t="str">
            <v>0725-015770</v>
          </cell>
          <cell r="B627" t="e">
            <v>#N/A</v>
          </cell>
          <cell r="C627" t="e">
            <v>#N/A</v>
          </cell>
          <cell r="D627" t="e">
            <v>#N/A</v>
          </cell>
          <cell r="F627" t="e">
            <v>#REF!</v>
          </cell>
          <cell r="G627" t="e">
            <v>#N/A</v>
          </cell>
          <cell r="K627" t="str">
            <v>FATURADO</v>
          </cell>
        </row>
        <row r="628">
          <cell r="A628" t="str">
            <v>0625-005069</v>
          </cell>
          <cell r="B628" t="e">
            <v>#N/A</v>
          </cell>
          <cell r="C628" t="e">
            <v>#N/A</v>
          </cell>
          <cell r="D628" t="e">
            <v>#N/A</v>
          </cell>
          <cell r="F628" t="e">
            <v>#REF!</v>
          </cell>
          <cell r="G628" t="str">
            <v>LEANDRO</v>
          </cell>
          <cell r="K628" t="str">
            <v>FATURADO</v>
          </cell>
        </row>
        <row r="629">
          <cell r="A629" t="str">
            <v>0825-006520</v>
          </cell>
          <cell r="B629" t="e">
            <v>#N/A</v>
          </cell>
          <cell r="C629" t="e">
            <v>#N/A</v>
          </cell>
          <cell r="D629" t="e">
            <v>#N/A</v>
          </cell>
          <cell r="F629" t="e">
            <v>#REF!</v>
          </cell>
          <cell r="G629" t="e">
            <v>#N/A</v>
          </cell>
          <cell r="K629" t="str">
            <v>FATURADO</v>
          </cell>
        </row>
        <row r="630">
          <cell r="A630" t="str">
            <v>0725-014039</v>
          </cell>
          <cell r="B630" t="e">
            <v>#N/A</v>
          </cell>
          <cell r="C630" t="e">
            <v>#N/A</v>
          </cell>
          <cell r="D630" t="e">
            <v>#N/A</v>
          </cell>
          <cell r="F630" t="e">
            <v>#REF!</v>
          </cell>
          <cell r="G630" t="e">
            <v>#N/A</v>
          </cell>
          <cell r="K630" t="str">
            <v>FATURADO</v>
          </cell>
        </row>
        <row r="631">
          <cell r="A631" t="str">
            <v>0625-012206</v>
          </cell>
          <cell r="B631" t="e">
            <v>#N/A</v>
          </cell>
          <cell r="C631" t="e">
            <v>#N/A</v>
          </cell>
          <cell r="D631" t="e">
            <v>#N/A</v>
          </cell>
          <cell r="F631" t="e">
            <v>#REF!</v>
          </cell>
          <cell r="G631" t="e">
            <v>#N/A</v>
          </cell>
          <cell r="K631" t="str">
            <v>FATURADO</v>
          </cell>
        </row>
        <row r="632">
          <cell r="A632" t="str">
            <v>0725-009466</v>
          </cell>
          <cell r="B632" t="e">
            <v>#N/A</v>
          </cell>
          <cell r="C632" t="e">
            <v>#N/A</v>
          </cell>
          <cell r="D632" t="e">
            <v>#N/A</v>
          </cell>
          <cell r="F632" t="e">
            <v>#REF!</v>
          </cell>
          <cell r="G632" t="e">
            <v>#N/A</v>
          </cell>
          <cell r="K632" t="str">
            <v>FATURADO</v>
          </cell>
        </row>
        <row r="633">
          <cell r="A633" t="str">
            <v>0525-015156</v>
          </cell>
          <cell r="B633" t="e">
            <v>#N/A</v>
          </cell>
          <cell r="C633" t="e">
            <v>#N/A</v>
          </cell>
          <cell r="D633" t="e">
            <v>#N/A</v>
          </cell>
          <cell r="F633" t="e">
            <v>#REF!</v>
          </cell>
          <cell r="G633" t="str">
            <v>AMANDA</v>
          </cell>
          <cell r="K633" t="str">
            <v>FATURADO</v>
          </cell>
        </row>
        <row r="634">
          <cell r="A634" t="str">
            <v>0625-008332</v>
          </cell>
          <cell r="B634" t="e">
            <v>#N/A</v>
          </cell>
          <cell r="C634" t="e">
            <v>#N/A</v>
          </cell>
          <cell r="D634" t="e">
            <v>#N/A</v>
          </cell>
          <cell r="F634" t="e">
            <v>#REF!</v>
          </cell>
          <cell r="G634" t="str">
            <v>LEANDRO</v>
          </cell>
          <cell r="K634" t="str">
            <v>FATURADO</v>
          </cell>
        </row>
        <row r="635">
          <cell r="A635" t="str">
            <v>0525-016454</v>
          </cell>
          <cell r="B635" t="e">
            <v>#N/A</v>
          </cell>
          <cell r="C635" t="e">
            <v>#N/A</v>
          </cell>
          <cell r="D635" t="e">
            <v>#N/A</v>
          </cell>
          <cell r="F635" t="e">
            <v>#REF!</v>
          </cell>
          <cell r="G635" t="str">
            <v>LEANDRO</v>
          </cell>
          <cell r="K635" t="str">
            <v>FATURADO</v>
          </cell>
        </row>
        <row r="636">
          <cell r="A636" t="str">
            <v>0625-012656</v>
          </cell>
          <cell r="B636" t="e">
            <v>#N/A</v>
          </cell>
          <cell r="C636" t="e">
            <v>#N/A</v>
          </cell>
          <cell r="D636" t="e">
            <v>#N/A</v>
          </cell>
          <cell r="F636" t="e">
            <v>#REF!</v>
          </cell>
          <cell r="G636" t="str">
            <v>AMANDA</v>
          </cell>
          <cell r="K636" t="str">
            <v>FATURADO</v>
          </cell>
        </row>
        <row r="637">
          <cell r="A637" t="str">
            <v>0525-013423</v>
          </cell>
          <cell r="B637" t="e">
            <v>#N/A</v>
          </cell>
          <cell r="C637" t="e">
            <v>#N/A</v>
          </cell>
          <cell r="D637" t="e">
            <v>#N/A</v>
          </cell>
          <cell r="F637" t="e">
            <v>#REF!</v>
          </cell>
          <cell r="G637" t="e">
            <v>#N/A</v>
          </cell>
          <cell r="K637" t="str">
            <v>FATURADO</v>
          </cell>
        </row>
        <row r="638">
          <cell r="A638" t="str">
            <v>CD DRUTRA</v>
          </cell>
          <cell r="B638" t="e">
            <v>#N/A</v>
          </cell>
          <cell r="C638" t="str">
            <v>CONSTRUÇÃO DE CASA DE GÁS</v>
          </cell>
          <cell r="D638" t="e">
            <v>#N/A</v>
          </cell>
          <cell r="F638">
            <v>12176.1</v>
          </cell>
          <cell r="G638" t="e">
            <v>#N/A</v>
          </cell>
          <cell r="K638" t="str">
            <v>FATURADO</v>
          </cell>
        </row>
        <row r="639">
          <cell r="A639" t="str">
            <v>0125-012657</v>
          </cell>
          <cell r="B639" t="e">
            <v>#N/A</v>
          </cell>
          <cell r="C639" t="e">
            <v>#N/A</v>
          </cell>
          <cell r="D639" t="e">
            <v>#N/A</v>
          </cell>
          <cell r="F639" t="e">
            <v>#REF!</v>
          </cell>
          <cell r="G639" t="str">
            <v>LEANDRO</v>
          </cell>
          <cell r="K639" t="str">
            <v>FATURADO</v>
          </cell>
        </row>
        <row r="640">
          <cell r="A640" t="str">
            <v>0425-014660</v>
          </cell>
          <cell r="B640" t="e">
            <v>#N/A</v>
          </cell>
          <cell r="C640" t="e">
            <v>#N/A</v>
          </cell>
          <cell r="D640" t="e">
            <v>#N/A</v>
          </cell>
          <cell r="F640" t="e">
            <v>#REF!</v>
          </cell>
          <cell r="G640" t="e">
            <v>#N/A</v>
          </cell>
          <cell r="K640" t="str">
            <v>FATURADO</v>
          </cell>
        </row>
        <row r="641">
          <cell r="A641" t="str">
            <v>0625-009033</v>
          </cell>
          <cell r="B641" t="e">
            <v>#N/A</v>
          </cell>
          <cell r="C641" t="e">
            <v>#N/A</v>
          </cell>
          <cell r="D641" t="e">
            <v>#N/A</v>
          </cell>
          <cell r="F641" t="e">
            <v>#REF!</v>
          </cell>
          <cell r="G641" t="str">
            <v>LEANDRO</v>
          </cell>
          <cell r="K641" t="str">
            <v>FATURADO</v>
          </cell>
        </row>
        <row r="642">
          <cell r="A642" t="str">
            <v>0125-008206</v>
          </cell>
          <cell r="B642" t="e">
            <v>#N/A</v>
          </cell>
          <cell r="C642" t="e">
            <v>#N/A</v>
          </cell>
          <cell r="D642" t="e">
            <v>#N/A</v>
          </cell>
          <cell r="F642" t="e">
            <v>#REF!</v>
          </cell>
          <cell r="G642" t="e">
            <v>#N/A</v>
          </cell>
          <cell r="K642" t="str">
            <v>FATURADO</v>
          </cell>
        </row>
        <row r="643">
          <cell r="A643" t="str">
            <v>0325-013423</v>
          </cell>
          <cell r="B643" t="e">
            <v>#N/A</v>
          </cell>
          <cell r="C643" t="e">
            <v>#N/A</v>
          </cell>
          <cell r="D643" t="e">
            <v>#N/A</v>
          </cell>
          <cell r="E643" t="str">
            <v>EXECUTAR LIMPEZA NO SÁBADO COM EQUIPE E CAMINHÃO</v>
          </cell>
          <cell r="F643" t="e">
            <v>#REF!</v>
          </cell>
          <cell r="G643" t="str">
            <v>AMANDA</v>
          </cell>
          <cell r="H643" t="str">
            <v>MANFAC - 6</v>
          </cell>
          <cell r="K643" t="str">
            <v>FATURADO</v>
          </cell>
        </row>
        <row r="644">
          <cell r="A644" t="str">
            <v>0125-011659</v>
          </cell>
          <cell r="B644" t="e">
            <v>#N/A</v>
          </cell>
          <cell r="C644" t="e">
            <v>#N/A</v>
          </cell>
          <cell r="D644" t="e">
            <v>#N/A</v>
          </cell>
          <cell r="F644" t="e">
            <v>#REF!</v>
          </cell>
          <cell r="G644" t="e">
            <v>#N/A</v>
          </cell>
          <cell r="K644" t="str">
            <v>FATURADO</v>
          </cell>
        </row>
        <row r="645">
          <cell r="A645" t="str">
            <v>0625-007691</v>
          </cell>
          <cell r="B645" t="e">
            <v>#N/A</v>
          </cell>
          <cell r="C645" t="e">
            <v>#N/A</v>
          </cell>
          <cell r="D645" t="e">
            <v>#N/A</v>
          </cell>
          <cell r="F645" t="e">
            <v>#REF!</v>
          </cell>
          <cell r="G645" t="e">
            <v>#N/A</v>
          </cell>
          <cell r="K645" t="str">
            <v>FATURADO</v>
          </cell>
        </row>
        <row r="646">
          <cell r="A646" t="str">
            <v>0525-010904</v>
          </cell>
          <cell r="B646" t="e">
            <v>#N/A</v>
          </cell>
          <cell r="C646" t="e">
            <v>#N/A</v>
          </cell>
          <cell r="D646" t="e">
            <v>#N/A</v>
          </cell>
          <cell r="F646" t="e">
            <v>#REF!</v>
          </cell>
          <cell r="G646" t="e">
            <v>#N/A</v>
          </cell>
          <cell r="K646" t="str">
            <v>FATURADO</v>
          </cell>
        </row>
        <row r="647">
          <cell r="A647" t="str">
            <v>0625-010759</v>
          </cell>
          <cell r="B647" t="e">
            <v>#N/A</v>
          </cell>
          <cell r="C647" t="e">
            <v>#N/A</v>
          </cell>
          <cell r="D647" t="e">
            <v>#N/A</v>
          </cell>
          <cell r="F647" t="e">
            <v>#REF!</v>
          </cell>
          <cell r="G647" t="str">
            <v>AMANDA</v>
          </cell>
          <cell r="K647" t="str">
            <v>FATURADO</v>
          </cell>
        </row>
        <row r="648">
          <cell r="A648" t="str">
            <v>0325-014300</v>
          </cell>
          <cell r="B648" t="e">
            <v>#N/A</v>
          </cell>
          <cell r="C648" t="e">
            <v>#N/A</v>
          </cell>
          <cell r="D648" t="e">
            <v>#N/A</v>
          </cell>
          <cell r="F648" t="e">
            <v>#REF!</v>
          </cell>
          <cell r="G648" t="str">
            <v>LEANDRO</v>
          </cell>
          <cell r="K648" t="str">
            <v>FATURADO</v>
          </cell>
        </row>
        <row r="649">
          <cell r="A649" t="str">
            <v>0425-010665</v>
          </cell>
          <cell r="B649" t="e">
            <v>#N/A</v>
          </cell>
          <cell r="C649" t="e">
            <v>#N/A</v>
          </cell>
          <cell r="D649" t="e">
            <v>#N/A</v>
          </cell>
          <cell r="F649" t="e">
            <v>#REF!</v>
          </cell>
          <cell r="G649" t="e">
            <v>#N/A</v>
          </cell>
          <cell r="K649" t="str">
            <v>FATURADO</v>
          </cell>
        </row>
        <row r="650">
          <cell r="A650" t="str">
            <v>0625-007689</v>
          </cell>
          <cell r="B650" t="e">
            <v>#N/A</v>
          </cell>
          <cell r="C650" t="e">
            <v>#N/A</v>
          </cell>
          <cell r="D650" t="e">
            <v>#N/A</v>
          </cell>
          <cell r="F650" t="e">
            <v>#REF!</v>
          </cell>
          <cell r="G650" t="e">
            <v>#N/A</v>
          </cell>
          <cell r="K650" t="str">
            <v>FATURADO</v>
          </cell>
        </row>
        <row r="651">
          <cell r="A651" t="str">
            <v>0625-007690</v>
          </cell>
          <cell r="B651" t="e">
            <v>#N/A</v>
          </cell>
          <cell r="C651" t="e">
            <v>#N/A</v>
          </cell>
          <cell r="D651" t="e">
            <v>#N/A</v>
          </cell>
          <cell r="F651" t="e">
            <v>#REF!</v>
          </cell>
          <cell r="G651" t="e">
            <v>#N/A</v>
          </cell>
          <cell r="K651" t="str">
            <v>FATURADO</v>
          </cell>
        </row>
        <row r="652">
          <cell r="A652" t="str">
            <v>0725-008099</v>
          </cell>
          <cell r="B652" t="e">
            <v>#N/A</v>
          </cell>
          <cell r="C652" t="e">
            <v>#N/A</v>
          </cell>
          <cell r="D652" t="e">
            <v>#N/A</v>
          </cell>
          <cell r="F652" t="e">
            <v>#REF!</v>
          </cell>
          <cell r="G652" t="str">
            <v>LEANDRO</v>
          </cell>
          <cell r="H652" t="str">
            <v>PARCEIRO</v>
          </cell>
          <cell r="K652" t="str">
            <v>FATURADO</v>
          </cell>
        </row>
        <row r="653">
          <cell r="A653" t="str">
            <v>0125-016217</v>
          </cell>
          <cell r="B653" t="e">
            <v>#N/A</v>
          </cell>
          <cell r="C653" t="e">
            <v>#N/A</v>
          </cell>
          <cell r="D653" t="e">
            <v>#N/A</v>
          </cell>
          <cell r="F653" t="e">
            <v>#REF!</v>
          </cell>
          <cell r="G653" t="str">
            <v>LEANDRO</v>
          </cell>
          <cell r="K653" t="str">
            <v>FATURADO</v>
          </cell>
        </row>
        <row r="654">
          <cell r="A654" t="str">
            <v>0525-013375</v>
          </cell>
          <cell r="B654" t="e">
            <v>#N/A</v>
          </cell>
          <cell r="C654" t="e">
            <v>#N/A</v>
          </cell>
          <cell r="D654" t="e">
            <v>#N/A</v>
          </cell>
          <cell r="F654" t="e">
            <v>#REF!</v>
          </cell>
          <cell r="G654" t="e">
            <v>#N/A</v>
          </cell>
          <cell r="K654" t="str">
            <v>FATURADO</v>
          </cell>
        </row>
        <row r="655">
          <cell r="A655" t="str">
            <v>0625-004062</v>
          </cell>
          <cell r="B655" t="e">
            <v>#N/A</v>
          </cell>
          <cell r="C655" t="e">
            <v>#N/A</v>
          </cell>
          <cell r="D655" t="e">
            <v>#N/A</v>
          </cell>
          <cell r="F655" t="e">
            <v>#REF!</v>
          </cell>
          <cell r="G655" t="e">
            <v>#N/A</v>
          </cell>
          <cell r="K655" t="str">
            <v>FATURADO</v>
          </cell>
        </row>
        <row r="656">
          <cell r="A656" t="str">
            <v>0525-011024</v>
          </cell>
          <cell r="B656" t="e">
            <v>#N/A</v>
          </cell>
          <cell r="C656" t="e">
            <v>#N/A</v>
          </cell>
          <cell r="D656" t="e">
            <v>#N/A</v>
          </cell>
          <cell r="E656" t="str">
            <v>DEDETIZAÇÃO REALIADA, PENDENTE TELAGEM E DESCARTE</v>
          </cell>
          <cell r="F656" t="e">
            <v>#REF!</v>
          </cell>
          <cell r="G656" t="str">
            <v>AMANDA</v>
          </cell>
          <cell r="H656" t="str">
            <v>MANFAC - 6 / META - X</v>
          </cell>
          <cell r="K656" t="str">
            <v>FATURADO</v>
          </cell>
        </row>
        <row r="657">
          <cell r="A657" t="str">
            <v>0625-008931</v>
          </cell>
          <cell r="B657" t="e">
            <v>#N/A</v>
          </cell>
          <cell r="C657" t="e">
            <v>#N/A</v>
          </cell>
          <cell r="D657" t="e">
            <v>#N/A</v>
          </cell>
          <cell r="F657" t="e">
            <v>#REF!</v>
          </cell>
          <cell r="G657" t="e">
            <v>#N/A</v>
          </cell>
          <cell r="K657" t="str">
            <v>FATURADO</v>
          </cell>
        </row>
        <row r="658">
          <cell r="A658" t="str">
            <v>0325-014147</v>
          </cell>
          <cell r="B658" t="e">
            <v>#N/A</v>
          </cell>
          <cell r="C658" t="e">
            <v>#N/A</v>
          </cell>
          <cell r="D658" t="e">
            <v>#N/A</v>
          </cell>
          <cell r="F658" t="e">
            <v>#REF!</v>
          </cell>
          <cell r="G658" t="str">
            <v>LEANDRO</v>
          </cell>
          <cell r="K658" t="str">
            <v>FATURADO</v>
          </cell>
        </row>
        <row r="659">
          <cell r="A659" t="str">
            <v>0724-007478</v>
          </cell>
          <cell r="B659" t="e">
            <v>#N/A</v>
          </cell>
          <cell r="C659" t="e">
            <v>#N/A</v>
          </cell>
          <cell r="D659" t="e">
            <v>#N/A</v>
          </cell>
          <cell r="F659" t="e">
            <v>#REF!</v>
          </cell>
          <cell r="G659" t="e">
            <v>#N/A</v>
          </cell>
          <cell r="K659" t="str">
            <v>FATURADO</v>
          </cell>
        </row>
        <row r="660">
          <cell r="A660" t="str">
            <v>0625-008938</v>
          </cell>
          <cell r="B660" t="e">
            <v>#N/A</v>
          </cell>
          <cell r="C660" t="e">
            <v>#N/A</v>
          </cell>
          <cell r="D660" t="e">
            <v>#N/A</v>
          </cell>
          <cell r="F660" t="e">
            <v>#REF!</v>
          </cell>
          <cell r="G660" t="e">
            <v>#N/A</v>
          </cell>
          <cell r="K660" t="str">
            <v>FATURADO</v>
          </cell>
        </row>
        <row r="661">
          <cell r="A661" t="str">
            <v>0425-013916</v>
          </cell>
          <cell r="B661" t="e">
            <v>#N/A</v>
          </cell>
          <cell r="C661" t="e">
            <v>#N/A</v>
          </cell>
          <cell r="D661" t="e">
            <v>#N/A</v>
          </cell>
          <cell r="F661" t="e">
            <v>#REF!</v>
          </cell>
          <cell r="G661" t="e">
            <v>#N/A</v>
          </cell>
          <cell r="K661" t="str">
            <v>FATURADO</v>
          </cell>
        </row>
        <row r="662">
          <cell r="A662" t="str">
            <v>0125-017935</v>
          </cell>
          <cell r="B662" t="e">
            <v>#N/A</v>
          </cell>
          <cell r="C662" t="e">
            <v>#N/A</v>
          </cell>
          <cell r="D662" t="e">
            <v>#N/A</v>
          </cell>
          <cell r="F662" t="e">
            <v>#REF!</v>
          </cell>
          <cell r="G662" t="str">
            <v>LEANDRO</v>
          </cell>
          <cell r="K662" t="str">
            <v>FATURADO</v>
          </cell>
        </row>
        <row r="663">
          <cell r="A663" t="str">
            <v>0625-004663</v>
          </cell>
          <cell r="B663" t="e">
            <v>#N/A</v>
          </cell>
          <cell r="C663" t="e">
            <v>#N/A</v>
          </cell>
          <cell r="D663" t="e">
            <v>#N/A</v>
          </cell>
          <cell r="F663" t="e">
            <v>#REF!</v>
          </cell>
          <cell r="G663" t="str">
            <v>LEANDRO</v>
          </cell>
          <cell r="H663" t="str">
            <v>MANFAC - 9</v>
          </cell>
          <cell r="K663" t="str">
            <v>FATURADO</v>
          </cell>
        </row>
        <row r="664">
          <cell r="A664" t="str">
            <v>0725-013229</v>
          </cell>
          <cell r="B664" t="e">
            <v>#N/A</v>
          </cell>
          <cell r="C664" t="e">
            <v>#N/A</v>
          </cell>
          <cell r="D664" t="e">
            <v>#N/A</v>
          </cell>
          <cell r="F664" t="e">
            <v>#REF!</v>
          </cell>
          <cell r="G664" t="e">
            <v>#N/A</v>
          </cell>
          <cell r="K664" t="str">
            <v>FATURADO</v>
          </cell>
        </row>
        <row r="665">
          <cell r="A665" t="str">
            <v>1223-006900</v>
          </cell>
          <cell r="B665" t="e">
            <v>#N/A</v>
          </cell>
          <cell r="C665" t="e">
            <v>#N/A</v>
          </cell>
          <cell r="D665" t="e">
            <v>#N/A</v>
          </cell>
          <cell r="F665" t="e">
            <v>#REF!</v>
          </cell>
          <cell r="G665" t="str">
            <v>LEANDRO</v>
          </cell>
          <cell r="K665" t="str">
            <v>FATURADO</v>
          </cell>
        </row>
        <row r="666">
          <cell r="A666" t="str">
            <v>0625-008428</v>
          </cell>
          <cell r="B666" t="e">
            <v>#N/A</v>
          </cell>
          <cell r="C666" t="e">
            <v>#N/A</v>
          </cell>
          <cell r="D666" t="e">
            <v>#N/A</v>
          </cell>
          <cell r="F666">
            <v>2097.87</v>
          </cell>
          <cell r="G666" t="e">
            <v>#N/A</v>
          </cell>
          <cell r="H666" t="str">
            <v>MANFAC - 8</v>
          </cell>
          <cell r="K666" t="str">
            <v>FATURADO</v>
          </cell>
        </row>
        <row r="667">
          <cell r="A667" t="str">
            <v>0525-012522</v>
          </cell>
          <cell r="B667" t="e">
            <v>#N/A</v>
          </cell>
          <cell r="C667" t="e">
            <v>#N/A</v>
          </cell>
          <cell r="D667" t="e">
            <v>#N/A</v>
          </cell>
          <cell r="E667" t="str">
            <v>EXECUTADO</v>
          </cell>
          <cell r="F667" t="e">
            <v>#REF!</v>
          </cell>
          <cell r="G667" t="e">
            <v>#N/A</v>
          </cell>
          <cell r="H667" t="str">
            <v>PCM</v>
          </cell>
          <cell r="K667" t="str">
            <v>FATURADO</v>
          </cell>
        </row>
        <row r="668">
          <cell r="A668" t="str">
            <v>0625-008246</v>
          </cell>
          <cell r="B668" t="e">
            <v>#N/A</v>
          </cell>
          <cell r="C668" t="e">
            <v>#N/A</v>
          </cell>
          <cell r="D668" t="e">
            <v>#N/A</v>
          </cell>
          <cell r="F668" t="e">
            <v>#REF!</v>
          </cell>
          <cell r="G668" t="str">
            <v>LEANDRO</v>
          </cell>
          <cell r="K668" t="str">
            <v>FATURADO</v>
          </cell>
        </row>
        <row r="669">
          <cell r="A669" t="str">
            <v>0525-014015</v>
          </cell>
          <cell r="B669" t="e">
            <v>#N/A</v>
          </cell>
          <cell r="C669" t="e">
            <v>#N/A</v>
          </cell>
          <cell r="D669" t="e">
            <v>#N/A</v>
          </cell>
          <cell r="F669" t="e">
            <v>#REF!</v>
          </cell>
          <cell r="G669" t="e">
            <v>#N/A</v>
          </cell>
          <cell r="K669" t="str">
            <v>FATURADO</v>
          </cell>
        </row>
        <row r="670">
          <cell r="A670" t="str">
            <v>0625-005959</v>
          </cell>
          <cell r="B670" t="e">
            <v>#N/A</v>
          </cell>
          <cell r="C670" t="e">
            <v>#N/A</v>
          </cell>
          <cell r="D670" t="e">
            <v>#N/A</v>
          </cell>
          <cell r="F670" t="e">
            <v>#REF!</v>
          </cell>
          <cell r="G670" t="str">
            <v>AMANDA</v>
          </cell>
          <cell r="K670" t="str">
            <v>FATURADO</v>
          </cell>
        </row>
        <row r="671">
          <cell r="A671" t="str">
            <v>0625-007176</v>
          </cell>
          <cell r="B671" t="e">
            <v>#N/A</v>
          </cell>
          <cell r="C671" t="e">
            <v>#N/A</v>
          </cell>
          <cell r="D671" t="e">
            <v>#N/A</v>
          </cell>
          <cell r="F671" t="e">
            <v>#REF!</v>
          </cell>
          <cell r="G671" t="str">
            <v>AMANDA</v>
          </cell>
          <cell r="K671" t="str">
            <v>FATURADO</v>
          </cell>
        </row>
        <row r="672">
          <cell r="A672" t="str">
            <v>0625-008939</v>
          </cell>
          <cell r="B672" t="e">
            <v>#N/A</v>
          </cell>
          <cell r="C672" t="e">
            <v>#N/A</v>
          </cell>
          <cell r="D672" t="e">
            <v>#N/A</v>
          </cell>
          <cell r="F672" t="e">
            <v>#REF!</v>
          </cell>
          <cell r="G672" t="str">
            <v>AMANDA</v>
          </cell>
          <cell r="K672" t="str">
            <v>FATURADO</v>
          </cell>
        </row>
        <row r="673">
          <cell r="A673" t="str">
            <v>0625-009410</v>
          </cell>
          <cell r="B673" t="e">
            <v>#N/A</v>
          </cell>
          <cell r="C673" t="e">
            <v>#N/A</v>
          </cell>
          <cell r="D673" t="e">
            <v>#N/A</v>
          </cell>
          <cell r="F673" t="e">
            <v>#REF!</v>
          </cell>
          <cell r="G673" t="e">
            <v>#N/A</v>
          </cell>
          <cell r="K673" t="str">
            <v>FATURADO</v>
          </cell>
        </row>
        <row r="674">
          <cell r="A674" t="str">
            <v>0325-016910</v>
          </cell>
          <cell r="B674" t="e">
            <v>#N/A</v>
          </cell>
          <cell r="C674" t="e">
            <v>#N/A</v>
          </cell>
          <cell r="D674" t="e">
            <v>#N/A</v>
          </cell>
          <cell r="F674" t="e">
            <v>#REF!</v>
          </cell>
          <cell r="G674" t="str">
            <v>LEANDRO</v>
          </cell>
          <cell r="K674" t="str">
            <v>FATURADO</v>
          </cell>
        </row>
        <row r="675">
          <cell r="A675" t="str">
            <v>1124-014106</v>
          </cell>
          <cell r="B675" t="e">
            <v>#N/A</v>
          </cell>
          <cell r="C675" t="e">
            <v>#N/A</v>
          </cell>
          <cell r="D675" t="e">
            <v>#N/A</v>
          </cell>
          <cell r="F675" t="e">
            <v>#REF!</v>
          </cell>
          <cell r="G675" t="str">
            <v>LEANDRO</v>
          </cell>
          <cell r="K675" t="str">
            <v>FATURADO</v>
          </cell>
        </row>
        <row r="676">
          <cell r="A676" t="str">
            <v>0525-016011</v>
          </cell>
          <cell r="B676" t="e">
            <v>#N/A</v>
          </cell>
          <cell r="C676" t="e">
            <v>#N/A</v>
          </cell>
          <cell r="D676" t="e">
            <v>#N/A</v>
          </cell>
          <cell r="E676" t="str">
            <v>REALIZAR CORREÇÕES</v>
          </cell>
          <cell r="F676" t="e">
            <v>#REF!</v>
          </cell>
          <cell r="G676" t="e">
            <v>#N/A</v>
          </cell>
          <cell r="K676" t="str">
            <v>FATURADO</v>
          </cell>
        </row>
        <row r="677">
          <cell r="A677" t="str">
            <v>0425-010345</v>
          </cell>
          <cell r="B677" t="e">
            <v>#N/A</v>
          </cell>
          <cell r="C677" t="e">
            <v>#N/A</v>
          </cell>
          <cell r="D677" t="e">
            <v>#N/A</v>
          </cell>
          <cell r="F677" t="e">
            <v>#REF!</v>
          </cell>
          <cell r="G677" t="e">
            <v>#N/A</v>
          </cell>
          <cell r="K677" t="str">
            <v>FATURADO</v>
          </cell>
        </row>
        <row r="678">
          <cell r="A678" t="str">
            <v>0325-013117</v>
          </cell>
          <cell r="B678" t="e">
            <v>#N/A</v>
          </cell>
          <cell r="C678" t="e">
            <v>#N/A</v>
          </cell>
          <cell r="D678" t="e">
            <v>#N/A</v>
          </cell>
          <cell r="F678" t="e">
            <v>#REF!</v>
          </cell>
          <cell r="G678" t="str">
            <v>LEANDRO</v>
          </cell>
          <cell r="K678" t="str">
            <v>FATURADO</v>
          </cell>
        </row>
        <row r="679">
          <cell r="A679" t="str">
            <v>0625-009929</v>
          </cell>
          <cell r="B679" t="e">
            <v>#N/A</v>
          </cell>
          <cell r="C679" t="e">
            <v>#N/A</v>
          </cell>
          <cell r="D679" t="e">
            <v>#N/A</v>
          </cell>
          <cell r="F679" t="e">
            <v>#REF!</v>
          </cell>
          <cell r="G679" t="e">
            <v>#N/A</v>
          </cell>
          <cell r="K679" t="str">
            <v>FATURADO</v>
          </cell>
        </row>
        <row r="680">
          <cell r="A680" t="str">
            <v>0625-010004</v>
          </cell>
          <cell r="B680" t="e">
            <v>#N/A</v>
          </cell>
          <cell r="C680" t="e">
            <v>#N/A</v>
          </cell>
          <cell r="D680" t="e">
            <v>#N/A</v>
          </cell>
          <cell r="F680" t="e">
            <v>#REF!</v>
          </cell>
          <cell r="G680" t="e">
            <v>#N/A</v>
          </cell>
          <cell r="K680" t="str">
            <v>FATURADO</v>
          </cell>
        </row>
        <row r="681">
          <cell r="A681" t="str">
            <v>0225-005923</v>
          </cell>
          <cell r="B681" t="e">
            <v>#N/A</v>
          </cell>
          <cell r="C681" t="e">
            <v>#N/A</v>
          </cell>
          <cell r="D681" t="e">
            <v>#N/A</v>
          </cell>
          <cell r="F681" t="e">
            <v>#REF!</v>
          </cell>
          <cell r="G681" t="str">
            <v>LEANDRO</v>
          </cell>
          <cell r="K681" t="str">
            <v>FATURADO</v>
          </cell>
        </row>
        <row r="682">
          <cell r="A682" t="str">
            <v>0425-013791</v>
          </cell>
          <cell r="B682" t="e">
            <v>#N/A</v>
          </cell>
          <cell r="C682" t="e">
            <v>#N/A</v>
          </cell>
          <cell r="D682" t="e">
            <v>#N/A</v>
          </cell>
          <cell r="F682" t="e">
            <v>#REF!</v>
          </cell>
          <cell r="G682" t="str">
            <v>LEANDRO</v>
          </cell>
          <cell r="K682" t="str">
            <v>FATURADO</v>
          </cell>
        </row>
        <row r="683">
          <cell r="A683" t="str">
            <v>0725-009087</v>
          </cell>
          <cell r="B683" t="e">
            <v>#N/A</v>
          </cell>
          <cell r="C683" t="e">
            <v>#N/A</v>
          </cell>
          <cell r="D683" t="e">
            <v>#N/A</v>
          </cell>
          <cell r="F683" t="e">
            <v>#REF!</v>
          </cell>
          <cell r="G683" t="e">
            <v>#N/A</v>
          </cell>
          <cell r="K683" t="str">
            <v>FATURADO</v>
          </cell>
        </row>
        <row r="684">
          <cell r="A684" t="str">
            <v>1224-008321</v>
          </cell>
          <cell r="B684" t="e">
            <v>#N/A</v>
          </cell>
          <cell r="C684" t="e">
            <v>#N/A</v>
          </cell>
          <cell r="D684" t="e">
            <v>#N/A</v>
          </cell>
          <cell r="F684" t="e">
            <v>#REF!</v>
          </cell>
          <cell r="G684" t="str">
            <v>LEANDRO</v>
          </cell>
          <cell r="K684" t="str">
            <v>FATURADO</v>
          </cell>
        </row>
        <row r="685">
          <cell r="A685" t="str">
            <v>0425-015166</v>
          </cell>
          <cell r="B685" t="e">
            <v>#N/A</v>
          </cell>
          <cell r="C685" t="e">
            <v>#N/A</v>
          </cell>
          <cell r="D685" t="e">
            <v>#N/A</v>
          </cell>
          <cell r="E685" t="str">
            <v xml:space="preserve">EDUARDO CONVERSAR COM CLAUDIO </v>
          </cell>
          <cell r="F685" t="e">
            <v>#REF!</v>
          </cell>
          <cell r="G685" t="e">
            <v>#N/A</v>
          </cell>
          <cell r="K685" t="str">
            <v>FATURADO</v>
          </cell>
        </row>
        <row r="686">
          <cell r="A686" t="str">
            <v>0426-006754</v>
          </cell>
          <cell r="B686" t="str">
            <v>DP SHOPPING ITAIPU</v>
          </cell>
          <cell r="D686" t="e">
            <v>#REF!</v>
          </cell>
          <cell r="F686">
            <v>1007.25</v>
          </cell>
          <cell r="G686" t="str">
            <v>AMANDA</v>
          </cell>
          <cell r="K686" t="str">
            <v>FATURADO</v>
          </cell>
        </row>
        <row r="687">
          <cell r="A687" t="str">
            <v>0625-005568</v>
          </cell>
          <cell r="B687" t="e">
            <v>#N/A</v>
          </cell>
          <cell r="C687" t="e">
            <v>#N/A</v>
          </cell>
          <cell r="D687" t="e">
            <v>#N/A</v>
          </cell>
          <cell r="F687" t="e">
            <v>#REF!</v>
          </cell>
          <cell r="G687" t="str">
            <v>LEANDRO</v>
          </cell>
          <cell r="K687" t="str">
            <v>FATURADO</v>
          </cell>
        </row>
        <row r="688">
          <cell r="A688" t="str">
            <v>0625-009542</v>
          </cell>
          <cell r="B688" t="e">
            <v>#N/A</v>
          </cell>
          <cell r="C688" t="e">
            <v>#N/A</v>
          </cell>
          <cell r="D688" t="e">
            <v>#N/A</v>
          </cell>
          <cell r="F688" t="e">
            <v>#REF!</v>
          </cell>
          <cell r="G688" t="e">
            <v>#N/A</v>
          </cell>
          <cell r="K688" t="str">
            <v>FATURADO</v>
          </cell>
        </row>
        <row r="689">
          <cell r="A689" t="str">
            <v>0625-009264</v>
          </cell>
          <cell r="B689" t="e">
            <v>#N/A</v>
          </cell>
          <cell r="C689" t="e">
            <v>#N/A</v>
          </cell>
          <cell r="D689" t="e">
            <v>#N/A</v>
          </cell>
          <cell r="F689" t="e">
            <v>#REF!</v>
          </cell>
          <cell r="G689" t="str">
            <v>LEANDRO</v>
          </cell>
          <cell r="K689" t="str">
            <v>FATURADO</v>
          </cell>
        </row>
        <row r="690">
          <cell r="A690" t="str">
            <v>0525-014166</v>
          </cell>
          <cell r="B690" t="e">
            <v>#N/A</v>
          </cell>
          <cell r="C690" t="e">
            <v>#N/A</v>
          </cell>
          <cell r="D690" t="e">
            <v>#N/A</v>
          </cell>
          <cell r="F690" t="e">
            <v>#REF!</v>
          </cell>
          <cell r="G690" t="str">
            <v>AMANDA</v>
          </cell>
          <cell r="K690" t="str">
            <v>FATURADO</v>
          </cell>
        </row>
        <row r="691">
          <cell r="A691" t="str">
            <v>0625-009925</v>
          </cell>
          <cell r="B691" t="e">
            <v>#N/A</v>
          </cell>
          <cell r="C691" t="e">
            <v>#N/A</v>
          </cell>
          <cell r="D691" t="e">
            <v>#N/A</v>
          </cell>
          <cell r="F691" t="e">
            <v>#REF!</v>
          </cell>
          <cell r="G691" t="e">
            <v>#N/A</v>
          </cell>
          <cell r="K691" t="str">
            <v>FATURADO</v>
          </cell>
        </row>
        <row r="692">
          <cell r="A692" t="str">
            <v>0225-009197</v>
          </cell>
          <cell r="B692" t="e">
            <v>#N/A</v>
          </cell>
          <cell r="C692" t="e">
            <v>#N/A</v>
          </cell>
          <cell r="D692" t="e">
            <v>#N/A</v>
          </cell>
          <cell r="F692" t="e">
            <v>#REF!</v>
          </cell>
          <cell r="G692" t="str">
            <v>LEANDRO</v>
          </cell>
          <cell r="K692" t="str">
            <v>FATURADO</v>
          </cell>
        </row>
        <row r="693">
          <cell r="A693" t="str">
            <v>0724-009697</v>
          </cell>
          <cell r="B693" t="e">
            <v>#N/A</v>
          </cell>
          <cell r="C693" t="e">
            <v>#N/A</v>
          </cell>
          <cell r="D693" t="e">
            <v>#N/A</v>
          </cell>
          <cell r="F693" t="e">
            <v>#REF!</v>
          </cell>
          <cell r="G693" t="str">
            <v>LEANDRO</v>
          </cell>
          <cell r="K693" t="str">
            <v>FATURADO</v>
          </cell>
        </row>
        <row r="694">
          <cell r="A694" t="str">
            <v>0625-006818</v>
          </cell>
          <cell r="B694" t="e">
            <v>#N/A</v>
          </cell>
          <cell r="C694" t="e">
            <v>#N/A</v>
          </cell>
          <cell r="D694" t="e">
            <v>#N/A</v>
          </cell>
          <cell r="F694" t="e">
            <v>#REF!</v>
          </cell>
          <cell r="G694" t="str">
            <v>LEANDRO</v>
          </cell>
          <cell r="K694" t="str">
            <v>FATURADO</v>
          </cell>
        </row>
        <row r="695">
          <cell r="A695" t="str">
            <v>0425-014251</v>
          </cell>
          <cell r="B695" t="e">
            <v>#N/A</v>
          </cell>
          <cell r="C695" t="e">
            <v>#N/A</v>
          </cell>
          <cell r="D695" t="e">
            <v>#N/A</v>
          </cell>
          <cell r="F695" t="e">
            <v>#REF!</v>
          </cell>
          <cell r="G695" t="str">
            <v>LEANDRO</v>
          </cell>
          <cell r="K695" t="str">
            <v>FATURADO</v>
          </cell>
        </row>
        <row r="696">
          <cell r="A696" t="str">
            <v>0625-004083</v>
          </cell>
          <cell r="B696" t="e">
            <v>#N/A</v>
          </cell>
          <cell r="C696" t="e">
            <v>#N/A</v>
          </cell>
          <cell r="D696" t="e">
            <v>#N/A</v>
          </cell>
          <cell r="F696" t="e">
            <v>#REF!</v>
          </cell>
          <cell r="G696" t="str">
            <v>AMANDA</v>
          </cell>
          <cell r="K696" t="str">
            <v>FATURADO</v>
          </cell>
        </row>
        <row r="697">
          <cell r="A697" t="str">
            <v>0525-016013</v>
          </cell>
          <cell r="B697" t="e">
            <v>#N/A</v>
          </cell>
          <cell r="C697" t="e">
            <v>#N/A</v>
          </cell>
          <cell r="D697" t="e">
            <v>#N/A</v>
          </cell>
          <cell r="F697" t="e">
            <v>#REF!</v>
          </cell>
          <cell r="G697" t="str">
            <v>LEANDRO</v>
          </cell>
          <cell r="H697" t="str">
            <v>MANFAC - 7</v>
          </cell>
          <cell r="K697" t="str">
            <v>FATURADO</v>
          </cell>
        </row>
        <row r="698">
          <cell r="A698" t="str">
            <v>0525-010368</v>
          </cell>
          <cell r="B698" t="e">
            <v>#N/A</v>
          </cell>
          <cell r="C698" t="e">
            <v>#N/A</v>
          </cell>
          <cell r="D698" t="e">
            <v>#N/A</v>
          </cell>
          <cell r="F698" t="e">
            <v>#REF!</v>
          </cell>
          <cell r="G698" t="str">
            <v>LEANDRO</v>
          </cell>
          <cell r="K698" t="str">
            <v>FATURADO</v>
          </cell>
        </row>
        <row r="699">
          <cell r="A699" t="str">
            <v>0425-010917</v>
          </cell>
          <cell r="B699" t="e">
            <v>#N/A</v>
          </cell>
          <cell r="C699" t="e">
            <v>#N/A</v>
          </cell>
          <cell r="D699" t="e">
            <v>#N/A</v>
          </cell>
          <cell r="F699" t="e">
            <v>#REF!</v>
          </cell>
          <cell r="G699" t="e">
            <v>#N/A</v>
          </cell>
          <cell r="K699" t="str">
            <v>FATURADO</v>
          </cell>
        </row>
        <row r="700">
          <cell r="A700" t="str">
            <v>0425-007755</v>
          </cell>
          <cell r="B700" t="e">
            <v>#N/A</v>
          </cell>
          <cell r="C700" t="e">
            <v>#N/A</v>
          </cell>
          <cell r="D700" t="e">
            <v>#N/A</v>
          </cell>
          <cell r="F700" t="e">
            <v>#REF!</v>
          </cell>
          <cell r="G700" t="e">
            <v>#N/A</v>
          </cell>
          <cell r="H700" t="str">
            <v>MANFAC - 9</v>
          </cell>
          <cell r="K700" t="str">
            <v>FATURADO</v>
          </cell>
        </row>
        <row r="701">
          <cell r="A701" t="str">
            <v>1224-005010</v>
          </cell>
          <cell r="B701" t="e">
            <v>#N/A</v>
          </cell>
          <cell r="C701" t="e">
            <v>#N/A</v>
          </cell>
          <cell r="D701" t="e">
            <v>#N/A</v>
          </cell>
          <cell r="F701" t="e">
            <v>#REF!</v>
          </cell>
          <cell r="G701" t="e">
            <v>#N/A</v>
          </cell>
          <cell r="K701" t="str">
            <v>FATURADO</v>
          </cell>
        </row>
        <row r="702">
          <cell r="A702" t="str">
            <v>0525-012705</v>
          </cell>
          <cell r="B702" t="e">
            <v>#N/A</v>
          </cell>
          <cell r="C702" t="e">
            <v>#N/A</v>
          </cell>
          <cell r="D702" t="e">
            <v>#N/A</v>
          </cell>
          <cell r="F702" t="e">
            <v>#REF!</v>
          </cell>
          <cell r="G702" t="str">
            <v>LEANDRO</v>
          </cell>
          <cell r="K702" t="str">
            <v>FATURADO</v>
          </cell>
        </row>
        <row r="703">
          <cell r="A703" t="str">
            <v>0625-009544</v>
          </cell>
          <cell r="B703" t="e">
            <v>#N/A</v>
          </cell>
          <cell r="C703" t="e">
            <v>#N/A</v>
          </cell>
          <cell r="D703" t="e">
            <v>#N/A</v>
          </cell>
          <cell r="F703" t="e">
            <v>#REF!</v>
          </cell>
          <cell r="G703" t="e">
            <v>#N/A</v>
          </cell>
          <cell r="K703" t="str">
            <v>FATURADO</v>
          </cell>
        </row>
        <row r="704">
          <cell r="A704" t="str">
            <v>0625-008000</v>
          </cell>
          <cell r="B704" t="e">
            <v>#N/A</v>
          </cell>
          <cell r="C704" t="e">
            <v>#N/A</v>
          </cell>
          <cell r="D704" t="e">
            <v>#N/A</v>
          </cell>
          <cell r="F704" t="e">
            <v>#REF!</v>
          </cell>
          <cell r="G704" t="str">
            <v>AMANDA</v>
          </cell>
          <cell r="K704" t="str">
            <v>FATURADO</v>
          </cell>
        </row>
        <row r="705">
          <cell r="A705" t="str">
            <v>0625-008919</v>
          </cell>
          <cell r="B705" t="e">
            <v>#N/A</v>
          </cell>
          <cell r="C705" t="e">
            <v>#N/A</v>
          </cell>
          <cell r="D705" t="e">
            <v>#N/A</v>
          </cell>
          <cell r="E705" t="str">
            <v>VALIDAR METRAGEM</v>
          </cell>
          <cell r="F705" t="e">
            <v>#REF!</v>
          </cell>
          <cell r="G705" t="e">
            <v>#N/A</v>
          </cell>
          <cell r="K705" t="str">
            <v>FATURADO</v>
          </cell>
        </row>
        <row r="706">
          <cell r="A706" t="str">
            <v>0625-009538</v>
          </cell>
          <cell r="B706" t="e">
            <v>#N/A</v>
          </cell>
          <cell r="C706" t="e">
            <v>#N/A</v>
          </cell>
          <cell r="D706" t="e">
            <v>#N/A</v>
          </cell>
          <cell r="F706" t="e">
            <v>#REF!</v>
          </cell>
          <cell r="G706" t="e">
            <v>#N/A</v>
          </cell>
          <cell r="K706" t="str">
            <v>FATURADO</v>
          </cell>
        </row>
        <row r="707">
          <cell r="A707" t="str">
            <v>0625-011596</v>
          </cell>
          <cell r="B707" t="e">
            <v>#N/A</v>
          </cell>
          <cell r="C707" t="e">
            <v>#N/A</v>
          </cell>
          <cell r="D707" t="e">
            <v>#N/A</v>
          </cell>
          <cell r="F707" t="e">
            <v>#REF!</v>
          </cell>
          <cell r="G707" t="str">
            <v>LEANDRO</v>
          </cell>
          <cell r="K707" t="str">
            <v>FATURADO</v>
          </cell>
        </row>
        <row r="708">
          <cell r="A708" t="str">
            <v>0625-008398</v>
          </cell>
          <cell r="B708" t="e">
            <v>#N/A</v>
          </cell>
          <cell r="C708" t="e">
            <v>#N/A</v>
          </cell>
          <cell r="D708" t="e">
            <v>#N/A</v>
          </cell>
          <cell r="F708" t="e">
            <v>#REF!</v>
          </cell>
          <cell r="G708" t="e">
            <v>#N/A</v>
          </cell>
          <cell r="K708" t="str">
            <v>FATURADO</v>
          </cell>
        </row>
        <row r="709">
          <cell r="A709" t="str">
            <v>0625-005688</v>
          </cell>
          <cell r="B709" t="e">
            <v>#N/A</v>
          </cell>
          <cell r="C709" t="e">
            <v>#N/A</v>
          </cell>
          <cell r="D709" t="e">
            <v>#N/A</v>
          </cell>
          <cell r="F709" t="e">
            <v>#REF!</v>
          </cell>
          <cell r="G709" t="str">
            <v>LEANDRO</v>
          </cell>
          <cell r="K709" t="str">
            <v>FATURADO</v>
          </cell>
        </row>
        <row r="710">
          <cell r="A710" t="str">
            <v>0725-011821</v>
          </cell>
          <cell r="B710" t="e">
            <v>#N/A</v>
          </cell>
          <cell r="C710" t="e">
            <v>#N/A</v>
          </cell>
          <cell r="D710" t="e">
            <v>#N/A</v>
          </cell>
          <cell r="F710" t="e">
            <v>#REF!</v>
          </cell>
          <cell r="G710" t="e">
            <v>#N/A</v>
          </cell>
          <cell r="K710" t="str">
            <v>FATURADO</v>
          </cell>
        </row>
        <row r="711">
          <cell r="A711" t="str">
            <v>0425-014892</v>
          </cell>
          <cell r="B711" t="e">
            <v>#N/A</v>
          </cell>
          <cell r="C711" t="e">
            <v>#N/A</v>
          </cell>
          <cell r="D711" t="e">
            <v>#N/A</v>
          </cell>
          <cell r="F711" t="e">
            <v>#REF!</v>
          </cell>
          <cell r="G711" t="str">
            <v>LEANDRO</v>
          </cell>
          <cell r="K711" t="str">
            <v>FATURADO</v>
          </cell>
        </row>
        <row r="712">
          <cell r="A712" t="str">
            <v>0525-007683</v>
          </cell>
          <cell r="B712" t="e">
            <v>#N/A</v>
          </cell>
          <cell r="C712" t="e">
            <v>#N/A</v>
          </cell>
          <cell r="D712" t="e">
            <v>#N/A</v>
          </cell>
          <cell r="F712" t="e">
            <v>#REF!</v>
          </cell>
          <cell r="G712" t="e">
            <v>#N/A</v>
          </cell>
          <cell r="K712" t="str">
            <v>FATURADO</v>
          </cell>
        </row>
        <row r="713">
          <cell r="A713" t="str">
            <v>0425-012057</v>
          </cell>
          <cell r="B713" t="e">
            <v>#N/A</v>
          </cell>
          <cell r="C713" t="e">
            <v>#N/A</v>
          </cell>
          <cell r="D713" t="e">
            <v>#N/A</v>
          </cell>
          <cell r="F713" t="e">
            <v>#REF!</v>
          </cell>
          <cell r="G713" t="e">
            <v>#N/A</v>
          </cell>
          <cell r="H713" t="str">
            <v>MANFAC - 7</v>
          </cell>
          <cell r="K713" t="str">
            <v>FATURADO</v>
          </cell>
        </row>
        <row r="714">
          <cell r="A714" t="str">
            <v>0325-014283</v>
          </cell>
          <cell r="B714" t="e">
            <v>#N/A</v>
          </cell>
          <cell r="C714" t="e">
            <v>#N/A</v>
          </cell>
          <cell r="D714" t="e">
            <v>#N/A</v>
          </cell>
          <cell r="F714" t="e">
            <v>#REF!</v>
          </cell>
          <cell r="G714" t="e">
            <v>#N/A</v>
          </cell>
          <cell r="H714" t="str">
            <v>MARCIO PEN</v>
          </cell>
          <cell r="K714" t="str">
            <v>FATURADO</v>
          </cell>
        </row>
        <row r="715">
          <cell r="A715" t="str">
            <v>0924-010633</v>
          </cell>
          <cell r="B715" t="e">
            <v>#N/A</v>
          </cell>
          <cell r="C715" t="e">
            <v>#N/A</v>
          </cell>
          <cell r="D715" t="e">
            <v>#N/A</v>
          </cell>
          <cell r="F715" t="e">
            <v>#REF!</v>
          </cell>
          <cell r="G715" t="e">
            <v>#N/A</v>
          </cell>
          <cell r="H715" t="str">
            <v>PCM</v>
          </cell>
          <cell r="K715" t="str">
            <v>FATURADO</v>
          </cell>
        </row>
        <row r="716">
          <cell r="A716" t="str">
            <v>0924-012756</v>
          </cell>
          <cell r="B716" t="e">
            <v>#N/A</v>
          </cell>
          <cell r="C716" t="e">
            <v>#N/A</v>
          </cell>
          <cell r="D716" t="e">
            <v>#N/A</v>
          </cell>
          <cell r="F716" t="e">
            <v>#REF!</v>
          </cell>
          <cell r="G716" t="e">
            <v>#N/A</v>
          </cell>
          <cell r="H716" t="str">
            <v>MANFAC - 5</v>
          </cell>
          <cell r="K716" t="str">
            <v>FATURADO</v>
          </cell>
        </row>
        <row r="717">
          <cell r="A717" t="str">
            <v>1024-010093</v>
          </cell>
          <cell r="B717" t="e">
            <v>#N/A</v>
          </cell>
          <cell r="C717" t="e">
            <v>#N/A</v>
          </cell>
          <cell r="D717" t="e">
            <v>#N/A</v>
          </cell>
          <cell r="F717" t="e">
            <v>#REF!</v>
          </cell>
          <cell r="G717" t="e">
            <v>#N/A</v>
          </cell>
          <cell r="H717" t="str">
            <v>PCM</v>
          </cell>
          <cell r="K717" t="str">
            <v>FATURADO</v>
          </cell>
        </row>
        <row r="718">
          <cell r="A718" t="str">
            <v>0425-006576</v>
          </cell>
          <cell r="B718" t="e">
            <v>#N/A</v>
          </cell>
          <cell r="C718" t="e">
            <v>#N/A</v>
          </cell>
          <cell r="D718" t="e">
            <v>#N/A</v>
          </cell>
          <cell r="F718" t="e">
            <v>#REF!</v>
          </cell>
          <cell r="G718" t="e">
            <v>#N/A</v>
          </cell>
          <cell r="H718" t="str">
            <v>MANFAC - 6</v>
          </cell>
          <cell r="K718" t="str">
            <v>FATURADO</v>
          </cell>
        </row>
        <row r="719">
          <cell r="A719" t="str">
            <v>0125-016157</v>
          </cell>
          <cell r="B719" t="e">
            <v>#N/A</v>
          </cell>
          <cell r="C719" t="e">
            <v>#N/A</v>
          </cell>
          <cell r="D719" t="e">
            <v>#N/A</v>
          </cell>
          <cell r="F719" t="e">
            <v>#REF!</v>
          </cell>
          <cell r="G719" t="e">
            <v>#N/A</v>
          </cell>
          <cell r="H719" t="str">
            <v>JOSENILDO</v>
          </cell>
          <cell r="K719" t="str">
            <v>FATURADO</v>
          </cell>
        </row>
        <row r="720">
          <cell r="A720" t="str">
            <v>0425-010580</v>
          </cell>
          <cell r="B720" t="e">
            <v>#N/A</v>
          </cell>
          <cell r="C720" t="e">
            <v>#N/A</v>
          </cell>
          <cell r="D720" t="e">
            <v>#N/A</v>
          </cell>
          <cell r="F720" t="e">
            <v>#REF!</v>
          </cell>
          <cell r="G720" t="str">
            <v>AMANDA</v>
          </cell>
          <cell r="H720" t="str">
            <v>META - X</v>
          </cell>
          <cell r="K720" t="str">
            <v>FATURADO</v>
          </cell>
        </row>
        <row r="721">
          <cell r="A721" t="str">
            <v>0425-007945</v>
          </cell>
          <cell r="B721" t="e">
            <v>#N/A</v>
          </cell>
          <cell r="C721" t="e">
            <v>#N/A</v>
          </cell>
          <cell r="D721" t="e">
            <v>#N/A</v>
          </cell>
          <cell r="E721" t="str">
            <v>SEGUNDA FEIRA</v>
          </cell>
          <cell r="F721" t="e">
            <v>#REF!</v>
          </cell>
          <cell r="G721" t="e">
            <v>#N/A</v>
          </cell>
          <cell r="H721" t="str">
            <v>MANFAC - 4</v>
          </cell>
          <cell r="K721" t="str">
            <v>FATURADO</v>
          </cell>
        </row>
        <row r="722">
          <cell r="A722" t="str">
            <v>0525-008696</v>
          </cell>
          <cell r="B722" t="e">
            <v>#N/A</v>
          </cell>
          <cell r="C722" t="e">
            <v>#N/A</v>
          </cell>
          <cell r="D722" t="e">
            <v>#N/A</v>
          </cell>
          <cell r="F722" t="e">
            <v>#REF!</v>
          </cell>
          <cell r="G722" t="e">
            <v>#N/A</v>
          </cell>
          <cell r="H722" t="str">
            <v>MANFAC - 4</v>
          </cell>
          <cell r="K722" t="str">
            <v>FATURADO</v>
          </cell>
        </row>
        <row r="723">
          <cell r="A723" t="str">
            <v>0325-016529</v>
          </cell>
          <cell r="B723" t="e">
            <v>#N/A</v>
          </cell>
          <cell r="C723" t="e">
            <v>#N/A</v>
          </cell>
          <cell r="D723" t="e">
            <v>#N/A</v>
          </cell>
          <cell r="F723" t="e">
            <v>#REF!</v>
          </cell>
          <cell r="G723" t="e">
            <v>#N/A</v>
          </cell>
          <cell r="K723" t="str">
            <v>FATURADO</v>
          </cell>
        </row>
        <row r="724">
          <cell r="A724" t="str">
            <v>0625-007419</v>
          </cell>
          <cell r="B724" t="e">
            <v>#N/A</v>
          </cell>
          <cell r="C724" t="e">
            <v>#N/A</v>
          </cell>
          <cell r="D724" t="e">
            <v>#N/A</v>
          </cell>
          <cell r="F724" t="e">
            <v>#REF!</v>
          </cell>
          <cell r="G724" t="str">
            <v>AMANDA</v>
          </cell>
          <cell r="K724" t="str">
            <v>FATURADO</v>
          </cell>
        </row>
        <row r="725">
          <cell r="A725" t="str">
            <v>0525-011876</v>
          </cell>
          <cell r="B725" t="e">
            <v>#N/A</v>
          </cell>
          <cell r="C725" t="e">
            <v>#N/A</v>
          </cell>
          <cell r="D725" t="e">
            <v>#N/A</v>
          </cell>
          <cell r="F725" t="e">
            <v>#REF!</v>
          </cell>
          <cell r="G725" t="e">
            <v>#N/A</v>
          </cell>
          <cell r="H725" t="str">
            <v>pcm</v>
          </cell>
          <cell r="K725" t="str">
            <v>FATURADO</v>
          </cell>
        </row>
        <row r="726">
          <cell r="A726" t="str">
            <v>0625-012448</v>
          </cell>
          <cell r="B726" t="e">
            <v>#N/A</v>
          </cell>
          <cell r="C726" t="e">
            <v>#N/A</v>
          </cell>
          <cell r="D726" t="e">
            <v>#N/A</v>
          </cell>
          <cell r="F726" t="e">
            <v>#REF!</v>
          </cell>
          <cell r="G726" t="str">
            <v>LEANDRO</v>
          </cell>
          <cell r="K726" t="str">
            <v>FATURADO</v>
          </cell>
        </row>
        <row r="727">
          <cell r="A727" t="str">
            <v>0425-013773</v>
          </cell>
          <cell r="B727" t="e">
            <v>#N/A</v>
          </cell>
          <cell r="C727" t="e">
            <v>#N/A</v>
          </cell>
          <cell r="D727" t="e">
            <v>#N/A</v>
          </cell>
          <cell r="E727" t="str">
            <v>EXECUTADO</v>
          </cell>
          <cell r="F727" t="e">
            <v>#REF!</v>
          </cell>
          <cell r="G727" t="e">
            <v>#N/A</v>
          </cell>
          <cell r="H727" t="str">
            <v>MANFAC - 6</v>
          </cell>
          <cell r="K727" t="str">
            <v>FATURADO</v>
          </cell>
        </row>
        <row r="728">
          <cell r="A728" t="str">
            <v>0625-012616</v>
          </cell>
          <cell r="B728" t="e">
            <v>#N/A</v>
          </cell>
          <cell r="C728" t="e">
            <v>#N/A</v>
          </cell>
          <cell r="D728" t="e">
            <v>#N/A</v>
          </cell>
          <cell r="F728" t="e">
            <v>#REF!</v>
          </cell>
          <cell r="G728" t="str">
            <v>LEANDRO</v>
          </cell>
          <cell r="K728" t="str">
            <v>FATURADO</v>
          </cell>
        </row>
        <row r="729">
          <cell r="A729" t="str">
            <v>0525-016249</v>
          </cell>
          <cell r="B729" t="e">
            <v>#N/A</v>
          </cell>
          <cell r="C729" t="e">
            <v>#N/A</v>
          </cell>
          <cell r="D729" t="e">
            <v>#N/A</v>
          </cell>
          <cell r="F729" t="e">
            <v>#REF!</v>
          </cell>
          <cell r="G729" t="str">
            <v>LEANDRO</v>
          </cell>
          <cell r="H729" t="str">
            <v>MANFAC - 4</v>
          </cell>
          <cell r="K729" t="str">
            <v>FATURADO</v>
          </cell>
        </row>
        <row r="730">
          <cell r="A730" t="str">
            <v>0624-006483</v>
          </cell>
          <cell r="B730" t="e">
            <v>#N/A</v>
          </cell>
          <cell r="C730" t="e">
            <v>#N/A</v>
          </cell>
          <cell r="D730" t="e">
            <v>#N/A</v>
          </cell>
          <cell r="F730" t="e">
            <v>#REF!</v>
          </cell>
          <cell r="G730" t="e">
            <v>#N/A</v>
          </cell>
          <cell r="H730" t="str">
            <v>MANFAC - 2</v>
          </cell>
          <cell r="K730" t="str">
            <v>FATURADO</v>
          </cell>
        </row>
        <row r="731">
          <cell r="A731" t="str">
            <v>0425-000723</v>
          </cell>
          <cell r="B731" t="e">
            <v>#N/A</v>
          </cell>
          <cell r="C731" t="e">
            <v>#N/A</v>
          </cell>
          <cell r="D731" t="e">
            <v>#N/A</v>
          </cell>
          <cell r="F731" t="e">
            <v>#REF!</v>
          </cell>
          <cell r="G731" t="e">
            <v>#N/A</v>
          </cell>
          <cell r="H731" t="str">
            <v>MANFAC - 5</v>
          </cell>
          <cell r="K731" t="str">
            <v>FATURADO</v>
          </cell>
        </row>
        <row r="732">
          <cell r="A732" t="str">
            <v>0524-010728</v>
          </cell>
          <cell r="B732" t="e">
            <v>#N/A</v>
          </cell>
          <cell r="C732" t="e">
            <v>#N/A</v>
          </cell>
          <cell r="D732" t="e">
            <v>#N/A</v>
          </cell>
          <cell r="F732" t="e">
            <v>#REF!</v>
          </cell>
          <cell r="G732" t="e">
            <v>#N/A</v>
          </cell>
          <cell r="H732" t="str">
            <v>META - X</v>
          </cell>
          <cell r="K732" t="str">
            <v>FATURADO</v>
          </cell>
        </row>
        <row r="733">
          <cell r="A733" t="str">
            <v>0525-008196</v>
          </cell>
          <cell r="B733" t="e">
            <v>#N/A</v>
          </cell>
          <cell r="C733" t="e">
            <v>#N/A</v>
          </cell>
          <cell r="D733" t="e">
            <v>#N/A</v>
          </cell>
          <cell r="F733" t="e">
            <v>#REF!</v>
          </cell>
          <cell r="G733" t="e">
            <v>#N/A</v>
          </cell>
          <cell r="K733" t="str">
            <v>FATURADO</v>
          </cell>
        </row>
        <row r="734">
          <cell r="A734" t="str">
            <v>0525-013819</v>
          </cell>
          <cell r="B734" t="e">
            <v>#N/A</v>
          </cell>
          <cell r="C734" t="e">
            <v>#N/A</v>
          </cell>
          <cell r="D734" t="e">
            <v>#N/A</v>
          </cell>
          <cell r="F734" t="e">
            <v>#REF!</v>
          </cell>
          <cell r="G734" t="e">
            <v>#N/A</v>
          </cell>
          <cell r="K734" t="str">
            <v>FATURADO</v>
          </cell>
        </row>
        <row r="735">
          <cell r="A735" t="str">
            <v>0525-013246</v>
          </cell>
          <cell r="B735" t="e">
            <v>#N/A</v>
          </cell>
          <cell r="C735" t="e">
            <v>#N/A</v>
          </cell>
          <cell r="D735" t="e">
            <v>#N/A</v>
          </cell>
          <cell r="F735" t="e">
            <v>#REF!</v>
          </cell>
          <cell r="G735" t="e">
            <v>#N/A</v>
          </cell>
          <cell r="H735" t="str">
            <v>MANFAC - 6</v>
          </cell>
          <cell r="K735" t="str">
            <v>FATURADO</v>
          </cell>
        </row>
        <row r="736">
          <cell r="A736" t="str">
            <v>0425-007232</v>
          </cell>
          <cell r="B736" t="e">
            <v>#N/A</v>
          </cell>
          <cell r="C736" t="e">
            <v>#N/A</v>
          </cell>
          <cell r="D736" t="e">
            <v>#N/A</v>
          </cell>
          <cell r="E736" t="str">
            <v>PENDENTE LEVANTAMENTO</v>
          </cell>
          <cell r="F736">
            <v>7813.8</v>
          </cell>
          <cell r="G736" t="str">
            <v>AMANDA</v>
          </cell>
          <cell r="H736" t="str">
            <v>MANFAC - 7</v>
          </cell>
          <cell r="K736" t="str">
            <v>FATURADO</v>
          </cell>
        </row>
        <row r="737">
          <cell r="A737" t="str">
            <v>0425-007815</v>
          </cell>
          <cell r="B737" t="e">
            <v>#N/A</v>
          </cell>
          <cell r="C737" t="e">
            <v>#N/A</v>
          </cell>
          <cell r="D737" t="e">
            <v>#N/A</v>
          </cell>
          <cell r="E737" t="str">
            <v>HOJE</v>
          </cell>
          <cell r="F737" t="e">
            <v>#REF!</v>
          </cell>
          <cell r="G737" t="e">
            <v>#N/A</v>
          </cell>
          <cell r="H737" t="str">
            <v>MANFAC - 4</v>
          </cell>
          <cell r="K737" t="str">
            <v>FATURADO</v>
          </cell>
        </row>
        <row r="738">
          <cell r="A738" t="str">
            <v>0525-013294</v>
          </cell>
          <cell r="B738" t="e">
            <v>#N/A</v>
          </cell>
          <cell r="C738" t="e">
            <v>#N/A</v>
          </cell>
          <cell r="D738" t="e">
            <v>#N/A</v>
          </cell>
          <cell r="E738" t="str">
            <v>PENDENTE LEVANTAMENTO</v>
          </cell>
          <cell r="F738" t="e">
            <v>#REF!</v>
          </cell>
          <cell r="G738" t="e">
            <v>#N/A</v>
          </cell>
          <cell r="H738" t="str">
            <v>MANFAC - 5 E 7</v>
          </cell>
          <cell r="K738" t="str">
            <v>FATURADO</v>
          </cell>
        </row>
        <row r="739">
          <cell r="A739" t="str">
            <v>0325-016990</v>
          </cell>
          <cell r="B739" t="e">
            <v>#N/A</v>
          </cell>
          <cell r="C739" t="e">
            <v>#N/A</v>
          </cell>
          <cell r="D739" t="e">
            <v>#N/A</v>
          </cell>
          <cell r="E739" t="str">
            <v>EM EXECUÇÃO 26/05</v>
          </cell>
          <cell r="F739">
            <v>6999</v>
          </cell>
          <cell r="G739" t="e">
            <v>#N/A</v>
          </cell>
          <cell r="H739" t="str">
            <v>PCM</v>
          </cell>
          <cell r="K739" t="str">
            <v>FATURADO</v>
          </cell>
        </row>
        <row r="740">
          <cell r="A740" t="str">
            <v>0325-017411</v>
          </cell>
          <cell r="B740" t="e">
            <v>#N/A</v>
          </cell>
          <cell r="C740" t="e">
            <v>#N/A</v>
          </cell>
          <cell r="D740" t="e">
            <v>#N/A</v>
          </cell>
          <cell r="E740" t="str">
            <v>DERMO INSTALADO, PENDENTE DESCARTE</v>
          </cell>
          <cell r="F740" t="e">
            <v>#REF!</v>
          </cell>
          <cell r="G740" t="e">
            <v>#N/A</v>
          </cell>
          <cell r="H740" t="str">
            <v>JOSENILDO</v>
          </cell>
          <cell r="K740" t="str">
            <v>FATURADO</v>
          </cell>
        </row>
        <row r="741">
          <cell r="A741" t="str">
            <v>0525-009226</v>
          </cell>
          <cell r="B741" t="e">
            <v>#N/A</v>
          </cell>
          <cell r="C741" t="e">
            <v>#N/A</v>
          </cell>
          <cell r="D741" t="e">
            <v>#N/A</v>
          </cell>
          <cell r="E741" t="str">
            <v>PENDENTE PINTURA</v>
          </cell>
          <cell r="F741" t="e">
            <v>#REF!</v>
          </cell>
          <cell r="G741" t="e">
            <v>#N/A</v>
          </cell>
          <cell r="H741" t="str">
            <v>MANFAC - 3</v>
          </cell>
          <cell r="K741" t="str">
            <v>FATURADO</v>
          </cell>
        </row>
        <row r="742">
          <cell r="A742" t="str">
            <v>0425-014395</v>
          </cell>
          <cell r="B742" t="str">
            <v>ALCANTARA 3</v>
          </cell>
          <cell r="C742" t="str">
            <v>6 TOMADAS REDE</v>
          </cell>
          <cell r="D742" t="e">
            <v>#N/A</v>
          </cell>
          <cell r="F742">
            <v>5228.82</v>
          </cell>
          <cell r="G742" t="e">
            <v>#N/A</v>
          </cell>
          <cell r="H742" t="str">
            <v>MANFAC - 8</v>
          </cell>
          <cell r="K742" t="str">
            <v>FATURADO</v>
          </cell>
        </row>
        <row r="743">
          <cell r="A743" t="str">
            <v>0425-007370</v>
          </cell>
          <cell r="B743" t="e">
            <v>#N/A</v>
          </cell>
          <cell r="C743" t="e">
            <v>#N/A</v>
          </cell>
          <cell r="D743" t="e">
            <v>#N/A</v>
          </cell>
          <cell r="E743" t="str">
            <v>PENDENTE PINTURA</v>
          </cell>
          <cell r="F743" t="e">
            <v>#REF!</v>
          </cell>
          <cell r="G743" t="e">
            <v>#N/A</v>
          </cell>
          <cell r="H743" t="str">
            <v>JOSENILDO</v>
          </cell>
          <cell r="K743" t="str">
            <v>FATURADO</v>
          </cell>
        </row>
        <row r="744">
          <cell r="A744" t="str">
            <v>0525-012647</v>
          </cell>
          <cell r="B744" t="e">
            <v>#N/A</v>
          </cell>
          <cell r="C744" t="e">
            <v>#N/A</v>
          </cell>
          <cell r="D744" t="e">
            <v>#N/A</v>
          </cell>
          <cell r="E744" t="str">
            <v>VISITA 27/05</v>
          </cell>
          <cell r="F744" t="e">
            <v>#REF!</v>
          </cell>
          <cell r="G744" t="e">
            <v>#N/A</v>
          </cell>
          <cell r="H744" t="str">
            <v>JOSENILDO</v>
          </cell>
          <cell r="K744" t="str">
            <v>FATURADO</v>
          </cell>
        </row>
        <row r="745">
          <cell r="A745" t="str">
            <v>0125-009982</v>
          </cell>
          <cell r="B745" t="e">
            <v>#N/A</v>
          </cell>
          <cell r="C745" t="e">
            <v>#N/A</v>
          </cell>
          <cell r="D745" t="e">
            <v>#N/A</v>
          </cell>
          <cell r="F745" t="e">
            <v>#REF!</v>
          </cell>
          <cell r="G745" t="e">
            <v>#N/A</v>
          </cell>
          <cell r="H745" t="str">
            <v>MANFAC - 4</v>
          </cell>
          <cell r="K745" t="str">
            <v>FATURADO</v>
          </cell>
        </row>
        <row r="746">
          <cell r="A746" t="str">
            <v>0525-014550</v>
          </cell>
          <cell r="B746" t="e">
            <v>#N/A</v>
          </cell>
          <cell r="C746" t="e">
            <v>#N/A</v>
          </cell>
          <cell r="D746" t="e">
            <v>#N/A</v>
          </cell>
          <cell r="F746" t="e">
            <v>#REF!</v>
          </cell>
          <cell r="G746" t="e">
            <v>#N/A</v>
          </cell>
          <cell r="H746" t="str">
            <v>PCM</v>
          </cell>
          <cell r="K746" t="str">
            <v>FATURADO</v>
          </cell>
        </row>
        <row r="747">
          <cell r="A747" t="str">
            <v>0425-013115</v>
          </cell>
          <cell r="B747" t="e">
            <v>#N/A</v>
          </cell>
          <cell r="C747" t="e">
            <v>#N/A</v>
          </cell>
          <cell r="D747" t="e">
            <v>#N/A</v>
          </cell>
          <cell r="F747" t="e">
            <v>#REF!</v>
          </cell>
          <cell r="G747" t="e">
            <v>#N/A</v>
          </cell>
          <cell r="H747" t="str">
            <v>MANFAC - 6</v>
          </cell>
          <cell r="K747" t="str">
            <v>FATURADO</v>
          </cell>
        </row>
        <row r="748">
          <cell r="A748" t="str">
            <v>0425-006655</v>
          </cell>
          <cell r="B748" t="e">
            <v>#N/A</v>
          </cell>
          <cell r="C748" t="e">
            <v>#N/A</v>
          </cell>
          <cell r="D748" t="e">
            <v>#N/A</v>
          </cell>
          <cell r="E748" t="str">
            <v>DERMO INSTALADO, PENDENTE DESCARTE</v>
          </cell>
          <cell r="F748" t="e">
            <v>#REF!</v>
          </cell>
          <cell r="G748" t="e">
            <v>#N/A</v>
          </cell>
          <cell r="H748" t="str">
            <v>JOSENILDO</v>
          </cell>
          <cell r="K748" t="str">
            <v>FATURADO</v>
          </cell>
        </row>
        <row r="749">
          <cell r="A749" t="str">
            <v>0525-007912</v>
          </cell>
          <cell r="B749" t="e">
            <v>#N/A</v>
          </cell>
          <cell r="C749" t="e">
            <v>#N/A</v>
          </cell>
          <cell r="D749" t="e">
            <v>#N/A</v>
          </cell>
          <cell r="E749" t="str">
            <v>PASSAR VALOR PARA PARCEIRO</v>
          </cell>
          <cell r="F749" t="e">
            <v>#REF!</v>
          </cell>
          <cell r="G749" t="e">
            <v>#N/A</v>
          </cell>
          <cell r="H749" t="str">
            <v>MANFAC - CAMPOS</v>
          </cell>
          <cell r="K749" t="str">
            <v>FATURADO</v>
          </cell>
        </row>
        <row r="750">
          <cell r="A750" t="str">
            <v>0524-013992</v>
          </cell>
          <cell r="B750" t="e">
            <v>#N/A</v>
          </cell>
          <cell r="C750" t="e">
            <v>#N/A</v>
          </cell>
          <cell r="D750" t="e">
            <v>#N/A</v>
          </cell>
          <cell r="F750" t="e">
            <v>#REF!</v>
          </cell>
          <cell r="G750" t="e">
            <v>#N/A</v>
          </cell>
          <cell r="H750" t="str">
            <v>MANFAC - 5</v>
          </cell>
          <cell r="K750" t="str">
            <v>FATURADO</v>
          </cell>
        </row>
        <row r="751">
          <cell r="A751" t="str">
            <v>0525-014549</v>
          </cell>
          <cell r="B751" t="e">
            <v>#N/A</v>
          </cell>
          <cell r="C751" t="e">
            <v>#N/A</v>
          </cell>
          <cell r="D751" t="e">
            <v>#N/A</v>
          </cell>
          <cell r="F751" t="e">
            <v>#REF!</v>
          </cell>
          <cell r="G751" t="e">
            <v>#N/A</v>
          </cell>
          <cell r="H751" t="str">
            <v>MANFAC - 5</v>
          </cell>
          <cell r="K751" t="str">
            <v>FATURADO</v>
          </cell>
        </row>
        <row r="752">
          <cell r="A752" t="str">
            <v>0525-015812</v>
          </cell>
          <cell r="B752" t="e">
            <v>#N/A</v>
          </cell>
          <cell r="C752" t="e">
            <v>#N/A</v>
          </cell>
          <cell r="D752" t="e">
            <v>#N/A</v>
          </cell>
          <cell r="F752" t="e">
            <v>#REF!</v>
          </cell>
          <cell r="G752" t="e">
            <v>#N/A</v>
          </cell>
          <cell r="H752" t="str">
            <v>MANFAC - 5</v>
          </cell>
          <cell r="K752" t="str">
            <v>FATURADO</v>
          </cell>
        </row>
        <row r="753">
          <cell r="A753" t="str">
            <v>0525-012791</v>
          </cell>
          <cell r="B753" t="e">
            <v>#N/A</v>
          </cell>
          <cell r="C753" t="e">
            <v>#N/A</v>
          </cell>
          <cell r="D753" t="e">
            <v>#N/A</v>
          </cell>
          <cell r="F753" t="e">
            <v>#REF!</v>
          </cell>
          <cell r="G753" t="e">
            <v>#N/A</v>
          </cell>
          <cell r="H753" t="str">
            <v>MANFAC - 5</v>
          </cell>
          <cell r="K753" t="str">
            <v>FATURADO</v>
          </cell>
        </row>
        <row r="754">
          <cell r="A754" t="str">
            <v>0525-009066</v>
          </cell>
          <cell r="B754" t="e">
            <v>#N/A</v>
          </cell>
          <cell r="C754" t="e">
            <v>#N/A</v>
          </cell>
          <cell r="D754" t="e">
            <v>#N/A</v>
          </cell>
          <cell r="E754" t="str">
            <v>EM EXECUÇÃO 26/05</v>
          </cell>
          <cell r="F754">
            <v>2696.32</v>
          </cell>
          <cell r="G754" t="e">
            <v>#N/A</v>
          </cell>
          <cell r="H754" t="str">
            <v>MANFAC - 4</v>
          </cell>
          <cell r="K754" t="str">
            <v>FATURADO</v>
          </cell>
        </row>
        <row r="755">
          <cell r="A755" t="str">
            <v>0525-008644</v>
          </cell>
          <cell r="B755" t="e">
            <v>#N/A</v>
          </cell>
          <cell r="C755" t="e">
            <v>#N/A</v>
          </cell>
          <cell r="D755" t="e">
            <v>#N/A</v>
          </cell>
          <cell r="E755" t="str">
            <v>PROGRAMADO PARA 27/05</v>
          </cell>
          <cell r="F755" t="e">
            <v>#REF!</v>
          </cell>
          <cell r="G755" t="e">
            <v>#N/A</v>
          </cell>
          <cell r="H755" t="str">
            <v>MANFAC - 6</v>
          </cell>
          <cell r="K755" t="str">
            <v>FATURADO</v>
          </cell>
        </row>
        <row r="756">
          <cell r="A756" t="str">
            <v>0525-015420</v>
          </cell>
          <cell r="B756" t="e">
            <v>#N/A</v>
          </cell>
          <cell r="C756" t="e">
            <v>#N/A</v>
          </cell>
          <cell r="D756" t="e">
            <v>#N/A</v>
          </cell>
          <cell r="F756" t="e">
            <v>#REF!</v>
          </cell>
          <cell r="G756" t="e">
            <v>#N/A</v>
          </cell>
          <cell r="H756" t="str">
            <v>MANFAC - 4</v>
          </cell>
          <cell r="K756" t="str">
            <v>FATURADO</v>
          </cell>
        </row>
        <row r="757">
          <cell r="A757" t="str">
            <v>0525-016234</v>
          </cell>
          <cell r="B757" t="e">
            <v>#N/A</v>
          </cell>
          <cell r="C757" t="e">
            <v>#N/A</v>
          </cell>
          <cell r="D757" t="e">
            <v>#N/A</v>
          </cell>
          <cell r="F757" t="e">
            <v>#REF!</v>
          </cell>
          <cell r="G757" t="e">
            <v>#N/A</v>
          </cell>
          <cell r="H757" t="str">
            <v>MANFAC - 7</v>
          </cell>
          <cell r="K757" t="str">
            <v>FATURADO</v>
          </cell>
        </row>
        <row r="758">
          <cell r="A758" t="str">
            <v>0425-013413</v>
          </cell>
          <cell r="B758" t="e">
            <v>#N/A</v>
          </cell>
          <cell r="C758" t="e">
            <v>#N/A</v>
          </cell>
          <cell r="D758" t="e">
            <v>#N/A</v>
          </cell>
          <cell r="E758" t="str">
            <v>PASSAR VALOR PARA PARCEIRO</v>
          </cell>
          <cell r="F758" t="e">
            <v>#REF!</v>
          </cell>
          <cell r="G758" t="e">
            <v>#N/A</v>
          </cell>
          <cell r="H758" t="str">
            <v>MANFAC 4</v>
          </cell>
          <cell r="K758" t="str">
            <v>FATURADO</v>
          </cell>
        </row>
        <row r="759">
          <cell r="A759" t="str">
            <v>0525-009453</v>
          </cell>
          <cell r="B759" t="e">
            <v>#N/A</v>
          </cell>
          <cell r="C759" t="e">
            <v>#N/A</v>
          </cell>
          <cell r="D759" t="e">
            <v>#N/A</v>
          </cell>
          <cell r="E759" t="str">
            <v xml:space="preserve">COMPRAR MATERIAIS </v>
          </cell>
          <cell r="F759" t="e">
            <v>#REF!</v>
          </cell>
          <cell r="G759" t="e">
            <v>#N/A</v>
          </cell>
          <cell r="H759" t="str">
            <v>MANFAC - 8</v>
          </cell>
          <cell r="K759" t="str">
            <v>FATURADO</v>
          </cell>
        </row>
        <row r="760">
          <cell r="A760" t="str">
            <v>0625-004037</v>
          </cell>
          <cell r="B760" t="e">
            <v>#N/A</v>
          </cell>
          <cell r="C760" t="e">
            <v>#N/A</v>
          </cell>
          <cell r="D760" t="e">
            <v>#N/A</v>
          </cell>
          <cell r="F760" t="e">
            <v>#REF!</v>
          </cell>
          <cell r="G760" t="e">
            <v>#N/A</v>
          </cell>
          <cell r="H760" t="str">
            <v>MANFAC - 4</v>
          </cell>
          <cell r="K760" t="str">
            <v>FATURADO</v>
          </cell>
        </row>
        <row r="761">
          <cell r="A761" t="str">
            <v>0525-008087</v>
          </cell>
          <cell r="B761" t="e">
            <v>#N/A</v>
          </cell>
          <cell r="C761" t="e">
            <v>#N/A</v>
          </cell>
          <cell r="D761" t="e">
            <v>#N/A</v>
          </cell>
          <cell r="F761">
            <v>1155.77</v>
          </cell>
          <cell r="G761" t="e">
            <v>#N/A</v>
          </cell>
          <cell r="H761" t="str">
            <v>JOSENILDO</v>
          </cell>
          <cell r="K761" t="str">
            <v>FATURADO</v>
          </cell>
        </row>
        <row r="762">
          <cell r="A762" t="str">
            <v>1224-009510</v>
          </cell>
          <cell r="B762" t="e">
            <v>#N/A</v>
          </cell>
          <cell r="C762" t="e">
            <v>#N/A</v>
          </cell>
          <cell r="D762" t="e">
            <v>#N/A</v>
          </cell>
          <cell r="E762" t="str">
            <v>EM EXECUÇÃO 26/05</v>
          </cell>
          <cell r="F762" t="e">
            <v>#REF!</v>
          </cell>
          <cell r="G762" t="e">
            <v>#N/A</v>
          </cell>
          <cell r="H762" t="str">
            <v>MANFAC - 5</v>
          </cell>
          <cell r="K762" t="str">
            <v>FATURADO</v>
          </cell>
        </row>
        <row r="763">
          <cell r="A763" t="str">
            <v>0425-009634</v>
          </cell>
          <cell r="B763" t="e">
            <v>#N/A</v>
          </cell>
          <cell r="C763" t="e">
            <v>#N/A</v>
          </cell>
          <cell r="D763" t="e">
            <v>#N/A</v>
          </cell>
          <cell r="F763" t="e">
            <v>#REF!</v>
          </cell>
          <cell r="G763" t="e">
            <v>#N/A</v>
          </cell>
          <cell r="H763" t="str">
            <v>MANFAC - 6</v>
          </cell>
          <cell r="K763" t="str">
            <v>FATURADO</v>
          </cell>
        </row>
        <row r="764">
          <cell r="A764" t="str">
            <v>0625-007745</v>
          </cell>
          <cell r="B764" t="e">
            <v>#N/A</v>
          </cell>
          <cell r="C764" t="e">
            <v>#N/A</v>
          </cell>
          <cell r="D764" t="e">
            <v>#N/A</v>
          </cell>
          <cell r="F764">
            <v>993.3</v>
          </cell>
          <cell r="G764" t="e">
            <v>#N/A</v>
          </cell>
          <cell r="H764" t="str">
            <v>MANFAC - 6</v>
          </cell>
          <cell r="K764" t="str">
            <v>FATURADO</v>
          </cell>
        </row>
        <row r="765">
          <cell r="A765" t="str">
            <v>0525-011858</v>
          </cell>
          <cell r="B765" t="e">
            <v>#N/A</v>
          </cell>
          <cell r="C765" t="e">
            <v>#N/A</v>
          </cell>
          <cell r="D765" t="e">
            <v>#N/A</v>
          </cell>
          <cell r="F765" t="e">
            <v>#REF!</v>
          </cell>
          <cell r="G765" t="e">
            <v>#N/A</v>
          </cell>
          <cell r="H765" t="str">
            <v>META - X</v>
          </cell>
          <cell r="K765" t="str">
            <v>FATURADO</v>
          </cell>
        </row>
        <row r="766">
          <cell r="A766" t="str">
            <v>0525-013175</v>
          </cell>
          <cell r="B766" t="e">
            <v>#N/A</v>
          </cell>
          <cell r="C766" t="e">
            <v>#N/A</v>
          </cell>
          <cell r="D766" t="e">
            <v>#N/A</v>
          </cell>
          <cell r="F766" t="e">
            <v>#REF!</v>
          </cell>
          <cell r="G766" t="e">
            <v>#N/A</v>
          </cell>
          <cell r="H766" t="str">
            <v>META - X</v>
          </cell>
          <cell r="K766" t="str">
            <v>FATURADO</v>
          </cell>
        </row>
        <row r="767">
          <cell r="A767" t="str">
            <v>0525-013371</v>
          </cell>
          <cell r="B767" t="e">
            <v>#N/A</v>
          </cell>
          <cell r="C767" t="e">
            <v>#N/A</v>
          </cell>
          <cell r="D767" t="e">
            <v>#N/A</v>
          </cell>
          <cell r="F767" t="e">
            <v>#REF!</v>
          </cell>
          <cell r="G767" t="e">
            <v>#N/A</v>
          </cell>
          <cell r="H767" t="str">
            <v>META - X</v>
          </cell>
          <cell r="K767" t="str">
            <v>FATURADO</v>
          </cell>
        </row>
        <row r="768">
          <cell r="A768" t="str">
            <v>0525-014860</v>
          </cell>
          <cell r="B768" t="e">
            <v>#N/A</v>
          </cell>
          <cell r="C768" t="e">
            <v>#N/A</v>
          </cell>
          <cell r="D768" t="e">
            <v>#N/A</v>
          </cell>
          <cell r="F768" t="e">
            <v>#REF!</v>
          </cell>
          <cell r="G768" t="e">
            <v>#N/A</v>
          </cell>
          <cell r="H768" t="str">
            <v>PCM</v>
          </cell>
          <cell r="K768" t="str">
            <v>FATURADO</v>
          </cell>
        </row>
        <row r="769">
          <cell r="A769" t="str">
            <v>0625-005849</v>
          </cell>
          <cell r="B769" t="e">
            <v>#N/A</v>
          </cell>
          <cell r="C769" t="e">
            <v>#N/A</v>
          </cell>
          <cell r="D769" t="e">
            <v>#N/A</v>
          </cell>
          <cell r="F769" t="e">
            <v>#REF!</v>
          </cell>
          <cell r="G769" t="e">
            <v>#N/A</v>
          </cell>
          <cell r="H769" t="str">
            <v>PCM</v>
          </cell>
          <cell r="K769" t="str">
            <v>FATURADO</v>
          </cell>
        </row>
        <row r="770">
          <cell r="A770" t="str">
            <v>0525-011057</v>
          </cell>
          <cell r="B770" t="e">
            <v>#N/A</v>
          </cell>
          <cell r="C770" t="e">
            <v>#N/A</v>
          </cell>
          <cell r="D770" t="e">
            <v>#N/A</v>
          </cell>
          <cell r="F770">
            <v>936.8</v>
          </cell>
          <cell r="G770" t="e">
            <v>#N/A</v>
          </cell>
          <cell r="H770" t="str">
            <v>MANFAC - 7</v>
          </cell>
          <cell r="K770" t="str">
            <v>FATURADO</v>
          </cell>
        </row>
        <row r="771">
          <cell r="A771" t="str">
            <v>0525-013649</v>
          </cell>
          <cell r="B771" t="e">
            <v>#N/A</v>
          </cell>
          <cell r="C771" t="e">
            <v>#N/A</v>
          </cell>
          <cell r="D771" t="e">
            <v>#N/A</v>
          </cell>
          <cell r="F771" t="e">
            <v>#REF!</v>
          </cell>
          <cell r="G771" t="e">
            <v>#N/A</v>
          </cell>
          <cell r="H771" t="str">
            <v>JOSENILDO</v>
          </cell>
          <cell r="K771" t="str">
            <v>FATURADO</v>
          </cell>
        </row>
        <row r="772">
          <cell r="A772" t="str">
            <v>0525-014880</v>
          </cell>
          <cell r="B772" t="e">
            <v>#N/A</v>
          </cell>
          <cell r="C772" t="e">
            <v>#N/A</v>
          </cell>
          <cell r="D772" t="e">
            <v>#N/A</v>
          </cell>
          <cell r="F772" t="e">
            <v>#REF!</v>
          </cell>
          <cell r="G772" t="e">
            <v>#N/A</v>
          </cell>
          <cell r="H772" t="str">
            <v>MANFAC - 7</v>
          </cell>
          <cell r="K772" t="str">
            <v>FATURADO</v>
          </cell>
        </row>
        <row r="773">
          <cell r="A773" t="str">
            <v>0525-014962</v>
          </cell>
          <cell r="B773" t="e">
            <v>#N/A</v>
          </cell>
          <cell r="C773" t="e">
            <v>#N/A</v>
          </cell>
          <cell r="D773" t="e">
            <v>#N/A</v>
          </cell>
          <cell r="F773" t="e">
            <v>#REF!</v>
          </cell>
          <cell r="G773" t="e">
            <v>#N/A</v>
          </cell>
          <cell r="H773" t="str">
            <v>JOSENILDO</v>
          </cell>
          <cell r="K773" t="str">
            <v>FATURADO</v>
          </cell>
        </row>
        <row r="774">
          <cell r="A774" t="str">
            <v>0425-014006</v>
          </cell>
          <cell r="B774" t="e">
            <v>#N/A</v>
          </cell>
          <cell r="C774" t="e">
            <v>#N/A</v>
          </cell>
          <cell r="D774" t="e">
            <v>#N/A</v>
          </cell>
          <cell r="F774" t="e">
            <v>#REF!</v>
          </cell>
          <cell r="G774" t="e">
            <v>#N/A</v>
          </cell>
          <cell r="H774" t="str">
            <v>PCM</v>
          </cell>
          <cell r="K774" t="str">
            <v>FATURADO</v>
          </cell>
        </row>
        <row r="775">
          <cell r="A775" t="str">
            <v>0525-013305</v>
          </cell>
          <cell r="B775" t="e">
            <v>#N/A</v>
          </cell>
          <cell r="C775" t="e">
            <v>#N/A</v>
          </cell>
          <cell r="D775" t="e">
            <v>#N/A</v>
          </cell>
          <cell r="E775" t="str">
            <v>PENDENTE LEVANTAMENTO</v>
          </cell>
          <cell r="F775" t="e">
            <v>#REF!</v>
          </cell>
          <cell r="G775" t="e">
            <v>#N/A</v>
          </cell>
          <cell r="H775" t="str">
            <v>MANFAC - 6</v>
          </cell>
          <cell r="K775" t="str">
            <v>FATURADO</v>
          </cell>
        </row>
        <row r="776">
          <cell r="A776" t="str">
            <v>0525-009975</v>
          </cell>
          <cell r="B776" t="e">
            <v>#N/A</v>
          </cell>
          <cell r="C776" t="e">
            <v>#N/A</v>
          </cell>
          <cell r="D776" t="e">
            <v>#N/A</v>
          </cell>
          <cell r="F776" t="e">
            <v>#REF!</v>
          </cell>
          <cell r="G776" t="e">
            <v>#N/A</v>
          </cell>
          <cell r="H776" t="str">
            <v>MANFAC - 3</v>
          </cell>
          <cell r="K776" t="str">
            <v>FATURADO</v>
          </cell>
        </row>
        <row r="777">
          <cell r="A777" t="str">
            <v>0425-009348</v>
          </cell>
          <cell r="B777" t="e">
            <v>#N/A</v>
          </cell>
          <cell r="C777" t="e">
            <v>#N/A</v>
          </cell>
          <cell r="D777" t="e">
            <v>#N/A</v>
          </cell>
          <cell r="E777" t="str">
            <v xml:space="preserve">ESQUADRILHA INSTALADA DIA 22/05, PENDENTE INSTALAÇÃO DE VIDRO E TRAVA ELETRICA. </v>
          </cell>
          <cell r="F777" t="e">
            <v>#REF!</v>
          </cell>
          <cell r="G777" t="e">
            <v>#N/A</v>
          </cell>
          <cell r="H777" t="str">
            <v>PCM</v>
          </cell>
          <cell r="K777" t="str">
            <v>FATURADO</v>
          </cell>
        </row>
        <row r="778">
          <cell r="A778" t="str">
            <v>0425-013374</v>
          </cell>
          <cell r="B778" t="e">
            <v>#N/A</v>
          </cell>
          <cell r="C778" t="e">
            <v>#N/A</v>
          </cell>
          <cell r="D778" t="e">
            <v>#N/A</v>
          </cell>
          <cell r="F778">
            <v>5372.46</v>
          </cell>
          <cell r="G778" t="e">
            <v>#N/A</v>
          </cell>
          <cell r="H778" t="str">
            <v>META - X</v>
          </cell>
          <cell r="K778" t="str">
            <v>FATURADO</v>
          </cell>
        </row>
        <row r="779">
          <cell r="A779" t="str">
            <v>0425-008113</v>
          </cell>
          <cell r="B779" t="e">
            <v>#N/A</v>
          </cell>
          <cell r="C779" t="e">
            <v>#N/A</v>
          </cell>
          <cell r="D779" t="e">
            <v>#N/A</v>
          </cell>
          <cell r="E779" t="str">
            <v>AGENDADO PARA 24/05/2025</v>
          </cell>
          <cell r="F779" t="e">
            <v>#REF!</v>
          </cell>
          <cell r="G779" t="e">
            <v>#N/A</v>
          </cell>
          <cell r="H779" t="str">
            <v>MANFAC - 7</v>
          </cell>
          <cell r="K779" t="str">
            <v>FATURADO</v>
          </cell>
        </row>
        <row r="780">
          <cell r="A780" t="str">
            <v>0425-009994</v>
          </cell>
          <cell r="B780" t="e">
            <v>#N/A</v>
          </cell>
          <cell r="C780" t="e">
            <v>#N/A</v>
          </cell>
          <cell r="D780" t="e">
            <v>#N/A</v>
          </cell>
          <cell r="E780" t="str">
            <v>AGENDADO PARA 24/05/2025</v>
          </cell>
          <cell r="F780" t="e">
            <v>#REF!</v>
          </cell>
          <cell r="G780" t="e">
            <v>#N/A</v>
          </cell>
          <cell r="H780" t="str">
            <v>MANFAC - 7</v>
          </cell>
          <cell r="K780" t="str">
            <v>FATURADO</v>
          </cell>
        </row>
        <row r="781">
          <cell r="A781" t="str">
            <v>1024-007044</v>
          </cell>
          <cell r="B781" t="e">
            <v>#N/A</v>
          </cell>
          <cell r="C781" t="e">
            <v>#N/A</v>
          </cell>
          <cell r="D781" t="e">
            <v>#N/A</v>
          </cell>
          <cell r="E781" t="str">
            <v>COMPRAR VENTILADO / FÁBIO RETIRAR NA SEGUNDA</v>
          </cell>
          <cell r="F781" t="e">
            <v>#REF!</v>
          </cell>
          <cell r="G781" t="e">
            <v>#N/A</v>
          </cell>
          <cell r="H781" t="str">
            <v>MANFAC - 4</v>
          </cell>
          <cell r="K781" t="str">
            <v>FATURADO</v>
          </cell>
        </row>
        <row r="782">
          <cell r="A782" t="str">
            <v>0526-011286</v>
          </cell>
          <cell r="B782" t="str">
            <v>DP BARRA DA TIJUCA 7</v>
          </cell>
          <cell r="C782" t="str">
            <v>Rollout de telhado</v>
          </cell>
          <cell r="D782" t="str">
            <v>CAPEX</v>
          </cell>
          <cell r="F782" t="e">
            <v>#REF!</v>
          </cell>
          <cell r="G782" t="str">
            <v>LEANDRO</v>
          </cell>
          <cell r="I782" t="str">
            <v>MANFAC OBRAS REFORMAS</v>
          </cell>
          <cell r="J782" t="str">
            <v>YURI</v>
          </cell>
          <cell r="K782" t="str">
            <v>FATURADO</v>
          </cell>
        </row>
        <row r="783">
          <cell r="A783" t="str">
            <v>0226-014387</v>
          </cell>
          <cell r="B783" t="str">
            <v>DP BARRA DE SAO JOAO</v>
          </cell>
          <cell r="C783" t="str">
            <v>Boa tarde ,solicito a manutenção do teto balcão , pois está com goteiras em cima dos medicamentos .</v>
          </cell>
          <cell r="D783" t="str">
            <v>TELHADO</v>
          </cell>
          <cell r="F783" t="e">
            <v>#REF!</v>
          </cell>
          <cell r="G783" t="str">
            <v>LEANDRO</v>
          </cell>
          <cell r="I783" t="str">
            <v>MANFAC OBRAS REFORMAS</v>
          </cell>
          <cell r="J783" t="str">
            <v>LUANA</v>
          </cell>
          <cell r="K783" t="str">
            <v>FATURADO</v>
          </cell>
        </row>
        <row r="784">
          <cell r="A784" t="str">
            <v>0425-007756</v>
          </cell>
          <cell r="B784" t="e">
            <v>#N/A</v>
          </cell>
          <cell r="C784" t="e">
            <v>#N/A</v>
          </cell>
          <cell r="D784" t="e">
            <v>#N/A</v>
          </cell>
          <cell r="E784" t="str">
            <v>NECESSÁRIO MARTELETE + HELENO E AJUDANTE</v>
          </cell>
          <cell r="F784" t="e">
            <v>#REF!</v>
          </cell>
          <cell r="G784" t="e">
            <v>#N/A</v>
          </cell>
          <cell r="H784" t="str">
            <v>MANFAC -4 6 E 7</v>
          </cell>
          <cell r="K784" t="str">
            <v>FATURADO</v>
          </cell>
        </row>
        <row r="785">
          <cell r="A785" t="str">
            <v>1125-015568</v>
          </cell>
          <cell r="B785" t="str">
            <v>DP CABO FRIO 1</v>
          </cell>
          <cell r="C785" t="str">
            <v>Solicito repara para tapar um buraco na entrada da loja, atrás da cortina de ar.
 Att; Irany Lobato</v>
          </cell>
          <cell r="D785" t="str">
            <v>CIVIL</v>
          </cell>
          <cell r="E785" t="str">
            <v>LIBERADO POE JUAN  - 04/11/2027</v>
          </cell>
          <cell r="F785" t="e">
            <v>#REF!</v>
          </cell>
          <cell r="G785" t="str">
            <v>LEANDRO</v>
          </cell>
          <cell r="I785" t="str">
            <v>MANFAC OBRAS SPOT</v>
          </cell>
          <cell r="K785" t="str">
            <v>FATURADO</v>
          </cell>
        </row>
        <row r="786">
          <cell r="A786" t="str">
            <v>0325-011582</v>
          </cell>
          <cell r="B786" t="e">
            <v>#N/A</v>
          </cell>
          <cell r="C786" t="e">
            <v>#N/A</v>
          </cell>
          <cell r="D786" t="e">
            <v>#N/A</v>
          </cell>
          <cell r="E786" t="str">
            <v>REINALDO REALIZAR VISITA NO SABADO</v>
          </cell>
          <cell r="F786" t="e">
            <v>#REF!</v>
          </cell>
          <cell r="G786" t="e">
            <v>#N/A</v>
          </cell>
          <cell r="H786" t="str">
            <v>REINALDO</v>
          </cell>
          <cell r="K786" t="str">
            <v>FATURADO</v>
          </cell>
        </row>
        <row r="787">
          <cell r="A787" t="str">
            <v>0425-013397</v>
          </cell>
          <cell r="B787" t="e">
            <v>#N/A</v>
          </cell>
          <cell r="C787" t="e">
            <v>#N/A</v>
          </cell>
          <cell r="D787" t="e">
            <v>#N/A</v>
          </cell>
          <cell r="E787" t="str">
            <v>DEDETIZAÇÃO REALIZADA, OENDENTE TELA E DESCARTE</v>
          </cell>
          <cell r="F787">
            <v>7365.96</v>
          </cell>
          <cell r="G787" t="e">
            <v>#N/A</v>
          </cell>
          <cell r="H787" t="str">
            <v>PCM</v>
          </cell>
          <cell r="K787" t="str">
            <v>FATURADO</v>
          </cell>
        </row>
        <row r="788">
          <cell r="A788" t="str">
            <v>0225-009307</v>
          </cell>
          <cell r="B788" t="e">
            <v>#N/A</v>
          </cell>
          <cell r="C788" t="e">
            <v>#N/A</v>
          </cell>
          <cell r="D788" t="e">
            <v>#N/A</v>
          </cell>
          <cell r="E788" t="str">
            <v>COMPRAR TAMPA - SEXTA</v>
          </cell>
          <cell r="F788" t="e">
            <v>#REF!</v>
          </cell>
          <cell r="G788" t="e">
            <v>#N/A</v>
          </cell>
          <cell r="H788" t="str">
            <v>MANFAC - 5</v>
          </cell>
          <cell r="K788" t="str">
            <v>FATURADO</v>
          </cell>
        </row>
        <row r="789">
          <cell r="A789" t="str">
            <v>0425-007091</v>
          </cell>
          <cell r="B789" t="e">
            <v>#N/A</v>
          </cell>
          <cell r="C789" t="e">
            <v>#N/A</v>
          </cell>
          <cell r="D789" t="e">
            <v>#N/A</v>
          </cell>
          <cell r="F789" t="e">
            <v>#REF!</v>
          </cell>
          <cell r="G789" t="e">
            <v>#N/A</v>
          </cell>
          <cell r="H789" t="str">
            <v>JOSENILDO</v>
          </cell>
          <cell r="K789" t="str">
            <v>FATURADO</v>
          </cell>
        </row>
        <row r="790">
          <cell r="A790" t="str">
            <v>0425-014779</v>
          </cell>
          <cell r="B790" t="e">
            <v>#N/A</v>
          </cell>
          <cell r="C790" t="e">
            <v>#N/A</v>
          </cell>
          <cell r="D790" t="e">
            <v>#N/A</v>
          </cell>
          <cell r="F790" t="e">
            <v>#REF!</v>
          </cell>
          <cell r="G790" t="e">
            <v>#N/A</v>
          </cell>
          <cell r="H790" t="str">
            <v>JOSENILDO</v>
          </cell>
          <cell r="K790" t="str">
            <v>FATURADO</v>
          </cell>
        </row>
        <row r="791">
          <cell r="A791" t="str">
            <v>0126-008910</v>
          </cell>
          <cell r="B791" t="str">
            <v>DP CATETE 5</v>
          </cell>
          <cell r="C791" t="str">
            <v>Instalação de bomba pressurizadora na tubulação do purificador da copa.</v>
          </cell>
          <cell r="D791" t="str">
            <v>HIDRAULICA</v>
          </cell>
          <cell r="F791" t="e">
            <v>#REF!</v>
          </cell>
          <cell r="G791" t="str">
            <v>LEANDRO</v>
          </cell>
          <cell r="I791" t="str">
            <v>MANFAC OBRAS SPOT</v>
          </cell>
          <cell r="K791" t="str">
            <v>FATURADO</v>
          </cell>
        </row>
        <row r="792">
          <cell r="A792" t="str">
            <v>1125-012869</v>
          </cell>
          <cell r="B792" t="str">
            <v>DP LUCIO COSTA</v>
          </cell>
          <cell r="C792" t="str">
            <v>Boa tarde! solicito carro pipa pois a loja esta sem agua</v>
          </cell>
          <cell r="D792" t="str">
            <v>HIDRAULICA</v>
          </cell>
          <cell r="E792" t="str">
            <v>LIBERADO POR LEANDRO - 16/11/2025</v>
          </cell>
          <cell r="F792">
            <v>2000</v>
          </cell>
          <cell r="G792" t="str">
            <v>JUAN</v>
          </cell>
          <cell r="K792" t="str">
            <v>CANCELADO</v>
          </cell>
        </row>
        <row r="793">
          <cell r="A793" t="str">
            <v>0425-011407</v>
          </cell>
          <cell r="B793" t="e">
            <v>#N/A</v>
          </cell>
          <cell r="C793" t="e">
            <v>#N/A</v>
          </cell>
          <cell r="D793" t="e">
            <v>#N/A</v>
          </cell>
          <cell r="F793" t="e">
            <v>#REF!</v>
          </cell>
          <cell r="G793" t="e">
            <v>#N/A</v>
          </cell>
          <cell r="H793" t="str">
            <v>PCM</v>
          </cell>
          <cell r="K793" t="str">
            <v>FATURADO</v>
          </cell>
        </row>
        <row r="794">
          <cell r="A794" t="str">
            <v>0425-011577</v>
          </cell>
          <cell r="B794" t="e">
            <v>#N/A</v>
          </cell>
          <cell r="C794" t="e">
            <v>#N/A</v>
          </cell>
          <cell r="D794" t="e">
            <v>#N/A</v>
          </cell>
          <cell r="F794" t="e">
            <v>#REF!</v>
          </cell>
          <cell r="G794" t="e">
            <v>#N/A</v>
          </cell>
          <cell r="H794" t="str">
            <v>PCM</v>
          </cell>
          <cell r="K794" t="str">
            <v>FATURADO</v>
          </cell>
        </row>
        <row r="795">
          <cell r="A795" t="str">
            <v>0425-013739</v>
          </cell>
          <cell r="B795" t="e">
            <v>#N/A</v>
          </cell>
          <cell r="C795" t="e">
            <v>#N/A</v>
          </cell>
          <cell r="D795" t="e">
            <v>#N/A</v>
          </cell>
          <cell r="F795" t="e">
            <v>#REF!</v>
          </cell>
          <cell r="G795" t="e">
            <v>#N/A</v>
          </cell>
          <cell r="H795" t="str">
            <v>PCM</v>
          </cell>
          <cell r="K795" t="str">
            <v>FATURADO</v>
          </cell>
        </row>
        <row r="796">
          <cell r="A796" t="str">
            <v>0525-008248</v>
          </cell>
          <cell r="B796" t="e">
            <v>#N/A</v>
          </cell>
          <cell r="C796" t="e">
            <v>#N/A</v>
          </cell>
          <cell r="D796" t="e">
            <v>#N/A</v>
          </cell>
          <cell r="F796" t="e">
            <v>#REF!</v>
          </cell>
          <cell r="G796" t="e">
            <v>#N/A</v>
          </cell>
          <cell r="H796" t="str">
            <v>PCM</v>
          </cell>
          <cell r="K796" t="str">
            <v>FATURADO</v>
          </cell>
        </row>
        <row r="797">
          <cell r="A797" t="str">
            <v>0326-008083</v>
          </cell>
          <cell r="B797" t="str">
            <v>DP BARRA DA TIJUCA 4</v>
          </cell>
          <cell r="C797" t="str">
            <v>duas guarda guias de porta entre as portas 10 e 11</v>
          </cell>
          <cell r="D797" t="str">
            <v>SERRALHERIA</v>
          </cell>
          <cell r="F797" t="e">
            <v>#REF!</v>
          </cell>
          <cell r="G797" t="str">
            <v>LEANDRO</v>
          </cell>
          <cell r="I797" t="str">
            <v>MANFAC OBRAS SPOT</v>
          </cell>
          <cell r="K797" t="str">
            <v>CANCELADO</v>
          </cell>
        </row>
        <row r="798">
          <cell r="A798" t="str">
            <v>0425-013884</v>
          </cell>
          <cell r="B798" t="e">
            <v>#N/A</v>
          </cell>
          <cell r="C798" t="e">
            <v>#N/A</v>
          </cell>
          <cell r="D798" t="e">
            <v>#N/A</v>
          </cell>
          <cell r="F798" t="e">
            <v>#REF!</v>
          </cell>
          <cell r="G798" t="e">
            <v>#N/A</v>
          </cell>
          <cell r="H798" t="str">
            <v>JOSENILDO</v>
          </cell>
          <cell r="K798" t="str">
            <v>FATURADO</v>
          </cell>
        </row>
        <row r="799">
          <cell r="A799" t="str">
            <v>0425-009755</v>
          </cell>
          <cell r="B799" t="e">
            <v>#N/A</v>
          </cell>
          <cell r="C799" t="e">
            <v>#N/A</v>
          </cell>
          <cell r="D799" t="e">
            <v>#N/A</v>
          </cell>
          <cell r="F799" t="e">
            <v>#REF!</v>
          </cell>
          <cell r="G799" t="e">
            <v>#N/A</v>
          </cell>
          <cell r="H799" t="str">
            <v>MANFAC - 6</v>
          </cell>
          <cell r="K799" t="str">
            <v>FATURADO</v>
          </cell>
        </row>
        <row r="800">
          <cell r="A800" t="str">
            <v>0226-006037</v>
          </cell>
          <cell r="B800" t="str">
            <v>DP CATETE 5</v>
          </cell>
          <cell r="C800" t="str">
            <v>BEBEDOURO</v>
          </cell>
          <cell r="D800" t="str">
            <v>HIDRAULICA</v>
          </cell>
          <cell r="E800" t="str">
            <v>NOTA DE MATERIAL</v>
          </cell>
          <cell r="F800" t="e">
            <v>#REF!</v>
          </cell>
          <cell r="G800" t="str">
            <v>LEANDRO</v>
          </cell>
          <cell r="I800" t="str">
            <v>MANFAC OBRAS SPOT</v>
          </cell>
          <cell r="K800" t="str">
            <v>FATURADO</v>
          </cell>
        </row>
        <row r="801">
          <cell r="A801" t="str">
            <v>0425-008718</v>
          </cell>
          <cell r="B801" t="e">
            <v>#N/A</v>
          </cell>
          <cell r="C801" t="e">
            <v>#N/A</v>
          </cell>
          <cell r="D801" t="e">
            <v>#N/A</v>
          </cell>
          <cell r="F801" t="e">
            <v>#REF!</v>
          </cell>
          <cell r="G801" t="e">
            <v>#N/A</v>
          </cell>
          <cell r="H801" t="str">
            <v>MANFAC - 5</v>
          </cell>
          <cell r="K801" t="str">
            <v>FATURADO</v>
          </cell>
        </row>
        <row r="802">
          <cell r="A802" t="str">
            <v>0425-013223</v>
          </cell>
          <cell r="B802" t="e">
            <v>#N/A</v>
          </cell>
          <cell r="C802" t="e">
            <v>#N/A</v>
          </cell>
          <cell r="D802" t="e">
            <v>#N/A</v>
          </cell>
          <cell r="F802">
            <v>2032.68</v>
          </cell>
          <cell r="G802" t="e">
            <v>#N/A</v>
          </cell>
          <cell r="H802" t="str">
            <v>MANFAC - 2</v>
          </cell>
          <cell r="K802" t="str">
            <v>FATURADO</v>
          </cell>
        </row>
        <row r="803">
          <cell r="A803" t="str">
            <v>0125-014614</v>
          </cell>
          <cell r="B803" t="e">
            <v>#N/A</v>
          </cell>
          <cell r="C803" t="e">
            <v>#N/A</v>
          </cell>
          <cell r="D803" t="e">
            <v>#N/A</v>
          </cell>
          <cell r="F803" t="e">
            <v>#REF!</v>
          </cell>
          <cell r="G803" t="e">
            <v>#N/A</v>
          </cell>
          <cell r="H803" t="str">
            <v>PCM</v>
          </cell>
          <cell r="K803" t="str">
            <v>FATURADO</v>
          </cell>
        </row>
        <row r="804">
          <cell r="A804" t="str">
            <v>0226-008290</v>
          </cell>
          <cell r="B804" t="str">
            <v>DP MEIER 10</v>
          </cell>
          <cell r="C804" t="str">
            <v>instalaçao e fornecimento de 2 bebedouros</v>
          </cell>
          <cell r="D804" t="str">
            <v>HIDRAULICA</v>
          </cell>
          <cell r="E804" t="str">
            <v>NOTA DE MATERIAL</v>
          </cell>
          <cell r="F804">
            <v>5422.82</v>
          </cell>
          <cell r="G804" t="str">
            <v>ALINE</v>
          </cell>
          <cell r="I804" t="str">
            <v>MANFAC OBRAS SPOT</v>
          </cell>
          <cell r="K804" t="str">
            <v>FATURADO</v>
          </cell>
        </row>
        <row r="805">
          <cell r="A805" t="str">
            <v>0425-009974</v>
          </cell>
          <cell r="B805" t="e">
            <v>#N/A</v>
          </cell>
          <cell r="C805" t="e">
            <v>#N/A</v>
          </cell>
          <cell r="D805" t="e">
            <v>#N/A</v>
          </cell>
          <cell r="F805" t="e">
            <v>#REF!</v>
          </cell>
          <cell r="G805" t="e">
            <v>#N/A</v>
          </cell>
          <cell r="H805" t="str">
            <v>PCM</v>
          </cell>
          <cell r="K805" t="str">
            <v>FATURADO</v>
          </cell>
        </row>
        <row r="806">
          <cell r="A806" t="str">
            <v>0425-010902</v>
          </cell>
          <cell r="B806" t="e">
            <v>#N/A</v>
          </cell>
          <cell r="C806" t="e">
            <v>#N/A</v>
          </cell>
          <cell r="D806" t="e">
            <v>#N/A</v>
          </cell>
          <cell r="F806">
            <v>2000</v>
          </cell>
          <cell r="G806" t="e">
            <v>#N/A</v>
          </cell>
          <cell r="H806" t="str">
            <v>PCM</v>
          </cell>
          <cell r="K806" t="str">
            <v>FATURADO</v>
          </cell>
        </row>
        <row r="807">
          <cell r="A807" t="str">
            <v>0425-011965</v>
          </cell>
          <cell r="B807" t="e">
            <v>#N/A</v>
          </cell>
          <cell r="C807" t="e">
            <v>#N/A</v>
          </cell>
          <cell r="D807" t="e">
            <v>#N/A</v>
          </cell>
          <cell r="F807" t="e">
            <v>#REF!</v>
          </cell>
          <cell r="G807" t="e">
            <v>#N/A</v>
          </cell>
          <cell r="H807" t="str">
            <v>PCM</v>
          </cell>
          <cell r="K807" t="str">
            <v>FATURADO</v>
          </cell>
        </row>
        <row r="808">
          <cell r="A808" t="str">
            <v>0425-014977</v>
          </cell>
          <cell r="B808" t="e">
            <v>#N/A</v>
          </cell>
          <cell r="C808" t="e">
            <v>#N/A</v>
          </cell>
          <cell r="D808" t="e">
            <v>#N/A</v>
          </cell>
          <cell r="F808" t="e">
            <v>#REF!</v>
          </cell>
          <cell r="G808" t="e">
            <v>#N/A</v>
          </cell>
          <cell r="H808" t="str">
            <v>PCM</v>
          </cell>
          <cell r="K808" t="str">
            <v>FATURADO</v>
          </cell>
        </row>
        <row r="809">
          <cell r="A809" t="str">
            <v>0226-005730</v>
          </cell>
          <cell r="B809" t="str">
            <v>DP BARRA DE SAO JOAO</v>
          </cell>
          <cell r="C809" t="str">
            <v>Boa noite ,
 Solicito reparo no teto da loja pois estamos com infiltração na área de vendas inclusive esta pigando em cima de produtos gerando perda para a loja</v>
          </cell>
          <cell r="D809" t="str">
            <v>TELHADO</v>
          </cell>
          <cell r="F809" t="e">
            <v>#REF!</v>
          </cell>
          <cell r="G809" t="str">
            <v>LEANDRO</v>
          </cell>
          <cell r="I809" t="str">
            <v>MANFAC OBRAS REFORMAS</v>
          </cell>
          <cell r="J809" t="str">
            <v>LUANA</v>
          </cell>
          <cell r="K809" t="str">
            <v>CANCELADO</v>
          </cell>
        </row>
        <row r="810">
          <cell r="A810" t="str">
            <v>0525-007842</v>
          </cell>
          <cell r="B810" t="e">
            <v>#N/A</v>
          </cell>
          <cell r="C810" t="e">
            <v>#N/A</v>
          </cell>
          <cell r="D810" t="e">
            <v>#N/A</v>
          </cell>
          <cell r="F810" t="e">
            <v>#REF!</v>
          </cell>
          <cell r="G810" t="e">
            <v>#N/A</v>
          </cell>
          <cell r="H810" t="str">
            <v>PCM</v>
          </cell>
          <cell r="K810" t="str">
            <v>FATURADO</v>
          </cell>
        </row>
        <row r="811">
          <cell r="A811" t="str">
            <v>0125-009237</v>
          </cell>
          <cell r="B811" t="e">
            <v>#N/A</v>
          </cell>
          <cell r="C811" t="e">
            <v>#N/A</v>
          </cell>
          <cell r="D811" t="e">
            <v>#N/A</v>
          </cell>
          <cell r="E811" t="str">
            <v>FAZER OS FISICA</v>
          </cell>
          <cell r="F811" t="e">
            <v>#REF!</v>
          </cell>
          <cell r="G811" t="e">
            <v>#N/A</v>
          </cell>
          <cell r="H811" t="str">
            <v>PCM</v>
          </cell>
          <cell r="K811" t="str">
            <v>FATURADO</v>
          </cell>
        </row>
        <row r="812">
          <cell r="A812" t="str">
            <v>0325-014224</v>
          </cell>
          <cell r="B812" t="e">
            <v>#N/A</v>
          </cell>
          <cell r="C812" t="e">
            <v>#N/A</v>
          </cell>
          <cell r="D812" t="e">
            <v>#N/A</v>
          </cell>
          <cell r="F812" t="e">
            <v>#REF!</v>
          </cell>
          <cell r="G812" t="e">
            <v>#N/A</v>
          </cell>
          <cell r="H812" t="str">
            <v>PCM</v>
          </cell>
          <cell r="K812" t="str">
            <v>FATURADO</v>
          </cell>
        </row>
        <row r="813">
          <cell r="A813" t="str">
            <v>0326-015124</v>
          </cell>
          <cell r="B813" t="str">
            <v>DP ARARUAMA 2</v>
          </cell>
          <cell r="C813" t="str">
            <v>Anvisa esteve em loja e só vai dar a liberação de funcionamento 2026 depois que resolverem os casamentos no telhado, várias manchas no teto</v>
          </cell>
          <cell r="D813" t="str">
            <v>HIDRAULICA</v>
          </cell>
          <cell r="F813">
            <v>31412.62</v>
          </cell>
          <cell r="G813" t="str">
            <v>LEANDRO</v>
          </cell>
          <cell r="I813" t="str">
            <v>MANFAC OBRAS REFORMAS</v>
          </cell>
          <cell r="J813" t="str">
            <v>LUANA</v>
          </cell>
          <cell r="K813" t="str">
            <v>FATURADO</v>
          </cell>
        </row>
        <row r="814">
          <cell r="A814" t="str">
            <v>0525-012213</v>
          </cell>
          <cell r="B814" t="e">
            <v>#N/A</v>
          </cell>
          <cell r="C814" t="e">
            <v>#N/A</v>
          </cell>
          <cell r="D814" t="e">
            <v>#N/A</v>
          </cell>
          <cell r="F814" t="e">
            <v>#REF!</v>
          </cell>
          <cell r="G814" t="e">
            <v>#N/A</v>
          </cell>
          <cell r="H814" t="str">
            <v>MANFAC - 5</v>
          </cell>
          <cell r="K814" t="str">
            <v>FATURADO</v>
          </cell>
        </row>
        <row r="815">
          <cell r="A815" t="str">
            <v>0425-010360</v>
          </cell>
          <cell r="B815" t="e">
            <v>#N/A</v>
          </cell>
          <cell r="C815" t="e">
            <v>#N/A</v>
          </cell>
          <cell r="D815" t="e">
            <v>#N/A</v>
          </cell>
          <cell r="F815" t="e">
            <v>#REF!</v>
          </cell>
          <cell r="G815" t="e">
            <v>#N/A</v>
          </cell>
          <cell r="H815" t="str">
            <v>JOSENILDO</v>
          </cell>
          <cell r="K815" t="str">
            <v>FATURADO</v>
          </cell>
        </row>
        <row r="816">
          <cell r="A816" t="str">
            <v>0325-011759</v>
          </cell>
          <cell r="B816" t="e">
            <v>#N/A</v>
          </cell>
          <cell r="C816" t="e">
            <v>#N/A</v>
          </cell>
          <cell r="D816" t="e">
            <v>#N/A</v>
          </cell>
          <cell r="F816" t="e">
            <v>#REF!</v>
          </cell>
          <cell r="G816" t="e">
            <v>#N/A</v>
          </cell>
          <cell r="H816" t="str">
            <v>MANFAC - 3</v>
          </cell>
          <cell r="K816" t="str">
            <v>FATURADO</v>
          </cell>
        </row>
        <row r="817">
          <cell r="A817" t="str">
            <v>0425-010185</v>
          </cell>
          <cell r="B817" t="e">
            <v>#N/A</v>
          </cell>
          <cell r="C817" t="e">
            <v>#N/A</v>
          </cell>
          <cell r="D817" t="e">
            <v>#N/A</v>
          </cell>
          <cell r="F817" t="e">
            <v>#REF!</v>
          </cell>
          <cell r="G817" t="e">
            <v>#N/A</v>
          </cell>
          <cell r="H817" t="str">
            <v>MANFAC - 5</v>
          </cell>
          <cell r="K817" t="str">
            <v>FATURADO</v>
          </cell>
        </row>
        <row r="818">
          <cell r="A818" t="str">
            <v>0125-016396</v>
          </cell>
          <cell r="B818" t="e">
            <v>#N/A</v>
          </cell>
          <cell r="C818" t="e">
            <v>#N/A</v>
          </cell>
          <cell r="D818" t="e">
            <v>#N/A</v>
          </cell>
          <cell r="F818" t="e">
            <v>#REF!</v>
          </cell>
          <cell r="G818" t="e">
            <v>#N/A</v>
          </cell>
          <cell r="H818" t="str">
            <v>MANFAC - 3</v>
          </cell>
          <cell r="K818" t="str">
            <v>FATURADO</v>
          </cell>
        </row>
        <row r="819">
          <cell r="A819" t="str">
            <v>0924-013617</v>
          </cell>
          <cell r="B819" t="e">
            <v>#N/A</v>
          </cell>
          <cell r="C819" t="e">
            <v>#N/A</v>
          </cell>
          <cell r="D819" t="e">
            <v>#N/A</v>
          </cell>
          <cell r="E819" t="str">
            <v>ROTA DO JOSENILDO</v>
          </cell>
          <cell r="F819" t="e">
            <v>#REF!</v>
          </cell>
          <cell r="G819" t="e">
            <v>#N/A</v>
          </cell>
          <cell r="H819" t="str">
            <v>JOSENILDO</v>
          </cell>
          <cell r="K819" t="str">
            <v>FATURADO</v>
          </cell>
        </row>
        <row r="820">
          <cell r="A820" t="str">
            <v>0125-008358</v>
          </cell>
          <cell r="B820" t="e">
            <v>#N/A</v>
          </cell>
          <cell r="C820" t="e">
            <v>#N/A</v>
          </cell>
          <cell r="D820" t="e">
            <v>#N/A</v>
          </cell>
          <cell r="E820" t="str">
            <v>ROTA DO JOSENILDO</v>
          </cell>
          <cell r="F820" t="e">
            <v>#REF!</v>
          </cell>
          <cell r="G820" t="e">
            <v>#N/A</v>
          </cell>
          <cell r="H820" t="str">
            <v>JOSENILDO</v>
          </cell>
          <cell r="K820" t="str">
            <v>FATURADO</v>
          </cell>
        </row>
        <row r="821">
          <cell r="A821" t="str">
            <v>0126-011045</v>
          </cell>
          <cell r="B821" t="str">
            <v>DP MEIER 9</v>
          </cell>
          <cell r="C821" t="str">
            <v>INSTALAÇÃO DE CORTINA DE AR</v>
          </cell>
          <cell r="D821" t="str">
            <v>CLIMATIZAÇÃO</v>
          </cell>
          <cell r="E821" t="str">
            <v>LIBERADO POR ALINE - 11/02/2026</v>
          </cell>
          <cell r="F821">
            <v>1278.6199999999999</v>
          </cell>
          <cell r="G821" t="str">
            <v>ALINE</v>
          </cell>
          <cell r="I821" t="str">
            <v>MANFAC OBRAS SPOT</v>
          </cell>
          <cell r="K821" t="str">
            <v>PENDENTE FATURAMENTO</v>
          </cell>
        </row>
        <row r="822">
          <cell r="A822" t="str">
            <v>0125-015701</v>
          </cell>
          <cell r="B822" t="e">
            <v>#N/A</v>
          </cell>
          <cell r="C822" t="e">
            <v>#N/A</v>
          </cell>
          <cell r="D822" t="e">
            <v>#N/A</v>
          </cell>
          <cell r="F822" t="e">
            <v>#REF!</v>
          </cell>
          <cell r="G822" t="e">
            <v>#N/A</v>
          </cell>
          <cell r="H822" t="str">
            <v>MANFAC - 4</v>
          </cell>
          <cell r="K822" t="str">
            <v>FATURADO</v>
          </cell>
        </row>
        <row r="823">
          <cell r="A823" t="str">
            <v>0325-012668</v>
          </cell>
          <cell r="B823" t="e">
            <v>#N/A</v>
          </cell>
          <cell r="C823" t="e">
            <v>#N/A</v>
          </cell>
          <cell r="D823" t="e">
            <v>#N/A</v>
          </cell>
          <cell r="F823" t="e">
            <v>#REF!</v>
          </cell>
          <cell r="G823" t="e">
            <v>#N/A</v>
          </cell>
          <cell r="H823" t="str">
            <v>PCM</v>
          </cell>
          <cell r="K823" t="str">
            <v>FATURADO</v>
          </cell>
        </row>
        <row r="824">
          <cell r="A824" t="str">
            <v>0425-013682</v>
          </cell>
          <cell r="B824" t="e">
            <v>#N/A</v>
          </cell>
          <cell r="C824" t="e">
            <v>#N/A</v>
          </cell>
          <cell r="D824" t="e">
            <v>#N/A</v>
          </cell>
          <cell r="F824" t="e">
            <v>#REF!</v>
          </cell>
          <cell r="G824" t="e">
            <v>#N/A</v>
          </cell>
          <cell r="H824" t="str">
            <v>PCM</v>
          </cell>
          <cell r="K824" t="str">
            <v>FATURADO</v>
          </cell>
        </row>
        <row r="825">
          <cell r="A825" t="str">
            <v>0425-011819</v>
          </cell>
          <cell r="B825" t="str">
            <v>DP MADUREIRA 6</v>
          </cell>
          <cell r="C825" t="e">
            <v>#N/A</v>
          </cell>
          <cell r="D825" t="e">
            <v>#N/A</v>
          </cell>
          <cell r="F825">
            <v>3981.1</v>
          </cell>
          <cell r="G825" t="e">
            <v>#N/A</v>
          </cell>
          <cell r="H825" t="str">
            <v>MANFAC - 6</v>
          </cell>
          <cell r="K825" t="str">
            <v>FATURADO</v>
          </cell>
        </row>
        <row r="826">
          <cell r="A826" t="str">
            <v>0425-012850</v>
          </cell>
          <cell r="B826" t="e">
            <v>#N/A</v>
          </cell>
          <cell r="C826" t="e">
            <v>#N/A</v>
          </cell>
          <cell r="D826" t="e">
            <v>#N/A</v>
          </cell>
          <cell r="F826" t="e">
            <v>#REF!</v>
          </cell>
          <cell r="G826" t="e">
            <v>#N/A</v>
          </cell>
          <cell r="H826" t="str">
            <v>MANFAC - 6</v>
          </cell>
          <cell r="K826" t="str">
            <v>FATURADO</v>
          </cell>
        </row>
        <row r="827">
          <cell r="A827" t="str">
            <v>0425-013210</v>
          </cell>
          <cell r="B827" t="e">
            <v>#N/A</v>
          </cell>
          <cell r="C827" t="e">
            <v>#N/A</v>
          </cell>
          <cell r="D827" t="e">
            <v>#N/A</v>
          </cell>
          <cell r="F827" t="e">
            <v>#REF!</v>
          </cell>
          <cell r="G827" t="e">
            <v>#N/A</v>
          </cell>
          <cell r="H827" t="str">
            <v>PCM</v>
          </cell>
          <cell r="K827" t="str">
            <v>FATURADO</v>
          </cell>
        </row>
        <row r="828">
          <cell r="A828" t="str">
            <v>0126-013004</v>
          </cell>
          <cell r="B828" t="str">
            <v>DP BUZIOS</v>
          </cell>
          <cell r="C828" t="str">
            <v>instalação ventilador area de descanso</v>
          </cell>
          <cell r="D828" t="str">
            <v>EQUIPAMENTO</v>
          </cell>
          <cell r="F828" t="e">
            <v>#REF!</v>
          </cell>
          <cell r="G828" t="str">
            <v>LEANDRO</v>
          </cell>
          <cell r="K828" t="str">
            <v>CANCELADO</v>
          </cell>
        </row>
        <row r="829">
          <cell r="A829" t="str">
            <v>0226-006028</v>
          </cell>
          <cell r="B829" t="str">
            <v>DP BARRA DA TIJUCA 9</v>
          </cell>
          <cell r="C829" t="str">
            <v>Solicito mão de obra para troca da iluminação do salão.</v>
          </cell>
          <cell r="D829" t="str">
            <v>CAPEX</v>
          </cell>
          <cell r="E829" t="str">
            <v>LIBERADO POR LEANDRO - 25/02/2026</v>
          </cell>
          <cell r="F829">
            <v>24345.26</v>
          </cell>
          <cell r="G829" t="str">
            <v>LEANDRO</v>
          </cell>
          <cell r="I829" t="str">
            <v>MANFAC OBRAS SPOT</v>
          </cell>
          <cell r="K829" t="str">
            <v>FATURADO</v>
          </cell>
        </row>
        <row r="830">
          <cell r="A830" t="str">
            <v>0425-013889</v>
          </cell>
          <cell r="B830" t="e">
            <v>#N/A</v>
          </cell>
          <cell r="C830" t="e">
            <v>#N/A</v>
          </cell>
          <cell r="D830" t="e">
            <v>#N/A</v>
          </cell>
          <cell r="F830" t="e">
            <v>#REF!</v>
          </cell>
          <cell r="G830" t="e">
            <v>#N/A</v>
          </cell>
          <cell r="H830" t="str">
            <v>PCM</v>
          </cell>
          <cell r="K830" t="str">
            <v>FATURADO</v>
          </cell>
        </row>
        <row r="831">
          <cell r="A831" t="str">
            <v>0226-004622</v>
          </cell>
          <cell r="B831" t="str">
            <v>DP IPANEMA 6</v>
          </cell>
          <cell r="C831" t="str">
            <v>Solicitado troca do patamar das condensadoras.</v>
          </cell>
          <cell r="D831" t="str">
            <v>SERRALHERIA</v>
          </cell>
          <cell r="E831" t="str">
            <v>LIBERADO POR LEANDRO - 25/02/2026</v>
          </cell>
          <cell r="F831" t="e">
            <v>#REF!</v>
          </cell>
          <cell r="G831" t="str">
            <v>LEANDRO</v>
          </cell>
          <cell r="I831" t="str">
            <v>MANFAC OBRAS SPOT</v>
          </cell>
          <cell r="K831" t="str">
            <v>FATURADO</v>
          </cell>
        </row>
        <row r="832">
          <cell r="A832" t="str">
            <v>0425-011347</v>
          </cell>
          <cell r="B832" t="e">
            <v>#N/A</v>
          </cell>
          <cell r="C832" t="e">
            <v>#N/A</v>
          </cell>
          <cell r="D832" t="e">
            <v>#N/A</v>
          </cell>
          <cell r="F832" t="e">
            <v>#REF!</v>
          </cell>
          <cell r="G832" t="e">
            <v>#N/A</v>
          </cell>
          <cell r="H832" t="str">
            <v>MANFAC - 3</v>
          </cell>
          <cell r="K832" t="str">
            <v>FATURADO</v>
          </cell>
        </row>
        <row r="833">
          <cell r="A833" t="str">
            <v>0425-012089</v>
          </cell>
          <cell r="B833" t="e">
            <v>#N/A</v>
          </cell>
          <cell r="C833" t="e">
            <v>#N/A</v>
          </cell>
          <cell r="D833" t="e">
            <v>#N/A</v>
          </cell>
          <cell r="F833" t="e">
            <v>#REF!</v>
          </cell>
          <cell r="G833" t="e">
            <v>#N/A</v>
          </cell>
          <cell r="H833" t="str">
            <v>PCM</v>
          </cell>
          <cell r="K833" t="str">
            <v>FATURADO</v>
          </cell>
        </row>
        <row r="834">
          <cell r="A834" t="str">
            <v>0325-016398</v>
          </cell>
          <cell r="B834" t="e">
            <v>#N/A</v>
          </cell>
          <cell r="C834" t="e">
            <v>#N/A</v>
          </cell>
          <cell r="D834" t="e">
            <v>#N/A</v>
          </cell>
          <cell r="F834" t="e">
            <v>#REF!</v>
          </cell>
          <cell r="G834" t="e">
            <v>#N/A</v>
          </cell>
          <cell r="H834" t="str">
            <v>MANFAC - 3</v>
          </cell>
          <cell r="K834" t="str">
            <v>FATURADO</v>
          </cell>
        </row>
        <row r="835">
          <cell r="A835" t="str">
            <v>0425-007113</v>
          </cell>
          <cell r="B835" t="e">
            <v>#N/A</v>
          </cell>
          <cell r="C835" t="e">
            <v>#N/A</v>
          </cell>
          <cell r="D835" t="e">
            <v>#N/A</v>
          </cell>
          <cell r="E835" t="str">
            <v>MIchel cotação</v>
          </cell>
          <cell r="F835" t="e">
            <v>#REF!</v>
          </cell>
          <cell r="G835" t="e">
            <v>#N/A</v>
          </cell>
          <cell r="H835" t="str">
            <v>MANFAC - 4 e 6</v>
          </cell>
          <cell r="K835" t="str">
            <v>FATURADO</v>
          </cell>
        </row>
        <row r="836">
          <cell r="A836" t="str">
            <v>0225-009310</v>
          </cell>
          <cell r="B836" t="e">
            <v>#N/A</v>
          </cell>
          <cell r="C836" t="e">
            <v>#N/A</v>
          </cell>
          <cell r="D836" t="e">
            <v>#N/A</v>
          </cell>
          <cell r="E836" t="str">
            <v>Michel</v>
          </cell>
          <cell r="F836" t="e">
            <v>#REF!</v>
          </cell>
          <cell r="G836" t="e">
            <v>#N/A</v>
          </cell>
          <cell r="H836" t="str">
            <v>MANFAC - 4</v>
          </cell>
          <cell r="K836" t="str">
            <v>FATURADO</v>
          </cell>
        </row>
        <row r="837">
          <cell r="A837" t="str">
            <v>0125-007742</v>
          </cell>
          <cell r="B837" t="e">
            <v>#N/A</v>
          </cell>
          <cell r="C837" t="e">
            <v>#N/A</v>
          </cell>
          <cell r="D837" t="e">
            <v>#N/A</v>
          </cell>
          <cell r="F837" t="e">
            <v>#REF!</v>
          </cell>
          <cell r="G837" t="e">
            <v>#N/A</v>
          </cell>
          <cell r="H837" t="str">
            <v>PCM</v>
          </cell>
          <cell r="K837" t="str">
            <v>FATURADO</v>
          </cell>
        </row>
        <row r="838">
          <cell r="A838" t="str">
            <v>1224-010490</v>
          </cell>
          <cell r="B838" t="e">
            <v>#N/A</v>
          </cell>
          <cell r="C838" t="e">
            <v>#N/A</v>
          </cell>
          <cell r="D838" t="e">
            <v>#N/A</v>
          </cell>
          <cell r="E838" t="str">
            <v>Marcio</v>
          </cell>
          <cell r="F838">
            <v>6283.22</v>
          </cell>
          <cell r="G838" t="e">
            <v>#N/A</v>
          </cell>
          <cell r="H838" t="str">
            <v>MANFAC - 4</v>
          </cell>
          <cell r="K838" t="str">
            <v>FATURADO</v>
          </cell>
        </row>
        <row r="839">
          <cell r="A839" t="str">
            <v>0325-014027</v>
          </cell>
          <cell r="B839" t="e">
            <v>#N/A</v>
          </cell>
          <cell r="C839" t="e">
            <v>#N/A</v>
          </cell>
          <cell r="D839" t="e">
            <v>#N/A</v>
          </cell>
          <cell r="E839" t="str">
            <v>LEVANTAR MATERIAL - Rafel Diego</v>
          </cell>
          <cell r="F839" t="e">
            <v>#REF!</v>
          </cell>
          <cell r="G839" t="e">
            <v>#N/A</v>
          </cell>
          <cell r="H839" t="str">
            <v>PCM</v>
          </cell>
          <cell r="K839" t="str">
            <v>FATURADO</v>
          </cell>
        </row>
        <row r="840">
          <cell r="A840" t="str">
            <v>0225-005003</v>
          </cell>
          <cell r="B840" t="e">
            <v>#N/A</v>
          </cell>
          <cell r="C840" t="e">
            <v>#N/A</v>
          </cell>
          <cell r="D840" t="e">
            <v>#N/A</v>
          </cell>
          <cell r="E840" t="str">
            <v>COMPRA DE MATERIAIS / AGENDADO PARA EXECCUÇÃO NA QUARTA</v>
          </cell>
          <cell r="F840" t="e">
            <v>#REF!</v>
          </cell>
          <cell r="G840" t="e">
            <v>#N/A</v>
          </cell>
          <cell r="H840" t="str">
            <v>MANFAC - 3</v>
          </cell>
          <cell r="K840" t="str">
            <v>FATURADO</v>
          </cell>
        </row>
        <row r="841">
          <cell r="A841" t="str">
            <v>1223-005653</v>
          </cell>
          <cell r="B841" t="e">
            <v>#N/A</v>
          </cell>
          <cell r="C841" t="e">
            <v>#N/A</v>
          </cell>
          <cell r="D841" t="e">
            <v>#N/A</v>
          </cell>
          <cell r="F841" t="e">
            <v>#REF!</v>
          </cell>
          <cell r="G841" t="e">
            <v>#N/A</v>
          </cell>
          <cell r="H841" t="str">
            <v>MANFAC - 3</v>
          </cell>
          <cell r="K841" t="str">
            <v>FATURADO</v>
          </cell>
        </row>
        <row r="842">
          <cell r="A842" t="str">
            <v>0325-014827</v>
          </cell>
          <cell r="B842" t="e">
            <v>#N/A</v>
          </cell>
          <cell r="C842" t="e">
            <v>#N/A</v>
          </cell>
          <cell r="D842" t="e">
            <v>#N/A</v>
          </cell>
          <cell r="E842" t="str">
            <v>EM EXECUÇÃO</v>
          </cell>
          <cell r="F842" t="e">
            <v>#REF!</v>
          </cell>
          <cell r="G842" t="e">
            <v>#N/A</v>
          </cell>
          <cell r="H842" t="str">
            <v>MANFAC - 7</v>
          </cell>
          <cell r="K842" t="str">
            <v>FATURADO</v>
          </cell>
        </row>
        <row r="843">
          <cell r="A843" t="str">
            <v>0325-012099</v>
          </cell>
          <cell r="B843" t="e">
            <v>#N/A</v>
          </cell>
          <cell r="C843" t="e">
            <v>#N/A</v>
          </cell>
          <cell r="D843" t="e">
            <v>#N/A</v>
          </cell>
          <cell r="E843" t="str">
            <v>PEGAR TOKEN E OS FISICA</v>
          </cell>
          <cell r="F843" t="e">
            <v>#REF!</v>
          </cell>
          <cell r="G843" t="e">
            <v>#N/A</v>
          </cell>
          <cell r="H843" t="str">
            <v>PCM</v>
          </cell>
          <cell r="K843" t="str">
            <v>FATURADO</v>
          </cell>
        </row>
        <row r="844">
          <cell r="A844" t="str">
            <v>0325-012586</v>
          </cell>
          <cell r="B844" t="e">
            <v>#N/A</v>
          </cell>
          <cell r="C844" t="e">
            <v>#N/A</v>
          </cell>
          <cell r="D844" t="e">
            <v>#N/A</v>
          </cell>
          <cell r="F844" t="e">
            <v>#REF!</v>
          </cell>
          <cell r="G844" t="e">
            <v>#N/A</v>
          </cell>
          <cell r="H844" t="str">
            <v>PCM</v>
          </cell>
          <cell r="K844" t="str">
            <v>FATURADO</v>
          </cell>
        </row>
        <row r="845">
          <cell r="A845" t="str">
            <v>1225-011960</v>
          </cell>
          <cell r="B845" t="e">
            <v>#N/A</v>
          </cell>
          <cell r="C845" t="e">
            <v>#N/A</v>
          </cell>
          <cell r="D845" t="e">
            <v>#N/A</v>
          </cell>
          <cell r="F845" t="e">
            <v>#REF!</v>
          </cell>
          <cell r="G845" t="e">
            <v>#N/A</v>
          </cell>
          <cell r="I845" t="str">
            <v>MANFAC OBRAS SPOT</v>
          </cell>
          <cell r="K845" t="str">
            <v>FATURADO</v>
          </cell>
        </row>
        <row r="846">
          <cell r="A846" t="str">
            <v>0325-017111</v>
          </cell>
          <cell r="B846" t="e">
            <v>#N/A</v>
          </cell>
          <cell r="C846" t="e">
            <v>#N/A</v>
          </cell>
          <cell r="D846" t="e">
            <v>#N/A</v>
          </cell>
          <cell r="E846" t="str">
            <v>PEGAR OS FISICA</v>
          </cell>
          <cell r="F846" t="e">
            <v>#REF!</v>
          </cell>
          <cell r="G846" t="e">
            <v>#N/A</v>
          </cell>
          <cell r="H846" t="str">
            <v>PCM</v>
          </cell>
          <cell r="K846" t="str">
            <v>FATURADO</v>
          </cell>
        </row>
        <row r="847">
          <cell r="A847" t="str">
            <v>0225-005939</v>
          </cell>
          <cell r="B847" t="e">
            <v>#N/A</v>
          </cell>
          <cell r="C847" t="e">
            <v>#N/A</v>
          </cell>
          <cell r="D847" t="e">
            <v>#N/A</v>
          </cell>
          <cell r="E847" t="str">
            <v>fábio hoje</v>
          </cell>
          <cell r="F847" t="e">
            <v>#REF!</v>
          </cell>
          <cell r="G847" t="e">
            <v>#N/A</v>
          </cell>
          <cell r="H847" t="str">
            <v>MANFAC - 2</v>
          </cell>
          <cell r="K847" t="str">
            <v>FATURADO</v>
          </cell>
        </row>
        <row r="848">
          <cell r="A848" t="str">
            <v>0125-010308</v>
          </cell>
          <cell r="B848" t="e">
            <v>#N/A</v>
          </cell>
          <cell r="C848" t="e">
            <v>#N/A</v>
          </cell>
          <cell r="D848" t="e">
            <v>#N/A</v>
          </cell>
          <cell r="F848" t="e">
            <v>#REF!</v>
          </cell>
          <cell r="G848" t="e">
            <v>#N/A</v>
          </cell>
          <cell r="H848" t="str">
            <v>MANFAC - 4</v>
          </cell>
          <cell r="K848" t="str">
            <v>FATURADO</v>
          </cell>
        </row>
        <row r="849">
          <cell r="A849" t="str">
            <v>0325-012727</v>
          </cell>
          <cell r="B849" t="e">
            <v>#N/A</v>
          </cell>
          <cell r="C849" t="e">
            <v>#N/A</v>
          </cell>
          <cell r="D849" t="e">
            <v>#N/A</v>
          </cell>
          <cell r="F849" t="e">
            <v>#REF!</v>
          </cell>
          <cell r="G849" t="e">
            <v>#N/A</v>
          </cell>
          <cell r="H849" t="str">
            <v>PCM</v>
          </cell>
          <cell r="K849" t="str">
            <v>FATURADO</v>
          </cell>
        </row>
        <row r="850">
          <cell r="A850" t="str">
            <v>0325-013320</v>
          </cell>
          <cell r="B850" t="e">
            <v>#N/A</v>
          </cell>
          <cell r="C850" t="e">
            <v>#N/A</v>
          </cell>
          <cell r="D850" t="e">
            <v>#N/A</v>
          </cell>
          <cell r="F850" t="e">
            <v>#REF!</v>
          </cell>
          <cell r="G850" t="e">
            <v>#N/A</v>
          </cell>
          <cell r="H850" t="str">
            <v>PCM</v>
          </cell>
          <cell r="K850" t="str">
            <v>FATURADO</v>
          </cell>
        </row>
        <row r="851">
          <cell r="A851" t="str">
            <v>1124-011468</v>
          </cell>
          <cell r="B851" t="e">
            <v>#N/A</v>
          </cell>
          <cell r="C851" t="e">
            <v>#N/A</v>
          </cell>
          <cell r="D851" t="e">
            <v>#N/A</v>
          </cell>
          <cell r="E851" t="str">
            <v>PEGAR OS FISICA</v>
          </cell>
          <cell r="F851" t="e">
            <v>#REF!</v>
          </cell>
          <cell r="G851" t="e">
            <v>#N/A</v>
          </cell>
          <cell r="H851" t="str">
            <v>MARCIO</v>
          </cell>
          <cell r="K851" t="str">
            <v>FATURADO</v>
          </cell>
        </row>
        <row r="852">
          <cell r="A852" t="str">
            <v>0325-010750</v>
          </cell>
          <cell r="B852" t="e">
            <v>#N/A</v>
          </cell>
          <cell r="C852" t="e">
            <v>#N/A</v>
          </cell>
          <cell r="D852" t="e">
            <v>#N/A</v>
          </cell>
          <cell r="F852" t="e">
            <v>#REF!</v>
          </cell>
          <cell r="G852" t="e">
            <v>#N/A</v>
          </cell>
          <cell r="H852" t="str">
            <v>MANFAC - 7</v>
          </cell>
          <cell r="K852" t="str">
            <v>FATURADO</v>
          </cell>
        </row>
        <row r="853">
          <cell r="A853" t="str">
            <v>0325-010418</v>
          </cell>
          <cell r="B853" t="e">
            <v>#N/A</v>
          </cell>
          <cell r="C853" t="e">
            <v>#N/A</v>
          </cell>
          <cell r="D853" t="e">
            <v>#N/A</v>
          </cell>
          <cell r="F853" t="e">
            <v>#REF!</v>
          </cell>
          <cell r="G853" t="e">
            <v>#N/A</v>
          </cell>
          <cell r="H853" t="str">
            <v>MANFAC - 7</v>
          </cell>
          <cell r="K853" t="str">
            <v>FATURADO</v>
          </cell>
        </row>
        <row r="854">
          <cell r="A854" t="str">
            <v>1225-006993</v>
          </cell>
          <cell r="B854" t="e">
            <v>#N/A</v>
          </cell>
          <cell r="C854" t="e">
            <v>#N/A</v>
          </cell>
          <cell r="D854" t="e">
            <v>#N/A</v>
          </cell>
          <cell r="E854" t="str">
            <v>EMERGENCIAL</v>
          </cell>
          <cell r="F854" t="e">
            <v>#REF!</v>
          </cell>
          <cell r="G854" t="e">
            <v>#N/A</v>
          </cell>
          <cell r="I854" t="str">
            <v>MANFAC OBRAS SPOT</v>
          </cell>
          <cell r="K854" t="str">
            <v>FATURADO</v>
          </cell>
        </row>
        <row r="855">
          <cell r="A855" t="str">
            <v>0325-016099</v>
          </cell>
          <cell r="B855" t="e">
            <v>#N/A</v>
          </cell>
          <cell r="C855" t="e">
            <v>#N/A</v>
          </cell>
          <cell r="D855" t="e">
            <v>#N/A</v>
          </cell>
          <cell r="F855">
            <v>7371.4</v>
          </cell>
          <cell r="G855" t="e">
            <v>#N/A</v>
          </cell>
          <cell r="H855" t="str">
            <v>MANFAC - 7</v>
          </cell>
          <cell r="K855" t="str">
            <v>FATURADO</v>
          </cell>
        </row>
        <row r="856">
          <cell r="A856" t="str">
            <v>0125-010157</v>
          </cell>
          <cell r="B856" t="e">
            <v>#N/A</v>
          </cell>
          <cell r="C856" t="e">
            <v>#N/A</v>
          </cell>
          <cell r="D856" t="e">
            <v>#N/A</v>
          </cell>
          <cell r="F856" t="e">
            <v>#REF!</v>
          </cell>
          <cell r="G856" t="e">
            <v>#N/A</v>
          </cell>
          <cell r="H856" t="str">
            <v>MANFAC - 4</v>
          </cell>
          <cell r="K856" t="str">
            <v>FATURADO</v>
          </cell>
        </row>
        <row r="857">
          <cell r="A857" t="str">
            <v>0126-015288</v>
          </cell>
          <cell r="B857" t="str">
            <v>DP CABO FRIO 4</v>
          </cell>
          <cell r="C857" t="str">
            <v>Remoção de raiz de arvore na fachada da loja</v>
          </cell>
          <cell r="D857" t="str">
            <v>CIVIL</v>
          </cell>
          <cell r="E857" t="str">
            <v>LIBERADO POR LEANDRO - 25/02/2026</v>
          </cell>
          <cell r="F857" t="e">
            <v>#REF!</v>
          </cell>
          <cell r="G857" t="str">
            <v>LEANDRO</v>
          </cell>
          <cell r="I857" t="str">
            <v>MANFAC OBRAS SPOT</v>
          </cell>
          <cell r="K857" t="str">
            <v>PENDENTE FATURAMENTO</v>
          </cell>
        </row>
        <row r="858">
          <cell r="A858" t="str">
            <v>0225-010348</v>
          </cell>
          <cell r="B858" t="e">
            <v>#N/A</v>
          </cell>
          <cell r="C858" t="e">
            <v>#N/A</v>
          </cell>
          <cell r="D858" t="e">
            <v>#N/A</v>
          </cell>
          <cell r="F858" t="e">
            <v>#REF!</v>
          </cell>
          <cell r="G858" t="e">
            <v>#N/A</v>
          </cell>
          <cell r="H858" t="str">
            <v>PCM</v>
          </cell>
          <cell r="K858" t="str">
            <v>FATURADO</v>
          </cell>
        </row>
        <row r="859">
          <cell r="A859" t="str">
            <v>0325-014709</v>
          </cell>
          <cell r="B859" t="e">
            <v>#N/A</v>
          </cell>
          <cell r="C859" t="e">
            <v>#N/A</v>
          </cell>
          <cell r="D859" t="e">
            <v>#N/A</v>
          </cell>
          <cell r="E859" t="str">
            <v>PEGAR OS FISICA</v>
          </cell>
          <cell r="F859" t="e">
            <v>#REF!</v>
          </cell>
          <cell r="G859" t="e">
            <v>#N/A</v>
          </cell>
          <cell r="H859" t="str">
            <v>PCM</v>
          </cell>
          <cell r="K859" t="str">
            <v>FATURADO</v>
          </cell>
        </row>
        <row r="860">
          <cell r="A860" t="str">
            <v>0325-016060</v>
          </cell>
          <cell r="B860" t="e">
            <v>#N/A</v>
          </cell>
          <cell r="C860" t="e">
            <v>#N/A</v>
          </cell>
          <cell r="D860" t="e">
            <v>#N/A</v>
          </cell>
          <cell r="E860" t="str">
            <v>PEGAR OS FISICA</v>
          </cell>
          <cell r="F860" t="e">
            <v>#REF!</v>
          </cell>
          <cell r="G860" t="e">
            <v>#N/A</v>
          </cell>
          <cell r="H860" t="str">
            <v>PCM</v>
          </cell>
          <cell r="K860" t="str">
            <v>FATURADO</v>
          </cell>
        </row>
        <row r="861">
          <cell r="A861" t="str">
            <v>0425-006745</v>
          </cell>
          <cell r="B861" t="e">
            <v>#N/A</v>
          </cell>
          <cell r="C861" t="e">
            <v>#N/A</v>
          </cell>
          <cell r="D861" t="e">
            <v>#N/A</v>
          </cell>
          <cell r="E861" t="str">
            <v>GABRIE</v>
          </cell>
          <cell r="F861" t="e">
            <v>#REF!</v>
          </cell>
          <cell r="G861" t="e">
            <v>#N/A</v>
          </cell>
          <cell r="H861" t="str">
            <v>PCM</v>
          </cell>
          <cell r="K861" t="str">
            <v>FATURADO</v>
          </cell>
        </row>
        <row r="862">
          <cell r="A862" t="str">
            <v>0425-007149</v>
          </cell>
          <cell r="B862" t="e">
            <v>#N/A</v>
          </cell>
          <cell r="C862" t="e">
            <v>#N/A</v>
          </cell>
          <cell r="D862" t="e">
            <v>#N/A</v>
          </cell>
          <cell r="F862" t="e">
            <v>#REF!</v>
          </cell>
          <cell r="G862" t="e">
            <v>#N/A</v>
          </cell>
          <cell r="H862" t="str">
            <v>PCM</v>
          </cell>
          <cell r="K862" t="str">
            <v>FATURADO</v>
          </cell>
        </row>
        <row r="863">
          <cell r="A863" t="str">
            <v>0425-007801</v>
          </cell>
          <cell r="B863" t="e">
            <v>#N/A</v>
          </cell>
          <cell r="C863" t="e">
            <v>#N/A</v>
          </cell>
          <cell r="D863" t="e">
            <v>#N/A</v>
          </cell>
          <cell r="E863" t="str">
            <v>PEGAR OS FISICA</v>
          </cell>
          <cell r="F863" t="e">
            <v>#REF!</v>
          </cell>
          <cell r="G863" t="e">
            <v>#N/A</v>
          </cell>
          <cell r="H863" t="str">
            <v>PCM</v>
          </cell>
          <cell r="K863" t="str">
            <v>FATURADO</v>
          </cell>
        </row>
        <row r="864">
          <cell r="A864" t="str">
            <v>0325-014694</v>
          </cell>
          <cell r="B864" t="e">
            <v>#N/A</v>
          </cell>
          <cell r="C864" t="e">
            <v>#N/A</v>
          </cell>
          <cell r="D864" t="e">
            <v>#N/A</v>
          </cell>
          <cell r="F864" t="e">
            <v>#REF!</v>
          </cell>
          <cell r="G864" t="e">
            <v>#N/A</v>
          </cell>
          <cell r="H864" t="str">
            <v>MANFAC - 6</v>
          </cell>
          <cell r="K864" t="str">
            <v>FATURADO</v>
          </cell>
        </row>
        <row r="865">
          <cell r="A865" t="str">
            <v>0325-009162</v>
          </cell>
          <cell r="B865" t="e">
            <v>#N/A</v>
          </cell>
          <cell r="C865" t="e">
            <v>#N/A</v>
          </cell>
          <cell r="D865" t="e">
            <v>#N/A</v>
          </cell>
          <cell r="F865" t="e">
            <v>#REF!</v>
          </cell>
          <cell r="G865" t="e">
            <v>#N/A</v>
          </cell>
          <cell r="H865" t="str">
            <v>PCM</v>
          </cell>
          <cell r="K865" t="str">
            <v>FATURADO</v>
          </cell>
        </row>
        <row r="866">
          <cell r="A866" t="str">
            <v>0325-017620</v>
          </cell>
          <cell r="B866" t="e">
            <v>#N/A</v>
          </cell>
          <cell r="C866" t="e">
            <v>#N/A</v>
          </cell>
          <cell r="D866" t="e">
            <v>#N/A</v>
          </cell>
          <cell r="E866" t="str">
            <v>PEGAR OS FISICA</v>
          </cell>
          <cell r="F866" t="e">
            <v>#REF!</v>
          </cell>
          <cell r="G866" t="e">
            <v>#N/A</v>
          </cell>
          <cell r="H866" t="str">
            <v>PCM</v>
          </cell>
          <cell r="K866" t="str">
            <v>FATURADO</v>
          </cell>
        </row>
        <row r="867">
          <cell r="A867" t="str">
            <v>0425-006464</v>
          </cell>
          <cell r="B867" t="e">
            <v>#N/A</v>
          </cell>
          <cell r="C867" t="e">
            <v>#N/A</v>
          </cell>
          <cell r="D867" t="e">
            <v>#N/A</v>
          </cell>
          <cell r="F867" t="e">
            <v>#REF!</v>
          </cell>
          <cell r="G867" t="e">
            <v>#N/A</v>
          </cell>
          <cell r="H867" t="str">
            <v>PCM</v>
          </cell>
          <cell r="K867" t="str">
            <v>FATURADO</v>
          </cell>
        </row>
        <row r="868">
          <cell r="A868" t="str">
            <v>0426-014273</v>
          </cell>
          <cell r="B868" t="str">
            <v>DP RIO BRANCO</v>
          </cell>
          <cell r="C868" t="str">
            <v>instalacao do novo ponto de tomada para entrada da geladeira do estoque, a pedido do time de auditoria interna</v>
          </cell>
          <cell r="D868" t="str">
            <v>ELETRICA</v>
          </cell>
          <cell r="F868" t="e">
            <v>#REF!</v>
          </cell>
          <cell r="G868" t="str">
            <v>LEANDRO</v>
          </cell>
          <cell r="I868" t="str">
            <v>MANFAC OBRAS SPOT</v>
          </cell>
          <cell r="K868" t="str">
            <v>FATURADO</v>
          </cell>
        </row>
        <row r="869">
          <cell r="A869" t="str">
            <v>0425-007136</v>
          </cell>
          <cell r="B869" t="e">
            <v>#N/A</v>
          </cell>
          <cell r="C869" t="e">
            <v>#N/A</v>
          </cell>
          <cell r="D869" t="e">
            <v>#N/A</v>
          </cell>
          <cell r="F869" t="e">
            <v>#REF!</v>
          </cell>
          <cell r="G869" t="e">
            <v>#N/A</v>
          </cell>
          <cell r="H869" t="str">
            <v>PCM</v>
          </cell>
          <cell r="K869" t="str">
            <v>FATURADO</v>
          </cell>
        </row>
        <row r="870">
          <cell r="A870" t="str">
            <v>0425-009616</v>
          </cell>
          <cell r="B870" t="e">
            <v>#N/A</v>
          </cell>
          <cell r="C870" t="e">
            <v>#N/A</v>
          </cell>
          <cell r="D870" t="e">
            <v>#N/A</v>
          </cell>
          <cell r="F870" t="e">
            <v>#REF!</v>
          </cell>
          <cell r="G870" t="e">
            <v>#N/A</v>
          </cell>
          <cell r="H870" t="str">
            <v>PCM</v>
          </cell>
          <cell r="K870" t="str">
            <v>FATURADO</v>
          </cell>
        </row>
        <row r="871">
          <cell r="A871" t="str">
            <v>1224-011984</v>
          </cell>
          <cell r="B871" t="e">
            <v>#N/A</v>
          </cell>
          <cell r="C871" t="e">
            <v>#N/A</v>
          </cell>
          <cell r="D871" t="e">
            <v>#N/A</v>
          </cell>
          <cell r="E871" t="str">
            <v>Diego</v>
          </cell>
          <cell r="F871" t="e">
            <v>#REF!</v>
          </cell>
          <cell r="G871" t="e">
            <v>#N/A</v>
          </cell>
          <cell r="H871" t="str">
            <v>MANFAC - 6</v>
          </cell>
          <cell r="K871" t="str">
            <v>FATURADO</v>
          </cell>
        </row>
        <row r="872">
          <cell r="A872" t="str">
            <v>0226-003901</v>
          </cell>
          <cell r="B872" t="str">
            <v>DP MIGUEL COUTO</v>
          </cell>
          <cell r="C872" t="str">
            <v>IMPERMEABILIZAÇÃO DE CALHA</v>
          </cell>
          <cell r="D872" t="str">
            <v>TELHADO</v>
          </cell>
          <cell r="F872">
            <v>15634.3</v>
          </cell>
          <cell r="G872" t="str">
            <v>ALINE</v>
          </cell>
          <cell r="I872" t="str">
            <v>MANFAC OBRAS SPOT</v>
          </cell>
          <cell r="K872" t="str">
            <v>FATURADO</v>
          </cell>
        </row>
        <row r="873">
          <cell r="A873" t="str">
            <v>1124-012081</v>
          </cell>
          <cell r="B873" t="e">
            <v>#N/A</v>
          </cell>
          <cell r="C873" t="e">
            <v>#N/A</v>
          </cell>
          <cell r="D873" t="e">
            <v>#N/A</v>
          </cell>
          <cell r="F873" t="e">
            <v>#REF!</v>
          </cell>
          <cell r="G873" t="e">
            <v>#N/A</v>
          </cell>
          <cell r="H873" t="str">
            <v>MANFAC - 3</v>
          </cell>
          <cell r="K873" t="str">
            <v>FATURADO</v>
          </cell>
        </row>
        <row r="874">
          <cell r="A874" t="str">
            <v>0225-010612</v>
          </cell>
          <cell r="B874" t="e">
            <v>#N/A</v>
          </cell>
          <cell r="C874" t="e">
            <v>#N/A</v>
          </cell>
          <cell r="D874" t="e">
            <v>#N/A</v>
          </cell>
          <cell r="E874" t="str">
            <v>EXECUÇÃO AGENDADA</v>
          </cell>
          <cell r="F874" t="e">
            <v>#REF!</v>
          </cell>
          <cell r="G874" t="e">
            <v>#N/A</v>
          </cell>
          <cell r="H874" t="str">
            <v>MANFAC - 4</v>
          </cell>
          <cell r="K874" t="str">
            <v>FATURADO</v>
          </cell>
        </row>
        <row r="875">
          <cell r="A875" t="str">
            <v>1224-011908</v>
          </cell>
          <cell r="B875" t="e">
            <v>#N/A</v>
          </cell>
          <cell r="C875" t="e">
            <v>#N/A</v>
          </cell>
          <cell r="D875" t="e">
            <v>#N/A</v>
          </cell>
          <cell r="E875" t="str">
            <v>PROGRAMAR EXECUÇÃO</v>
          </cell>
          <cell r="F875" t="e">
            <v>#REF!</v>
          </cell>
          <cell r="G875" t="e">
            <v>#N/A</v>
          </cell>
          <cell r="H875" t="str">
            <v>MANFAC - 5</v>
          </cell>
          <cell r="K875" t="str">
            <v>FATURADO</v>
          </cell>
        </row>
        <row r="876">
          <cell r="A876" t="str">
            <v>0225-011102</v>
          </cell>
          <cell r="B876" t="e">
            <v>#N/A</v>
          </cell>
          <cell r="C876" t="e">
            <v>#N/A</v>
          </cell>
          <cell r="D876" t="e">
            <v>#N/A</v>
          </cell>
          <cell r="F876" t="e">
            <v>#REF!</v>
          </cell>
          <cell r="G876" t="e">
            <v>#N/A</v>
          </cell>
          <cell r="H876" t="str">
            <v>MANFAC - 4</v>
          </cell>
          <cell r="K876" t="str">
            <v>FATURADO</v>
          </cell>
        </row>
        <row r="877">
          <cell r="A877" t="str">
            <v>0325-010626</v>
          </cell>
          <cell r="B877" t="e">
            <v>#N/A</v>
          </cell>
          <cell r="C877" t="e">
            <v>#N/A</v>
          </cell>
          <cell r="D877" t="e">
            <v>#N/A</v>
          </cell>
          <cell r="F877" t="e">
            <v>#REF!</v>
          </cell>
          <cell r="G877" t="e">
            <v>#N/A</v>
          </cell>
          <cell r="H877" t="str">
            <v>PCM</v>
          </cell>
          <cell r="K877" t="str">
            <v>FATURADO</v>
          </cell>
        </row>
        <row r="878">
          <cell r="A878" t="str">
            <v>1224-009336</v>
          </cell>
          <cell r="B878" t="e">
            <v>#N/A</v>
          </cell>
          <cell r="C878" t="e">
            <v>#N/A</v>
          </cell>
          <cell r="D878" t="e">
            <v>#N/A</v>
          </cell>
          <cell r="E878" t="str">
            <v>MATERIAL / TERÇA</v>
          </cell>
          <cell r="F878" t="e">
            <v>#REF!</v>
          </cell>
          <cell r="G878" t="e">
            <v>#N/A</v>
          </cell>
          <cell r="H878" t="str">
            <v>MANFAC - 6</v>
          </cell>
          <cell r="K878" t="str">
            <v>FATURADO</v>
          </cell>
        </row>
        <row r="879">
          <cell r="A879" t="str">
            <v>0325-013175</v>
          </cell>
          <cell r="B879" t="e">
            <v>#N/A</v>
          </cell>
          <cell r="C879" t="e">
            <v>#N/A</v>
          </cell>
          <cell r="D879" t="e">
            <v>#N/A</v>
          </cell>
          <cell r="F879" t="e">
            <v>#REF!</v>
          </cell>
          <cell r="G879" t="e">
            <v>#N/A</v>
          </cell>
          <cell r="H879" t="str">
            <v>PCM</v>
          </cell>
          <cell r="K879" t="str">
            <v>FATURADO</v>
          </cell>
        </row>
        <row r="880">
          <cell r="A880" t="str">
            <v>0325-016660</v>
          </cell>
          <cell r="B880" t="e">
            <v>#N/A</v>
          </cell>
          <cell r="C880" t="e">
            <v>#N/A</v>
          </cell>
          <cell r="D880" t="e">
            <v>#N/A</v>
          </cell>
          <cell r="E880" t="str">
            <v>TOKEN PENDENTE</v>
          </cell>
          <cell r="F880" t="e">
            <v>#REF!</v>
          </cell>
          <cell r="G880" t="e">
            <v>#N/A</v>
          </cell>
          <cell r="H880" t="str">
            <v>PCM</v>
          </cell>
          <cell r="K880" t="str">
            <v>FATURADO</v>
          </cell>
        </row>
        <row r="881">
          <cell r="A881" t="str">
            <v>0125-009510</v>
          </cell>
          <cell r="B881" t="e">
            <v>#N/A</v>
          </cell>
          <cell r="C881" t="e">
            <v>#N/A</v>
          </cell>
          <cell r="D881" t="e">
            <v>#N/A</v>
          </cell>
          <cell r="F881" t="e">
            <v>#REF!</v>
          </cell>
          <cell r="G881" t="e">
            <v>#N/A</v>
          </cell>
          <cell r="H881" t="str">
            <v>MANFAC - 6</v>
          </cell>
          <cell r="K881" t="str">
            <v>FATURADO</v>
          </cell>
        </row>
        <row r="882">
          <cell r="A882" t="str">
            <v>0225-009295</v>
          </cell>
          <cell r="B882" t="e">
            <v>#N/A</v>
          </cell>
          <cell r="C882" t="e">
            <v>#N/A</v>
          </cell>
          <cell r="D882" t="e">
            <v>#N/A</v>
          </cell>
          <cell r="F882" t="e">
            <v>#REF!</v>
          </cell>
          <cell r="G882" t="e">
            <v>#N/A</v>
          </cell>
          <cell r="H882" t="str">
            <v>PCM</v>
          </cell>
          <cell r="K882" t="str">
            <v>FATURADO</v>
          </cell>
        </row>
        <row r="883">
          <cell r="A883" t="str">
            <v>0125-010310</v>
          </cell>
          <cell r="B883" t="e">
            <v>#N/A</v>
          </cell>
          <cell r="C883" t="e">
            <v>#N/A</v>
          </cell>
          <cell r="D883" t="e">
            <v>#N/A</v>
          </cell>
          <cell r="F883" t="e">
            <v>#REF!</v>
          </cell>
          <cell r="G883" t="e">
            <v>#N/A</v>
          </cell>
          <cell r="H883" t="str">
            <v>PCM</v>
          </cell>
          <cell r="K883" t="str">
            <v>FATURADO</v>
          </cell>
        </row>
        <row r="884">
          <cell r="A884" t="str">
            <v>0125-011013</v>
          </cell>
          <cell r="B884" t="e">
            <v>#N/A</v>
          </cell>
          <cell r="C884" t="e">
            <v>#N/A</v>
          </cell>
          <cell r="D884" t="e">
            <v>#N/A</v>
          </cell>
          <cell r="F884" t="e">
            <v>#REF!</v>
          </cell>
          <cell r="G884" t="e">
            <v>#N/A</v>
          </cell>
          <cell r="H884" t="str">
            <v>PCM</v>
          </cell>
          <cell r="K884" t="str">
            <v>FATURADO</v>
          </cell>
        </row>
        <row r="885">
          <cell r="A885" t="str">
            <v>1225-005215</v>
          </cell>
          <cell r="B885" t="e">
            <v>#N/A</v>
          </cell>
          <cell r="C885" t="e">
            <v>#N/A</v>
          </cell>
          <cell r="D885" t="str">
            <v>NOBREAK</v>
          </cell>
          <cell r="F885" t="e">
            <v>#REF!</v>
          </cell>
          <cell r="G885" t="e">
            <v>#N/A</v>
          </cell>
          <cell r="I885" t="str">
            <v>MANFAC OBRAS REFORMAS</v>
          </cell>
          <cell r="K885" t="str">
            <v>FATURADO</v>
          </cell>
        </row>
        <row r="886">
          <cell r="A886" t="str">
            <v>0125-011454</v>
          </cell>
          <cell r="B886" t="e">
            <v>#N/A</v>
          </cell>
          <cell r="C886" t="e">
            <v>#N/A</v>
          </cell>
          <cell r="D886" t="e">
            <v>#N/A</v>
          </cell>
          <cell r="F886" t="e">
            <v>#REF!</v>
          </cell>
          <cell r="G886" t="e">
            <v>#N/A</v>
          </cell>
          <cell r="H886" t="str">
            <v>PCM</v>
          </cell>
          <cell r="K886" t="str">
            <v>FATURADO</v>
          </cell>
        </row>
        <row r="887">
          <cell r="A887" t="str">
            <v>0125-014047</v>
          </cell>
          <cell r="B887" t="e">
            <v>#N/A</v>
          </cell>
          <cell r="C887" t="e">
            <v>#N/A</v>
          </cell>
          <cell r="D887" t="e">
            <v>#N/A</v>
          </cell>
          <cell r="F887" t="e">
            <v>#REF!</v>
          </cell>
          <cell r="G887" t="e">
            <v>#N/A</v>
          </cell>
          <cell r="H887" t="str">
            <v>PCM</v>
          </cell>
          <cell r="K887" t="str">
            <v>FATURADO</v>
          </cell>
        </row>
        <row r="888">
          <cell r="A888" t="str">
            <v>0125-014619</v>
          </cell>
          <cell r="B888" t="e">
            <v>#N/A</v>
          </cell>
          <cell r="C888" t="e">
            <v>#N/A</v>
          </cell>
          <cell r="D888" t="e">
            <v>#N/A</v>
          </cell>
          <cell r="F888" t="e">
            <v>#REF!</v>
          </cell>
          <cell r="G888" t="e">
            <v>#N/A</v>
          </cell>
          <cell r="H888" t="str">
            <v>PCM</v>
          </cell>
          <cell r="K888" t="str">
            <v>FATURADO</v>
          </cell>
        </row>
        <row r="889">
          <cell r="A889" t="str">
            <v>0326-010273</v>
          </cell>
          <cell r="B889" t="str">
            <v>DP SHOPPING BARRA SHOPPING</v>
          </cell>
          <cell r="C889" t="str">
            <v>solicito com prioridade alta adaptação de um ponto novo de tomada pra vitrine da loreal.</v>
          </cell>
          <cell r="D889" t="str">
            <v>ELETRICA</v>
          </cell>
          <cell r="E889" t="str">
            <v>LIBERADO POR LEANDRO - 21/02/2026</v>
          </cell>
          <cell r="F889" t="e">
            <v>#REF!</v>
          </cell>
          <cell r="G889" t="str">
            <v>LEANDRO</v>
          </cell>
          <cell r="I889" t="str">
            <v>MANFAC OBRAS SPOT</v>
          </cell>
          <cell r="K889" t="str">
            <v>FATURADO</v>
          </cell>
        </row>
        <row r="890">
          <cell r="A890" t="str">
            <v>0125-018331</v>
          </cell>
          <cell r="B890" t="e">
            <v>#N/A</v>
          </cell>
          <cell r="C890" t="e">
            <v>#N/A</v>
          </cell>
          <cell r="D890" t="e">
            <v>#N/A</v>
          </cell>
          <cell r="F890" t="e">
            <v>#REF!</v>
          </cell>
          <cell r="G890" t="e">
            <v>#N/A</v>
          </cell>
          <cell r="H890" t="str">
            <v>PCM</v>
          </cell>
          <cell r="K890" t="str">
            <v>FATURADO</v>
          </cell>
        </row>
        <row r="891">
          <cell r="A891" t="str">
            <v>0125-018352</v>
          </cell>
          <cell r="B891" t="e">
            <v>#N/A</v>
          </cell>
          <cell r="C891" t="e">
            <v>#N/A</v>
          </cell>
          <cell r="D891" t="e">
            <v>#N/A</v>
          </cell>
          <cell r="F891" t="e">
            <v>#REF!</v>
          </cell>
          <cell r="G891" t="e">
            <v>#N/A</v>
          </cell>
          <cell r="H891" t="str">
            <v>PCM</v>
          </cell>
          <cell r="K891" t="str">
            <v>FATURADO</v>
          </cell>
        </row>
        <row r="892">
          <cell r="A892" t="str">
            <v>0225-003961</v>
          </cell>
          <cell r="B892" t="e">
            <v>#N/A</v>
          </cell>
          <cell r="C892" t="e">
            <v>#N/A</v>
          </cell>
          <cell r="D892" t="e">
            <v>#N/A</v>
          </cell>
          <cell r="F892" t="e">
            <v>#REF!</v>
          </cell>
          <cell r="G892" t="e">
            <v>#N/A</v>
          </cell>
          <cell r="H892" t="str">
            <v>PCM</v>
          </cell>
          <cell r="K892" t="str">
            <v>FATURADO</v>
          </cell>
        </row>
        <row r="893">
          <cell r="A893" t="str">
            <v>0225-005126</v>
          </cell>
          <cell r="B893" t="e">
            <v>#N/A</v>
          </cell>
          <cell r="C893" t="e">
            <v>#N/A</v>
          </cell>
          <cell r="D893" t="e">
            <v>#N/A</v>
          </cell>
          <cell r="F893" t="e">
            <v>#REF!</v>
          </cell>
          <cell r="G893" t="e">
            <v>#N/A</v>
          </cell>
          <cell r="H893" t="str">
            <v>PCM</v>
          </cell>
          <cell r="K893" t="str">
            <v>FATURADO</v>
          </cell>
        </row>
        <row r="894">
          <cell r="A894" t="str">
            <v>0225-005288</v>
          </cell>
          <cell r="B894" t="e">
            <v>#N/A</v>
          </cell>
          <cell r="C894" t="e">
            <v>#N/A</v>
          </cell>
          <cell r="D894" t="e">
            <v>#N/A</v>
          </cell>
          <cell r="F894" t="e">
            <v>#REF!</v>
          </cell>
          <cell r="G894" t="e">
            <v>#N/A</v>
          </cell>
          <cell r="H894" t="str">
            <v>PCM</v>
          </cell>
          <cell r="K894" t="str">
            <v>FATURADO</v>
          </cell>
        </row>
        <row r="895">
          <cell r="A895" t="str">
            <v>0225-006593</v>
          </cell>
          <cell r="B895" t="e">
            <v>#N/A</v>
          </cell>
          <cell r="C895" t="e">
            <v>#N/A</v>
          </cell>
          <cell r="D895" t="e">
            <v>#N/A</v>
          </cell>
          <cell r="F895" t="e">
            <v>#REF!</v>
          </cell>
          <cell r="G895" t="e">
            <v>#N/A</v>
          </cell>
          <cell r="H895" t="str">
            <v>PCM</v>
          </cell>
          <cell r="K895" t="str">
            <v>FATURADO</v>
          </cell>
        </row>
        <row r="896">
          <cell r="A896" t="str">
            <v>0225-006828</v>
          </cell>
          <cell r="B896" t="e">
            <v>#N/A</v>
          </cell>
          <cell r="C896" t="e">
            <v>#N/A</v>
          </cell>
          <cell r="D896" t="e">
            <v>#N/A</v>
          </cell>
          <cell r="F896" t="e">
            <v>#REF!</v>
          </cell>
          <cell r="G896" t="e">
            <v>#N/A</v>
          </cell>
          <cell r="H896" t="str">
            <v>PCM</v>
          </cell>
          <cell r="K896" t="str">
            <v>FATURADO</v>
          </cell>
        </row>
        <row r="897">
          <cell r="A897" t="str">
            <v>0225-006987</v>
          </cell>
          <cell r="B897" t="e">
            <v>#N/A</v>
          </cell>
          <cell r="C897" t="e">
            <v>#N/A</v>
          </cell>
          <cell r="D897" t="e">
            <v>#N/A</v>
          </cell>
          <cell r="F897" t="e">
            <v>#REF!</v>
          </cell>
          <cell r="G897" t="e">
            <v>#N/A</v>
          </cell>
          <cell r="H897" t="str">
            <v>PCM</v>
          </cell>
          <cell r="K897" t="str">
            <v>FATURADO</v>
          </cell>
        </row>
        <row r="898">
          <cell r="A898" t="str">
            <v>1225-005262</v>
          </cell>
          <cell r="B898" t="e">
            <v>#N/A</v>
          </cell>
          <cell r="C898" t="e">
            <v>#N/A</v>
          </cell>
          <cell r="D898" t="str">
            <v>NOBREAK</v>
          </cell>
          <cell r="F898" t="e">
            <v>#REF!</v>
          </cell>
          <cell r="G898" t="e">
            <v>#N/A</v>
          </cell>
          <cell r="I898" t="str">
            <v>MANFAC OBRAS REFORMAS</v>
          </cell>
          <cell r="K898" t="str">
            <v>FATURADO</v>
          </cell>
        </row>
        <row r="899">
          <cell r="A899" t="str">
            <v>0225-010023</v>
          </cell>
          <cell r="B899" t="e">
            <v>#N/A</v>
          </cell>
          <cell r="C899" t="e">
            <v>#N/A</v>
          </cell>
          <cell r="D899" t="e">
            <v>#N/A</v>
          </cell>
          <cell r="F899" t="e">
            <v>#REF!</v>
          </cell>
          <cell r="G899" t="e">
            <v>#N/A</v>
          </cell>
          <cell r="H899" t="str">
            <v>PCM</v>
          </cell>
          <cell r="K899" t="str">
            <v>FATURADO</v>
          </cell>
        </row>
        <row r="900">
          <cell r="A900" t="str">
            <v>0226-008783</v>
          </cell>
          <cell r="B900" t="str">
            <v>DP BARRA DA TIJUCA 7</v>
          </cell>
          <cell r="C900" t="str">
            <v>Solicito reparo no bueiro do estacionamento</v>
          </cell>
          <cell r="D900" t="str">
            <v>CIVIL</v>
          </cell>
          <cell r="F900" t="e">
            <v>#REF!</v>
          </cell>
          <cell r="G900" t="str">
            <v>LEANDRO</v>
          </cell>
          <cell r="I900" t="str">
            <v>MANFAC OBRAS SPOT</v>
          </cell>
          <cell r="K900" t="str">
            <v>FATURADO</v>
          </cell>
        </row>
        <row r="901">
          <cell r="A901" t="str">
            <v>1225-005255</v>
          </cell>
          <cell r="B901" t="str">
            <v>DP HUMAITA</v>
          </cell>
          <cell r="C901" t="str">
            <v>Adequação elétrica para o novo nobreak.</v>
          </cell>
          <cell r="D901" t="str">
            <v>NOBREAK</v>
          </cell>
          <cell r="E901" t="str">
            <v>LIBERADO - 08/12/2026</v>
          </cell>
          <cell r="F901" t="e">
            <v>#REF!</v>
          </cell>
          <cell r="G901" t="str">
            <v>LEANDRO</v>
          </cell>
          <cell r="H901" t="str">
            <v>MANFAC 3</v>
          </cell>
          <cell r="I901" t="str">
            <v>MANFAC OBRAS REFORMAS</v>
          </cell>
          <cell r="K901" t="str">
            <v>FATURADO</v>
          </cell>
        </row>
        <row r="902">
          <cell r="A902" t="str">
            <v>0225-010489</v>
          </cell>
          <cell r="B902" t="e">
            <v>#N/A</v>
          </cell>
          <cell r="C902" t="e">
            <v>#N/A</v>
          </cell>
          <cell r="D902" t="e">
            <v>#N/A</v>
          </cell>
          <cell r="F902" t="e">
            <v>#REF!</v>
          </cell>
          <cell r="G902" t="e">
            <v>#N/A</v>
          </cell>
          <cell r="H902" t="str">
            <v>PCM</v>
          </cell>
          <cell r="K902" t="str">
            <v>FATURADO</v>
          </cell>
        </row>
        <row r="903">
          <cell r="A903" t="str">
            <v>0325-008320</v>
          </cell>
          <cell r="B903" t="e">
            <v>#N/A</v>
          </cell>
          <cell r="C903" t="e">
            <v>#N/A</v>
          </cell>
          <cell r="D903" t="e">
            <v>#N/A</v>
          </cell>
          <cell r="F903" t="e">
            <v>#REF!</v>
          </cell>
          <cell r="G903" t="e">
            <v>#N/A</v>
          </cell>
          <cell r="H903" t="str">
            <v>PCM</v>
          </cell>
          <cell r="K903" t="str">
            <v>FATURADO</v>
          </cell>
        </row>
        <row r="904">
          <cell r="A904" t="str">
            <v>0225-008483</v>
          </cell>
          <cell r="B904" t="e">
            <v>#N/A</v>
          </cell>
          <cell r="C904" t="e">
            <v>#N/A</v>
          </cell>
          <cell r="D904" t="e">
            <v>#N/A</v>
          </cell>
          <cell r="F904" t="e">
            <v>#REF!</v>
          </cell>
          <cell r="G904" t="e">
            <v>#N/A</v>
          </cell>
          <cell r="H904" t="str">
            <v>PCM</v>
          </cell>
          <cell r="K904" t="str">
            <v>FATURADO</v>
          </cell>
        </row>
        <row r="905">
          <cell r="A905" t="str">
            <v>0225-008488</v>
          </cell>
          <cell r="B905" t="e">
            <v>#N/A</v>
          </cell>
          <cell r="C905" t="e">
            <v>#N/A</v>
          </cell>
          <cell r="D905" t="e">
            <v>#N/A</v>
          </cell>
          <cell r="F905" t="e">
            <v>#REF!</v>
          </cell>
          <cell r="G905" t="e">
            <v>#N/A</v>
          </cell>
          <cell r="H905" t="str">
            <v>PCM</v>
          </cell>
          <cell r="K905" t="str">
            <v>FATURADO</v>
          </cell>
        </row>
        <row r="906">
          <cell r="A906" t="str">
            <v>0325-008098</v>
          </cell>
          <cell r="B906" t="e">
            <v>#N/A</v>
          </cell>
          <cell r="C906" t="e">
            <v>#N/A</v>
          </cell>
          <cell r="D906" t="e">
            <v>#N/A</v>
          </cell>
          <cell r="F906" t="e">
            <v>#REF!</v>
          </cell>
          <cell r="G906" t="e">
            <v>#N/A</v>
          </cell>
          <cell r="H906" t="str">
            <v>PCM</v>
          </cell>
          <cell r="K906" t="str">
            <v>FATURADO</v>
          </cell>
        </row>
        <row r="907">
          <cell r="A907" t="str">
            <v>0325-008590</v>
          </cell>
          <cell r="B907" t="e">
            <v>#N/A</v>
          </cell>
          <cell r="C907" t="e">
            <v>#N/A</v>
          </cell>
          <cell r="D907" t="e">
            <v>#N/A</v>
          </cell>
          <cell r="F907" t="e">
            <v>#REF!</v>
          </cell>
          <cell r="G907" t="e">
            <v>#N/A</v>
          </cell>
          <cell r="H907" t="str">
            <v>PCM</v>
          </cell>
          <cell r="K907" t="str">
            <v>FATURADO</v>
          </cell>
        </row>
        <row r="908">
          <cell r="A908" t="str">
            <v>0325-008676</v>
          </cell>
          <cell r="B908" t="e">
            <v>#N/A</v>
          </cell>
          <cell r="C908" t="e">
            <v>#N/A</v>
          </cell>
          <cell r="D908" t="e">
            <v>#N/A</v>
          </cell>
          <cell r="F908" t="e">
            <v>#REF!</v>
          </cell>
          <cell r="G908" t="e">
            <v>#N/A</v>
          </cell>
          <cell r="H908" t="str">
            <v>PCM</v>
          </cell>
          <cell r="K908" t="str">
            <v>FATURADO</v>
          </cell>
        </row>
        <row r="909">
          <cell r="A909" t="str">
            <v>0325-008980</v>
          </cell>
          <cell r="B909" t="e">
            <v>#N/A</v>
          </cell>
          <cell r="C909" t="e">
            <v>#N/A</v>
          </cell>
          <cell r="D909" t="e">
            <v>#N/A</v>
          </cell>
          <cell r="F909" t="e">
            <v>#REF!</v>
          </cell>
          <cell r="G909" t="e">
            <v>#N/A</v>
          </cell>
          <cell r="H909" t="str">
            <v>PCM</v>
          </cell>
          <cell r="K909" t="str">
            <v>FATURADO</v>
          </cell>
        </row>
        <row r="910">
          <cell r="A910" t="str">
            <v>0325-009717</v>
          </cell>
          <cell r="B910" t="e">
            <v>#N/A</v>
          </cell>
          <cell r="C910" t="e">
            <v>#N/A</v>
          </cell>
          <cell r="D910" t="e">
            <v>#N/A</v>
          </cell>
          <cell r="F910" t="e">
            <v>#REF!</v>
          </cell>
          <cell r="G910" t="e">
            <v>#N/A</v>
          </cell>
          <cell r="H910" t="str">
            <v>PCM</v>
          </cell>
          <cell r="K910" t="str">
            <v>FATURADO</v>
          </cell>
        </row>
        <row r="911">
          <cell r="A911" t="str">
            <v>0325-008604</v>
          </cell>
          <cell r="B911" t="e">
            <v>#N/A</v>
          </cell>
          <cell r="C911" t="e">
            <v>#N/A</v>
          </cell>
          <cell r="D911" t="e">
            <v>#N/A</v>
          </cell>
          <cell r="F911" t="e">
            <v>#REF!</v>
          </cell>
          <cell r="G911" t="e">
            <v>#N/A</v>
          </cell>
          <cell r="H911" t="str">
            <v>PCM</v>
          </cell>
          <cell r="K911" t="str">
            <v>FATURADO</v>
          </cell>
        </row>
        <row r="912">
          <cell r="A912" t="str">
            <v>0325-010794</v>
          </cell>
          <cell r="B912" t="e">
            <v>#N/A</v>
          </cell>
          <cell r="C912" t="e">
            <v>#N/A</v>
          </cell>
          <cell r="D912" t="e">
            <v>#N/A</v>
          </cell>
          <cell r="F912" t="e">
            <v>#REF!</v>
          </cell>
          <cell r="G912" t="e">
            <v>#N/A</v>
          </cell>
          <cell r="H912" t="str">
            <v>PCM</v>
          </cell>
          <cell r="K912" t="str">
            <v>FATURADO</v>
          </cell>
        </row>
        <row r="913">
          <cell r="A913" t="str">
            <v>0325-010028</v>
          </cell>
          <cell r="B913" t="e">
            <v>#N/A</v>
          </cell>
          <cell r="C913" t="e">
            <v>#N/A</v>
          </cell>
          <cell r="D913" t="e">
            <v>#N/A</v>
          </cell>
          <cell r="F913" t="e">
            <v>#REF!</v>
          </cell>
          <cell r="G913" t="e">
            <v>#N/A</v>
          </cell>
          <cell r="H913" t="str">
            <v>MANFAC - 4</v>
          </cell>
          <cell r="K913" t="str">
            <v>FATURADO</v>
          </cell>
        </row>
        <row r="914">
          <cell r="A914" t="str">
            <v>1225-005231</v>
          </cell>
          <cell r="B914" t="e">
            <v>#N/A</v>
          </cell>
          <cell r="C914" t="e">
            <v>#N/A</v>
          </cell>
          <cell r="D914" t="str">
            <v>NOBREAK</v>
          </cell>
          <cell r="F914" t="e">
            <v>#REF!</v>
          </cell>
          <cell r="G914" t="e">
            <v>#N/A</v>
          </cell>
          <cell r="I914" t="str">
            <v>MANFAC OBRAS REFORMAS</v>
          </cell>
          <cell r="K914" t="str">
            <v>FATURADO</v>
          </cell>
        </row>
        <row r="915">
          <cell r="A915" t="str">
            <v>0126-017003</v>
          </cell>
          <cell r="B915" t="str">
            <v>DSP BARCAS</v>
          </cell>
          <cell r="C915" t="str">
            <v>boa tarde.
 toda chuva que acontece aparece uma goteira nova na loja.</v>
          </cell>
          <cell r="D915" t="str">
            <v>CIVIL</v>
          </cell>
          <cell r="E915" t="str">
            <v>LIBERADO POR LEANDRO - 25/02/2026</v>
          </cell>
          <cell r="F915" t="e">
            <v>#REF!</v>
          </cell>
          <cell r="G915" t="str">
            <v>AMANDA</v>
          </cell>
          <cell r="I915" t="str">
            <v>MANFAC OBRAS SPOT</v>
          </cell>
          <cell r="K915" t="str">
            <v>FATURADO</v>
          </cell>
        </row>
        <row r="916">
          <cell r="A916" t="str">
            <v>1224-011676</v>
          </cell>
          <cell r="B916" t="e">
            <v>#N/A</v>
          </cell>
          <cell r="C916" t="e">
            <v>#N/A</v>
          </cell>
          <cell r="D916" t="e">
            <v>#N/A</v>
          </cell>
          <cell r="E916" t="str">
            <v>PARCEIRO INFORMOU QUE FINALIZARIA NO DIA 12/04</v>
          </cell>
          <cell r="F916" t="e">
            <v>#REF!</v>
          </cell>
          <cell r="G916" t="e">
            <v>#N/A</v>
          </cell>
          <cell r="H916" t="str">
            <v>PCM</v>
          </cell>
          <cell r="K916" t="str">
            <v>FATURADO</v>
          </cell>
        </row>
        <row r="917">
          <cell r="A917" t="str">
            <v>0225-010776</v>
          </cell>
          <cell r="B917" t="e">
            <v>#N/A</v>
          </cell>
          <cell r="C917" t="e">
            <v>#N/A</v>
          </cell>
          <cell r="D917" t="e">
            <v>#N/A</v>
          </cell>
          <cell r="F917" t="e">
            <v>#REF!</v>
          </cell>
          <cell r="G917" t="e">
            <v>#N/A</v>
          </cell>
          <cell r="H917" t="str">
            <v>PCM</v>
          </cell>
          <cell r="K917" t="str">
            <v>FATURADO</v>
          </cell>
        </row>
        <row r="918">
          <cell r="A918" t="str">
            <v>0225-012661</v>
          </cell>
          <cell r="B918" t="e">
            <v>#N/A</v>
          </cell>
          <cell r="C918" t="e">
            <v>#N/A</v>
          </cell>
          <cell r="D918" t="e">
            <v>#N/A</v>
          </cell>
          <cell r="F918" t="e">
            <v>#REF!</v>
          </cell>
          <cell r="G918" t="e">
            <v>#N/A</v>
          </cell>
          <cell r="H918" t="str">
            <v>PCM</v>
          </cell>
          <cell r="K918" t="str">
            <v>FATURADO</v>
          </cell>
        </row>
        <row r="919">
          <cell r="A919" t="str">
            <v>0325-008705</v>
          </cell>
          <cell r="B919" t="e">
            <v>#N/A</v>
          </cell>
          <cell r="C919" t="e">
            <v>#N/A</v>
          </cell>
          <cell r="D919" t="e">
            <v>#N/A</v>
          </cell>
          <cell r="F919" t="e">
            <v>#REF!</v>
          </cell>
          <cell r="G919" t="e">
            <v>#N/A</v>
          </cell>
          <cell r="H919" t="str">
            <v>PCM</v>
          </cell>
          <cell r="K919" t="str">
            <v>FATURADO</v>
          </cell>
        </row>
        <row r="920">
          <cell r="A920" t="str">
            <v>1225-004390</v>
          </cell>
          <cell r="B920" t="e">
            <v>#N/A</v>
          </cell>
          <cell r="C920" t="e">
            <v>#N/A</v>
          </cell>
          <cell r="D920" t="str">
            <v>NOBREAK</v>
          </cell>
          <cell r="F920" t="e">
            <v>#REF!</v>
          </cell>
          <cell r="G920" t="e">
            <v>#N/A</v>
          </cell>
          <cell r="I920" t="str">
            <v>MANFAC OBRAS REFORMAS</v>
          </cell>
          <cell r="K920" t="str">
            <v>FATURADO</v>
          </cell>
        </row>
        <row r="921">
          <cell r="A921" t="str">
            <v>0325-009705</v>
          </cell>
          <cell r="B921" t="e">
            <v>#N/A</v>
          </cell>
          <cell r="C921" t="e">
            <v>#N/A</v>
          </cell>
          <cell r="D921" t="e">
            <v>#N/A</v>
          </cell>
          <cell r="F921" t="e">
            <v>#REF!</v>
          </cell>
          <cell r="G921" t="e">
            <v>#N/A</v>
          </cell>
          <cell r="H921" t="str">
            <v>PCM</v>
          </cell>
          <cell r="K921" t="str">
            <v>FATURADO</v>
          </cell>
        </row>
        <row r="922">
          <cell r="A922" t="str">
            <v>0226-008827</v>
          </cell>
          <cell r="B922" t="str">
            <v>DP BARRA DA TIJUCA 5</v>
          </cell>
          <cell r="C922" t="str">
            <v>Solicito a compra de um armário debaixo da pia da cozinha pois o nosso foi condenado, segue o laudo de condenação</v>
          </cell>
          <cell r="D922" t="str">
            <v>CAPEX</v>
          </cell>
          <cell r="F922" t="e">
            <v>#REF!</v>
          </cell>
          <cell r="G922" t="str">
            <v>LEANDRO</v>
          </cell>
          <cell r="K922" t="str">
            <v>EXECUTAR</v>
          </cell>
        </row>
        <row r="923">
          <cell r="A923" t="str">
            <v>0225-011912</v>
          </cell>
          <cell r="B923" t="e">
            <v>#N/A</v>
          </cell>
          <cell r="C923" t="e">
            <v>#N/A</v>
          </cell>
          <cell r="D923" t="e">
            <v>#N/A</v>
          </cell>
          <cell r="F923" t="e">
            <v>#REF!</v>
          </cell>
          <cell r="G923" t="e">
            <v>#N/A</v>
          </cell>
          <cell r="H923" t="str">
            <v>MANFAC - 6</v>
          </cell>
          <cell r="K923" t="str">
            <v>FATURADO</v>
          </cell>
        </row>
        <row r="924">
          <cell r="A924" t="str">
            <v>0225-010708</v>
          </cell>
          <cell r="B924" t="e">
            <v>#N/A</v>
          </cell>
          <cell r="C924" t="e">
            <v>#N/A</v>
          </cell>
          <cell r="D924" t="e">
            <v>#N/A</v>
          </cell>
          <cell r="F924" t="e">
            <v>#REF!</v>
          </cell>
          <cell r="G924" t="e">
            <v>#N/A</v>
          </cell>
          <cell r="H924" t="str">
            <v>PCM</v>
          </cell>
          <cell r="K924" t="str">
            <v>FATURADO</v>
          </cell>
        </row>
        <row r="925">
          <cell r="A925" t="str">
            <v>1125-016235</v>
          </cell>
          <cell r="B925" t="str">
            <v>DP CAMPOS 6</v>
          </cell>
          <cell r="C925" t="str">
            <v>Escopo Base - Adequação Elétrica para Nobreak 6kva-Itens que serão alimentados pelo quadro de emergência: 100% dos computadores da loja e dispositivos de TI (impressoras, tira teima, ponto eletrônico e servidor), geladeira de medicamento, câmeras + rack/servidor de CFTV e Parte da iluminação (definir com analista a quantidade de luminárias)-Remanejamento de circuitos para quadro de emergência com chave reversora que será alimentado pelo nobreak-Instalação de quadro bypass -Instalação e Balanceamento de cargas no quadro bypass e emergência-Verificar se as geladeiras, Kibon, Redbull estão no mesmo circuito do caixa.. caso contrário, criar um circuito independente</v>
          </cell>
          <cell r="D925" t="str">
            <v>NOBREAK</v>
          </cell>
          <cell r="F925" t="e">
            <v>#REF!</v>
          </cell>
          <cell r="G925" t="str">
            <v>LEANDRO</v>
          </cell>
          <cell r="I925" t="str">
            <v>MANFAC OBRAS REFORMAS</v>
          </cell>
          <cell r="K925" t="str">
            <v>FATURADO</v>
          </cell>
        </row>
        <row r="926">
          <cell r="A926" t="str">
            <v>0325-011708</v>
          </cell>
          <cell r="B926" t="e">
            <v>#N/A</v>
          </cell>
          <cell r="C926" t="e">
            <v>#N/A</v>
          </cell>
          <cell r="D926" t="e">
            <v>#N/A</v>
          </cell>
          <cell r="F926" t="e">
            <v>#REF!</v>
          </cell>
          <cell r="G926" t="e">
            <v>#N/A</v>
          </cell>
          <cell r="H926" t="str">
            <v>MANFAC - 6</v>
          </cell>
          <cell r="K926" t="str">
            <v>FATURADO</v>
          </cell>
        </row>
        <row r="927">
          <cell r="A927" t="str">
            <v>0225-008837</v>
          </cell>
          <cell r="B927" t="e">
            <v>#N/A</v>
          </cell>
          <cell r="C927" t="e">
            <v>#N/A</v>
          </cell>
          <cell r="D927" t="e">
            <v>#N/A</v>
          </cell>
          <cell r="F927" t="e">
            <v>#REF!</v>
          </cell>
          <cell r="G927" t="e">
            <v>#N/A</v>
          </cell>
          <cell r="H927" t="str">
            <v>MANFAC - 5</v>
          </cell>
          <cell r="K927" t="str">
            <v>FATURADO</v>
          </cell>
        </row>
        <row r="928">
          <cell r="A928" t="str">
            <v>0225-011919</v>
          </cell>
          <cell r="B928" t="e">
            <v>#N/A</v>
          </cell>
          <cell r="C928" t="e">
            <v>#N/A</v>
          </cell>
          <cell r="D928" t="e">
            <v>#N/A</v>
          </cell>
          <cell r="F928" t="e">
            <v>#REF!</v>
          </cell>
          <cell r="G928" t="e">
            <v>#N/A</v>
          </cell>
          <cell r="H928" t="str">
            <v>MANFAC - 6</v>
          </cell>
          <cell r="K928" t="str">
            <v>FATURADO</v>
          </cell>
        </row>
        <row r="929">
          <cell r="A929" t="str">
            <v>0225-012586</v>
          </cell>
          <cell r="B929" t="e">
            <v>#N/A</v>
          </cell>
          <cell r="C929" t="e">
            <v>#N/A</v>
          </cell>
          <cell r="D929" t="e">
            <v>#N/A</v>
          </cell>
          <cell r="F929" t="e">
            <v>#REF!</v>
          </cell>
          <cell r="G929" t="e">
            <v>#N/A</v>
          </cell>
          <cell r="H929" t="str">
            <v>PCM</v>
          </cell>
          <cell r="K929" t="str">
            <v>FATURADO</v>
          </cell>
        </row>
        <row r="930">
          <cell r="A930" t="str">
            <v>0325-009462</v>
          </cell>
          <cell r="B930" t="e">
            <v>#N/A</v>
          </cell>
          <cell r="C930" t="e">
            <v>#N/A</v>
          </cell>
          <cell r="D930" t="e">
            <v>#N/A</v>
          </cell>
          <cell r="F930" t="e">
            <v>#REF!</v>
          </cell>
          <cell r="G930" t="e">
            <v>#N/A</v>
          </cell>
          <cell r="H930" t="str">
            <v>MANFAC - 6</v>
          </cell>
          <cell r="K930" t="str">
            <v>FATURADO</v>
          </cell>
        </row>
        <row r="931">
          <cell r="A931" t="str">
            <v>0325-010656</v>
          </cell>
          <cell r="B931" t="e">
            <v>#N/A</v>
          </cell>
          <cell r="C931" t="e">
            <v>#N/A</v>
          </cell>
          <cell r="D931" t="e">
            <v>#N/A</v>
          </cell>
          <cell r="F931" t="e">
            <v>#REF!</v>
          </cell>
          <cell r="G931" t="e">
            <v>#N/A</v>
          </cell>
          <cell r="H931" t="str">
            <v>MANFAC - 6</v>
          </cell>
          <cell r="K931" t="str">
            <v>FATURADO</v>
          </cell>
        </row>
        <row r="932">
          <cell r="A932" t="str">
            <v>0225-005209</v>
          </cell>
          <cell r="B932" t="e">
            <v>#N/A</v>
          </cell>
          <cell r="C932" t="e">
            <v>#N/A</v>
          </cell>
          <cell r="D932" t="e">
            <v>#N/A</v>
          </cell>
          <cell r="F932" t="e">
            <v>#REF!</v>
          </cell>
          <cell r="G932" t="e">
            <v>#N/A</v>
          </cell>
          <cell r="H932" t="str">
            <v>PCM</v>
          </cell>
          <cell r="K932" t="str">
            <v>FATURADO</v>
          </cell>
        </row>
        <row r="933">
          <cell r="A933" t="str">
            <v>0225-006983</v>
          </cell>
          <cell r="B933" t="e">
            <v>#N/A</v>
          </cell>
          <cell r="C933" t="e">
            <v>#N/A</v>
          </cell>
          <cell r="D933" t="e">
            <v>#N/A</v>
          </cell>
          <cell r="F933" t="e">
            <v>#REF!</v>
          </cell>
          <cell r="G933" t="e">
            <v>#N/A</v>
          </cell>
          <cell r="H933" t="str">
            <v>MANFAC -1</v>
          </cell>
          <cell r="K933" t="str">
            <v>FATURADO</v>
          </cell>
        </row>
        <row r="934">
          <cell r="A934" t="str">
            <v>1224-006613</v>
          </cell>
          <cell r="B934" t="e">
            <v>#N/A</v>
          </cell>
          <cell r="C934" t="e">
            <v>#N/A</v>
          </cell>
          <cell r="D934" t="e">
            <v>#N/A</v>
          </cell>
          <cell r="F934" t="e">
            <v>#REF!</v>
          </cell>
          <cell r="G934" t="e">
            <v>#N/A</v>
          </cell>
          <cell r="H934" t="str">
            <v>MANFAC - 6</v>
          </cell>
          <cell r="K934" t="str">
            <v>FATURADO</v>
          </cell>
        </row>
        <row r="935">
          <cell r="A935" t="str">
            <v>0225-010530</v>
          </cell>
          <cell r="B935" t="e">
            <v>#N/A</v>
          </cell>
          <cell r="C935" t="e">
            <v>#N/A</v>
          </cell>
          <cell r="D935" t="e">
            <v>#N/A</v>
          </cell>
          <cell r="F935" t="e">
            <v>#REF!</v>
          </cell>
          <cell r="G935" t="e">
            <v>#N/A</v>
          </cell>
          <cell r="H935" t="str">
            <v>MANFAC - 7</v>
          </cell>
          <cell r="K935" t="str">
            <v>FATURADO</v>
          </cell>
        </row>
        <row r="936">
          <cell r="A936" t="str">
            <v>1224-005449</v>
          </cell>
          <cell r="B936" t="e">
            <v>#N/A</v>
          </cell>
          <cell r="C936" t="e">
            <v>#N/A</v>
          </cell>
          <cell r="D936" t="e">
            <v>#N/A</v>
          </cell>
          <cell r="F936" t="e">
            <v>#REF!</v>
          </cell>
          <cell r="G936" t="e">
            <v>#N/A</v>
          </cell>
          <cell r="H936" t="str">
            <v>MANFAC - 6</v>
          </cell>
          <cell r="K936" t="str">
            <v>FATURADO</v>
          </cell>
        </row>
        <row r="937">
          <cell r="A937" t="str">
            <v>0225-007508</v>
          </cell>
          <cell r="B937" t="e">
            <v>#N/A</v>
          </cell>
          <cell r="C937" t="e">
            <v>#N/A</v>
          </cell>
          <cell r="D937" t="e">
            <v>#N/A</v>
          </cell>
          <cell r="F937" t="e">
            <v>#REF!</v>
          </cell>
          <cell r="G937" t="e">
            <v>#N/A</v>
          </cell>
          <cell r="H937" t="str">
            <v>MANFAC - 4</v>
          </cell>
          <cell r="K937" t="str">
            <v>FATURADO</v>
          </cell>
        </row>
        <row r="938">
          <cell r="A938" t="str">
            <v>0225-012103</v>
          </cell>
          <cell r="B938" t="e">
            <v>#N/A</v>
          </cell>
          <cell r="C938" t="e">
            <v>#N/A</v>
          </cell>
          <cell r="D938" t="e">
            <v>#N/A</v>
          </cell>
          <cell r="F938" t="e">
            <v>#REF!</v>
          </cell>
          <cell r="G938" t="e">
            <v>#N/A</v>
          </cell>
          <cell r="H938" t="str">
            <v>PCM</v>
          </cell>
          <cell r="K938" t="str">
            <v>FATURADO</v>
          </cell>
        </row>
        <row r="939">
          <cell r="A939" t="str">
            <v>0325-010570</v>
          </cell>
          <cell r="B939" t="e">
            <v>#N/A</v>
          </cell>
          <cell r="C939" t="e">
            <v>#N/A</v>
          </cell>
          <cell r="D939" t="e">
            <v>#N/A</v>
          </cell>
          <cell r="E939" t="str">
            <v>Pendente OS fisica</v>
          </cell>
          <cell r="F939" t="e">
            <v>#REF!</v>
          </cell>
          <cell r="G939" t="e">
            <v>#N/A</v>
          </cell>
          <cell r="H939" t="str">
            <v>PCM</v>
          </cell>
          <cell r="K939" t="str">
            <v>FATURADO</v>
          </cell>
        </row>
        <row r="940">
          <cell r="A940" t="str">
            <v>0226-009618</v>
          </cell>
          <cell r="B940" t="str">
            <v>DP MANILHA</v>
          </cell>
          <cell r="C940" t="str">
            <v>Solicito reparo da porta lateral, problemas na hora de abrir e fechar.</v>
          </cell>
          <cell r="D940" t="str">
            <v>SERRALHERIA</v>
          </cell>
          <cell r="E940" t="str">
            <v>LIBERADO POR LEandro - 23/02/2026</v>
          </cell>
          <cell r="F940" t="e">
            <v>#REF!</v>
          </cell>
          <cell r="G940" t="str">
            <v>AMANDA</v>
          </cell>
          <cell r="I940" t="str">
            <v>MANFAC OBRAS SPOT</v>
          </cell>
          <cell r="K940" t="str">
            <v>PENDENTE FATURAMENTO</v>
          </cell>
        </row>
        <row r="941">
          <cell r="A941" t="str">
            <v>0325-007769</v>
          </cell>
          <cell r="B941" t="e">
            <v>#N/A</v>
          </cell>
          <cell r="C941" t="e">
            <v>#N/A</v>
          </cell>
          <cell r="D941" t="e">
            <v>#N/A</v>
          </cell>
          <cell r="F941" t="e">
            <v>#REF!</v>
          </cell>
          <cell r="G941" t="e">
            <v>#N/A</v>
          </cell>
          <cell r="H941" t="str">
            <v>PCM</v>
          </cell>
          <cell r="K941" t="str">
            <v>FATURADO</v>
          </cell>
        </row>
        <row r="942">
          <cell r="A942" t="str">
            <v>0325-010657</v>
          </cell>
          <cell r="B942" t="e">
            <v>#N/A</v>
          </cell>
          <cell r="C942" t="e">
            <v>#N/A</v>
          </cell>
          <cell r="D942" t="e">
            <v>#N/A</v>
          </cell>
          <cell r="F942">
            <v>2350</v>
          </cell>
          <cell r="G942" t="e">
            <v>#N/A</v>
          </cell>
          <cell r="H942" t="str">
            <v>PCM</v>
          </cell>
          <cell r="K942" t="str">
            <v>FATURADO</v>
          </cell>
        </row>
        <row r="943">
          <cell r="A943" t="str">
            <v>0325-013735</v>
          </cell>
          <cell r="B943" t="e">
            <v>#N/A</v>
          </cell>
          <cell r="C943" t="e">
            <v>#N/A</v>
          </cell>
          <cell r="D943" t="e">
            <v>#N/A</v>
          </cell>
          <cell r="F943" t="e">
            <v>#REF!</v>
          </cell>
          <cell r="G943" t="e">
            <v>#N/A</v>
          </cell>
          <cell r="H943" t="str">
            <v>PCM</v>
          </cell>
          <cell r="K943" t="str">
            <v>FATURADO</v>
          </cell>
        </row>
        <row r="944">
          <cell r="A944" t="str">
            <v>0325-008096</v>
          </cell>
          <cell r="B944" t="e">
            <v>#N/A</v>
          </cell>
          <cell r="C944" t="e">
            <v>#N/A</v>
          </cell>
          <cell r="D944" t="e">
            <v>#N/A</v>
          </cell>
          <cell r="F944" t="e">
            <v>#REF!</v>
          </cell>
          <cell r="G944" t="e">
            <v>#N/A</v>
          </cell>
          <cell r="H944" t="str">
            <v>MANFAC - 4</v>
          </cell>
          <cell r="K944" t="str">
            <v>FATURADO</v>
          </cell>
        </row>
        <row r="945">
          <cell r="A945" t="str">
            <v>0225-005901</v>
          </cell>
          <cell r="B945" t="e">
            <v>#N/A</v>
          </cell>
          <cell r="C945" t="e">
            <v>#N/A</v>
          </cell>
          <cell r="D945" t="e">
            <v>#N/A</v>
          </cell>
          <cell r="F945" t="e">
            <v>#REF!</v>
          </cell>
          <cell r="G945" t="e">
            <v>#N/A</v>
          </cell>
          <cell r="H945" t="str">
            <v>MANFAC - 4</v>
          </cell>
          <cell r="K945" t="str">
            <v>FATURADO</v>
          </cell>
        </row>
        <row r="946">
          <cell r="A946" t="str">
            <v>0225-011950</v>
          </cell>
          <cell r="B946" t="e">
            <v>#N/A</v>
          </cell>
          <cell r="C946" t="e">
            <v>#N/A</v>
          </cell>
          <cell r="D946" t="e">
            <v>#N/A</v>
          </cell>
          <cell r="F946" t="e">
            <v>#REF!</v>
          </cell>
          <cell r="G946" t="e">
            <v>#N/A</v>
          </cell>
          <cell r="H946" t="str">
            <v>MANFAC - 3</v>
          </cell>
          <cell r="K946" t="str">
            <v>FATURADO</v>
          </cell>
        </row>
        <row r="947">
          <cell r="A947" t="str">
            <v>0225-009887</v>
          </cell>
          <cell r="B947" t="e">
            <v>#N/A</v>
          </cell>
          <cell r="C947" t="e">
            <v>#N/A</v>
          </cell>
          <cell r="D947" t="e">
            <v>#N/A</v>
          </cell>
          <cell r="F947" t="e">
            <v>#REF!</v>
          </cell>
          <cell r="G947" t="e">
            <v>#N/A</v>
          </cell>
          <cell r="H947" t="str">
            <v>MANFAC - 4</v>
          </cell>
          <cell r="K947" t="str">
            <v>FATURADO</v>
          </cell>
        </row>
        <row r="948">
          <cell r="A948" t="str">
            <v>1225-005214</v>
          </cell>
          <cell r="B948" t="e">
            <v>#N/A</v>
          </cell>
          <cell r="C948" t="e">
            <v>#N/A</v>
          </cell>
          <cell r="D948" t="str">
            <v>NOBREAK</v>
          </cell>
          <cell r="F948" t="e">
            <v>#REF!</v>
          </cell>
          <cell r="G948" t="e">
            <v>#N/A</v>
          </cell>
          <cell r="H948" t="str">
            <v>MANFAC 3</v>
          </cell>
          <cell r="I948" t="str">
            <v>MANFAC OBRAS REFORMAS</v>
          </cell>
          <cell r="K948" t="str">
            <v>FATURADO</v>
          </cell>
        </row>
        <row r="949">
          <cell r="A949" t="str">
            <v>CD-DUTRA-2</v>
          </cell>
          <cell r="B949" t="e">
            <v>#N/A</v>
          </cell>
          <cell r="C949" t="e">
            <v>#N/A</v>
          </cell>
          <cell r="D949" t="e">
            <v>#N/A</v>
          </cell>
          <cell r="F949">
            <v>120000</v>
          </cell>
          <cell r="G949" t="e">
            <v>#N/A</v>
          </cell>
          <cell r="H949" t="str">
            <v>PCM</v>
          </cell>
          <cell r="K949" t="str">
            <v>FATURADO</v>
          </cell>
        </row>
        <row r="950">
          <cell r="A950" t="str">
            <v>0226-013748</v>
          </cell>
          <cell r="B950" t="str">
            <v>DP COPACABANA 16</v>
          </cell>
          <cell r="C950" t="str">
            <v>Mão de obra rollout de ar condicionado.</v>
          </cell>
          <cell r="D950" t="str">
            <v>CAPEX</v>
          </cell>
          <cell r="E950" t="str">
            <v>LIBERADO POR LEANDRO - 22/01/2026</v>
          </cell>
          <cell r="F950">
            <v>44478.37</v>
          </cell>
          <cell r="G950" t="str">
            <v>LEANDRO</v>
          </cell>
          <cell r="I950" t="str">
            <v>MANFAC OBRAS REFORMAS</v>
          </cell>
          <cell r="K950" t="str">
            <v>FATURADO</v>
          </cell>
        </row>
        <row r="951">
          <cell r="A951" t="str">
            <v>0125-011256</v>
          </cell>
          <cell r="B951" t="e">
            <v>#N/A</v>
          </cell>
          <cell r="C951" t="e">
            <v>#N/A</v>
          </cell>
          <cell r="D951" t="e">
            <v>#N/A</v>
          </cell>
          <cell r="F951" t="e">
            <v>#REF!</v>
          </cell>
          <cell r="G951" t="e">
            <v>#N/A</v>
          </cell>
          <cell r="H951" t="str">
            <v>PCM</v>
          </cell>
          <cell r="K951" t="str">
            <v>FATURADO</v>
          </cell>
        </row>
        <row r="952">
          <cell r="A952" t="str">
            <v>1124-013945</v>
          </cell>
          <cell r="B952" t="e">
            <v>#N/A</v>
          </cell>
          <cell r="C952" t="e">
            <v>#N/A</v>
          </cell>
          <cell r="D952" t="e">
            <v>#N/A</v>
          </cell>
          <cell r="F952" t="e">
            <v>#REF!</v>
          </cell>
          <cell r="G952" t="e">
            <v>#N/A</v>
          </cell>
          <cell r="H952" t="str">
            <v>PCM</v>
          </cell>
          <cell r="K952" t="str">
            <v>FATURADO</v>
          </cell>
        </row>
        <row r="953">
          <cell r="A953" t="str">
            <v>1024-004701</v>
          </cell>
          <cell r="B953" t="e">
            <v>#N/A</v>
          </cell>
          <cell r="C953" t="e">
            <v>#N/A</v>
          </cell>
          <cell r="D953" t="e">
            <v>#N/A</v>
          </cell>
          <cell r="F953" t="e">
            <v>#REF!</v>
          </cell>
          <cell r="G953" t="e">
            <v>#N/A</v>
          </cell>
          <cell r="H953" t="str">
            <v>MANFAC - 6</v>
          </cell>
          <cell r="K953" t="str">
            <v>FATURADO</v>
          </cell>
        </row>
        <row r="954">
          <cell r="A954" t="str">
            <v>0225-009192</v>
          </cell>
          <cell r="B954" t="e">
            <v>#N/A</v>
          </cell>
          <cell r="C954" t="e">
            <v>#N/A</v>
          </cell>
          <cell r="D954" t="e">
            <v>#N/A</v>
          </cell>
          <cell r="F954" t="e">
            <v>#REF!</v>
          </cell>
          <cell r="G954" t="e">
            <v>#N/A</v>
          </cell>
          <cell r="H954" t="str">
            <v>PCM</v>
          </cell>
          <cell r="K954" t="str">
            <v>FATURADO</v>
          </cell>
        </row>
        <row r="955">
          <cell r="A955" t="str">
            <v>0225-010232</v>
          </cell>
          <cell r="B955" t="e">
            <v>#N/A</v>
          </cell>
          <cell r="C955" t="e">
            <v>#N/A</v>
          </cell>
          <cell r="D955" t="e">
            <v>#N/A</v>
          </cell>
          <cell r="F955" t="e">
            <v>#REF!</v>
          </cell>
          <cell r="G955" t="e">
            <v>#N/A</v>
          </cell>
          <cell r="H955" t="str">
            <v>PCM</v>
          </cell>
          <cell r="K955" t="str">
            <v>FATURADO</v>
          </cell>
        </row>
        <row r="956">
          <cell r="A956" t="str">
            <v>0125-012468</v>
          </cell>
          <cell r="B956" t="e">
            <v>#N/A</v>
          </cell>
          <cell r="C956" t="e">
            <v>#N/A</v>
          </cell>
          <cell r="D956" t="e">
            <v>#N/A</v>
          </cell>
          <cell r="F956" t="e">
            <v>#REF!</v>
          </cell>
          <cell r="G956" t="e">
            <v>#N/A</v>
          </cell>
          <cell r="H956" t="str">
            <v>MANFAC - 6</v>
          </cell>
          <cell r="K956" t="str">
            <v>FATURADO</v>
          </cell>
        </row>
        <row r="957">
          <cell r="A957" t="str">
            <v>0225-006423</v>
          </cell>
          <cell r="B957" t="e">
            <v>#N/A</v>
          </cell>
          <cell r="C957" t="e">
            <v>#N/A</v>
          </cell>
          <cell r="D957" t="e">
            <v>#N/A</v>
          </cell>
          <cell r="F957" t="e">
            <v>#REF!</v>
          </cell>
          <cell r="G957" t="e">
            <v>#N/A</v>
          </cell>
          <cell r="H957" t="str">
            <v>PCM</v>
          </cell>
          <cell r="K957" t="str">
            <v>FATURADO</v>
          </cell>
        </row>
        <row r="958">
          <cell r="A958" t="str">
            <v>0225-008029</v>
          </cell>
          <cell r="B958" t="e">
            <v>#N/A</v>
          </cell>
          <cell r="C958" t="e">
            <v>#N/A</v>
          </cell>
          <cell r="D958" t="e">
            <v>#N/A</v>
          </cell>
          <cell r="F958" t="e">
            <v>#REF!</v>
          </cell>
          <cell r="G958" t="e">
            <v>#N/A</v>
          </cell>
          <cell r="H958" t="str">
            <v>PCM</v>
          </cell>
          <cell r="K958" t="str">
            <v>FATURADO</v>
          </cell>
        </row>
        <row r="959">
          <cell r="A959" t="str">
            <v>0225-009103</v>
          </cell>
          <cell r="B959" t="e">
            <v>#N/A</v>
          </cell>
          <cell r="C959" t="e">
            <v>#N/A</v>
          </cell>
          <cell r="D959" t="e">
            <v>#N/A</v>
          </cell>
          <cell r="F959" t="e">
            <v>#REF!</v>
          </cell>
          <cell r="G959" t="e">
            <v>#N/A</v>
          </cell>
          <cell r="H959" t="str">
            <v>PCM</v>
          </cell>
          <cell r="K959" t="str">
            <v>FATURADO</v>
          </cell>
        </row>
        <row r="960">
          <cell r="A960" t="str">
            <v>1124-011838</v>
          </cell>
          <cell r="B960" t="e">
            <v>#N/A</v>
          </cell>
          <cell r="C960" t="e">
            <v>#N/A</v>
          </cell>
          <cell r="D960" t="e">
            <v>#N/A</v>
          </cell>
          <cell r="F960" t="e">
            <v>#REF!</v>
          </cell>
          <cell r="G960" t="e">
            <v>#N/A</v>
          </cell>
          <cell r="H960" t="str">
            <v>PCM</v>
          </cell>
          <cell r="K960" t="str">
            <v>FATURADO</v>
          </cell>
        </row>
        <row r="961">
          <cell r="A961" t="str">
            <v>0326-020534</v>
          </cell>
          <cell r="B961" t="str">
            <v>DP COPACABANA 16</v>
          </cell>
          <cell r="C961" t="str">
            <v>Fossa vazando na frente de loja
 Solicito prioridade</v>
          </cell>
          <cell r="D961" t="str">
            <v>HIDRAULICA</v>
          </cell>
          <cell r="F961" t="e">
            <v>#REF!</v>
          </cell>
          <cell r="G961" t="str">
            <v>LEANDRO</v>
          </cell>
          <cell r="I961" t="str">
            <v>MANFAC OBRAS SPOT</v>
          </cell>
          <cell r="K961" t="str">
            <v>FATURADO</v>
          </cell>
        </row>
        <row r="962">
          <cell r="A962" t="str">
            <v>0226-006107</v>
          </cell>
          <cell r="B962" t="str">
            <v>DP ICARAI 1</v>
          </cell>
          <cell r="C962" t="str">
            <v>Prezados, solicito restauração da calçada, recebemos intimação da prefeitura para realização em 10 dias.</v>
          </cell>
          <cell r="D962" t="str">
            <v>CIVIL</v>
          </cell>
          <cell r="E962" t="str">
            <v>LIBERADO - 13/02/2026</v>
          </cell>
          <cell r="F962">
            <v>3887.1</v>
          </cell>
          <cell r="G962" t="str">
            <v>AMANDA</v>
          </cell>
          <cell r="I962" t="str">
            <v>MANFAC OBRAS SPOT</v>
          </cell>
          <cell r="K962" t="str">
            <v>FATURADO</v>
          </cell>
        </row>
        <row r="963">
          <cell r="A963" t="str">
            <v>0126-020502</v>
          </cell>
          <cell r="B963" t="str">
            <v>DP INGA 2</v>
          </cell>
          <cell r="C963" t="str">
            <v>Boa noite ,solicito o conserto da porta da lateral do salão de vendas ,onde á equipe de manutenção informou que será necessário o serviço de serralharia .</v>
          </cell>
          <cell r="D963" t="str">
            <v>SERRALHERIA</v>
          </cell>
          <cell r="F963" t="e">
            <v>#REF!</v>
          </cell>
          <cell r="G963" t="str">
            <v>AMANDA</v>
          </cell>
          <cell r="I963" t="str">
            <v>MANFAC OBRAS SPOT</v>
          </cell>
          <cell r="K963" t="str">
            <v>FATURADO</v>
          </cell>
        </row>
        <row r="964">
          <cell r="A964" t="str">
            <v>0226-011039</v>
          </cell>
          <cell r="B964" t="str">
            <v>DP SAO GONCALO 1</v>
          </cell>
          <cell r="C964" t="str">
            <v>Na abertura de loja do dia 17/02/2026 o funcionário se confundiu com as chaves e tentou destrancar o tambor da porta 4 (porta de vitrine) com a chave da trava, quebrando a chave ao meio e permanecendo a metade da chave dentro do tambor, impossibilitando a abertura da porta. Solicitamos manutenção no tambor para realizarmos a abertura da loja normalmente.</v>
          </cell>
          <cell r="D964" t="str">
            <v>SERRALHERIA</v>
          </cell>
          <cell r="F964" t="e">
            <v>#REF!</v>
          </cell>
          <cell r="G964" t="str">
            <v>AMANDA</v>
          </cell>
          <cell r="K964" t="str">
            <v>PENDENTE FATURAMENTO</v>
          </cell>
        </row>
        <row r="965">
          <cell r="A965" t="str">
            <v>0126-020388</v>
          </cell>
          <cell r="B965" t="str">
            <v>DP PEDRA DE GUARATIBA</v>
          </cell>
          <cell r="C965" t="str">
            <v>Parede da sala do cofre com infiltração e mofo</v>
          </cell>
          <cell r="D965" t="str">
            <v>CIVIL</v>
          </cell>
          <cell r="F965" t="e">
            <v>#REF!</v>
          </cell>
          <cell r="G965" t="str">
            <v>JUAN</v>
          </cell>
          <cell r="I965" t="str">
            <v>MANFAC OBRAS SPOT</v>
          </cell>
          <cell r="K965" t="str">
            <v>FATURADO</v>
          </cell>
        </row>
        <row r="966">
          <cell r="A966" t="str">
            <v>0225-007305</v>
          </cell>
          <cell r="B966" t="e">
            <v>#N/A</v>
          </cell>
          <cell r="C966" t="e">
            <v>#N/A</v>
          </cell>
          <cell r="D966" t="e">
            <v>#N/A</v>
          </cell>
          <cell r="F966" t="e">
            <v>#REF!</v>
          </cell>
          <cell r="G966" t="e">
            <v>#N/A</v>
          </cell>
          <cell r="H966" t="str">
            <v>MANFAC - 4</v>
          </cell>
          <cell r="K966" t="str">
            <v>FATURADO</v>
          </cell>
        </row>
        <row r="967">
          <cell r="A967" t="str">
            <v>0226-007328</v>
          </cell>
          <cell r="B967" t="str">
            <v>DP BUZIOS</v>
          </cell>
          <cell r="C967" t="str">
            <v>Solicito LPU para melhorias solicitadas pelo Diretor de operações.</v>
          </cell>
          <cell r="D967" t="str">
            <v>CIVIL</v>
          </cell>
          <cell r="E967" t="str">
            <v>LIBERADO POR LEANDRO - 20/02/2026 - ATULAIZAR LPU</v>
          </cell>
          <cell r="F967" t="e">
            <v>#REF!</v>
          </cell>
          <cell r="G967" t="str">
            <v>LEANDRO</v>
          </cell>
          <cell r="I967" t="str">
            <v>MANFAC OBRAS REFORMAS</v>
          </cell>
          <cell r="K967" t="str">
            <v>FATURADO</v>
          </cell>
        </row>
        <row r="968">
          <cell r="A968" t="str">
            <v>1224-007127</v>
          </cell>
          <cell r="B968" t="e">
            <v>#N/A</v>
          </cell>
          <cell r="C968" t="e">
            <v>#N/A</v>
          </cell>
          <cell r="D968" t="e">
            <v>#N/A</v>
          </cell>
          <cell r="F968" t="e">
            <v>#REF!</v>
          </cell>
          <cell r="G968" t="e">
            <v>#N/A</v>
          </cell>
          <cell r="H968" t="str">
            <v>MANFAC - 4</v>
          </cell>
          <cell r="K968" t="str">
            <v>FATURADO</v>
          </cell>
        </row>
        <row r="969">
          <cell r="A969" t="str">
            <v>0226-014139</v>
          </cell>
          <cell r="B969" t="str">
            <v>DP ICARAI 2</v>
          </cell>
          <cell r="C969" t="str">
            <v>Bom dia!
 Solicitamos reparos na calçada em frente a loja pois na data de ontem 23/02/2026 recebemos uma intimação da secretaria de ordem publica de Niterói com 10 dias de tolerância para ser feito.</v>
          </cell>
          <cell r="D969" t="str">
            <v>CIVIL</v>
          </cell>
          <cell r="E969" t="str">
            <v>LIBERADO POR LEANDRO - 21/02/2026</v>
          </cell>
          <cell r="F969" t="e">
            <v>#REF!</v>
          </cell>
          <cell r="G969" t="str">
            <v>AMANDA</v>
          </cell>
          <cell r="I969" t="str">
            <v>MANFAC OBRAS SPOT</v>
          </cell>
          <cell r="J969" t="str">
            <v>LUANA</v>
          </cell>
          <cell r="K969" t="str">
            <v>FATURADO</v>
          </cell>
        </row>
        <row r="970">
          <cell r="A970" t="str">
            <v>0226-011320</v>
          </cell>
          <cell r="B970" t="str">
            <v>DP PRACA DO O</v>
          </cell>
          <cell r="C970" t="str">
            <v>Boa noite, loja com infiltração. Solicitamos o reparo a pedido de Ludmila Leonardo.</v>
          </cell>
          <cell r="D970" t="str">
            <v>TELHADO</v>
          </cell>
          <cell r="F970">
            <v>18919.37</v>
          </cell>
          <cell r="G970" t="str">
            <v>LEANDRO</v>
          </cell>
          <cell r="I970" t="str">
            <v>MANFAC OBRAS REFORMAS</v>
          </cell>
          <cell r="J970" t="str">
            <v>YURI</v>
          </cell>
          <cell r="K970" t="str">
            <v>FATURADO</v>
          </cell>
        </row>
        <row r="971">
          <cell r="A971" t="str">
            <v>0226-011338</v>
          </cell>
          <cell r="B971" t="str">
            <v>DP MARICA 1</v>
          </cell>
          <cell r="C971" t="str">
            <v>Solicito a tapagem,de um buraco que temos no segundo estoque e atrás do paredao de Dermo.
 Buraco do palco,pois estamos enfrentando problemas com ratazanas..
 Loja precisando de desratização, além dessa tapagem.</v>
          </cell>
          <cell r="D971" t="str">
            <v>CIVIL</v>
          </cell>
          <cell r="E971" t="str">
            <v>LIBERADO POR LEANDRO - 19/02/2026</v>
          </cell>
          <cell r="F971" t="e">
            <v>#REF!</v>
          </cell>
          <cell r="G971" t="str">
            <v>AMANDA</v>
          </cell>
          <cell r="I971" t="str">
            <v>MANFAC OBRAS SPOT</v>
          </cell>
          <cell r="K971" t="str">
            <v>PENDENTE FATURAMENTO</v>
          </cell>
        </row>
        <row r="972">
          <cell r="A972" t="str">
            <v>0926-014271</v>
          </cell>
          <cell r="B972" t="str">
            <v>DP BARRA DE SAO JOAO</v>
          </cell>
          <cell r="C972" t="str">
            <v>PINTURA DA FACHADA CAMINHO DO CLIENTE.</v>
          </cell>
          <cell r="D972" t="str">
            <v>CIVIL</v>
          </cell>
          <cell r="F972">
            <v>32272.77</v>
          </cell>
          <cell r="G972" t="str">
            <v>LEANDRO</v>
          </cell>
          <cell r="K972" t="str">
            <v>FECHAR OS</v>
          </cell>
        </row>
        <row r="973">
          <cell r="A973" t="str">
            <v>0226-013174</v>
          </cell>
          <cell r="B973" t="str">
            <v>DP COPACABANA 8</v>
          </cell>
          <cell r="C973" t="str">
            <v>Solicito reparo de vazamento na área de vendas, vazamento do teto para parede, solicito com urgência, medicamentos sendo danificados pelo mesmo.</v>
          </cell>
          <cell r="D973" t="str">
            <v>HIDRAULICA</v>
          </cell>
          <cell r="F973">
            <v>6738.1</v>
          </cell>
          <cell r="G973" t="str">
            <v>LEANDRO</v>
          </cell>
          <cell r="I973" t="str">
            <v>MANFAC OBRAS SPOT</v>
          </cell>
          <cell r="J973" t="str">
            <v>LUANA</v>
          </cell>
          <cell r="K973" t="str">
            <v>PENDENTE FATURAMENTO</v>
          </cell>
        </row>
        <row r="974">
          <cell r="A974" t="str">
            <v>1125-015178</v>
          </cell>
          <cell r="B974" t="str">
            <v>DP IPANEMA 3</v>
          </cell>
          <cell r="C974" t="str">
            <v xml:space="preserve">AR CONDICIONADO </v>
          </cell>
          <cell r="D974" t="str">
            <v>CLIMATIZAÇÃO</v>
          </cell>
          <cell r="E974" t="str">
            <v>LIBERADO POR LEANDRO - 22/01/2026</v>
          </cell>
          <cell r="F974">
            <v>5751</v>
          </cell>
          <cell r="G974" t="str">
            <v>LEANDRO</v>
          </cell>
          <cell r="I974" t="str">
            <v>MANFAC OBRAS SPOT</v>
          </cell>
          <cell r="K974" t="str">
            <v>FATURADO</v>
          </cell>
        </row>
        <row r="975">
          <cell r="A975" t="str">
            <v>0226-012211</v>
          </cell>
          <cell r="B975" t="str">
            <v>DP BUZIOS 2</v>
          </cell>
          <cell r="C975" t="str">
            <v>Filial Buzios 1- 1651 esta totalmente sem energia precisando de ajuda, após o poste ter estourado a filial esta sem energia e apresentando forte cheiro de queimado na filial!
 Pedimos solicitação o mais rapido para essa atrativa</v>
          </cell>
          <cell r="D975" t="str">
            <v>NOBREAK</v>
          </cell>
          <cell r="E975" t="str">
            <v>LIBERADO POR LEANDRO - 18/02/2026</v>
          </cell>
          <cell r="F975" t="e">
            <v>#REF!</v>
          </cell>
          <cell r="G975" t="str">
            <v>LEANDRO</v>
          </cell>
          <cell r="I975" t="str">
            <v>MANFAC OBRAS SPOT</v>
          </cell>
          <cell r="K975" t="str">
            <v>FATURADO</v>
          </cell>
        </row>
        <row r="976">
          <cell r="A976" t="str">
            <v>0226-006406</v>
          </cell>
          <cell r="B976" t="str">
            <v>DP RIO DAS OSTRAS 4</v>
          </cell>
          <cell r="C976" t="str">
            <v>O relógio entrou em curto em contato com a Enel gerou o protocolo: 755494058 previsão de mandar equipe em até 6 horas .</v>
          </cell>
          <cell r="D976" t="str">
            <v>NOBREAK</v>
          </cell>
          <cell r="E976" t="str">
            <v>LIBERADO POR LEANDRO - 19/02/2026</v>
          </cell>
          <cell r="F976" t="e">
            <v>#REF!</v>
          </cell>
          <cell r="G976" t="str">
            <v>LEANDRO</v>
          </cell>
          <cell r="I976" t="str">
            <v>MANFAC OBRAS SPOT</v>
          </cell>
          <cell r="K976" t="str">
            <v>FATURADO</v>
          </cell>
        </row>
        <row r="977">
          <cell r="A977" t="str">
            <v>0125-018935</v>
          </cell>
          <cell r="B977" t="e">
            <v>#N/A</v>
          </cell>
          <cell r="C977" t="e">
            <v>#N/A</v>
          </cell>
          <cell r="D977" t="e">
            <v>#N/A</v>
          </cell>
          <cell r="F977" t="e">
            <v>#REF!</v>
          </cell>
          <cell r="G977" t="e">
            <v>#N/A</v>
          </cell>
          <cell r="H977" t="str">
            <v>CAMPOS</v>
          </cell>
          <cell r="K977" t="str">
            <v>FATURADO</v>
          </cell>
        </row>
        <row r="978">
          <cell r="A978" t="str">
            <v>1124-013596</v>
          </cell>
          <cell r="B978" t="e">
            <v>#N/A</v>
          </cell>
          <cell r="C978" t="e">
            <v>#N/A</v>
          </cell>
          <cell r="D978" t="e">
            <v>#N/A</v>
          </cell>
          <cell r="F978" t="e">
            <v>#REF!</v>
          </cell>
          <cell r="G978" t="e">
            <v>#N/A</v>
          </cell>
          <cell r="H978" t="str">
            <v>MANFAC - 6</v>
          </cell>
          <cell r="K978" t="str">
            <v>FATURADO</v>
          </cell>
        </row>
        <row r="979">
          <cell r="A979" t="str">
            <v>0225-008221</v>
          </cell>
          <cell r="B979" t="e">
            <v>#N/A</v>
          </cell>
          <cell r="C979" t="e">
            <v>#N/A</v>
          </cell>
          <cell r="D979" t="e">
            <v>#N/A</v>
          </cell>
          <cell r="F979" t="e">
            <v>#REF!</v>
          </cell>
          <cell r="G979" t="e">
            <v>#N/A</v>
          </cell>
          <cell r="H979" t="str">
            <v>MANFAC - 6</v>
          </cell>
          <cell r="K979" t="str">
            <v>FATURADO</v>
          </cell>
        </row>
        <row r="980">
          <cell r="A980" t="str">
            <v>0824-006201</v>
          </cell>
          <cell r="B980" t="e">
            <v>#N/A</v>
          </cell>
          <cell r="C980" t="e">
            <v>#N/A</v>
          </cell>
          <cell r="D980" t="e">
            <v>#N/A</v>
          </cell>
          <cell r="F980" t="e">
            <v>#REF!</v>
          </cell>
          <cell r="G980" t="e">
            <v>#N/A</v>
          </cell>
          <cell r="H980" t="str">
            <v>MANFAC - 6</v>
          </cell>
          <cell r="K980" t="str">
            <v>FATURADO</v>
          </cell>
        </row>
        <row r="981">
          <cell r="A981" t="str">
            <v>0225-005892</v>
          </cell>
          <cell r="B981" t="e">
            <v>#N/A</v>
          </cell>
          <cell r="C981" t="e">
            <v>#N/A</v>
          </cell>
          <cell r="D981" t="e">
            <v>#N/A</v>
          </cell>
          <cell r="F981" t="e">
            <v>#REF!</v>
          </cell>
          <cell r="G981" t="e">
            <v>#N/A</v>
          </cell>
          <cell r="H981" t="str">
            <v>MANFAC - 5</v>
          </cell>
          <cell r="K981" t="str">
            <v>FATURADO</v>
          </cell>
        </row>
        <row r="982">
          <cell r="A982" t="str">
            <v>0225-008417</v>
          </cell>
          <cell r="B982" t="e">
            <v>#N/A</v>
          </cell>
          <cell r="C982" t="e">
            <v>#N/A</v>
          </cell>
          <cell r="D982" t="e">
            <v>#N/A</v>
          </cell>
          <cell r="F982" t="e">
            <v>#REF!</v>
          </cell>
          <cell r="G982" t="e">
            <v>#N/A</v>
          </cell>
          <cell r="H982" t="str">
            <v>MANFAC - 6</v>
          </cell>
          <cell r="K982" t="str">
            <v>FATURADO</v>
          </cell>
        </row>
        <row r="983">
          <cell r="A983" t="str">
            <v>0125-012635</v>
          </cell>
          <cell r="B983" t="e">
            <v>#N/A</v>
          </cell>
          <cell r="C983" t="e">
            <v>#N/A</v>
          </cell>
          <cell r="D983" t="e">
            <v>#N/A</v>
          </cell>
          <cell r="F983" t="e">
            <v>#REF!</v>
          </cell>
          <cell r="G983" t="e">
            <v>#N/A</v>
          </cell>
          <cell r="H983" t="str">
            <v>MANFAC - 5</v>
          </cell>
          <cell r="K983" t="str">
            <v>FATURADO</v>
          </cell>
        </row>
        <row r="984">
          <cell r="A984" t="str">
            <v>0126-019726</v>
          </cell>
          <cell r="B984" t="str">
            <v>DP RIO BRANCO</v>
          </cell>
          <cell r="C984" t="str">
            <v>Retirada de adesivos de vitrine , pilastras , paredes e porta que tenha comunicação do Viva saúde ( conforme e-mail )</v>
          </cell>
          <cell r="D984" t="str">
            <v>CIVIL</v>
          </cell>
          <cell r="E984" t="str">
            <v>LIBERADO POR CLAUDIO - 02/02/2026</v>
          </cell>
          <cell r="F984" t="e">
            <v>#REF!</v>
          </cell>
          <cell r="G984" t="str">
            <v>LEANDRO</v>
          </cell>
          <cell r="I984" t="str">
            <v>MANFAC OBRAS SPOT</v>
          </cell>
          <cell r="K984" t="str">
            <v>FATURADO</v>
          </cell>
        </row>
        <row r="985">
          <cell r="A985" t="str">
            <v>0125-016333</v>
          </cell>
          <cell r="B985" t="e">
            <v>#N/A</v>
          </cell>
          <cell r="C985" t="e">
            <v>#N/A</v>
          </cell>
          <cell r="D985" t="e">
            <v>#N/A</v>
          </cell>
          <cell r="F985" t="e">
            <v>#REF!</v>
          </cell>
          <cell r="G985" t="e">
            <v>#N/A</v>
          </cell>
          <cell r="H985" t="str">
            <v>PCM</v>
          </cell>
          <cell r="K985" t="str">
            <v>FATURADO</v>
          </cell>
        </row>
        <row r="986">
          <cell r="A986" t="str">
            <v>0326-020628</v>
          </cell>
          <cell r="B986" t="str">
            <v>DP TRINDADE</v>
          </cell>
          <cell r="C986" t="str">
            <v>Tampa de caixa quebrada no estacionamento,propício a possíveis quedas de veículos e clientes</v>
          </cell>
          <cell r="D986" t="str">
            <v>HIDRAULICA</v>
          </cell>
          <cell r="F986" t="e">
            <v>#REF!</v>
          </cell>
          <cell r="G986" t="str">
            <v>AMANDA</v>
          </cell>
          <cell r="I986" t="str">
            <v>MANFAC OBRAS SPOT</v>
          </cell>
          <cell r="K986" t="str">
            <v>FATURADO</v>
          </cell>
        </row>
        <row r="987">
          <cell r="A987" t="str">
            <v>0126-012998</v>
          </cell>
          <cell r="B987" t="str">
            <v>DP BUZIOS</v>
          </cell>
          <cell r="C987" t="str">
            <v>troca gabinete da cozinha , está quebrado</v>
          </cell>
          <cell r="D987" t="str">
            <v>EQUIPAMENTO</v>
          </cell>
          <cell r="F987" t="e">
            <v>#REF!</v>
          </cell>
          <cell r="G987" t="str">
            <v>LEANDRO</v>
          </cell>
          <cell r="I987" t="str">
            <v>MANFAC OBRAS SPOT</v>
          </cell>
          <cell r="K987" t="str">
            <v>FATURADO</v>
          </cell>
        </row>
        <row r="988">
          <cell r="A988" t="str">
            <v>0125-016406</v>
          </cell>
          <cell r="B988" t="e">
            <v>#N/A</v>
          </cell>
          <cell r="C988" t="e">
            <v>#N/A</v>
          </cell>
          <cell r="D988" t="e">
            <v>#N/A</v>
          </cell>
          <cell r="F988" t="e">
            <v>#REF!</v>
          </cell>
          <cell r="G988" t="e">
            <v>#N/A</v>
          </cell>
          <cell r="H988" t="str">
            <v>PCM</v>
          </cell>
          <cell r="K988" t="str">
            <v>FATURADO</v>
          </cell>
        </row>
        <row r="989">
          <cell r="A989" t="str">
            <v>0125-017928</v>
          </cell>
          <cell r="B989" t="e">
            <v>#N/A</v>
          </cell>
          <cell r="C989" t="e">
            <v>#N/A</v>
          </cell>
          <cell r="D989" t="e">
            <v>#N/A</v>
          </cell>
          <cell r="F989" t="e">
            <v>#REF!</v>
          </cell>
          <cell r="G989" t="e">
            <v>#N/A</v>
          </cell>
          <cell r="H989" t="str">
            <v>PCM</v>
          </cell>
          <cell r="K989" t="str">
            <v>FATURADO</v>
          </cell>
        </row>
        <row r="990">
          <cell r="A990" t="str">
            <v>0125-017931</v>
          </cell>
          <cell r="B990" t="e">
            <v>#N/A</v>
          </cell>
          <cell r="C990" t="e">
            <v>#N/A</v>
          </cell>
          <cell r="D990" t="e">
            <v>#N/A</v>
          </cell>
          <cell r="F990" t="e">
            <v>#REF!</v>
          </cell>
          <cell r="G990" t="e">
            <v>#N/A</v>
          </cell>
          <cell r="H990" t="str">
            <v>PCM</v>
          </cell>
          <cell r="K990" t="str">
            <v>FATURADO</v>
          </cell>
        </row>
        <row r="991">
          <cell r="A991" t="str">
            <v>0426-010911</v>
          </cell>
          <cell r="B991" t="str">
            <v>DP ATAUFO PAIVA 80</v>
          </cell>
          <cell r="C991" t="str">
            <v xml:space="preserve">INSTALAÇÃO DE REPETIDOR DE SINAL </v>
          </cell>
          <cell r="D991" t="str">
            <v>ELETRICA</v>
          </cell>
          <cell r="E991" t="str">
            <v>LIBERADO POR CLAUDIO - 09/03/2026</v>
          </cell>
          <cell r="F991">
            <v>2489.2800000000002</v>
          </cell>
          <cell r="G991" t="str">
            <v>LEANDRO</v>
          </cell>
          <cell r="I991" t="str">
            <v>MANFAC OBRAS SPOT</v>
          </cell>
          <cell r="K991" t="str">
            <v>FATURADO</v>
          </cell>
        </row>
        <row r="992">
          <cell r="A992" t="str">
            <v>0125-017933</v>
          </cell>
          <cell r="B992" t="e">
            <v>#N/A</v>
          </cell>
          <cell r="C992" t="e">
            <v>#N/A</v>
          </cell>
          <cell r="D992" t="e">
            <v>#N/A</v>
          </cell>
          <cell r="F992" t="e">
            <v>#REF!</v>
          </cell>
          <cell r="G992" t="e">
            <v>#N/A</v>
          </cell>
          <cell r="H992" t="str">
            <v>PCM</v>
          </cell>
          <cell r="K992" t="str">
            <v>FATURADO</v>
          </cell>
        </row>
        <row r="993">
          <cell r="A993" t="str">
            <v>1225-013233</v>
          </cell>
          <cell r="B993" t="str">
            <v>DP SAO GONCALO 1</v>
          </cell>
          <cell r="C993" t="str">
            <v>Boa tarde!Técnico de TI esteve no local e identificou que será necessário a troca do cabo de rede do PDV 23.Seguem evidências</v>
          </cell>
          <cell r="D993" t="str">
            <v>CAPEX</v>
          </cell>
          <cell r="E993" t="str">
            <v>LIBERADO POR AMANDA - 28/12/2025</v>
          </cell>
          <cell r="F993" t="e">
            <v>#REF!</v>
          </cell>
          <cell r="G993" t="str">
            <v>AMANDA</v>
          </cell>
          <cell r="K993" t="str">
            <v>CANCELADO</v>
          </cell>
        </row>
        <row r="994">
          <cell r="A994" t="str">
            <v>1225-007779</v>
          </cell>
          <cell r="B994" t="e">
            <v>#N/A</v>
          </cell>
          <cell r="C994" t="e">
            <v>#N/A</v>
          </cell>
          <cell r="D994" t="e">
            <v>#N/A</v>
          </cell>
          <cell r="E994" t="str">
            <v>LIBERADO POR JUAN - 10/01/2026</v>
          </cell>
          <cell r="F994" t="e">
            <v>#REF!</v>
          </cell>
          <cell r="G994" t="e">
            <v>#N/A</v>
          </cell>
          <cell r="I994" t="str">
            <v>MANFAC OBRAS SPOT</v>
          </cell>
          <cell r="K994" t="str">
            <v>FATURADO</v>
          </cell>
        </row>
        <row r="995">
          <cell r="A995" t="str">
            <v>0526-012573</v>
          </cell>
          <cell r="B995" t="str">
            <v>DP CATETE 2</v>
          </cell>
          <cell r="C995" t="str">
            <v>SOLICITO SUPORTE URGENTE POIS A PORTA DE AÇO NÃO ESTÁ DESCENDO.</v>
          </cell>
          <cell r="D995" t="str">
            <v>SERRALHERIA</v>
          </cell>
          <cell r="F995" t="e">
            <v>#REF!</v>
          </cell>
          <cell r="G995" t="str">
            <v>LEANDRO</v>
          </cell>
          <cell r="I995" t="str">
            <v>MANFAC OBRAS SPOT</v>
          </cell>
          <cell r="K995" t="str">
            <v>FATURADO</v>
          </cell>
        </row>
        <row r="996">
          <cell r="A996" t="str">
            <v>1225-013589</v>
          </cell>
          <cell r="B996" t="str">
            <v>DP ICARAI 4</v>
          </cell>
          <cell r="C996" t="str">
            <v>salão de loja se encontra cheio da agua
 vazamento vindo da bomba d'água</v>
          </cell>
          <cell r="D996" t="str">
            <v>HIDRAULICA</v>
          </cell>
          <cell r="F996" t="e">
            <v>#REF!</v>
          </cell>
          <cell r="G996" t="str">
            <v>AMANDA</v>
          </cell>
          <cell r="I996" t="str">
            <v>MANFAC OBRAS SPOT</v>
          </cell>
          <cell r="K996" t="str">
            <v>FATURADO</v>
          </cell>
        </row>
        <row r="997">
          <cell r="A997" t="str">
            <v>0326-013605</v>
          </cell>
          <cell r="B997" t="str">
            <v>DP PIABETA 1</v>
          </cell>
          <cell r="C997" t="str">
            <v>ola boa tarde solicito caminhao pipa pois a loja ta sem agua</v>
          </cell>
          <cell r="D997" t="str">
            <v>HIDRAULICA</v>
          </cell>
          <cell r="E997" t="str">
            <v>LIBERADO POR AMANDA - 16/03/2026</v>
          </cell>
          <cell r="F997" t="e">
            <v>#REF!</v>
          </cell>
          <cell r="G997" t="str">
            <v>AMANDA</v>
          </cell>
          <cell r="I997" t="str">
            <v>MANFAC OBRAS SPOT</v>
          </cell>
          <cell r="K997" t="str">
            <v>FATURADO</v>
          </cell>
        </row>
        <row r="998">
          <cell r="A998" t="str">
            <v>0125-017934</v>
          </cell>
          <cell r="B998" t="e">
            <v>#N/A</v>
          </cell>
          <cell r="C998" t="e">
            <v>#N/A</v>
          </cell>
          <cell r="D998" t="e">
            <v>#N/A</v>
          </cell>
          <cell r="F998" t="e">
            <v>#REF!</v>
          </cell>
          <cell r="G998" t="e">
            <v>#N/A</v>
          </cell>
          <cell r="H998" t="str">
            <v>PCM</v>
          </cell>
          <cell r="K998" t="str">
            <v>FATURADO</v>
          </cell>
        </row>
        <row r="999">
          <cell r="A999" t="str">
            <v>0326-016600</v>
          </cell>
          <cell r="B999" t="str">
            <v>DP PIABETA 1</v>
          </cell>
          <cell r="C999" t="str">
            <v>olá, caros!
 Bom dia.
 Estamos sem agua na filial! Solicito caminhão pipa.</v>
          </cell>
          <cell r="D999" t="str">
            <v>HIDRAULICA</v>
          </cell>
          <cell r="E999" t="str">
            <v>SOLICITADO POR AMANDA - 21/03/2026</v>
          </cell>
          <cell r="F999" t="e">
            <v>#REF!</v>
          </cell>
          <cell r="G999" t="str">
            <v>AMANDA</v>
          </cell>
          <cell r="I999" t="str">
            <v>MANFAC OBRAS SPOT</v>
          </cell>
          <cell r="K999" t="str">
            <v>FATURADO</v>
          </cell>
        </row>
        <row r="1000">
          <cell r="A1000" t="str">
            <v>0225-005994</v>
          </cell>
          <cell r="B1000" t="e">
            <v>#N/A</v>
          </cell>
          <cell r="C1000" t="e">
            <v>#N/A</v>
          </cell>
          <cell r="D1000" t="e">
            <v>#N/A</v>
          </cell>
          <cell r="F1000" t="e">
            <v>#REF!</v>
          </cell>
          <cell r="G1000" t="e">
            <v>#N/A</v>
          </cell>
          <cell r="H1000" t="str">
            <v>MANFAC - 6</v>
          </cell>
          <cell r="K1000" t="str">
            <v>FATURADO</v>
          </cell>
        </row>
        <row r="1001">
          <cell r="A1001" t="str">
            <v>0225-005363</v>
          </cell>
          <cell r="B1001" t="e">
            <v>#N/A</v>
          </cell>
          <cell r="C1001" t="e">
            <v>#N/A</v>
          </cell>
          <cell r="D1001" t="e">
            <v>#N/A</v>
          </cell>
          <cell r="F1001" t="e">
            <v>#REF!</v>
          </cell>
          <cell r="G1001" t="e">
            <v>#N/A</v>
          </cell>
          <cell r="H1001" t="str">
            <v>PCM</v>
          </cell>
          <cell r="K1001" t="str">
            <v>FATURADO</v>
          </cell>
        </row>
        <row r="1002">
          <cell r="A1002" t="str">
            <v>0226-007884</v>
          </cell>
          <cell r="B1002" t="str">
            <v>DP SENADOR DANTAS 1</v>
          </cell>
          <cell r="C1002" t="str">
            <v>Solicito a substituição de 04 suportes dos monitores do balcão, os mesmos estão quebrados sem possibilidade de reparo. Peço prioridade tendo em vista que 02 deles estão escorados com papelão, inclusive houve ocorrência em que no momento do atendimento o monitor caiu causando transtorno e péssima experiência ao cliente.</v>
          </cell>
          <cell r="D1002" t="str">
            <v>SERRALHERIA</v>
          </cell>
          <cell r="E1002" t="str">
            <v>LIBERADO POR LEANDRO - 10/03/2026</v>
          </cell>
          <cell r="F1002" t="e">
            <v>#REF!</v>
          </cell>
          <cell r="G1002" t="str">
            <v>LEANDRO</v>
          </cell>
          <cell r="I1002" t="str">
            <v>MANFAC OBRAS SPOT</v>
          </cell>
          <cell r="K1002" t="str">
            <v>FATURADO</v>
          </cell>
        </row>
        <row r="1003">
          <cell r="A1003" t="str">
            <v>0225-008193</v>
          </cell>
          <cell r="B1003" t="e">
            <v>#N/A</v>
          </cell>
          <cell r="C1003" t="e">
            <v>#N/A</v>
          </cell>
          <cell r="D1003" t="e">
            <v>#N/A</v>
          </cell>
          <cell r="F1003" t="e">
            <v>#REF!</v>
          </cell>
          <cell r="G1003" t="e">
            <v>#N/A</v>
          </cell>
          <cell r="H1003" t="str">
            <v>MANFAC - 5</v>
          </cell>
          <cell r="K1003" t="str">
            <v>FATURADO</v>
          </cell>
        </row>
        <row r="1004">
          <cell r="A1004" t="str">
            <v>0924-008245</v>
          </cell>
          <cell r="B1004" t="e">
            <v>#N/A</v>
          </cell>
          <cell r="C1004" t="e">
            <v>#N/A</v>
          </cell>
          <cell r="D1004" t="e">
            <v>#N/A</v>
          </cell>
          <cell r="F1004" t="e">
            <v>#REF!</v>
          </cell>
          <cell r="G1004" t="e">
            <v>#N/A</v>
          </cell>
          <cell r="H1004" t="str">
            <v>MANFAC - 4</v>
          </cell>
          <cell r="K1004" t="str">
            <v>FATURADO</v>
          </cell>
        </row>
        <row r="1005">
          <cell r="A1005" t="str">
            <v>0226-009520</v>
          </cell>
          <cell r="B1005" t="str">
            <v>DP BOTAFOGO 10</v>
          </cell>
          <cell r="C1005" t="str">
            <v>Solicito reparo na estrutura metálica do canteiro do estacionamento.</v>
          </cell>
          <cell r="D1005" t="str">
            <v>SERRALHERIA</v>
          </cell>
          <cell r="E1005" t="str">
            <v>LIBERADO POR LEANDRO - 25/02/2026</v>
          </cell>
          <cell r="F1005" t="e">
            <v>#REF!</v>
          </cell>
          <cell r="G1005" t="str">
            <v>LEANDRO</v>
          </cell>
          <cell r="I1005" t="str">
            <v>MANFAC OBRAS SPOT</v>
          </cell>
          <cell r="K1005" t="str">
            <v>FATURADO</v>
          </cell>
        </row>
        <row r="1006">
          <cell r="A1006" t="str">
            <v>0226-014989</v>
          </cell>
          <cell r="B1006" t="str">
            <v>DP BAIRRO DE FATIMA</v>
          </cell>
          <cell r="C1006" t="str">
            <v>Boa tarde!
 Forro do estoque caiu .</v>
          </cell>
          <cell r="D1006" t="str">
            <v>TELHADO</v>
          </cell>
          <cell r="F1006">
            <v>28520.46</v>
          </cell>
          <cell r="G1006" t="str">
            <v>LEANDRO</v>
          </cell>
          <cell r="I1006" t="str">
            <v>MANFAC OBRAS REFORMAS</v>
          </cell>
          <cell r="J1006" t="str">
            <v>LUANA</v>
          </cell>
          <cell r="K1006" t="str">
            <v>FATURADO</v>
          </cell>
        </row>
        <row r="1007">
          <cell r="A1007" t="str">
            <v>0125-014395</v>
          </cell>
          <cell r="B1007" t="e">
            <v>#N/A</v>
          </cell>
          <cell r="C1007" t="e">
            <v>#N/A</v>
          </cell>
          <cell r="D1007" t="e">
            <v>#N/A</v>
          </cell>
          <cell r="F1007" t="e">
            <v>#REF!</v>
          </cell>
          <cell r="G1007" t="e">
            <v>#N/A</v>
          </cell>
          <cell r="H1007" t="str">
            <v>MANFAC - 2</v>
          </cell>
          <cell r="K1007" t="str">
            <v>FATURADO</v>
          </cell>
        </row>
        <row r="1008">
          <cell r="A1008" t="str">
            <v>0226-008471</v>
          </cell>
          <cell r="B1008" t="str">
            <v>DP COPACABANA 6</v>
          </cell>
          <cell r="C1008" t="str">
            <v>Solicito troca de suporte de dois pdvs do balcão.</v>
          </cell>
          <cell r="D1008" t="str">
            <v>EQUIPAMENTO</v>
          </cell>
          <cell r="F1008" t="e">
            <v>#REF!</v>
          </cell>
          <cell r="G1008" t="str">
            <v>LEANDRO</v>
          </cell>
          <cell r="I1008" t="str">
            <v>MANFAC OBRAS SPOT</v>
          </cell>
          <cell r="K1008" t="str">
            <v>FATURADO</v>
          </cell>
        </row>
        <row r="1009">
          <cell r="A1009" t="str">
            <v>0126-020681</v>
          </cell>
          <cell r="B1009" t="str">
            <v>DP BOTAFOGO 6</v>
          </cell>
          <cell r="C1009" t="str">
            <v>Boa tarde!
 Solicito que seja feito a desratização na filial.
 Pois já faz alguns meses que tivemos a desratização na loja.</v>
          </cell>
          <cell r="D1009" t="str">
            <v>DEDETIZAÇÃO</v>
          </cell>
          <cell r="F1009" t="e">
            <v>#REF!</v>
          </cell>
          <cell r="G1009" t="str">
            <v>LEANDRO</v>
          </cell>
          <cell r="I1009" t="str">
            <v>MANFAC OBRAS SPOT</v>
          </cell>
          <cell r="K1009" t="str">
            <v>FATURADO</v>
          </cell>
        </row>
        <row r="1010">
          <cell r="A1010" t="str">
            <v>0326-015062</v>
          </cell>
          <cell r="B1010" t="str">
            <v>DP SENADOR DANTAS 1</v>
          </cell>
          <cell r="C1010" t="str">
            <v>Porta automática da entrada principal fechando sozinha sem acionamento do controle remoto.</v>
          </cell>
          <cell r="D1010" t="str">
            <v>SERRALHERIA</v>
          </cell>
          <cell r="E1010" t="str">
            <v>LIBERADO POR RAFAEL BENEDITO - 19/03/2026</v>
          </cell>
          <cell r="F1010" t="e">
            <v>#REF!</v>
          </cell>
          <cell r="G1010" t="str">
            <v>LEANDRO</v>
          </cell>
          <cell r="I1010" t="str">
            <v>MANFAC OBRAS SPOT</v>
          </cell>
          <cell r="K1010" t="str">
            <v>FATURADO</v>
          </cell>
        </row>
        <row r="1011">
          <cell r="A1011" t="str">
            <v>0326-009215</v>
          </cell>
          <cell r="B1011" t="str">
            <v>DP GLORIA</v>
          </cell>
          <cell r="C1011" t="str">
            <v>Solicito instalação de uma tomada 220:v na cozinha, pois estamos usando o microondas emprestado de outra filial na sala de treinamentos porque não tem tomada 220v na cozinha da filial.</v>
          </cell>
          <cell r="D1011" t="str">
            <v>ELETRICA</v>
          </cell>
          <cell r="E1011" t="str">
            <v>MANFAC 5</v>
          </cell>
          <cell r="F1011" t="e">
            <v>#REF!</v>
          </cell>
          <cell r="G1011" t="str">
            <v>LEANDRO</v>
          </cell>
          <cell r="I1011" t="str">
            <v>MANFAC OBRAS SPOT</v>
          </cell>
          <cell r="K1011" t="str">
            <v>PENDENTE FATURAMENTO</v>
          </cell>
        </row>
        <row r="1012">
          <cell r="A1012" t="str">
            <v>0326-009444</v>
          </cell>
          <cell r="B1012" t="str">
            <v>DP PETROPOLIS 2</v>
          </cell>
          <cell r="C1012" t="str">
            <v>Bom dia! Solicito troca do do tambor da porta de vidro.</v>
          </cell>
          <cell r="D1012" t="str">
            <v>SERRALHERIA</v>
          </cell>
          <cell r="F1012" t="e">
            <v>#REF!</v>
          </cell>
          <cell r="G1012" t="str">
            <v>AMANDA</v>
          </cell>
          <cell r="K1012" t="str">
            <v>PENDENTE FATURAMENTO</v>
          </cell>
        </row>
        <row r="1013">
          <cell r="A1013" t="str">
            <v>0425-014086</v>
          </cell>
          <cell r="B1013" t="e">
            <v>#N/A</v>
          </cell>
          <cell r="C1013" t="e">
            <v>#N/A</v>
          </cell>
          <cell r="D1013" t="e">
            <v>#N/A</v>
          </cell>
          <cell r="F1013" t="e">
            <v>#REF!</v>
          </cell>
          <cell r="G1013" t="e">
            <v>#N/A</v>
          </cell>
          <cell r="I1013" t="str">
            <v>MANFAC OBRAS SPOT</v>
          </cell>
          <cell r="K1013" t="str">
            <v>FATURADO</v>
          </cell>
        </row>
        <row r="1014">
          <cell r="A1014" t="str">
            <v>0326-010522</v>
          </cell>
          <cell r="B1014" t="str">
            <v>DP ICARAI 5</v>
          </cell>
          <cell r="C1014" t="str">
            <v>Solicito reparo da porta principal, filial foi invadida e danificou a porta impossibilitando a abertura.</v>
          </cell>
          <cell r="D1014" t="str">
            <v>SERRALHERIA</v>
          </cell>
          <cell r="E1014" t="str">
            <v>LIBERADO POR AMANDA - 07/03/2026</v>
          </cell>
          <cell r="F1014" t="e">
            <v>#REF!</v>
          </cell>
          <cell r="G1014" t="str">
            <v>AMANDA</v>
          </cell>
          <cell r="I1014" t="str">
            <v>MANFAC OBRAS SPOT</v>
          </cell>
          <cell r="K1014" t="str">
            <v>PENDENTE FATURAMENTO</v>
          </cell>
        </row>
        <row r="1015">
          <cell r="A1015" t="str">
            <v>0125-010734</v>
          </cell>
          <cell r="B1015" t="e">
            <v>#N/A</v>
          </cell>
          <cell r="C1015" t="e">
            <v>#N/A</v>
          </cell>
          <cell r="D1015" t="e">
            <v>#N/A</v>
          </cell>
          <cell r="F1015" t="e">
            <v>#REF!</v>
          </cell>
          <cell r="G1015" t="e">
            <v>#N/A</v>
          </cell>
          <cell r="H1015" t="str">
            <v>MANFAC - 4</v>
          </cell>
          <cell r="K1015" t="str">
            <v>FATURADO</v>
          </cell>
        </row>
        <row r="1016">
          <cell r="A1016" t="str">
            <v>0326-019052</v>
          </cell>
          <cell r="B1016" t="str">
            <v>DP SAO FRANCISCO 2</v>
          </cell>
          <cell r="C1016" t="str">
            <v>Filial sem água.</v>
          </cell>
          <cell r="D1016" t="str">
            <v>HIDRAULICA</v>
          </cell>
          <cell r="E1016" t="str">
            <v>LIBERADO POR AMANDA  - 26/03/2026</v>
          </cell>
          <cell r="F1016" t="e">
            <v>#REF!</v>
          </cell>
          <cell r="G1016" t="str">
            <v>AMANDA</v>
          </cell>
          <cell r="I1016" t="str">
            <v>MANFAC OBRAS SPOT</v>
          </cell>
          <cell r="K1016" t="str">
            <v>FATURADO</v>
          </cell>
        </row>
        <row r="1017">
          <cell r="A1017" t="str">
            <v>0426-009622</v>
          </cell>
          <cell r="B1017" t="str">
            <v>NITEROI 15</v>
          </cell>
          <cell r="C1017" t="str">
            <v>Estamos sem água na loja! Acredito que seja algum problema na bomba. Solicito que deem prioridade!</v>
          </cell>
          <cell r="D1017" t="str">
            <v>HIDRAULICA</v>
          </cell>
          <cell r="E1017" t="str">
            <v>LIBERADO POR AMANDA - 08/04/2026</v>
          </cell>
          <cell r="F1017" t="e">
            <v>#REF!</v>
          </cell>
          <cell r="G1017" t="e">
            <v>#N/A</v>
          </cell>
          <cell r="I1017" t="str">
            <v>MANFAC OBRAS SPOT</v>
          </cell>
          <cell r="K1017" t="str">
            <v>FATURADO</v>
          </cell>
        </row>
        <row r="1018">
          <cell r="A1018" t="str">
            <v>0126-016021</v>
          </cell>
          <cell r="B1018" t="str">
            <v>DP BARRA DA TIJUCA 10</v>
          </cell>
          <cell r="C1018" t="str">
            <v>Pia da sala de serviços farmacêuticos com muitos pontos de ferrugem</v>
          </cell>
          <cell r="D1018" t="str">
            <v>EQUIPAMENTO</v>
          </cell>
          <cell r="F1018" t="e">
            <v>#REF!</v>
          </cell>
          <cell r="G1018" t="str">
            <v>LEANDRO</v>
          </cell>
          <cell r="I1018" t="str">
            <v>MANFAC OBRAS SPOT</v>
          </cell>
          <cell r="K1018" t="str">
            <v>FATURADO</v>
          </cell>
        </row>
        <row r="1019">
          <cell r="A1019" t="str">
            <v>0124-015677</v>
          </cell>
          <cell r="B1019" t="e">
            <v>#N/A</v>
          </cell>
          <cell r="C1019" t="e">
            <v>#N/A</v>
          </cell>
          <cell r="D1019" t="e">
            <v>#N/A</v>
          </cell>
          <cell r="F1019">
            <v>0</v>
          </cell>
          <cell r="G1019" t="e">
            <v>#N/A</v>
          </cell>
          <cell r="H1019" t="str">
            <v>MANFAC - 4</v>
          </cell>
          <cell r="K1019" t="str">
            <v>FATURADO</v>
          </cell>
        </row>
        <row r="1020">
          <cell r="A1020" t="str">
            <v>0126-009556</v>
          </cell>
          <cell r="B1020" t="str">
            <v>DP BOTAFOGO 2</v>
          </cell>
          <cell r="C1020" t="str">
            <v>Sala de psicotrópicos está com vazamento</v>
          </cell>
          <cell r="D1020" t="str">
            <v>TELHADO</v>
          </cell>
          <cell r="E1020" t="str">
            <v>LIBERADO POR LEANDRO - 25/02/2026</v>
          </cell>
          <cell r="F1020" t="e">
            <v>#REF!</v>
          </cell>
          <cell r="G1020" t="str">
            <v>LEANDRO</v>
          </cell>
          <cell r="I1020" t="str">
            <v>MANFAC OBRAS SPOT</v>
          </cell>
          <cell r="K1020" t="str">
            <v>FATURADO</v>
          </cell>
        </row>
        <row r="1021">
          <cell r="A1021" t="str">
            <v>0326-012005</v>
          </cell>
          <cell r="B1021" t="str">
            <v>DP CATETE 5</v>
          </cell>
          <cell r="C1021" t="str">
            <v>Boa tarde, solicito um caminhao pipa, pois estamos em agua na loja</v>
          </cell>
          <cell r="D1021" t="str">
            <v>HIDRAULICA</v>
          </cell>
          <cell r="E1021" t="str">
            <v>LIBERADO POR LENADRO - 05/03/2026</v>
          </cell>
          <cell r="F1021" t="e">
            <v>#REF!</v>
          </cell>
          <cell r="G1021" t="str">
            <v>LEANDRO</v>
          </cell>
          <cell r="I1021" t="str">
            <v>MANFAC OBRAS SPOT</v>
          </cell>
          <cell r="K1021" t="str">
            <v>FATURADO</v>
          </cell>
        </row>
        <row r="1022">
          <cell r="A1022" t="str">
            <v>0326-012985</v>
          </cell>
          <cell r="B1022" t="str">
            <v>DP FLAMENGO</v>
          </cell>
          <cell r="C1022" t="str">
            <v>Estamos sem água na loja,
 Precisamos de caminhão pipa para o funcionamento da loja, temos 10 caixas e todas estão vazias.</v>
          </cell>
          <cell r="D1022" t="str">
            <v>HIDRAULICA</v>
          </cell>
          <cell r="E1022" t="str">
            <v>LIBERADO POR LEANDRO - 13/03/2026</v>
          </cell>
          <cell r="F1022" t="e">
            <v>#REF!</v>
          </cell>
          <cell r="G1022" t="str">
            <v>LEANDRO</v>
          </cell>
          <cell r="I1022" t="str">
            <v>MANFAC OBRAS SPOT</v>
          </cell>
          <cell r="K1022" t="str">
            <v>FATURADO</v>
          </cell>
        </row>
        <row r="1023">
          <cell r="A1023" t="str">
            <v>0326-012881</v>
          </cell>
          <cell r="B1023" t="str">
            <v>DP FLAMENGO 2</v>
          </cell>
          <cell r="C1023" t="str">
            <v>Prezados informo que a loja se encontra sem agua, por informações apuradas por nós, está assim na rua inteira.
 Solicito apoio se possível com o envio de um caminhão pipa.</v>
          </cell>
          <cell r="D1023" t="str">
            <v>HIDRAULICA</v>
          </cell>
          <cell r="E1023" t="str">
            <v>LIBERADO POR LEANDRO - 12/03/2026</v>
          </cell>
          <cell r="F1023" t="e">
            <v>#REF!</v>
          </cell>
          <cell r="G1023" t="str">
            <v>LEANDRO</v>
          </cell>
          <cell r="I1023" t="str">
            <v>MANFAC OBRAS SPOT</v>
          </cell>
          <cell r="K1023" t="str">
            <v>FATURADO</v>
          </cell>
        </row>
        <row r="1024">
          <cell r="A1024" t="str">
            <v>0125-012526</v>
          </cell>
          <cell r="B1024" t="e">
            <v>#N/A</v>
          </cell>
          <cell r="C1024" t="e">
            <v>#N/A</v>
          </cell>
          <cell r="D1024" t="e">
            <v>#N/A</v>
          </cell>
          <cell r="F1024" t="e">
            <v>#REF!</v>
          </cell>
          <cell r="G1024" t="e">
            <v>#N/A</v>
          </cell>
          <cell r="H1024" t="str">
            <v>PCM</v>
          </cell>
          <cell r="K1024" t="str">
            <v>FATURADO</v>
          </cell>
        </row>
        <row r="1025">
          <cell r="A1025" t="str">
            <v>CD-DUTRA-1</v>
          </cell>
          <cell r="B1025" t="e">
            <v>#N/A</v>
          </cell>
          <cell r="C1025" t="e">
            <v>#N/A</v>
          </cell>
          <cell r="D1025" t="e">
            <v>#N/A</v>
          </cell>
          <cell r="F1025">
            <v>48000</v>
          </cell>
          <cell r="G1025" t="e">
            <v>#N/A</v>
          </cell>
          <cell r="H1025" t="str">
            <v>PCM</v>
          </cell>
          <cell r="K1025" t="str">
            <v>FATURADO</v>
          </cell>
        </row>
        <row r="1026">
          <cell r="A1026" t="str">
            <v>0524-011157</v>
          </cell>
          <cell r="B1026" t="e">
            <v>#N/A</v>
          </cell>
          <cell r="C1026" t="e">
            <v>#N/A</v>
          </cell>
          <cell r="D1026" t="e">
            <v>#N/A</v>
          </cell>
          <cell r="F1026" t="e">
            <v>#REF!</v>
          </cell>
          <cell r="G1026" t="e">
            <v>#N/A</v>
          </cell>
          <cell r="H1026" t="str">
            <v>MANFAC - 2</v>
          </cell>
          <cell r="K1026" t="str">
            <v>FATURADO</v>
          </cell>
        </row>
        <row r="1027">
          <cell r="A1027" t="str">
            <v>1224-005919</v>
          </cell>
          <cell r="B1027" t="e">
            <v>#N/A</v>
          </cell>
          <cell r="C1027" t="e">
            <v>#N/A</v>
          </cell>
          <cell r="D1027" t="e">
            <v>#N/A</v>
          </cell>
          <cell r="F1027" t="e">
            <v>#REF!</v>
          </cell>
          <cell r="G1027" t="e">
            <v>#N/A</v>
          </cell>
          <cell r="H1027" t="str">
            <v>MANFAC - 6</v>
          </cell>
          <cell r="K1027" t="str">
            <v>FATURADO</v>
          </cell>
        </row>
        <row r="1028">
          <cell r="A1028" t="str">
            <v>0326-018488</v>
          </cell>
          <cell r="B1028" t="str">
            <v>DP GLORIA</v>
          </cell>
          <cell r="C1028" t="str">
            <v>TRANSPORTE DE GELADEIRA</v>
          </cell>
          <cell r="D1028" t="str">
            <v>TRANSPORTE</v>
          </cell>
          <cell r="E1028" t="str">
            <v>LIBERADO POR LEANDRO - 07/03/2026</v>
          </cell>
          <cell r="F1028" t="e">
            <v>#REF!</v>
          </cell>
          <cell r="G1028" t="str">
            <v>LEANDRO</v>
          </cell>
          <cell r="I1028" t="str">
            <v>MANFAC OBRAS SPOT</v>
          </cell>
          <cell r="K1028" t="str">
            <v>FATURADO</v>
          </cell>
        </row>
        <row r="1029">
          <cell r="A1029" t="str">
            <v>0125-010301</v>
          </cell>
          <cell r="B1029" t="e">
            <v>#N/A</v>
          </cell>
          <cell r="C1029" t="e">
            <v>#N/A</v>
          </cell>
          <cell r="D1029" t="e">
            <v>#N/A</v>
          </cell>
          <cell r="F1029" t="e">
            <v>#REF!</v>
          </cell>
          <cell r="G1029" t="e">
            <v>#N/A</v>
          </cell>
          <cell r="H1029" t="str">
            <v>MANFAC - 4</v>
          </cell>
          <cell r="K1029" t="str">
            <v>FATURADO</v>
          </cell>
        </row>
        <row r="1030">
          <cell r="A1030" t="str">
            <v>1224-008199</v>
          </cell>
          <cell r="B1030" t="e">
            <v>#N/A</v>
          </cell>
          <cell r="C1030" t="e">
            <v>#N/A</v>
          </cell>
          <cell r="D1030" t="e">
            <v>#N/A</v>
          </cell>
          <cell r="F1030" t="e">
            <v>#REF!</v>
          </cell>
          <cell r="G1030" t="e">
            <v>#N/A</v>
          </cell>
          <cell r="H1030" t="str">
            <v>MANFAC - 4</v>
          </cell>
          <cell r="K1030" t="str">
            <v>FATURADO</v>
          </cell>
        </row>
        <row r="1031">
          <cell r="A1031" t="str">
            <v>1124-013441</v>
          </cell>
          <cell r="B1031" t="e">
            <v>#N/A</v>
          </cell>
          <cell r="C1031" t="e">
            <v>#N/A</v>
          </cell>
          <cell r="D1031" t="e">
            <v>#N/A</v>
          </cell>
          <cell r="F1031" t="e">
            <v>#REF!</v>
          </cell>
          <cell r="G1031" t="e">
            <v>#N/A</v>
          </cell>
          <cell r="H1031" t="str">
            <v>MANFAC - 6</v>
          </cell>
          <cell r="K1031" t="str">
            <v>FATURADO</v>
          </cell>
        </row>
        <row r="1032">
          <cell r="A1032" t="str">
            <v>1224-006744</v>
          </cell>
          <cell r="B1032" t="e">
            <v>#N/A</v>
          </cell>
          <cell r="C1032" t="e">
            <v>#N/A</v>
          </cell>
          <cell r="D1032" t="e">
            <v>#N/A</v>
          </cell>
          <cell r="F1032" t="e">
            <v>#REF!</v>
          </cell>
          <cell r="G1032" t="e">
            <v>#N/A</v>
          </cell>
          <cell r="H1032" t="str">
            <v>MANFAC - 4 / DIEGO</v>
          </cell>
          <cell r="K1032" t="str">
            <v>FATURADO</v>
          </cell>
        </row>
        <row r="1033">
          <cell r="A1033" t="str">
            <v>0426-006402</v>
          </cell>
          <cell r="B1033" t="str">
            <v>DP LEBLON 4</v>
          </cell>
          <cell r="C1033" t="str">
            <v>Boa tarde a loja esta sem agua desde ontem a tarde solicito reparo</v>
          </cell>
          <cell r="D1033" t="str">
            <v>HIDRAULICA</v>
          </cell>
          <cell r="E1033" t="str">
            <v>LIBERADO POR LEANDRO - 02/04/2026</v>
          </cell>
          <cell r="F1033" t="e">
            <v>#REF!</v>
          </cell>
          <cell r="G1033" t="str">
            <v>LEANDRO</v>
          </cell>
          <cell r="I1033" t="str">
            <v>MANFAC OBRAS SPOT</v>
          </cell>
          <cell r="K1033" t="str">
            <v>FATURADO</v>
          </cell>
        </row>
        <row r="1034">
          <cell r="A1034" t="str">
            <v>0426-008082</v>
          </cell>
          <cell r="B1034" t="str">
            <v>DP RECREIO 7</v>
          </cell>
          <cell r="C1034" t="str">
            <v>Boa noite,
 Filial sem agua;
 Consegue me ajudar?
 Att. Ronan</v>
          </cell>
          <cell r="D1034" t="str">
            <v>HIDRAULICA</v>
          </cell>
          <cell r="E1034" t="str">
            <v>LIBERADOR POR JUAN - 06/04/2026</v>
          </cell>
          <cell r="F1034" t="e">
            <v>#REF!</v>
          </cell>
          <cell r="G1034" t="str">
            <v>JUAN</v>
          </cell>
          <cell r="I1034" t="str">
            <v>MANFAC OBRAS SPOT</v>
          </cell>
          <cell r="K1034" t="str">
            <v>FATURADO</v>
          </cell>
        </row>
        <row r="1035">
          <cell r="A1035" t="str">
            <v>0426-013409</v>
          </cell>
          <cell r="B1035" t="str">
            <v>DP RECREIO 8</v>
          </cell>
          <cell r="C1035" t="str">
            <v>Solicitação de caminhão pipa</v>
          </cell>
          <cell r="D1035" t="str">
            <v>HIDRAULICA</v>
          </cell>
          <cell r="E1035" t="str">
            <v>LIBERADO POR JUAN - 17/04/2026</v>
          </cell>
          <cell r="F1035" t="e">
            <v>#REF!</v>
          </cell>
          <cell r="G1035" t="str">
            <v>JUAN</v>
          </cell>
          <cell r="I1035" t="str">
            <v>MANFAC OBRAS SPOT</v>
          </cell>
          <cell r="K1035" t="str">
            <v>FATURADO</v>
          </cell>
        </row>
        <row r="1036">
          <cell r="A1036" t="str">
            <v>0526-012805</v>
          </cell>
          <cell r="B1036" t="str">
            <v>DP PEDRA DE GUARATIBA</v>
          </cell>
          <cell r="C1036" t="str">
            <v>falta de água na filial, solicito caminhão pipa</v>
          </cell>
          <cell r="D1036" t="str">
            <v>HIDRAULICA</v>
          </cell>
          <cell r="E1036" t="str">
            <v>SOLICITADO POR JUAN - 12/05/2026</v>
          </cell>
          <cell r="F1036" t="e">
            <v>#REF!</v>
          </cell>
          <cell r="G1036" t="str">
            <v>JUAN</v>
          </cell>
          <cell r="I1036" t="str">
            <v>MANFAC OBRAS SPOT</v>
          </cell>
          <cell r="K1036" t="str">
            <v>FATURADO</v>
          </cell>
        </row>
        <row r="1037">
          <cell r="A1037" t="str">
            <v>0326-015812</v>
          </cell>
          <cell r="B1037" t="str">
            <v>DP URUGUAIANA</v>
          </cell>
          <cell r="C1037" t="str">
            <v>SOLICITO SUPORTE URGENTE PARA A FILIAL QUE ESTAMOS SEM NERNHUM ABASTECIMENTO NA FILIAL</v>
          </cell>
          <cell r="D1037" t="str">
            <v>HIDRAULICA</v>
          </cell>
          <cell r="E1037" t="str">
            <v>SOLICITADO POR RAPHAEL BENEDITO - 19/03/2026</v>
          </cell>
          <cell r="F1037" t="e">
            <v>#REF!</v>
          </cell>
          <cell r="G1037" t="str">
            <v>LEANDRO</v>
          </cell>
          <cell r="I1037" t="str">
            <v>MANFAC OBRAS SPOT</v>
          </cell>
          <cell r="K1037" t="str">
            <v>FATURADO</v>
          </cell>
        </row>
        <row r="1038">
          <cell r="A1038" t="str">
            <v>0125-011695</v>
          </cell>
          <cell r="B1038" t="e">
            <v>#N/A</v>
          </cell>
          <cell r="C1038" t="e">
            <v>#N/A</v>
          </cell>
          <cell r="D1038" t="e">
            <v>#N/A</v>
          </cell>
          <cell r="F1038" t="e">
            <v>#REF!</v>
          </cell>
          <cell r="G1038" t="e">
            <v>#N/A</v>
          </cell>
          <cell r="H1038" t="str">
            <v>PCM</v>
          </cell>
          <cell r="K1038" t="str">
            <v>FATURADO</v>
          </cell>
        </row>
        <row r="1039">
          <cell r="A1039" t="str">
            <v>0326-017312</v>
          </cell>
          <cell r="B1039" t="str">
            <v>DP URUGUAIANA</v>
          </cell>
          <cell r="C1039" t="str">
            <v>BOA TARDE SOLICITO SUPORTE URGENTE PQARA A FILIAL A MESMA ENCONTRA-SE SEM AGUA,RECEBEMOS CARRO PIPA NA QUINTA E HJ ESTAMOS SEM ABASTECIMENTO,JÁSOLICTEI SUPORTE DA MANUTENÇÃO .</v>
          </cell>
          <cell r="D1039" t="str">
            <v>HIDRAULICA</v>
          </cell>
          <cell r="E1039" t="str">
            <v>SOLICITADOPOR LEANDRO - 23/03/2026</v>
          </cell>
          <cell r="F1039" t="e">
            <v>#REF!</v>
          </cell>
          <cell r="G1039" t="str">
            <v>LEANDRO</v>
          </cell>
          <cell r="I1039" t="str">
            <v>MANFAC OBRAS SPOT</v>
          </cell>
          <cell r="K1039" t="str">
            <v>FATURADO</v>
          </cell>
        </row>
        <row r="1040">
          <cell r="A1040" t="str">
            <v>0125-010171</v>
          </cell>
          <cell r="B1040" t="e">
            <v>#N/A</v>
          </cell>
          <cell r="C1040" t="e">
            <v>#N/A</v>
          </cell>
          <cell r="D1040" t="e">
            <v>#N/A</v>
          </cell>
          <cell r="F1040" t="e">
            <v>#REF!</v>
          </cell>
          <cell r="G1040" t="e">
            <v>#N/A</v>
          </cell>
          <cell r="H1040" t="str">
            <v>PCM</v>
          </cell>
          <cell r="K1040" t="str">
            <v>FATURADO</v>
          </cell>
        </row>
        <row r="1041">
          <cell r="A1041" t="str">
            <v>0326-010018</v>
          </cell>
          <cell r="B1041" t="str">
            <v>POLO PRESIDENTE VARGAS</v>
          </cell>
          <cell r="C1041" t="str">
            <v>INFILTRAÇÃO.</v>
          </cell>
          <cell r="D1041" t="str">
            <v>HIDRAULICA</v>
          </cell>
          <cell r="E1041" t="str">
            <v>LIBERADO POR LEANDRO - 10/03/2026</v>
          </cell>
          <cell r="F1041" t="e">
            <v>#REF!</v>
          </cell>
          <cell r="G1041" t="str">
            <v>LEANDRO</v>
          </cell>
          <cell r="I1041" t="str">
            <v>MANFAC OBRAS SPOT</v>
          </cell>
          <cell r="K1041" t="str">
            <v>FATURADO</v>
          </cell>
        </row>
        <row r="1042">
          <cell r="A1042" t="str">
            <v>0126-020037</v>
          </cell>
          <cell r="B1042" t="str">
            <v>DP ALCANTARA 5</v>
          </cell>
          <cell r="C1042" t="str">
            <v>Pia do Banheiro Feminino está com a cuba quebrada, podendo causar algum acidente.</v>
          </cell>
          <cell r="D1042" t="str">
            <v>HIDRAULICA</v>
          </cell>
          <cell r="F1042" t="e">
            <v>#REF!</v>
          </cell>
          <cell r="G1042" t="str">
            <v>AMANDA</v>
          </cell>
          <cell r="I1042" t="str">
            <v>MANFAC OBRAS SPOT</v>
          </cell>
          <cell r="K1042" t="str">
            <v>FATURADO</v>
          </cell>
        </row>
        <row r="1043">
          <cell r="A1043" t="str">
            <v>0326-018467</v>
          </cell>
          <cell r="B1043" t="str">
            <v>DP BARRA DA TIJUCA 9</v>
          </cell>
          <cell r="C1043" t="str">
            <v>Instalação de adesivo no mobiliário de dermo.</v>
          </cell>
          <cell r="D1043" t="str">
            <v>CIVIL</v>
          </cell>
          <cell r="E1043" t="str">
            <v>EMERGENCIAL</v>
          </cell>
          <cell r="F1043" t="e">
            <v>#REF!</v>
          </cell>
          <cell r="G1043" t="str">
            <v>LEANDRO</v>
          </cell>
          <cell r="I1043" t="str">
            <v>MANFAC OBRAS SPOT</v>
          </cell>
          <cell r="K1043" t="str">
            <v>FATURADO</v>
          </cell>
        </row>
        <row r="1044">
          <cell r="A1044" t="str">
            <v>0125-014932</v>
          </cell>
          <cell r="B1044" t="e">
            <v>#N/A</v>
          </cell>
          <cell r="C1044" t="e">
            <v>#N/A</v>
          </cell>
          <cell r="D1044" t="e">
            <v>#N/A</v>
          </cell>
          <cell r="F1044" t="e">
            <v>#REF!</v>
          </cell>
          <cell r="G1044" t="e">
            <v>#N/A</v>
          </cell>
          <cell r="H1044" t="str">
            <v>PCM</v>
          </cell>
          <cell r="K1044" t="str">
            <v>FATURADO</v>
          </cell>
        </row>
        <row r="1045">
          <cell r="A1045" t="str">
            <v>0326-013643</v>
          </cell>
          <cell r="B1045" t="str">
            <v>DP GILKA MACHADO</v>
          </cell>
          <cell r="C1045" t="str">
            <v>2 Refletores queimado e lâmpada do totem queimada</v>
          </cell>
          <cell r="D1045" t="str">
            <v>ELETRICA</v>
          </cell>
          <cell r="F1045" t="e">
            <v>#REF!</v>
          </cell>
          <cell r="G1045" t="str">
            <v>LEANDRO</v>
          </cell>
          <cell r="I1045" t="str">
            <v>MANFAC OBRAS SPOT</v>
          </cell>
          <cell r="K1045" t="str">
            <v>FATURADO</v>
          </cell>
        </row>
        <row r="1046">
          <cell r="A1046" t="str">
            <v>0125-013213</v>
          </cell>
          <cell r="B1046" t="e">
            <v>#N/A</v>
          </cell>
          <cell r="C1046" t="e">
            <v>#N/A</v>
          </cell>
          <cell r="D1046" t="e">
            <v>#N/A</v>
          </cell>
          <cell r="F1046" t="e">
            <v>#REF!</v>
          </cell>
          <cell r="G1046" t="e">
            <v>#N/A</v>
          </cell>
          <cell r="H1046" t="str">
            <v>MANFAC - 5</v>
          </cell>
          <cell r="K1046" t="str">
            <v>FATURADO</v>
          </cell>
        </row>
        <row r="1047">
          <cell r="A1047" t="str">
            <v>0226-010410</v>
          </cell>
          <cell r="B1047" t="str">
            <v>DP SAO JOSE RJ</v>
          </cell>
          <cell r="C1047" t="str">
            <v>Solicito reparo de buraco</v>
          </cell>
          <cell r="D1047" t="str">
            <v>CIVIL</v>
          </cell>
          <cell r="F1047" t="e">
            <v>#REF!</v>
          </cell>
          <cell r="G1047" t="str">
            <v>LEANDRO</v>
          </cell>
          <cell r="I1047" t="str">
            <v>MANFAC OBRAS SPOT</v>
          </cell>
          <cell r="K1047" t="str">
            <v>FATURADO</v>
          </cell>
        </row>
        <row r="1048">
          <cell r="A1048" t="str">
            <v>0326-018460</v>
          </cell>
          <cell r="B1048" t="str">
            <v>DP IPANEMA 1</v>
          </cell>
          <cell r="C1048" t="str">
            <v xml:space="preserve">INSTALAÇÃO DE REPETIDOR DE SINAL </v>
          </cell>
          <cell r="D1048" t="str">
            <v>ELETRICA</v>
          </cell>
          <cell r="E1048" t="str">
            <v>LIBERADO POR CLAUDIO - 09/03/2026</v>
          </cell>
          <cell r="F1048" t="e">
            <v>#REF!</v>
          </cell>
          <cell r="G1048" t="str">
            <v>LEANDRO</v>
          </cell>
          <cell r="I1048" t="str">
            <v>MANFAC OBRAS SPOT</v>
          </cell>
          <cell r="K1048" t="str">
            <v>FATURADO</v>
          </cell>
        </row>
        <row r="1049">
          <cell r="A1049" t="str">
            <v>0326-018464</v>
          </cell>
          <cell r="B1049" t="str">
            <v>DP LEME</v>
          </cell>
          <cell r="C1049" t="str">
            <v>Solicito a instalação de repetidor de sinal</v>
          </cell>
          <cell r="D1049" t="str">
            <v>ELETRICA</v>
          </cell>
          <cell r="F1049" t="e">
            <v>#REF!</v>
          </cell>
          <cell r="G1049" t="str">
            <v>LEANDRO</v>
          </cell>
          <cell r="I1049" t="str">
            <v>MANFAC OBRAS SPOT</v>
          </cell>
          <cell r="K1049" t="str">
            <v>FATURADO</v>
          </cell>
        </row>
        <row r="1050">
          <cell r="A1050" t="str">
            <v>1224-006748</v>
          </cell>
          <cell r="B1050" t="e">
            <v>#N/A</v>
          </cell>
          <cell r="C1050" t="e">
            <v>#N/A</v>
          </cell>
          <cell r="D1050" t="e">
            <v>#N/A</v>
          </cell>
          <cell r="F1050" t="e">
            <v>#REF!</v>
          </cell>
          <cell r="G1050" t="e">
            <v>#N/A</v>
          </cell>
          <cell r="H1050" t="str">
            <v>MANFAC - 4 / DIEGO</v>
          </cell>
          <cell r="K1050" t="str">
            <v>FATURADO</v>
          </cell>
        </row>
        <row r="1051">
          <cell r="A1051" t="str">
            <v>0125-017519</v>
          </cell>
          <cell r="B1051" t="e">
            <v>#N/A</v>
          </cell>
          <cell r="C1051" t="e">
            <v>#N/A</v>
          </cell>
          <cell r="D1051" t="e">
            <v>#N/A</v>
          </cell>
          <cell r="F1051" t="e">
            <v>#REF!</v>
          </cell>
          <cell r="G1051" t="e">
            <v>#N/A</v>
          </cell>
          <cell r="H1051" t="str">
            <v>PCM</v>
          </cell>
          <cell r="K1051" t="str">
            <v>FATURADO</v>
          </cell>
        </row>
        <row r="1052">
          <cell r="A1052" t="str">
            <v>1124-011887</v>
          </cell>
          <cell r="B1052" t="e">
            <v>#N/A</v>
          </cell>
          <cell r="C1052" t="e">
            <v>#N/A</v>
          </cell>
          <cell r="D1052" t="e">
            <v>#N/A</v>
          </cell>
          <cell r="F1052" t="e">
            <v>#REF!</v>
          </cell>
          <cell r="G1052" t="e">
            <v>#N/A</v>
          </cell>
          <cell r="H1052" t="str">
            <v>PCM</v>
          </cell>
          <cell r="K1052" t="str">
            <v>FATURADO</v>
          </cell>
        </row>
        <row r="1053">
          <cell r="A1053" t="str">
            <v>0326-018502</v>
          </cell>
          <cell r="B1053" t="str">
            <v>DP JARDIM OCEANICO 2</v>
          </cell>
          <cell r="C1053" t="str">
            <v>ADESIVO</v>
          </cell>
          <cell r="D1053" t="str">
            <v>CIVIL</v>
          </cell>
          <cell r="F1053" t="e">
            <v>#REF!</v>
          </cell>
          <cell r="G1053" t="str">
            <v>LEANDRO</v>
          </cell>
          <cell r="I1053" t="str">
            <v>MANFAC OBRAS SPOT</v>
          </cell>
          <cell r="K1053" t="str">
            <v>FATURADO</v>
          </cell>
        </row>
        <row r="1054">
          <cell r="A1054" t="str">
            <v>0324-013688</v>
          </cell>
          <cell r="B1054" t="e">
            <v>#N/A</v>
          </cell>
          <cell r="C1054" t="e">
            <v>#N/A</v>
          </cell>
          <cell r="D1054" t="e">
            <v>#N/A</v>
          </cell>
          <cell r="F1054" t="e">
            <v>#REF!</v>
          </cell>
          <cell r="G1054" t="e">
            <v>#N/A</v>
          </cell>
          <cell r="H1054" t="str">
            <v>CAMPOS</v>
          </cell>
          <cell r="K1054" t="str">
            <v>FATURADO</v>
          </cell>
        </row>
        <row r="1055">
          <cell r="A1055" t="str">
            <v>0424-007585</v>
          </cell>
          <cell r="B1055" t="e">
            <v>#N/A</v>
          </cell>
          <cell r="C1055" t="e">
            <v>#N/A</v>
          </cell>
          <cell r="D1055" t="e">
            <v>#N/A</v>
          </cell>
          <cell r="F1055" t="e">
            <v>#REF!</v>
          </cell>
          <cell r="G1055" t="e">
            <v>#N/A</v>
          </cell>
          <cell r="H1055" t="str">
            <v>MANFAC - 6</v>
          </cell>
          <cell r="K1055" t="str">
            <v>FATURADO</v>
          </cell>
        </row>
        <row r="1056">
          <cell r="A1056" t="str">
            <v>0326-020729</v>
          </cell>
          <cell r="B1056" t="str">
            <v>DP FLAMENGO 2</v>
          </cell>
          <cell r="C1056" t="str">
            <v>Boa tarde!
 Venho por meio deste solicitar a troca da bomba de água, pois a mesma encontra-se quebrada, com vazamento e com sinais de ferrugem. Ela já passou por alguns consertos e por essas e outras , solicitamos a troca por uma nova.
 Desde já grato.
 att,
 Gilson Pereira
 (ADM de loja)</v>
          </cell>
          <cell r="D1056" t="str">
            <v>HIDRAULICA</v>
          </cell>
          <cell r="F1056" t="e">
            <v>#REF!</v>
          </cell>
          <cell r="G1056" t="str">
            <v>LEANDRO</v>
          </cell>
          <cell r="I1056" t="str">
            <v>MANFAC OBRAS SPOT</v>
          </cell>
          <cell r="K1056" t="str">
            <v>FATURADO</v>
          </cell>
        </row>
        <row r="1057">
          <cell r="A1057" t="str">
            <v>0525-014474</v>
          </cell>
          <cell r="B1057" t="e">
            <v>#N/A</v>
          </cell>
          <cell r="C1057" t="e">
            <v>#N/A</v>
          </cell>
          <cell r="D1057" t="e">
            <v>#N/A</v>
          </cell>
          <cell r="F1057" t="e">
            <v>#REF!</v>
          </cell>
          <cell r="G1057" t="e">
            <v>#N/A</v>
          </cell>
          <cell r="I1057" t="str">
            <v>MANFAC OBRAS SPOT</v>
          </cell>
          <cell r="K1057" t="str">
            <v>FATURADO</v>
          </cell>
        </row>
        <row r="1058">
          <cell r="A1058" t="str">
            <v>1224-004743</v>
          </cell>
          <cell r="B1058" t="e">
            <v>#N/A</v>
          </cell>
          <cell r="C1058" t="e">
            <v>#N/A</v>
          </cell>
          <cell r="D1058" t="e">
            <v>#N/A</v>
          </cell>
          <cell r="F1058" t="e">
            <v>#REF!</v>
          </cell>
          <cell r="G1058" t="e">
            <v>#N/A</v>
          </cell>
          <cell r="H1058" t="str">
            <v>MANFAC - 6</v>
          </cell>
          <cell r="K1058" t="str">
            <v>FATURADO</v>
          </cell>
        </row>
        <row r="1059">
          <cell r="A1059" t="str">
            <v>1124-008605</v>
          </cell>
          <cell r="B1059" t="e">
            <v>#N/A</v>
          </cell>
          <cell r="C1059" t="e">
            <v>#N/A</v>
          </cell>
          <cell r="D1059" t="e">
            <v>#N/A</v>
          </cell>
          <cell r="F1059" t="e">
            <v>#REF!</v>
          </cell>
          <cell r="G1059" t="e">
            <v>#N/A</v>
          </cell>
          <cell r="H1059" t="str">
            <v>MANFAC - 6</v>
          </cell>
          <cell r="K1059" t="str">
            <v>FATURADO</v>
          </cell>
        </row>
        <row r="1060">
          <cell r="A1060" t="str">
            <v>0125-009313</v>
          </cell>
          <cell r="B1060" t="e">
            <v>#N/A</v>
          </cell>
          <cell r="C1060" t="e">
            <v>#N/A</v>
          </cell>
          <cell r="D1060" t="e">
            <v>#N/A</v>
          </cell>
          <cell r="F1060" t="e">
            <v>#REF!</v>
          </cell>
          <cell r="G1060" t="e">
            <v>#N/A</v>
          </cell>
          <cell r="H1060" t="str">
            <v>PCM</v>
          </cell>
          <cell r="K1060" t="str">
            <v>FATURADO</v>
          </cell>
        </row>
        <row r="1061">
          <cell r="A1061" t="str">
            <v>0326-012374</v>
          </cell>
          <cell r="B1061" t="str">
            <v>DP</v>
          </cell>
          <cell r="C1061" t="str">
            <v>Boa tarde.
 Varios pontos de goteira pela loja com o gesso do teto ja danificado com risco de cair o teto novamente. Preciso de urgencia na tratativa dessa solicitacao devido a risco fisico a clientes e colaboradores.</v>
          </cell>
          <cell r="D1061" t="str">
            <v>TELHADO</v>
          </cell>
          <cell r="F1061" t="e">
            <v>#REF!</v>
          </cell>
          <cell r="G1061" t="e">
            <v>#N/A</v>
          </cell>
          <cell r="K1061" t="str">
            <v>PENDENTE FATURAMENTO</v>
          </cell>
        </row>
        <row r="1062">
          <cell r="A1062" t="str">
            <v>0526-010283</v>
          </cell>
          <cell r="B1062" t="str">
            <v>DP LUCIO COSTA</v>
          </cell>
          <cell r="C1062" t="str">
            <v>boa tarde, solicito caminhão pipa para abastecimento de água na loja. Obrigada!</v>
          </cell>
          <cell r="D1062" t="str">
            <v>HIDRAULICA</v>
          </cell>
          <cell r="E1062" t="str">
            <v>SOLICITADO POR JUAN - 08/05/2026</v>
          </cell>
          <cell r="F1062" t="e">
            <v>#REF!</v>
          </cell>
          <cell r="G1062" t="str">
            <v>JUAN</v>
          </cell>
          <cell r="I1062" t="str">
            <v>MANFAC OBRAS SPOT</v>
          </cell>
          <cell r="K1062" t="str">
            <v>FATURADO</v>
          </cell>
        </row>
        <row r="1063">
          <cell r="A1063" t="str">
            <v>1224-010771</v>
          </cell>
          <cell r="B1063" t="e">
            <v>#N/A</v>
          </cell>
          <cell r="C1063" t="e">
            <v>#N/A</v>
          </cell>
          <cell r="D1063" t="e">
            <v>#N/A</v>
          </cell>
          <cell r="F1063" t="e">
            <v>#REF!</v>
          </cell>
          <cell r="G1063" t="e">
            <v>#N/A</v>
          </cell>
          <cell r="H1063" t="str">
            <v>PCM</v>
          </cell>
          <cell r="K1063" t="str">
            <v>FATURADO</v>
          </cell>
        </row>
        <row r="1064">
          <cell r="A1064" t="str">
            <v>0326-012395</v>
          </cell>
          <cell r="B1064" t="str">
            <v>DP SENADOR DANTAS 2</v>
          </cell>
          <cell r="C1064" t="str">
            <v>SOLICITO AJUDA COM FIXAÇÃO DE UM PROJETOR E TELA QUE TEMOS NO POLO SENAOR DANTAS O PROJETOR NO TETO E A TELA DE PROJEÇÃO TAMBEM NO TETO.</v>
          </cell>
          <cell r="D1064" t="str">
            <v>CIVIL</v>
          </cell>
          <cell r="F1064" t="e">
            <v>#REF!</v>
          </cell>
          <cell r="G1064" t="str">
            <v>LEANDRO</v>
          </cell>
          <cell r="I1064" t="str">
            <v>MANFAC OBRAS SPOT</v>
          </cell>
          <cell r="K1064" t="str">
            <v>PENDENTE FATURAMENTO</v>
          </cell>
        </row>
        <row r="1065">
          <cell r="A1065" t="str">
            <v>0426-015939</v>
          </cell>
          <cell r="B1065" t="str">
            <v>DP IPANEMA 6</v>
          </cell>
          <cell r="C1065" t="str">
            <v>PORTA DO BANHEIRO DOS CLIENTES FOI DANIFICADO NECESSITANDO DE TROCA URGENTE</v>
          </cell>
          <cell r="D1065" t="str">
            <v>SERRALHERIA</v>
          </cell>
          <cell r="F1065" t="e">
            <v>#REF!</v>
          </cell>
          <cell r="G1065" t="str">
            <v>LEANDRO</v>
          </cell>
          <cell r="I1065" t="str">
            <v>MANFAC OBRAS SPOT</v>
          </cell>
          <cell r="K1065" t="str">
            <v>FATURADO</v>
          </cell>
        </row>
        <row r="1066">
          <cell r="A1066" t="str">
            <v>0125-008577</v>
          </cell>
          <cell r="B1066" t="e">
            <v>#N/A</v>
          </cell>
          <cell r="C1066" t="e">
            <v>#N/A</v>
          </cell>
          <cell r="D1066" t="e">
            <v>#N/A</v>
          </cell>
          <cell r="F1066" t="e">
            <v>#REF!</v>
          </cell>
          <cell r="G1066" t="e">
            <v>#N/A</v>
          </cell>
          <cell r="H1066" t="str">
            <v>MANFAC - 2</v>
          </cell>
          <cell r="K1066" t="str">
            <v>FATURADO</v>
          </cell>
        </row>
        <row r="1067">
          <cell r="A1067" t="str">
            <v>1224-004205</v>
          </cell>
          <cell r="B1067" t="e">
            <v>#N/A</v>
          </cell>
          <cell r="C1067" t="e">
            <v>#N/A</v>
          </cell>
          <cell r="D1067" t="e">
            <v>#N/A</v>
          </cell>
          <cell r="F1067" t="e">
            <v>#REF!</v>
          </cell>
          <cell r="G1067" t="e">
            <v>#N/A</v>
          </cell>
          <cell r="H1067" t="str">
            <v>MANFAC - 3</v>
          </cell>
          <cell r="K1067" t="str">
            <v>FATURADO</v>
          </cell>
        </row>
        <row r="1068">
          <cell r="A1068" t="str">
            <v>0326-021143</v>
          </cell>
          <cell r="B1068" t="str">
            <v>DP SANTA CRUZ 3</v>
          </cell>
          <cell r="C1068" t="str">
            <v>PONTO DE REDE PARA MICRO QUE TEVE CABO ROMPIDO</v>
          </cell>
          <cell r="D1068" t="str">
            <v>ELETRICA</v>
          </cell>
          <cell r="F1068" t="e">
            <v>#REF!</v>
          </cell>
          <cell r="G1068" t="str">
            <v>JUAN</v>
          </cell>
          <cell r="I1068" t="str">
            <v>MANFAC OBRAS SPOT</v>
          </cell>
          <cell r="K1068" t="str">
            <v>FATURADO</v>
          </cell>
        </row>
        <row r="1069">
          <cell r="A1069" t="str">
            <v>0326-009982</v>
          </cell>
          <cell r="B1069" t="str">
            <v>DP BARRA DA TIJUCA 9</v>
          </cell>
          <cell r="C1069" t="str">
            <v>Solicito o reparo/troca da tomada falsa do cofre 220v da Filial.</v>
          </cell>
          <cell r="D1069" t="str">
            <v>ELETRICA</v>
          </cell>
          <cell r="F1069" t="e">
            <v>#REF!</v>
          </cell>
          <cell r="G1069" t="str">
            <v>LEANDRO</v>
          </cell>
          <cell r="I1069" t="str">
            <v>MANFAC OBRAS SPOT</v>
          </cell>
          <cell r="K1069" t="str">
            <v>FATURADO</v>
          </cell>
        </row>
        <row r="1070">
          <cell r="A1070" t="str">
            <v>0226-014732</v>
          </cell>
          <cell r="B1070" t="str">
            <v>DP COPACABANA 5</v>
          </cell>
          <cell r="C1070" t="str">
            <v>ESGOTO DA LOJA ESTÁ TRASBORDANDO NA ÁREA DO ESTOQUE E INDO PRA COZINHA, A SITUAÇÃO ESTÁ GERANDO ODOR MUITO FORTE. SOLICITO ATENDIMENTO COM URGENCIA!!!!</v>
          </cell>
          <cell r="D1070" t="str">
            <v>HIDRAULICA</v>
          </cell>
          <cell r="E1070" t="str">
            <v>LIBERADO POR LEANDRO - 25/02/2026</v>
          </cell>
          <cell r="F1070" t="e">
            <v>#REF!</v>
          </cell>
          <cell r="G1070" t="str">
            <v>LEANDRO</v>
          </cell>
          <cell r="I1070" t="str">
            <v>MANFAC OBRAS SPOT</v>
          </cell>
          <cell r="K1070" t="str">
            <v>FATURADO</v>
          </cell>
        </row>
        <row r="1071">
          <cell r="A1071" t="str">
            <v>0125-014051</v>
          </cell>
          <cell r="B1071" t="e">
            <v>#N/A</v>
          </cell>
          <cell r="C1071" t="e">
            <v>#N/A</v>
          </cell>
          <cell r="D1071" t="e">
            <v>#N/A</v>
          </cell>
          <cell r="F1071" t="e">
            <v>#REF!</v>
          </cell>
          <cell r="G1071" t="e">
            <v>#N/A</v>
          </cell>
          <cell r="H1071" t="str">
            <v>MANFAC - 5</v>
          </cell>
          <cell r="K1071" t="str">
            <v>FATURADO</v>
          </cell>
        </row>
        <row r="1072">
          <cell r="A1072" t="str">
            <v>0326-012151</v>
          </cell>
          <cell r="B1072" t="str">
            <v>DP COPACABANA 5</v>
          </cell>
          <cell r="C1072" t="str">
            <v>Novamente o Esgoto do estoque se encontra entupido, equipe da aguas do rio foi solicitada, mas não demorou muito para o problema retornar, sendo assim vazando para o corredor e a cozinha da loja.</v>
          </cell>
          <cell r="D1072" t="str">
            <v>HIDRAULICA</v>
          </cell>
          <cell r="E1072" t="str">
            <v>EMERGENCIAL - 16/03/2026</v>
          </cell>
          <cell r="F1072" t="e">
            <v>#REF!</v>
          </cell>
          <cell r="G1072" t="str">
            <v>LEANDRO</v>
          </cell>
          <cell r="I1072" t="str">
            <v>MANFAC OBRAS SPOT</v>
          </cell>
          <cell r="K1072" t="str">
            <v>FATURADO</v>
          </cell>
        </row>
        <row r="1073">
          <cell r="A1073" t="str">
            <v>0426-011062</v>
          </cell>
          <cell r="B1073" t="str">
            <v>DP COPACABANA 9</v>
          </cell>
          <cell r="C1073" t="str">
            <v>OLA BOM DIA, SOLICITO MANUTENÇÃO NO ABASTECIMENTO DE AGUA POIS A LOJA ENCONTRA COM AS CAIXAS VAZIAS, DIFICULTANDO O DIA DIA DOS COLABORADORES.</v>
          </cell>
          <cell r="D1073" t="str">
            <v>HIDRAULICA</v>
          </cell>
          <cell r="E1073" t="str">
            <v>LIBERADO POR LEANDRO - 11/04/2026</v>
          </cell>
          <cell r="F1073" t="e">
            <v>#REF!</v>
          </cell>
          <cell r="G1073" t="str">
            <v>LEANDRO</v>
          </cell>
          <cell r="I1073" t="str">
            <v>MANFAC OBRAS SPOT</v>
          </cell>
          <cell r="K1073" t="str">
            <v>FATURADO</v>
          </cell>
        </row>
        <row r="1074">
          <cell r="A1074" t="str">
            <v>0426-013174</v>
          </cell>
          <cell r="B1074" t="str">
            <v>DP PEDRA DE GUARATIBA</v>
          </cell>
          <cell r="C1074" t="str">
            <v>Pedido de caminhão pipa para a filial pois a mesma encontra-se sem água</v>
          </cell>
          <cell r="D1074" t="str">
            <v>HIDRAULICA</v>
          </cell>
          <cell r="E1074" t="str">
            <v>LIBERADO POR JUAN - 17/04/2026</v>
          </cell>
          <cell r="F1074" t="e">
            <v>#REF!</v>
          </cell>
          <cell r="G1074" t="str">
            <v>JUAN</v>
          </cell>
          <cell r="I1074" t="str">
            <v>MANFAC OBRAS SPOT</v>
          </cell>
          <cell r="K1074" t="str">
            <v>FATURADO</v>
          </cell>
        </row>
        <row r="1075">
          <cell r="A1075" t="str">
            <v>0326-017883</v>
          </cell>
          <cell r="B1075" t="str">
            <v>DP PIABETA 1</v>
          </cell>
          <cell r="C1075" t="str">
            <v>boa tarde loja sem agua.Solicito caminhao pipa</v>
          </cell>
          <cell r="D1075" t="str">
            <v>HIDRAULICA</v>
          </cell>
          <cell r="E1075" t="str">
            <v>SOLICITADO POR AMANDA - 23/03/2026</v>
          </cell>
          <cell r="F1075" t="e">
            <v>#REF!</v>
          </cell>
          <cell r="G1075" t="str">
            <v>AMANDA</v>
          </cell>
          <cell r="I1075" t="str">
            <v>MANFAC OBRAS SPOT</v>
          </cell>
          <cell r="K1075" t="str">
            <v>FATURADO</v>
          </cell>
        </row>
        <row r="1076">
          <cell r="A1076" t="str">
            <v>0326-018493</v>
          </cell>
          <cell r="B1076" t="str">
            <v>DP COPACABANA 9</v>
          </cell>
          <cell r="C1076" t="str">
            <v>VAZAMENTO EM TUBULAÇÃO</v>
          </cell>
          <cell r="D1076" t="str">
            <v>HIDRAULICA</v>
          </cell>
          <cell r="F1076" t="e">
            <v>#REF!</v>
          </cell>
          <cell r="G1076" t="str">
            <v>LEANDRO</v>
          </cell>
          <cell r="H1076" t="str">
            <v>MANFAC - 6</v>
          </cell>
          <cell r="I1076" t="str">
            <v>MANFAC OBRAS SPOT</v>
          </cell>
          <cell r="K1076" t="str">
            <v>FATURADO</v>
          </cell>
        </row>
        <row r="1077">
          <cell r="A1077" t="str">
            <v>1224-008741</v>
          </cell>
          <cell r="B1077" t="e">
            <v>#N/A</v>
          </cell>
          <cell r="C1077" t="e">
            <v>#N/A</v>
          </cell>
          <cell r="D1077" t="e">
            <v>#N/A</v>
          </cell>
          <cell r="F1077" t="e">
            <v>#REF!</v>
          </cell>
          <cell r="G1077" t="e">
            <v>#N/A</v>
          </cell>
          <cell r="H1077" t="str">
            <v>PCM</v>
          </cell>
          <cell r="K1077" t="str">
            <v>FATURADO</v>
          </cell>
        </row>
        <row r="1078">
          <cell r="A1078" t="str">
            <v>0426-016013</v>
          </cell>
          <cell r="B1078" t="str">
            <v>DP COPACABANA 16</v>
          </cell>
          <cell r="C1078" t="str">
            <v>Estoque alagado
 Vazamento do ralo</v>
          </cell>
          <cell r="D1078" t="str">
            <v>HIDRAULICA</v>
          </cell>
          <cell r="E1078" t="str">
            <v>LEANDRO 27/04/2026</v>
          </cell>
          <cell r="F1078" t="e">
            <v>#REF!</v>
          </cell>
          <cell r="G1078" t="str">
            <v>LEANDRO</v>
          </cell>
          <cell r="I1078" t="str">
            <v>MANFAC OBRAS SPOT</v>
          </cell>
          <cell r="K1078" t="str">
            <v>FATURADO</v>
          </cell>
        </row>
        <row r="1079">
          <cell r="A1079" t="str">
            <v>1225-006957</v>
          </cell>
          <cell r="B1079" t="e">
            <v>#N/A</v>
          </cell>
          <cell r="C1079" t="e">
            <v>#N/A</v>
          </cell>
          <cell r="D1079" t="e">
            <v>#N/A</v>
          </cell>
          <cell r="E1079" t="str">
            <v>LIBERADO POR LEANDRO - 21/12/2025</v>
          </cell>
          <cell r="F1079" t="e">
            <v>#REF!</v>
          </cell>
          <cell r="G1079" t="e">
            <v>#N/A</v>
          </cell>
          <cell r="I1079" t="str">
            <v>MANFAC OBRAS SPOT</v>
          </cell>
          <cell r="K1079" t="str">
            <v>FATURADO</v>
          </cell>
        </row>
        <row r="1080">
          <cell r="A1080" t="str">
            <v>0925-008599</v>
          </cell>
          <cell r="B1080" t="e">
            <v>#N/A</v>
          </cell>
          <cell r="C1080" t="e">
            <v>#N/A</v>
          </cell>
          <cell r="D1080" t="e">
            <v>#N/A</v>
          </cell>
          <cell r="E1080" t="str">
            <v>LIBERADO POE JUAN  - 04/11/2025</v>
          </cell>
          <cell r="F1080" t="e">
            <v>#REF!</v>
          </cell>
          <cell r="G1080" t="e">
            <v>#N/A</v>
          </cell>
          <cell r="H1080" t="str">
            <v>MANFAC 4</v>
          </cell>
          <cell r="K1080" t="str">
            <v>FATURADO</v>
          </cell>
        </row>
        <row r="1081">
          <cell r="A1081" t="str">
            <v>0226-008905</v>
          </cell>
          <cell r="B1081" t="str">
            <v>DP JARDIM PRIMAVERA</v>
          </cell>
          <cell r="C1081" t="str">
            <v xml:space="preserve">AR CONDICIONADO </v>
          </cell>
          <cell r="D1081" t="str">
            <v>REFRIGERAÇÃO</v>
          </cell>
          <cell r="F1081">
            <v>12773.43</v>
          </cell>
          <cell r="G1081" t="str">
            <v>ALINE</v>
          </cell>
          <cell r="I1081" t="str">
            <v>MANFAC OBRAS REFORMAS</v>
          </cell>
          <cell r="K1081" t="str">
            <v>FATURADO</v>
          </cell>
        </row>
        <row r="1082">
          <cell r="A1082" t="str">
            <v>0326-011346</v>
          </cell>
          <cell r="B1082" t="str">
            <v>DP PARQUE GUARUS</v>
          </cell>
          <cell r="C1082" t="str">
            <v>Boa tarde!
 No ano passado foi solicitado por chamado o reparo da entrada do estacionamento, porém ficou aguardando orçamento, agora esta atrapalhando o fluxo de entrada de carros na filial pois ja rebentou o carro da cliente e ela disse que vai entrar em processo contra loja.
 precisamos de um suporte pois nossa principoal concorrente e na frente da loja e ois clientes estão sempre reclamando que a pacheco não liga.
 precisamos de um suporte pois são todos os clientes que possuem veiculos e reclamam da mesma coisa
 segue foto em anexo.
 att, suelen nágila</v>
          </cell>
          <cell r="D1082" t="str">
            <v>CIVIL</v>
          </cell>
          <cell r="F1082" t="e">
            <v>#REF!</v>
          </cell>
          <cell r="G1082" t="str">
            <v>LEANDRO</v>
          </cell>
          <cell r="I1082" t="str">
            <v>MANFAC OBRAS SPOT</v>
          </cell>
          <cell r="K1082" t="str">
            <v>FATURADO</v>
          </cell>
        </row>
        <row r="1083">
          <cell r="A1083" t="str">
            <v>0426-006454</v>
          </cell>
          <cell r="B1083" t="str">
            <v>DP PEDRA DE GUARATIBA</v>
          </cell>
          <cell r="C1083" t="str">
            <v>filial sem água, solicito caminhão pipa</v>
          </cell>
          <cell r="D1083" t="str">
            <v>HIDRAULICA</v>
          </cell>
          <cell r="E1083" t="str">
            <v>LIBERADO POR AMANDA - 08/04/2026</v>
          </cell>
          <cell r="F1083">
            <v>2000</v>
          </cell>
          <cell r="G1083" t="str">
            <v>JUAN</v>
          </cell>
          <cell r="I1083" t="str">
            <v>MANFAC OBRAS SPOT</v>
          </cell>
          <cell r="K1083" t="str">
            <v>FATURADO</v>
          </cell>
        </row>
        <row r="1084">
          <cell r="A1084" t="str">
            <v>0526-011244</v>
          </cell>
          <cell r="B1084" t="str">
            <v>DP RECREIO 1</v>
          </cell>
          <cell r="C1084" t="str">
            <v>Solicitação de carro pipa, loja com os reservatorios vazios</v>
          </cell>
          <cell r="D1084" t="str">
            <v>HIDRAULICA</v>
          </cell>
          <cell r="E1084" t="str">
            <v>SOLICITADO POR JUAN - 08/05/2026</v>
          </cell>
          <cell r="F1084" t="e">
            <v>#REF!</v>
          </cell>
          <cell r="G1084" t="str">
            <v>JUAN</v>
          </cell>
          <cell r="I1084" t="str">
            <v>MANFAC OBRAS SPOT</v>
          </cell>
          <cell r="K1084" t="str">
            <v>FATURADO</v>
          </cell>
        </row>
        <row r="1085">
          <cell r="A1085" t="str">
            <v>0426-006553</v>
          </cell>
          <cell r="B1085" t="str">
            <v>DP ITABORAI</v>
          </cell>
          <cell r="C1085" t="str">
            <v>MO Escopo Civil - Reforma light</v>
          </cell>
          <cell r="D1085" t="str">
            <v>CAPEX</v>
          </cell>
          <cell r="F1085">
            <v>170279.98</v>
          </cell>
          <cell r="G1085" t="str">
            <v>AMANDA</v>
          </cell>
          <cell r="I1085" t="str">
            <v>MANFAC OBRAS REFORMAS</v>
          </cell>
          <cell r="K1085" t="str">
            <v>FATURADO</v>
          </cell>
        </row>
        <row r="1086">
          <cell r="A1086" t="str">
            <v>0226-010409</v>
          </cell>
          <cell r="B1086" t="str">
            <v>DP ICARAI 2</v>
          </cell>
          <cell r="C1086" t="str">
            <v>Solicito instalação de infraestrutura que precisa contemplar um ponto de elétrica e rede na sala do RH.</v>
          </cell>
          <cell r="D1086" t="str">
            <v>ELETRICA</v>
          </cell>
          <cell r="E1086" t="str">
            <v>ATENDER GARANTIA</v>
          </cell>
          <cell r="F1086">
            <v>2000</v>
          </cell>
          <cell r="G1086" t="str">
            <v>AMANDA</v>
          </cell>
          <cell r="I1086" t="str">
            <v>MANFAC OBRAS SPOT</v>
          </cell>
          <cell r="K1086" t="str">
            <v>FATURADO</v>
          </cell>
        </row>
        <row r="1087">
          <cell r="A1087" t="str">
            <v>0326-015760</v>
          </cell>
          <cell r="B1087" t="str">
            <v>DP ROCINHA</v>
          </cell>
          <cell r="C1087" t="str">
            <v>Solicito instalaçao de uma placa de sinalização para retirada de senha para farmacia popular! Segue em anexo a foto!</v>
          </cell>
          <cell r="D1087" t="str">
            <v>EQUIPAMENTO</v>
          </cell>
          <cell r="F1087" t="e">
            <v>#REF!</v>
          </cell>
          <cell r="G1087" t="str">
            <v>LEANDRO</v>
          </cell>
          <cell r="K1087" t="str">
            <v>FATURADO</v>
          </cell>
        </row>
        <row r="1088">
          <cell r="A1088" t="str">
            <v>1225-005280</v>
          </cell>
          <cell r="B1088" t="str">
            <v>DP MEIER 10</v>
          </cell>
          <cell r="C1088" t="str">
            <v>ABASTECIMENTO COM GALOES</v>
          </cell>
          <cell r="D1088" t="str">
            <v>HIDRAULICA</v>
          </cell>
          <cell r="E1088" t="str">
            <v>LIBERADO POR LEANDRO - 27/11/2025</v>
          </cell>
          <cell r="F1088">
            <v>2950</v>
          </cell>
          <cell r="G1088" t="str">
            <v>ALINE</v>
          </cell>
          <cell r="I1088" t="str">
            <v>MANFAC OBRAS SPOT</v>
          </cell>
          <cell r="K1088" t="str">
            <v>FATURADO</v>
          </cell>
        </row>
        <row r="1089">
          <cell r="A1089" t="str">
            <v>0326-016412</v>
          </cell>
          <cell r="B1089" t="str">
            <v>DP JARDIM OCEANICO 2</v>
          </cell>
          <cell r="C1089" t="str">
            <v>Boa Tarde!
 Solicito troca das duas pontas frente de loja devido ao acidente que ocorreu no dia 12/03 dando perda total nas duas primeiras gondolas.</v>
          </cell>
          <cell r="D1089" t="str">
            <v>SERRALHERIA</v>
          </cell>
          <cell r="F1089" t="e">
            <v>#REF!</v>
          </cell>
          <cell r="G1089" t="str">
            <v>LEANDRO</v>
          </cell>
          <cell r="I1089" t="str">
            <v>MANFAC OBRAS SPOT</v>
          </cell>
          <cell r="K1089" t="str">
            <v>FATURADO</v>
          </cell>
        </row>
        <row r="1090">
          <cell r="A1090" t="str">
            <v>1225-004552</v>
          </cell>
          <cell r="B1090" t="str">
            <v>DP CABO FRIO 4</v>
          </cell>
          <cell r="C1090" t="str">
            <v>Vazamento de água pela parede atrás do caixa.</v>
          </cell>
          <cell r="D1090" t="str">
            <v>TELHADO</v>
          </cell>
          <cell r="E1090" t="str">
            <v>PENDENTE FORRO INTERNO</v>
          </cell>
          <cell r="F1090" t="e">
            <v>#REF!</v>
          </cell>
          <cell r="G1090" t="str">
            <v>LEANDRO</v>
          </cell>
          <cell r="I1090" t="str">
            <v>MANFAC OBRAS SPOT</v>
          </cell>
          <cell r="K1090" t="str">
            <v>FATURADO</v>
          </cell>
        </row>
        <row r="1091">
          <cell r="A1091" t="str">
            <v>0426-017731</v>
          </cell>
          <cell r="B1091" t="str">
            <v>DP COLUBANDE</v>
          </cell>
          <cell r="C1091" t="str">
            <v>Pintura da fachada</v>
          </cell>
          <cell r="D1091" t="str">
            <v>CIVIL</v>
          </cell>
          <cell r="E1091" t="str">
            <v>SOLICITADO POR AMANDA - 28/04/2026</v>
          </cell>
          <cell r="F1091" t="e">
            <v>#REF!</v>
          </cell>
          <cell r="G1091" t="str">
            <v>AMANDA</v>
          </cell>
          <cell r="I1091" t="str">
            <v>MANFAC OBRAS SPOT</v>
          </cell>
          <cell r="K1091" t="str">
            <v>FATURADO</v>
          </cell>
        </row>
        <row r="1092">
          <cell r="A1092" t="str">
            <v>0526-008200</v>
          </cell>
          <cell r="B1092" t="str">
            <v>DP LUCIO COSTA</v>
          </cell>
          <cell r="C1092" t="str">
            <v>Bom Dia! Solicito da manutenção da nossa porta principal, pois a mesma continua com defeito.
 OBRIGADO!</v>
          </cell>
          <cell r="D1092" t="str">
            <v>SERRALHERIA</v>
          </cell>
          <cell r="E1092" t="str">
            <v>SOLICITADO POR JUAN - 02/05/2026</v>
          </cell>
          <cell r="F1092" t="e">
            <v>#REF!</v>
          </cell>
          <cell r="G1092" t="str">
            <v>JUAN</v>
          </cell>
          <cell r="I1092" t="str">
            <v>MANFAC OBRAS SPOT</v>
          </cell>
          <cell r="K1092" t="str">
            <v>CANCELADO</v>
          </cell>
        </row>
        <row r="1093">
          <cell r="A1093" t="str">
            <v>0426-009030</v>
          </cell>
          <cell r="B1093" t="str">
            <v>DP GLORIA</v>
          </cell>
          <cell r="C1093" t="str">
            <v>Solicito reparo nas pedras calçada lateral COM URGÊNCIA.
 Recebemos uma notificação da PREFEITURA.</v>
          </cell>
          <cell r="D1093" t="str">
            <v>CIVIL</v>
          </cell>
          <cell r="F1093" t="e">
            <v>#REF!</v>
          </cell>
          <cell r="G1093" t="str">
            <v>LEANDRO</v>
          </cell>
          <cell r="I1093" t="str">
            <v>MANFAC OBRAS SPOT</v>
          </cell>
          <cell r="K1093" t="str">
            <v>FATURADO</v>
          </cell>
        </row>
        <row r="1094">
          <cell r="A1094" t="str">
            <v>0926-010491</v>
          </cell>
          <cell r="B1094" t="str">
            <v>DP COPACABANA 12</v>
          </cell>
          <cell r="C1094" t="str">
            <v>Reparo das paredes e pintura.</v>
          </cell>
          <cell r="D1094" t="str">
            <v>CIVIL</v>
          </cell>
          <cell r="F1094" t="e">
            <v>#REF!</v>
          </cell>
          <cell r="G1094" t="str">
            <v>LEANDRO</v>
          </cell>
          <cell r="K1094" t="str">
            <v>EXECUTAR - APROVAR OS</v>
          </cell>
        </row>
        <row r="1095">
          <cell r="A1095" t="str">
            <v>0126-011643</v>
          </cell>
          <cell r="B1095" t="str">
            <v>DP BOTAFOGO 8</v>
          </cell>
          <cell r="C1095" t="str">
            <v>Boa Tarde !! 
 Segue em anexo a notificação recebida hoje na filial pela prefeitura , referente as pedras da calçada em frente a loja ..</v>
          </cell>
          <cell r="D1095" t="str">
            <v>CIVIL</v>
          </cell>
          <cell r="E1095" t="str">
            <v>LIBERAADO POR LEANDRO - 10/02/2026</v>
          </cell>
          <cell r="F1095" t="e">
            <v>#REF!</v>
          </cell>
          <cell r="G1095" t="str">
            <v>LEANDRO</v>
          </cell>
          <cell r="H1095" t="str">
            <v>PARCEIRO</v>
          </cell>
          <cell r="I1095" t="str">
            <v>MANFAC OBRAS SPOT</v>
          </cell>
          <cell r="K1095" t="str">
            <v>FATURADO</v>
          </cell>
        </row>
        <row r="1096">
          <cell r="A1096" t="str">
            <v>0426-007949</v>
          </cell>
          <cell r="B1096" t="str">
            <v>DP BACAXA</v>
          </cell>
          <cell r="C1096" t="str">
            <v>Bom dia, solicito reparo pois das duas portas de entrada, somente uma está abrindo. a porta principal continua arriada, a chave nao entra no tambor</v>
          </cell>
          <cell r="D1096" t="str">
            <v>SERRALHERIA</v>
          </cell>
          <cell r="F1096" t="e">
            <v>#REF!</v>
          </cell>
          <cell r="G1096" t="str">
            <v>LEANDRO</v>
          </cell>
          <cell r="I1096" t="str">
            <v>MANFAC OBRAS SPOT</v>
          </cell>
          <cell r="K1096" t="str">
            <v>FATURADO</v>
          </cell>
        </row>
        <row r="1097">
          <cell r="A1097" t="str">
            <v>1225-007326</v>
          </cell>
          <cell r="B1097" t="e">
            <v>#N/A</v>
          </cell>
          <cell r="C1097" t="e">
            <v>#N/A</v>
          </cell>
          <cell r="D1097" t="e">
            <v>#N/A</v>
          </cell>
          <cell r="F1097" t="e">
            <v>#REF!</v>
          </cell>
          <cell r="G1097" t="e">
            <v>#N/A</v>
          </cell>
          <cell r="I1097" t="str">
            <v>MANFAC OBRAS SPOT</v>
          </cell>
          <cell r="K1097" t="str">
            <v>FATURADO</v>
          </cell>
        </row>
        <row r="1098">
          <cell r="A1098" t="str">
            <v>0226-009285</v>
          </cell>
          <cell r="B1098" t="str">
            <v>DP SAO JOSE RJ</v>
          </cell>
          <cell r="C1098" t="str">
            <v>Essa tampa em aço foi arrancada. Hoje uns cracudos estavam tentando arrancar mais um pedaço. Podem solicitar o reparo e confecção de uma nova tampa, por favor?</v>
          </cell>
          <cell r="D1098" t="str">
            <v>SERRALHERIA</v>
          </cell>
          <cell r="F1098" t="e">
            <v>#REF!</v>
          </cell>
          <cell r="G1098" t="str">
            <v>LEANDRO</v>
          </cell>
          <cell r="I1098" t="str">
            <v>MANFAC OBRAS SPOT</v>
          </cell>
          <cell r="K1098" t="str">
            <v>FATURADO</v>
          </cell>
        </row>
        <row r="1099">
          <cell r="A1099" t="str">
            <v>0426-013513</v>
          </cell>
          <cell r="B1099" t="str">
            <v>DP SAO JOSE RJ</v>
          </cell>
          <cell r="C1099" t="str">
            <v>Apareceu um rato em.nosso subsolo. Solicito desratização</v>
          </cell>
          <cell r="D1099" t="str">
            <v>DEDETIZAÇÃO</v>
          </cell>
          <cell r="F1099" t="e">
            <v>#REF!</v>
          </cell>
          <cell r="G1099" t="str">
            <v>LEANDRO</v>
          </cell>
          <cell r="I1099" t="str">
            <v>MANFAC OBRAS SPOT</v>
          </cell>
          <cell r="K1099" t="str">
            <v>FATURADO</v>
          </cell>
        </row>
        <row r="1100">
          <cell r="A1100" t="str">
            <v>0426-011557</v>
          </cell>
          <cell r="B1100" t="str">
            <v>DP CATETE 5</v>
          </cell>
          <cell r="C1100" t="str">
            <v>Mudança de CVI hub de saude.</v>
          </cell>
          <cell r="D1100" t="str">
            <v>CIVIL</v>
          </cell>
          <cell r="F1100" t="e">
            <v>#REF!</v>
          </cell>
          <cell r="G1100" t="str">
            <v>LEANDRO</v>
          </cell>
          <cell r="I1100" t="str">
            <v>MANFAC OBRAS SPOT</v>
          </cell>
          <cell r="K1100" t="str">
            <v>FATURADO</v>
          </cell>
        </row>
        <row r="1101">
          <cell r="A1101" t="str">
            <v>0226-010408</v>
          </cell>
          <cell r="B1101" t="str">
            <v>DP ITABORAI</v>
          </cell>
          <cell r="C1101" t="str">
            <v>Solicito instalação de infraestrutura que precisa contemplar um ponto de elétrica e rede na sala do RH.</v>
          </cell>
          <cell r="D1101" t="str">
            <v>ELETRICA</v>
          </cell>
          <cell r="E1101" t="str">
            <v>ATENDER GARANTIA</v>
          </cell>
          <cell r="F1101">
            <v>2000</v>
          </cell>
          <cell r="G1101" t="str">
            <v>AMANDA</v>
          </cell>
          <cell r="I1101" t="str">
            <v>MANFAC OBRAS SPOT</v>
          </cell>
          <cell r="K1101" t="str">
            <v>FATURADO</v>
          </cell>
        </row>
        <row r="1102">
          <cell r="A1102" t="str">
            <v>0326-018507</v>
          </cell>
          <cell r="B1102" t="str">
            <v>DP LEBLON 6</v>
          </cell>
          <cell r="C1102" t="str">
            <v>ADICIONAL DE OBRA</v>
          </cell>
          <cell r="D1102" t="str">
            <v>HIDRAULICA</v>
          </cell>
          <cell r="F1102" t="e">
            <v>#REF!</v>
          </cell>
          <cell r="G1102" t="str">
            <v>LEANDRO</v>
          </cell>
          <cell r="I1102" t="str">
            <v>MANFAC OBRAS SPOT</v>
          </cell>
          <cell r="J1102" t="str">
            <v>YURI</v>
          </cell>
          <cell r="K1102" t="str">
            <v>FATURADO</v>
          </cell>
        </row>
        <row r="1103">
          <cell r="A1103" t="str">
            <v>0326-018552</v>
          </cell>
          <cell r="B1103" t="str">
            <v>DP LELBON 3</v>
          </cell>
          <cell r="C1103" t="str">
            <v>Solicito o desvio da exaustão</v>
          </cell>
          <cell r="D1103" t="str">
            <v>REFRIGERAÇÃO</v>
          </cell>
          <cell r="F1103" t="e">
            <v>#REF!</v>
          </cell>
          <cell r="G1103" t="str">
            <v>LEANDRO</v>
          </cell>
          <cell r="I1103" t="str">
            <v>MANFAC OBRAS REFORMAS</v>
          </cell>
          <cell r="K1103" t="str">
            <v>PENDENTE FATURAMENTO</v>
          </cell>
        </row>
        <row r="1104">
          <cell r="A1104" t="str">
            <v>0326-018781</v>
          </cell>
          <cell r="B1104" t="str">
            <v>DP SAO GONCALO 1</v>
          </cell>
          <cell r="C1104" t="str">
            <v>Chave tambor 4 quebrada</v>
          </cell>
          <cell r="D1104" t="str">
            <v>SERRALHERIA</v>
          </cell>
          <cell r="F1104" t="e">
            <v>#REF!</v>
          </cell>
          <cell r="G1104" t="str">
            <v>AMANDA</v>
          </cell>
          <cell r="K1104" t="str">
            <v>PENDENTE FATURAMENTO</v>
          </cell>
        </row>
        <row r="1105">
          <cell r="A1105" t="str">
            <v>0426-006754</v>
          </cell>
          <cell r="B1105" t="str">
            <v>DP SHOPPING ITAIPU</v>
          </cell>
          <cell r="C1105" t="str">
            <v>MO Escopo Civil - Reforma light</v>
          </cell>
          <cell r="D1105" t="str">
            <v>CAPEX</v>
          </cell>
          <cell r="F1105">
            <v>12065.39</v>
          </cell>
          <cell r="G1105" t="str">
            <v>AMANDA</v>
          </cell>
          <cell r="I1105" t="str">
            <v>MANFAC OBRAS REFORMAS</v>
          </cell>
          <cell r="J1105" t="str">
            <v>YURI</v>
          </cell>
          <cell r="K1105" t="str">
            <v>FATURADO</v>
          </cell>
        </row>
        <row r="1106">
          <cell r="A1106" t="str">
            <v>0126-017439</v>
          </cell>
          <cell r="B1106" t="str">
            <v>DP MACAE 2</v>
          </cell>
          <cell r="C1106" t="str">
            <v>Criação de banheiro PNE e adequação de layout da retaguarda conforme projeto anexo</v>
          </cell>
          <cell r="D1106" t="str">
            <v>VISA</v>
          </cell>
          <cell r="E1106" t="str">
            <v>LIBERADO POR CLAUDIO - 18/03/2026</v>
          </cell>
          <cell r="F1106">
            <v>58515.75</v>
          </cell>
          <cell r="G1106" t="str">
            <v>LEANDRO</v>
          </cell>
          <cell r="I1106" t="str">
            <v>MANFAC OBRAS REFORMAS</v>
          </cell>
          <cell r="K1106" t="str">
            <v>FATURADO</v>
          </cell>
        </row>
        <row r="1107">
          <cell r="A1107" t="str">
            <v>0226-007918</v>
          </cell>
          <cell r="B1107" t="str">
            <v>DP SENADOR DANTAS 1</v>
          </cell>
          <cell r="C1107" t="str">
            <v>Solicito um transporte para recolher alguns ativos + entulhos para descarte conforme notas fiscais em anexo.</v>
          </cell>
          <cell r="D1107" t="str">
            <v>TRANSPORTE</v>
          </cell>
          <cell r="F1107" t="e">
            <v>#REF!</v>
          </cell>
          <cell r="G1107" t="str">
            <v>LEANDRO</v>
          </cell>
          <cell r="I1107" t="str">
            <v>MANFAC OBRAS SPOT</v>
          </cell>
          <cell r="K1107" t="str">
            <v>FATURADO</v>
          </cell>
        </row>
        <row r="1108">
          <cell r="A1108" t="str">
            <v>0426-010103</v>
          </cell>
          <cell r="B1108" t="str">
            <v>DP PELINCA</v>
          </cell>
          <cell r="C1108" t="str">
            <v>Solicito armário para cozinha, pois o da loja cedeu. O armário da loja é de chao medindo 1.20. Segue fotos</v>
          </cell>
          <cell r="D1108" t="str">
            <v>SOLICITAÇÃO AO BRSUPPLY</v>
          </cell>
          <cell r="F1108" t="e">
            <v>#REF!</v>
          </cell>
          <cell r="G1108" t="str">
            <v>LEANDRO</v>
          </cell>
          <cell r="I1108" t="str">
            <v>MANFAC OBRAS SPOT</v>
          </cell>
          <cell r="K1108" t="str">
            <v>FATURADO</v>
          </cell>
        </row>
        <row r="1109">
          <cell r="A1109" t="str">
            <v>0526-008442</v>
          </cell>
          <cell r="B1109" t="str">
            <v>DP PEDRA DE GUARATIBA</v>
          </cell>
          <cell r="C1109" t="str">
            <v>Pedido de caminhão pipa para abastecimento da loja</v>
          </cell>
          <cell r="D1109" t="str">
            <v>HIDRAULICA</v>
          </cell>
          <cell r="E1109" t="str">
            <v>SOLICITADO POR JUAN - 03/05/2026</v>
          </cell>
          <cell r="F1109" t="e">
            <v>#REF!</v>
          </cell>
          <cell r="G1109" t="str">
            <v>JUAN</v>
          </cell>
          <cell r="I1109" t="str">
            <v>MANFAC OBRAS SPOT</v>
          </cell>
          <cell r="K1109" t="str">
            <v>FATURADO</v>
          </cell>
        </row>
        <row r="1110">
          <cell r="A1110" t="str">
            <v>0426-017905</v>
          </cell>
          <cell r="B1110" t="str">
            <v>DP RECREIO 8</v>
          </cell>
          <cell r="C1110" t="str">
            <v>Solicitação de caminhão pipa para abastecimento.</v>
          </cell>
          <cell r="D1110" t="str">
            <v>HIDRAULICA</v>
          </cell>
          <cell r="E1110" t="str">
            <v>SOLICITADO POR JUAN - 30/04/2026</v>
          </cell>
          <cell r="F1110" t="e">
            <v>#REF!</v>
          </cell>
          <cell r="G1110" t="str">
            <v>JUAN</v>
          </cell>
          <cell r="I1110" t="str">
            <v>MANFAC OBRAS SPOT</v>
          </cell>
          <cell r="K1110" t="str">
            <v>FATURADO</v>
          </cell>
        </row>
        <row r="1111">
          <cell r="A1111" t="str">
            <v>0326-012912</v>
          </cell>
          <cell r="B1111" t="str">
            <v>DP PENHA</v>
          </cell>
          <cell r="C1111" t="str">
            <v>TELHADO BIDIM</v>
          </cell>
          <cell r="D1111" t="str">
            <v>TELHADO</v>
          </cell>
          <cell r="F1111">
            <v>33104.769999999997</v>
          </cell>
          <cell r="G1111" t="str">
            <v>ALINE</v>
          </cell>
          <cell r="I1111" t="str">
            <v>MANFAC OBRAS REFORMAS</v>
          </cell>
          <cell r="J1111" t="str">
            <v>LUANA</v>
          </cell>
          <cell r="K1111" t="str">
            <v>FATURADO</v>
          </cell>
        </row>
        <row r="1112">
          <cell r="A1112" t="str">
            <v>0426-016198</v>
          </cell>
          <cell r="B1112" t="str">
            <v>DP PEDRA DE GUARATIBA</v>
          </cell>
          <cell r="C1112" t="str">
            <v>solicito com urgencia caminhão pipa ! loja sem agua nos banheiros e filtro para consumo</v>
          </cell>
          <cell r="D1112" t="str">
            <v>HIDRAULICA</v>
          </cell>
          <cell r="E1112" t="str">
            <v>SOLICITADO POR JUAN - 26/04/2026</v>
          </cell>
          <cell r="F1112" t="e">
            <v>#REF!</v>
          </cell>
          <cell r="G1112" t="str">
            <v>JUAN</v>
          </cell>
          <cell r="I1112" t="str">
            <v>MANFAC OBRAS SPOT</v>
          </cell>
          <cell r="K1112" t="str">
            <v>Faturado</v>
          </cell>
        </row>
        <row r="1113">
          <cell r="A1113" t="str">
            <v>0126-021424</v>
          </cell>
          <cell r="B1113" t="str">
            <v>DP RECREIO 1</v>
          </cell>
          <cell r="C1113" t="str">
            <v>Reparo de piso ardosia no estacionamento</v>
          </cell>
          <cell r="D1113" t="str">
            <v>CIVIL</v>
          </cell>
          <cell r="E1113" t="str">
            <v>LIBERAADO POR LEANDRO - 10/02/2026</v>
          </cell>
          <cell r="F1113" t="e">
            <v>#REF!</v>
          </cell>
          <cell r="G1113" t="str">
            <v>JUAN</v>
          </cell>
          <cell r="I1113" t="str">
            <v>MANFAC OBRAS SPOT</v>
          </cell>
          <cell r="J1113" t="str">
            <v>LUANA</v>
          </cell>
          <cell r="K1113" t="str">
            <v>FATURADO</v>
          </cell>
        </row>
        <row r="1114">
          <cell r="A1114" t="str">
            <v>0326-012104</v>
          </cell>
          <cell r="B1114" t="str">
            <v>DP RECREIO 7</v>
          </cell>
          <cell r="C1114" t="str">
            <v>Boa tarde,
 Solicito a troca do motor da porta principal que está danificado por tempo de uso.
 Att. Ronan</v>
          </cell>
          <cell r="D1114" t="str">
            <v>SERRALHERIA</v>
          </cell>
          <cell r="E1114" t="str">
            <v>LIBERADO POR JUAN - 11/03/2026</v>
          </cell>
          <cell r="F1114" t="e">
            <v>#REF!</v>
          </cell>
          <cell r="G1114" t="str">
            <v>JUAN</v>
          </cell>
          <cell r="I1114" t="str">
            <v>MANFAC OBRAS SPOT</v>
          </cell>
          <cell r="J1114" t="str">
            <v>LUANA</v>
          </cell>
          <cell r="K1114" t="str">
            <v>FATURADO</v>
          </cell>
        </row>
        <row r="1115">
          <cell r="A1115" t="str">
            <v>0426-014416</v>
          </cell>
          <cell r="B1115" t="str">
            <v>DP TRINDADE</v>
          </cell>
          <cell r="C1115" t="str">
            <v>Bom Dia!
 Filial se encontra sem água.</v>
          </cell>
          <cell r="D1115" t="str">
            <v>HIDRAULICA</v>
          </cell>
          <cell r="E1115" t="str">
            <v>LIBERADO POR AMANDA - 21/04/2026</v>
          </cell>
          <cell r="F1115" t="e">
            <v>#REF!</v>
          </cell>
          <cell r="G1115" t="str">
            <v>AMANDA</v>
          </cell>
          <cell r="I1115" t="str">
            <v>MANFAC OBRAS SPOT</v>
          </cell>
          <cell r="K1115" t="str">
            <v>FATURADO</v>
          </cell>
        </row>
        <row r="1116">
          <cell r="A1116" t="str">
            <v>0226-008106</v>
          </cell>
          <cell r="B1116" t="str">
            <v>DP RECREIO 2</v>
          </cell>
          <cell r="C1116" t="str">
            <v>Informo que devido as chuvas na área do balcão começou com vazamento que ocasionou também no curto e queima da luminaria.</v>
          </cell>
          <cell r="D1116" t="str">
            <v>TELHADO</v>
          </cell>
          <cell r="E1116" t="str">
            <v>SOLICITADO POR JUAN - 08/05/2026</v>
          </cell>
          <cell r="F1116" t="e">
            <v>#REF!</v>
          </cell>
          <cell r="G1116" t="str">
            <v>JUAN</v>
          </cell>
          <cell r="I1116" t="str">
            <v>MANFAC OBRAS SPOT</v>
          </cell>
          <cell r="J1116" t="str">
            <v>LUANA</v>
          </cell>
          <cell r="K1116" t="str">
            <v>FATURADO</v>
          </cell>
        </row>
        <row r="1117">
          <cell r="A1117" t="str">
            <v>1225-014134</v>
          </cell>
          <cell r="B1117" t="str">
            <v>DP CABO FRIO 4</v>
          </cell>
          <cell r="C1117" t="str">
            <v>boa tarde temos um bebedouro novo para a filial, precisa ser instalado, necessita de suporte para instalação , segue modelo</v>
          </cell>
          <cell r="D1117" t="str">
            <v>EQUIPAMENTO</v>
          </cell>
          <cell r="F1117" t="e">
            <v>#REF!</v>
          </cell>
          <cell r="G1117" t="str">
            <v>LEANDRO</v>
          </cell>
          <cell r="I1117" t="str">
            <v>MANFAC OBRAS SPOT</v>
          </cell>
          <cell r="K1117" t="str">
            <v>FATURADO</v>
          </cell>
        </row>
        <row r="1118">
          <cell r="A1118" t="str">
            <v>0226-008790</v>
          </cell>
          <cell r="B1118" t="str">
            <v>DP BARRA DA TIJUCA 5</v>
          </cell>
          <cell r="C1118" t="str">
            <v>Forro foi danificado devido as fortes chuvas</v>
          </cell>
          <cell r="D1118" t="str">
            <v>CIVIL</v>
          </cell>
          <cell r="E1118" t="str">
            <v>LIBERADO POR LEANDRO - 25/02/2026</v>
          </cell>
          <cell r="F1118" t="e">
            <v>#REF!</v>
          </cell>
          <cell r="G1118" t="str">
            <v>LEANDRO</v>
          </cell>
          <cell r="I1118" t="str">
            <v>MANFAC OBRAS SPOT</v>
          </cell>
          <cell r="K1118" t="str">
            <v>FATURADO</v>
          </cell>
        </row>
        <row r="1119">
          <cell r="A1119" t="str">
            <v>1025-013084</v>
          </cell>
          <cell r="B1119" t="str">
            <v>DP RECREIO 4</v>
          </cell>
          <cell r="C1119" t="str">
            <v>Boa tarde, solicito por gentileza reparo desta janela</v>
          </cell>
          <cell r="D1119" t="str">
            <v>SERRALHERIA</v>
          </cell>
          <cell r="F1119">
            <v>2427.6</v>
          </cell>
          <cell r="G1119" t="str">
            <v>JUAN</v>
          </cell>
          <cell r="I1119" t="str">
            <v>MANFAC OBRAS SPOT</v>
          </cell>
          <cell r="K1119" t="str">
            <v>FATURADO</v>
          </cell>
        </row>
        <row r="1120">
          <cell r="A1120" t="str">
            <v>0326-008148</v>
          </cell>
          <cell r="B1120" t="str">
            <v>DP RIO BRANCO 2</v>
          </cell>
          <cell r="C1120" t="str">
            <v>Porta naõ abre</v>
          </cell>
          <cell r="D1120" t="str">
            <v>SERRALHERIA</v>
          </cell>
          <cell r="F1120" t="e">
            <v>#REF!</v>
          </cell>
          <cell r="G1120" t="str">
            <v>LEANDRO</v>
          </cell>
          <cell r="I1120" t="str">
            <v>MANFAC OBRAS SPOT</v>
          </cell>
          <cell r="K1120" t="str">
            <v>FATURADO</v>
          </cell>
        </row>
        <row r="1121">
          <cell r="A1121" t="str">
            <v>0126-021642</v>
          </cell>
          <cell r="B1121" t="str">
            <v>DP RECREIO 7</v>
          </cell>
          <cell r="C1121" t="str">
            <v>Solicito impermeabilização do telhado, filial com vários pontos de goteira e vazamento quando ocorre chuvas.</v>
          </cell>
          <cell r="D1121" t="str">
            <v>TELHADO</v>
          </cell>
          <cell r="F1121" t="e">
            <v>#REF!</v>
          </cell>
          <cell r="G1121" t="str">
            <v>JUAN</v>
          </cell>
          <cell r="I1121" t="str">
            <v>MANFAC OBRAS SPOT</v>
          </cell>
          <cell r="J1121" t="str">
            <v>YURI</v>
          </cell>
          <cell r="K1121" t="str">
            <v>FATURADO</v>
          </cell>
        </row>
        <row r="1122">
          <cell r="A1122" t="str">
            <v>0126-018429</v>
          </cell>
          <cell r="B1122" t="str">
            <v>DP RECREIO 7</v>
          </cell>
          <cell r="C1122" t="str">
            <v>Temos água minando das paredes nos corredores na retaguarda, no estoque de fraldas principalmente, peço urgência pois estamos realocandos as fraldas por conta das avarias causadas pela água, porém a retaguarda é pequena, não temos espaço.</v>
          </cell>
          <cell r="D1122" t="str">
            <v>CIVIL</v>
          </cell>
          <cell r="F1122" t="e">
            <v>#REF!</v>
          </cell>
          <cell r="G1122" t="str">
            <v>JUAN</v>
          </cell>
          <cell r="I1122" t="str">
            <v>MANFAC OBRAS SPOT</v>
          </cell>
          <cell r="J1122" t="str">
            <v>YURI</v>
          </cell>
          <cell r="K1122" t="str">
            <v>FATURADO</v>
          </cell>
        </row>
        <row r="1123">
          <cell r="A1123" t="str">
            <v>0326-015203</v>
          </cell>
          <cell r="B1123" t="str">
            <v>DP SHOPPING PARK LAGOS</v>
          </cell>
          <cell r="C1123" t="str">
            <v>Boa tarde! Tudo bem?
 Nossa porta apresentou travamento na hora de fechar e de abrir. Solicito apoio para averiguar e resolver possíveis problemas.</v>
          </cell>
          <cell r="D1123" t="str">
            <v>SERRALHERIA</v>
          </cell>
          <cell r="F1123" t="e">
            <v>#REF!</v>
          </cell>
          <cell r="G1123" t="str">
            <v>LEANDRO</v>
          </cell>
          <cell r="I1123" t="str">
            <v>MANFAC OBRAS SPOT</v>
          </cell>
          <cell r="K1123" t="str">
            <v>FATURADO</v>
          </cell>
        </row>
        <row r="1124">
          <cell r="A1124" t="str">
            <v>0326-012657</v>
          </cell>
          <cell r="B1124" t="str">
            <v>DP ARARUAMA 3</v>
          </cell>
          <cell r="C1124" t="str">
            <v>BOM DIA SOLICITO A PINTURA DA RETAGUARDA
 ATT
 GABRIELLE CHAVESA
 DM</v>
          </cell>
          <cell r="D1124" t="str">
            <v>CIVIL</v>
          </cell>
          <cell r="F1124" t="e">
            <v>#REF!</v>
          </cell>
          <cell r="G1124" t="str">
            <v>LEANDRO</v>
          </cell>
          <cell r="I1124" t="str">
            <v>MANFAC OBRAS SPOT</v>
          </cell>
          <cell r="K1124" t="str">
            <v>FATURADO</v>
          </cell>
        </row>
        <row r="1125">
          <cell r="A1125" t="str">
            <v>0426-016272</v>
          </cell>
          <cell r="B1125" t="str">
            <v>DP RECREIO 7</v>
          </cell>
          <cell r="C1125" t="str">
            <v>Boa tarde !
 Loja sem água, solicito reabastecimento .</v>
          </cell>
          <cell r="D1125" t="str">
            <v>HIDRAULICA</v>
          </cell>
          <cell r="E1125" t="str">
            <v>SOLICITADO POR JUAN - 24/04/2026</v>
          </cell>
          <cell r="F1125" t="e">
            <v>#REF!</v>
          </cell>
          <cell r="G1125" t="str">
            <v>JUAN</v>
          </cell>
          <cell r="I1125" t="str">
            <v>MANFAC OBRAS SPOT</v>
          </cell>
          <cell r="K1125" t="str">
            <v>FATURADO</v>
          </cell>
        </row>
        <row r="1126">
          <cell r="A1126" t="str">
            <v>0426-014113</v>
          </cell>
          <cell r="B1126" t="str">
            <v>DP LUCIO COSTA</v>
          </cell>
          <cell r="C1126" t="str">
            <v>solicito carro pipa, loja sem água</v>
          </cell>
          <cell r="D1126" t="str">
            <v>HIDRAULICA</v>
          </cell>
          <cell r="E1126" t="str">
            <v>LIBERADO POR JUAN - 20/04/2026</v>
          </cell>
          <cell r="F1126" t="e">
            <v>#REF!</v>
          </cell>
          <cell r="G1126" t="str">
            <v>JUAN</v>
          </cell>
          <cell r="I1126" t="str">
            <v>MANFAC OBRAS SPOT</v>
          </cell>
          <cell r="K1126" t="str">
            <v>FATURADO</v>
          </cell>
        </row>
        <row r="1127">
          <cell r="A1127" t="str">
            <v>0326-021137</v>
          </cell>
          <cell r="B1127" t="str">
            <v>DP SANTA CRUZ 3</v>
          </cell>
          <cell r="C1127" t="str">
            <v>PONTO ELETRONICO SEM REDE</v>
          </cell>
          <cell r="D1127" t="str">
            <v>ELETRICA</v>
          </cell>
          <cell r="F1127" t="e">
            <v>#REF!</v>
          </cell>
          <cell r="G1127" t="str">
            <v>JUAN</v>
          </cell>
          <cell r="I1127" t="str">
            <v>MANFAC OBRAS SPOT</v>
          </cell>
          <cell r="K1127" t="str">
            <v>cancelado</v>
          </cell>
        </row>
        <row r="1128">
          <cell r="A1128" t="str">
            <v>0226-015559</v>
          </cell>
          <cell r="B1128" t="str">
            <v>DP GLORIA</v>
          </cell>
          <cell r="C1128" t="str">
            <v>Solicito verificação e reparo. Filial com recorrentes infiltrações e com possível vazamento na laje, danificando as mercadorias gerando perda para loja.</v>
          </cell>
          <cell r="D1128" t="str">
            <v>CIVIL</v>
          </cell>
          <cell r="F1128" t="e">
            <v>#REF!</v>
          </cell>
          <cell r="G1128" t="str">
            <v>LEANDRO</v>
          </cell>
          <cell r="I1128" t="str">
            <v>MANFAC OBRAS SPOT</v>
          </cell>
          <cell r="K1128" t="str">
            <v>FATURADO</v>
          </cell>
        </row>
        <row r="1129">
          <cell r="A1129" t="str">
            <v>0426-016740</v>
          </cell>
          <cell r="B1129" t="str">
            <v>DP RECREIO 9</v>
          </cell>
          <cell r="C1129" t="str">
            <v>Aquisição de microondas danificado</v>
          </cell>
          <cell r="D1129" t="str">
            <v>EQUIPAMENTO</v>
          </cell>
          <cell r="E1129" t="str">
            <v>SOLICITADO POR JUAN - 27/04/2026</v>
          </cell>
          <cell r="F1129" t="e">
            <v>#REF!</v>
          </cell>
          <cell r="G1129" t="str">
            <v>JUAN</v>
          </cell>
          <cell r="I1129" t="str">
            <v>MANFAC OBRAS SPOT</v>
          </cell>
          <cell r="K1129" t="str">
            <v>FATURADO</v>
          </cell>
        </row>
        <row r="1130">
          <cell r="A1130" t="str">
            <v>0326-018738</v>
          </cell>
          <cell r="B1130" t="str">
            <v>DP ARARUAMA</v>
          </cell>
          <cell r="C1130" t="str">
            <v>VENTILADOR DA COPA PAROU DE FUNCIONAR, E JÁ FOI CONDENADO, SOLICITO OUTRO.
 VOLTAGEM 127V</v>
          </cell>
          <cell r="D1130" t="str">
            <v>EQUIPAMENTO</v>
          </cell>
          <cell r="F1130" t="e">
            <v>#REF!</v>
          </cell>
          <cell r="G1130" t="str">
            <v>LEANDRO</v>
          </cell>
          <cell r="I1130" t="str">
            <v>MANFAC OBRAS SPOT</v>
          </cell>
          <cell r="K1130" t="str">
            <v>FATURADO</v>
          </cell>
        </row>
        <row r="1131">
          <cell r="A1131" t="str">
            <v>0426-013203</v>
          </cell>
          <cell r="B1131" t="str">
            <v>DP SAO JOSE RJ</v>
          </cell>
          <cell r="C1131" t="str">
            <v>Solicito descarte de geladeira Consul sem funcionamento. Segue NF para descarte do ativo</v>
          </cell>
          <cell r="D1131" t="str">
            <v>TRANSPORTE</v>
          </cell>
          <cell r="F1131" t="e">
            <v>#REF!</v>
          </cell>
          <cell r="G1131" t="str">
            <v>LEANDRO</v>
          </cell>
          <cell r="I1131" t="str">
            <v>MANFAC OBRAS SPOT</v>
          </cell>
          <cell r="K1131" t="str">
            <v>FATURADO</v>
          </cell>
        </row>
        <row r="1132">
          <cell r="A1132" t="str">
            <v>0426-008819</v>
          </cell>
          <cell r="B1132" t="str">
            <v>DP BARRA MANSA</v>
          </cell>
          <cell r="C1132" t="str">
            <v>Rollout AC 2026</v>
          </cell>
          <cell r="D1132" t="str">
            <v>CAPEX</v>
          </cell>
          <cell r="F1132" t="e">
            <v>#REF!</v>
          </cell>
          <cell r="G1132" t="str">
            <v>JUAN</v>
          </cell>
          <cell r="I1132" t="str">
            <v>MANFAC OBRAS SPOT</v>
          </cell>
          <cell r="K1132" t="str">
            <v>FATURADO</v>
          </cell>
        </row>
        <row r="1133">
          <cell r="A1133" t="str">
            <v>0326-018116</v>
          </cell>
          <cell r="B1133" t="str">
            <v>DP RECREIO 8</v>
          </cell>
          <cell r="C1133" t="str">
            <v>Solicito urgentemente apoio com mofos em toda parede do estoque afetando qualidade dos produtos gerando conflito para uma futura fiscalização da vigilância sanitária.</v>
          </cell>
          <cell r="D1133" t="str">
            <v>CIVIL</v>
          </cell>
          <cell r="F1133" t="e">
            <v>#REF!</v>
          </cell>
          <cell r="G1133" t="str">
            <v>JUAN</v>
          </cell>
          <cell r="I1133" t="str">
            <v>MANFAC OBRAS SPOT</v>
          </cell>
          <cell r="J1133" t="str">
            <v>YURI</v>
          </cell>
          <cell r="K1133" t="str">
            <v>FATURADO</v>
          </cell>
        </row>
        <row r="1134">
          <cell r="A1134" t="str">
            <v>0326-018574</v>
          </cell>
          <cell r="B1134" t="str">
            <v>ANDRADAS</v>
          </cell>
          <cell r="C1134" t="str">
            <v>INSTALAÇÃO DE MAQUINAS DE AR</v>
          </cell>
          <cell r="D1134" t="str">
            <v>CLIMATIZAÇÃO</v>
          </cell>
          <cell r="E1134" t="str">
            <v>LIBERADO POR LEANDRO - 10/03/2026</v>
          </cell>
          <cell r="F1134">
            <v>8927</v>
          </cell>
          <cell r="G1134" t="str">
            <v>LEANDRO</v>
          </cell>
          <cell r="I1134" t="str">
            <v>MANFAC OBRAS SPOT</v>
          </cell>
          <cell r="K1134" t="str">
            <v>FATURADO</v>
          </cell>
        </row>
        <row r="1135">
          <cell r="A1135" t="str">
            <v>0526-013957</v>
          </cell>
          <cell r="B1135" t="str">
            <v>DP RECREIO 2</v>
          </cell>
          <cell r="C1135" t="str">
            <v>Troca da bomba secundária que foi verificado que está queimada</v>
          </cell>
          <cell r="D1135" t="str">
            <v>HIDRAULICA</v>
          </cell>
          <cell r="E1135" t="str">
            <v>SOLICITADO POR JUAN - 02/05/2026</v>
          </cell>
          <cell r="F1135" t="e">
            <v>#REF!</v>
          </cell>
          <cell r="G1135" t="str">
            <v>JUAN</v>
          </cell>
          <cell r="I1135" t="str">
            <v>MANFAC OBRAS SPOT</v>
          </cell>
          <cell r="J1135" t="str">
            <v>LUANA</v>
          </cell>
          <cell r="K1135" t="str">
            <v>FATURADO</v>
          </cell>
        </row>
        <row r="1136">
          <cell r="A1136" t="str">
            <v>0426-008820</v>
          </cell>
          <cell r="B1136" t="str">
            <v>DP NILOPOLIS</v>
          </cell>
          <cell r="C1136" t="str">
            <v>INSTALAÇÃO AR CONDICIONADO 60.000 BTUS</v>
          </cell>
          <cell r="D1136" t="str">
            <v>AR CONDICIONADO</v>
          </cell>
          <cell r="F1136">
            <v>11641.39</v>
          </cell>
          <cell r="G1136" t="str">
            <v>JUAN</v>
          </cell>
          <cell r="I1136" t="str">
            <v>MANFAC OBRAS SPOT</v>
          </cell>
          <cell r="J1136" t="str">
            <v>GABRIEL</v>
          </cell>
          <cell r="K1136" t="str">
            <v>PENDENTE FATURAMENTO</v>
          </cell>
        </row>
        <row r="1137">
          <cell r="A1137" t="str">
            <v>0426-009327</v>
          </cell>
          <cell r="B1137" t="str">
            <v>DP COPACABANA 6</v>
          </cell>
          <cell r="C1137" t="str">
            <v>PORTAIS DA LOJA COM PROBLEMA NÃO FECHAM OU ABREM COM DEFEITO</v>
          </cell>
          <cell r="D1137" t="str">
            <v>CIVIL</v>
          </cell>
          <cell r="F1137" t="e">
            <v>#REF!</v>
          </cell>
          <cell r="G1137" t="str">
            <v>LEANDRO</v>
          </cell>
          <cell r="K1137" t="str">
            <v>PENDENTE FATURAMENTO</v>
          </cell>
        </row>
        <row r="1138">
          <cell r="A1138" t="str">
            <v>0426-012516</v>
          </cell>
          <cell r="B1138" t="str">
            <v>DP MACAE 2</v>
          </cell>
          <cell r="C1138" t="str">
            <v>Mão de obra para reforma Light</v>
          </cell>
          <cell r="D1138" t="str">
            <v>CAPEX</v>
          </cell>
          <cell r="E1138">
            <v>12</v>
          </cell>
          <cell r="F1138">
            <v>25523.03</v>
          </cell>
          <cell r="G1138" t="str">
            <v>LEANDRO</v>
          </cell>
          <cell r="I1138" t="str">
            <v>MANFAC OBRAS REFORMAS</v>
          </cell>
          <cell r="K1138" t="str">
            <v>PENDENTE FATURAMENTO</v>
          </cell>
        </row>
        <row r="1139">
          <cell r="A1139" t="str">
            <v>0426-013233</v>
          </cell>
          <cell r="B1139" t="str">
            <v>DP CATETE 5</v>
          </cell>
          <cell r="C1139" t="str">
            <v>Solicito a remoção deste material, pois a empresa irá substituí-lo por outro.</v>
          </cell>
          <cell r="D1139" t="str">
            <v>CIVIL</v>
          </cell>
          <cell r="F1139" t="e">
            <v>#REF!</v>
          </cell>
          <cell r="G1139" t="str">
            <v>LEANDRO</v>
          </cell>
          <cell r="I1139" t="str">
            <v>MANFAC OBRAS SPOT</v>
          </cell>
          <cell r="K1139" t="str">
            <v>FATURADO</v>
          </cell>
        </row>
        <row r="1140">
          <cell r="A1140" t="str">
            <v>0426-011720</v>
          </cell>
          <cell r="B1140" t="str">
            <v>DP LUCIO COSTA</v>
          </cell>
          <cell r="C1140" t="str">
            <v>Boa tarde, solicito carro pipa pois a loja esta sem agua.</v>
          </cell>
          <cell r="D1140" t="str">
            <v>HIDRAULICA</v>
          </cell>
          <cell r="E1140" t="str">
            <v>SOLICITADO POR JUAN - 13/04/2026</v>
          </cell>
          <cell r="F1140" t="e">
            <v>#REF!</v>
          </cell>
          <cell r="G1140" t="str">
            <v>JUAN</v>
          </cell>
          <cell r="I1140" t="str">
            <v>MANFAC OBRAS SPOT</v>
          </cell>
          <cell r="K1140" t="str">
            <v>FATURADO</v>
          </cell>
        </row>
        <row r="1141">
          <cell r="A1141" t="str">
            <v>0426-010348</v>
          </cell>
          <cell r="B1141" t="str">
            <v>DP PEDRA DE GUARATIBA</v>
          </cell>
          <cell r="C1141" t="str">
            <v>Solicito um carro pipa para a loja pois a mesma encontra-se sem água para limpeza e afazeres em geral</v>
          </cell>
          <cell r="D1141" t="str">
            <v>HIDRAULICA</v>
          </cell>
          <cell r="E1141" t="str">
            <v>LIBERADO POR JUAN - 10/04/2026</v>
          </cell>
          <cell r="F1141" t="e">
            <v>#REF!</v>
          </cell>
          <cell r="G1141" t="str">
            <v>JUAN</v>
          </cell>
          <cell r="I1141" t="str">
            <v>MANFAC OBRAS SPOT</v>
          </cell>
          <cell r="K1141" t="str">
            <v>FATURADO</v>
          </cell>
        </row>
        <row r="1142">
          <cell r="A1142" t="str">
            <v>0426-014237</v>
          </cell>
          <cell r="B1142" t="str">
            <v>DP RECREIO 8</v>
          </cell>
          <cell r="C1142" t="str">
            <v>Loja com muitos danos estruturais causados por vazamento de água, conforme pode ser visto nas imagens anexadas no chamado.</v>
          </cell>
          <cell r="D1142" t="str">
            <v>CIVIL</v>
          </cell>
          <cell r="F1142" t="e">
            <v>#REF!</v>
          </cell>
          <cell r="G1142" t="str">
            <v>JUAN</v>
          </cell>
          <cell r="I1142" t="str">
            <v>MANFAC OBRAS SPOT</v>
          </cell>
          <cell r="J1142" t="str">
            <v>YURI</v>
          </cell>
          <cell r="K1142" t="str">
            <v>FATURADO</v>
          </cell>
        </row>
        <row r="1143">
          <cell r="A1143" t="str">
            <v>0526-009887</v>
          </cell>
          <cell r="B1143" t="str">
            <v>DP RIO DAS OSTRAS 2</v>
          </cell>
          <cell r="D1143" t="str">
            <v>HIDRAULICA</v>
          </cell>
          <cell r="E1143" t="str">
            <v>ESGOTAMENTO REALIZADO</v>
          </cell>
          <cell r="F1143" t="e">
            <v>#REF!</v>
          </cell>
          <cell r="G1143" t="str">
            <v>LEANDRO</v>
          </cell>
          <cell r="I1143" t="str">
            <v>MANFAC OBRAS SPOT</v>
          </cell>
          <cell r="K1143" t="str">
            <v>FATURADO</v>
          </cell>
        </row>
        <row r="1144">
          <cell r="A1144" t="str">
            <v>0226-004162</v>
          </cell>
          <cell r="B1144" t="str">
            <v>DP ALCANTARA 5</v>
          </cell>
          <cell r="C1144" t="str">
            <v>Rolllout do Telhado Geral da loja e marquise</v>
          </cell>
          <cell r="D1144" t="str">
            <v>CAPEX</v>
          </cell>
          <cell r="F1144">
            <v>68134.899999999994</v>
          </cell>
          <cell r="G1144" t="str">
            <v>AMANDA</v>
          </cell>
          <cell r="I1144" t="str">
            <v>MANFAC OBRAS REFORMAS</v>
          </cell>
          <cell r="J1144" t="str">
            <v>LUANA</v>
          </cell>
          <cell r="K1144" t="str">
            <v>FATURADO</v>
          </cell>
        </row>
        <row r="1145">
          <cell r="A1145" t="str">
            <v>0426-012518</v>
          </cell>
          <cell r="B1145" t="str">
            <v>DP SAO PEDRO DA ALDEIA</v>
          </cell>
          <cell r="C1145" t="str">
            <v>Mão de obra para reforma Light.</v>
          </cell>
          <cell r="D1145" t="str">
            <v>CAPEX</v>
          </cell>
          <cell r="E1145">
            <v>12</v>
          </cell>
          <cell r="F1145">
            <v>11497.93</v>
          </cell>
          <cell r="G1145" t="str">
            <v>LEANDRO</v>
          </cell>
          <cell r="I1145" t="str">
            <v>MANFAC OBRAS REFORMAS</v>
          </cell>
          <cell r="K1145" t="str">
            <v>FATURADO</v>
          </cell>
        </row>
        <row r="1146">
          <cell r="A1146" t="str">
            <v>0326-018441</v>
          </cell>
          <cell r="B1146" t="str">
            <v>DP MACAE 3</v>
          </cell>
          <cell r="C1146" t="str">
            <v>Solicito laudo estrutural da loja.</v>
          </cell>
          <cell r="D1146" t="str">
            <v>DOCUMENTAÇÃO</v>
          </cell>
          <cell r="F1146" t="e">
            <v>#REF!</v>
          </cell>
          <cell r="G1146" t="str">
            <v>LEANDRO</v>
          </cell>
          <cell r="I1146" t="str">
            <v>MANFAC OBRAS SPOT</v>
          </cell>
          <cell r="K1146" t="str">
            <v>FATURADO</v>
          </cell>
        </row>
        <row r="1147">
          <cell r="A1147" t="str">
            <v>0326-018497</v>
          </cell>
          <cell r="B1147" t="str">
            <v>DP IPANEMA 1</v>
          </cell>
          <cell r="C1147" t="str">
            <v>PINTURA GARAGEM</v>
          </cell>
          <cell r="D1147" t="str">
            <v>CIVIL</v>
          </cell>
          <cell r="E1147" t="str">
            <v>PENDENTE TOKEN</v>
          </cell>
          <cell r="F1147" t="e">
            <v>#REF!</v>
          </cell>
          <cell r="G1147" t="str">
            <v>LEANDRO</v>
          </cell>
          <cell r="I1147" t="str">
            <v>MANFAC OBRAS SPOT</v>
          </cell>
          <cell r="K1147" t="str">
            <v>FATURADO</v>
          </cell>
        </row>
        <row r="1148">
          <cell r="A1148" t="str">
            <v>0426-011113</v>
          </cell>
          <cell r="B1148" t="str">
            <v>DP SAQUAREMA ITAÚNA</v>
          </cell>
          <cell r="C1148" t="str">
            <v>SOLICITAMOS FECHAMENTO DO ESTACIONAMENTO. O estacionamento vem sendo utilizado indevidamente por pessoas que nãoestão utilizando a loja. Assim gerando grandes transtornos e reclamações dos clientes que buscam atendimento na loja.</v>
          </cell>
          <cell r="D1148" t="str">
            <v>SERRALHERIA</v>
          </cell>
          <cell r="F1148" t="e">
            <v>#REF!</v>
          </cell>
          <cell r="G1148" t="str">
            <v>LEANDRO</v>
          </cell>
          <cell r="I1148" t="str">
            <v>MANFAC OBRAS SPOT</v>
          </cell>
          <cell r="K1148" t="str">
            <v>FATURADO</v>
          </cell>
        </row>
        <row r="1149">
          <cell r="A1149" t="str">
            <v>0426-011406</v>
          </cell>
          <cell r="B1149" t="str">
            <v>DP CABO FRIO 4</v>
          </cell>
          <cell r="C1149" t="str">
            <v>Substituição do ventilador exigido pela VISA.</v>
          </cell>
          <cell r="D1149" t="str">
            <v>EQUIPAMENTO</v>
          </cell>
          <cell r="F1149" t="e">
            <v>#REF!</v>
          </cell>
          <cell r="G1149" t="str">
            <v>LEANDRO</v>
          </cell>
          <cell r="I1149" t="str">
            <v>MANFAC OBRAS SPOT</v>
          </cell>
          <cell r="K1149" t="str">
            <v>FATURADO</v>
          </cell>
        </row>
        <row r="1150">
          <cell r="A1150" t="str">
            <v>0426-016925</v>
          </cell>
          <cell r="B1150" t="str">
            <v>DP JARDIM OCEANICO 2</v>
          </cell>
          <cell r="C1150" t="str">
            <v>Mão de obra para troca do mobiliário do dermo.</v>
          </cell>
          <cell r="D1150" t="str">
            <v>CIVIL</v>
          </cell>
          <cell r="E1150" t="str">
            <v>SOLICITADO POR AMANDA - 28/04/2026</v>
          </cell>
          <cell r="F1150" t="e">
            <v>#REF!</v>
          </cell>
          <cell r="G1150" t="str">
            <v>LEANDRO</v>
          </cell>
          <cell r="I1150" t="str">
            <v>MANFAC OBRAS SPOT</v>
          </cell>
          <cell r="K1150" t="str">
            <v>PENDENTE FATURAMENTO</v>
          </cell>
        </row>
        <row r="1151">
          <cell r="A1151" t="str">
            <v>0426-016931</v>
          </cell>
          <cell r="B1151" t="str">
            <v>DP SHOPPING BARRA SHOPPING</v>
          </cell>
          <cell r="C1151" t="str">
            <v>Mão de obra para troca do mobiliário do Dermo.</v>
          </cell>
          <cell r="D1151" t="str">
            <v>CIVIL</v>
          </cell>
          <cell r="E1151" t="str">
            <v>SOLICITADO POR AMANDA - 28/04/2026</v>
          </cell>
          <cell r="F1151" t="e">
            <v>#REF!</v>
          </cell>
          <cell r="G1151" t="str">
            <v>LEANDRO</v>
          </cell>
          <cell r="I1151" t="str">
            <v>MANFAC OBRAS SPOT</v>
          </cell>
          <cell r="K1151" t="str">
            <v>PENDENTE FATURAMENTO</v>
          </cell>
        </row>
        <row r="1152">
          <cell r="A1152" t="str">
            <v>0526-010462</v>
          </cell>
          <cell r="B1152" t="str">
            <v>DP PEDRA DE GUARATIBA 2</v>
          </cell>
          <cell r="C1152" t="str">
            <v>Ralo(calha ) do estacionamento quebrado, solicito a troca. Segue em anexo a foto do mesmo.</v>
          </cell>
          <cell r="D1152" t="str">
            <v>CIVIL</v>
          </cell>
          <cell r="F1152" t="e">
            <v>#REF!</v>
          </cell>
          <cell r="G1152" t="str">
            <v>JUAN</v>
          </cell>
          <cell r="I1152" t="str">
            <v>MANFAC OBRAS SPOT</v>
          </cell>
          <cell r="K1152" t="str">
            <v>FATURADO</v>
          </cell>
        </row>
        <row r="1153">
          <cell r="A1153" t="str">
            <v>0526-014680</v>
          </cell>
          <cell r="B1153" t="str">
            <v>DP PEDRA DE GUARATIBA</v>
          </cell>
          <cell r="C1153" t="str">
            <v>filial sem água. solicito caminhão pipa</v>
          </cell>
          <cell r="D1153" t="str">
            <v>HIDRAULICA</v>
          </cell>
          <cell r="F1153" t="e">
            <v>#REF!</v>
          </cell>
          <cell r="G1153" t="str">
            <v>JUAN</v>
          </cell>
          <cell r="I1153" t="str">
            <v>MANFAC OBRAS SPOT</v>
          </cell>
          <cell r="J1153" t="str">
            <v>LUANA</v>
          </cell>
          <cell r="K1153" t="str">
            <v>FATURADO</v>
          </cell>
        </row>
        <row r="1154">
          <cell r="A1154" t="str">
            <v>0526-014250</v>
          </cell>
          <cell r="B1154" t="str">
            <v>DP RECREIO 4</v>
          </cell>
          <cell r="C1154" t="str">
            <v>solicito carro pipa junto com a equipe de apoio para verificação da bomba de água para verificar se teve entrada de ar</v>
          </cell>
          <cell r="D1154" t="str">
            <v>HIDRAULICA</v>
          </cell>
          <cell r="F1154" t="e">
            <v>#REF!</v>
          </cell>
          <cell r="G1154" t="str">
            <v>JUAN</v>
          </cell>
          <cell r="I1154" t="str">
            <v>MANFAC OBRAS SPOT</v>
          </cell>
          <cell r="J1154" t="str">
            <v>LUANA</v>
          </cell>
          <cell r="K1154" t="str">
            <v>FATURADO</v>
          </cell>
        </row>
        <row r="1155">
          <cell r="A1155" t="str">
            <v>0526-013576</v>
          </cell>
          <cell r="B1155" t="str">
            <v>DP SENADOR DANTAS 2</v>
          </cell>
          <cell r="C1155" t="str">
            <v>Solicito abastecimento de carro pipa para filial sem água desde cedo, com urgência da maior quantidade</v>
          </cell>
          <cell r="D1155" t="str">
            <v>HIDRAULICA</v>
          </cell>
          <cell r="F1155">
            <v>4000</v>
          </cell>
          <cell r="G1155" t="str">
            <v>LEANDRO</v>
          </cell>
          <cell r="I1155" t="str">
            <v>MANFAC OBRAS SPOT</v>
          </cell>
          <cell r="K1155" t="str">
            <v>FATURADO</v>
          </cell>
        </row>
        <row r="1156">
          <cell r="A1156" t="str">
            <v>0526-012985</v>
          </cell>
          <cell r="B1156" t="str">
            <v>DP RECREIO 7</v>
          </cell>
          <cell r="C1156" t="str">
            <v>Boa noite solicito caminhao pipa pois a loja esta sem agua</v>
          </cell>
          <cell r="D1156" t="str">
            <v>HIDRAULICA</v>
          </cell>
          <cell r="F1156" t="e">
            <v>#REF!</v>
          </cell>
          <cell r="G1156" t="str">
            <v>JUAN</v>
          </cell>
          <cell r="I1156" t="str">
            <v>MANFAC OBRAS SPOT</v>
          </cell>
          <cell r="J1156" t="str">
            <v>LUANA</v>
          </cell>
          <cell r="K1156" t="str">
            <v>FATURADO</v>
          </cell>
        </row>
        <row r="1157">
          <cell r="A1157" t="str">
            <v>0426-017866</v>
          </cell>
          <cell r="B1157" t="str">
            <v>DP SAO GONCALO 1</v>
          </cell>
          <cell r="C1157" t="str">
            <v>Cheve do tambor quebrada antes de abrir a porta</v>
          </cell>
          <cell r="D1157" t="str">
            <v>SERRALHERIA</v>
          </cell>
          <cell r="F1157" t="e">
            <v>#REF!</v>
          </cell>
          <cell r="G1157" t="str">
            <v>AMANDA</v>
          </cell>
          <cell r="K1157" t="str">
            <v>PENDENTE FATURAMENTO</v>
          </cell>
        </row>
        <row r="1158">
          <cell r="A1158" t="str">
            <v>0526-013639</v>
          </cell>
          <cell r="B1158" t="str">
            <v>DP LUCIO COSTA</v>
          </cell>
          <cell r="C1158" t="str">
            <v>Boa Tarde! loja inteira sem água
 obrigada.</v>
          </cell>
          <cell r="D1158" t="str">
            <v>HIDRAULICA</v>
          </cell>
          <cell r="F1158" t="e">
            <v>#REF!</v>
          </cell>
          <cell r="G1158" t="str">
            <v>JUAN</v>
          </cell>
          <cell r="I1158" t="str">
            <v>MANFAC OBRAS SPOT</v>
          </cell>
          <cell r="J1158" t="str">
            <v>LUANA</v>
          </cell>
          <cell r="K1158" t="str">
            <v>FATURADO</v>
          </cell>
        </row>
        <row r="1159">
          <cell r="A1159" t="str">
            <v>0526-013004</v>
          </cell>
          <cell r="B1159" t="str">
            <v>DP COLUBANDE</v>
          </cell>
          <cell r="C1159" t="str">
            <v>LOJA SÓ TEM 1 CHAVE FUNCIONANDO E A CENTRAL NÃO ESTÁ ACEITANDO FAZER CÓPIAS</v>
          </cell>
          <cell r="D1159" t="str">
            <v>SERRALHERIA</v>
          </cell>
          <cell r="F1159" t="e">
            <v>#REF!</v>
          </cell>
          <cell r="G1159" t="str">
            <v>AMANDA</v>
          </cell>
          <cell r="I1159" t="str">
            <v>MANFAC OBRAS SPOT</v>
          </cell>
          <cell r="K1159" t="str">
            <v>FATURADO</v>
          </cell>
        </row>
        <row r="1160">
          <cell r="A1160" t="str">
            <v>0526-013806</v>
          </cell>
          <cell r="B1160" t="str">
            <v>DP TERESOPOLIS 3</v>
          </cell>
          <cell r="C1160" t="str">
            <v>Bom dia
 Porta principal subiu sozinha na madrugada do dia 15/05, por volta de 00:30h.
 A porta já vinha apresentando falhas ao ser acionada para subir, equipe responsável já estava ciente e foi solicitada a troca do motor.</v>
          </cell>
          <cell r="D1160" t="str">
            <v>SERRALHERIA</v>
          </cell>
          <cell r="F1160" t="e">
            <v>#REF!</v>
          </cell>
          <cell r="G1160" t="str">
            <v>AMANDA</v>
          </cell>
          <cell r="I1160" t="str">
            <v>MANFAC OBRAS SPOT</v>
          </cell>
          <cell r="K1160" t="str">
            <v>FATURADO</v>
          </cell>
        </row>
        <row r="1161">
          <cell r="A1161" t="str">
            <v>0426-012516</v>
          </cell>
          <cell r="B1161" t="str">
            <v>DP MACAE 2</v>
          </cell>
          <cell r="C1161" t="str">
            <v>Mão de obra para reforma Light</v>
          </cell>
          <cell r="D1161" t="str">
            <v>CAPEX</v>
          </cell>
          <cell r="E1161">
            <v>12</v>
          </cell>
          <cell r="F1161">
            <v>140771.09</v>
          </cell>
          <cell r="G1161" t="str">
            <v>LEANDRO</v>
          </cell>
          <cell r="I1161" t="str">
            <v>MANFAC OBRAS REFORMAS</v>
          </cell>
          <cell r="K1161" t="str">
            <v>FATURADO</v>
          </cell>
        </row>
        <row r="1162">
          <cell r="A1162" t="str">
            <v>0426-006754</v>
          </cell>
          <cell r="B1162" t="str">
            <v>DP SHOPPING ITAIPU</v>
          </cell>
          <cell r="C1162" t="str">
            <v>MO Escopo Civil - Reforma light</v>
          </cell>
          <cell r="D1162" t="str">
            <v>CAPEX</v>
          </cell>
          <cell r="E1162">
            <v>12</v>
          </cell>
          <cell r="F1162">
            <v>108588.54</v>
          </cell>
          <cell r="G1162" t="str">
            <v>AMANDA</v>
          </cell>
          <cell r="I1162" t="str">
            <v>MANFAC OBRAS REFORMAS</v>
          </cell>
          <cell r="K1162" t="str">
            <v>FATURADO</v>
          </cell>
        </row>
        <row r="1163">
          <cell r="A1163" t="str">
            <v>0426-012518</v>
          </cell>
          <cell r="B1163" t="str">
            <v>DP SAO PEDRO DA ALDEIA</v>
          </cell>
          <cell r="C1163" t="str">
            <v>Mão de obra para reforma Light.</v>
          </cell>
          <cell r="D1163" t="str">
            <v>CAPEX</v>
          </cell>
          <cell r="E1163">
            <v>12</v>
          </cell>
          <cell r="F1163">
            <v>103481.38</v>
          </cell>
          <cell r="G1163" t="str">
            <v>LEANDRO</v>
          </cell>
          <cell r="I1163" t="str">
            <v>MANFAC OBRAS REFORMAS</v>
          </cell>
          <cell r="K1163" t="str">
            <v>FATURADO</v>
          </cell>
        </row>
        <row r="1164">
          <cell r="A1164" t="str">
            <v>0426-012658</v>
          </cell>
          <cell r="B1164" t="str">
            <v>DP FLAMENGO 2</v>
          </cell>
          <cell r="C1164" t="str">
            <v>Solicito reparo da calçada. ( Notificação Prefeitura)</v>
          </cell>
          <cell r="D1164" t="str">
            <v>CIVIL</v>
          </cell>
          <cell r="F1164">
            <v>3646</v>
          </cell>
          <cell r="G1164" t="str">
            <v>LEANDRO</v>
          </cell>
          <cell r="I1164" t="str">
            <v>MANFAC OBRAS SPOT</v>
          </cell>
          <cell r="K1164" t="str">
            <v>FATURADO</v>
          </cell>
        </row>
        <row r="1165">
          <cell r="A1165" t="str">
            <v>0226-012556</v>
          </cell>
          <cell r="B1165" t="str">
            <v>DP GUAPIMIRIM</v>
          </cell>
          <cell r="C1165" t="str">
            <v>Boa noite!!
 Solicito reparo no banheiro masculino, toda vez que chove desce muita água por trás dos armarios.</v>
          </cell>
          <cell r="D1165" t="str">
            <v>HIDRAULICA</v>
          </cell>
          <cell r="F1165">
            <v>15739.32</v>
          </cell>
          <cell r="G1165" t="str">
            <v>AMANDA</v>
          </cell>
          <cell r="I1165" t="str">
            <v>MANFAC OBRAS SPOT</v>
          </cell>
          <cell r="J1165" t="str">
            <v>LUANA</v>
          </cell>
          <cell r="K1165" t="str">
            <v>FATURADO</v>
          </cell>
        </row>
        <row r="1166">
          <cell r="A1166" t="str">
            <v>0326-018578</v>
          </cell>
          <cell r="B1166" t="str">
            <v>DP IPANEMA 8</v>
          </cell>
          <cell r="C1166" t="str">
            <v>Solicito o desvio da exaustão, pois moradora do condomínio informou que seu filho esta ficando com problemas respiratório por causa da exaustão que vai diretamente na janela do apartamento.</v>
          </cell>
          <cell r="D1166" t="str">
            <v>REFRIGERAÇÃO</v>
          </cell>
          <cell r="F1166" t="e">
            <v>#REF!</v>
          </cell>
          <cell r="G1166" t="str">
            <v>LEANDRO</v>
          </cell>
          <cell r="I1166" t="str">
            <v>MANFAC OBRAS REFORMAS</v>
          </cell>
          <cell r="J1166" t="str">
            <v>GABRIEL</v>
          </cell>
          <cell r="K1166" t="str">
            <v>FATURADO</v>
          </cell>
        </row>
        <row r="1167">
          <cell r="A1167" t="str">
            <v>0526-014944</v>
          </cell>
          <cell r="B1167" t="str">
            <v>DP CATETE 5</v>
          </cell>
          <cell r="C1167" t="str">
            <v>Solicito a remoção deste adesivo do vidro da recepção do hub, pois o layout foi alterado.</v>
          </cell>
          <cell r="D1167" t="str">
            <v>CIVIL</v>
          </cell>
          <cell r="F1167" t="e">
            <v>#REF!</v>
          </cell>
          <cell r="G1167" t="str">
            <v>LEANDRO</v>
          </cell>
          <cell r="I1167" t="str">
            <v>MANFAC OBRAS SPOT</v>
          </cell>
          <cell r="K1167" t="str">
            <v>FATURADO</v>
          </cell>
        </row>
        <row r="1168">
          <cell r="A1168" t="str">
            <v>0526-008051</v>
          </cell>
          <cell r="B1168" t="str">
            <v>DP SAO GONCALO 3</v>
          </cell>
          <cell r="C1168" t="str">
            <v>Solicito conserto na porta principal de aço.
 Chave quebrada na abertura de loja</v>
          </cell>
          <cell r="D1168" t="str">
            <v>SERRALHERIA</v>
          </cell>
          <cell r="F1168" t="e">
            <v>#REF!</v>
          </cell>
          <cell r="G1168" t="str">
            <v>AMANDA</v>
          </cell>
          <cell r="K1168" t="str">
            <v>PENDENTE FATURAMENTO</v>
          </cell>
        </row>
        <row r="1169">
          <cell r="A1169" t="str">
            <v>0526-015868</v>
          </cell>
          <cell r="B1169" t="str">
            <v>DP RIO DAS OSTRAS 3</v>
          </cell>
          <cell r="C1169" t="str">
            <v>Tampa quebrada .</v>
          </cell>
          <cell r="D1169" t="str">
            <v>CIVIL</v>
          </cell>
          <cell r="F1169" t="e">
            <v>#REF!</v>
          </cell>
          <cell r="G1169" t="str">
            <v>LEANDRO</v>
          </cell>
          <cell r="K1169" t="str">
            <v>FATURADO</v>
          </cell>
        </row>
        <row r="1170">
          <cell r="A1170" t="str">
            <v>0526-018047</v>
          </cell>
          <cell r="B1170" t="str">
            <v>DP PEDRA DE GUARATIBA</v>
          </cell>
          <cell r="C1170" t="str">
            <v>solicito carro pipa urgente, loja sem água</v>
          </cell>
          <cell r="D1170" t="str">
            <v>HIDRAULICA</v>
          </cell>
          <cell r="F1170" t="e">
            <v>#REF!</v>
          </cell>
          <cell r="G1170" t="str">
            <v>JUAN</v>
          </cell>
          <cell r="I1170" t="str">
            <v>MANFAC OBRAS SPOT</v>
          </cell>
          <cell r="K1170" t="str">
            <v>FATURADO</v>
          </cell>
        </row>
        <row r="1171">
          <cell r="A1171" t="str">
            <v>0626-004794</v>
          </cell>
          <cell r="B1171" t="str">
            <v>DP PEDRA DE GUARATIBA</v>
          </cell>
          <cell r="C1171" t="str">
            <v>solicito caminhao pipa ,loja sem água</v>
          </cell>
          <cell r="D1171" t="str">
            <v>HIDRAULICA</v>
          </cell>
          <cell r="F1171" t="e">
            <v>#REF!</v>
          </cell>
          <cell r="G1171" t="str">
            <v>JUAN</v>
          </cell>
          <cell r="I1171" t="str">
            <v>MANFAC OBRAS SPOT</v>
          </cell>
          <cell r="K1171" t="str">
            <v>FATURADO</v>
          </cell>
        </row>
        <row r="1172">
          <cell r="A1172" t="str">
            <v>0426-017724</v>
          </cell>
          <cell r="B1172" t="str">
            <v>DSP NITEROI</v>
          </cell>
          <cell r="C1172" t="str">
            <v>Necessário troca da da tela na janela da cozinha</v>
          </cell>
          <cell r="D1172" t="str">
            <v>CIVIL</v>
          </cell>
          <cell r="F1172" t="e">
            <v>#REF!</v>
          </cell>
          <cell r="G1172" t="str">
            <v>AMANDA</v>
          </cell>
          <cell r="I1172" t="str">
            <v>MANFAC OBRAS SPOT</v>
          </cell>
          <cell r="K1172" t="str">
            <v>FATURADO</v>
          </cell>
        </row>
        <row r="1173">
          <cell r="A1173" t="str">
            <v>0626-004022</v>
          </cell>
          <cell r="B1173" t="str">
            <v>DP IPANEMA 8</v>
          </cell>
          <cell r="C1173" t="str">
            <v>A filial passou por um arrombamento seguido de furto nesta madrugada do dia 01/06/2026.
 Solicito uma comporta de segurança para a porta de aço principal com urgência pois a loja é muito visada por acionistas.</v>
          </cell>
          <cell r="D1173" t="str">
            <v>SERRALHERIA</v>
          </cell>
          <cell r="F1173">
            <v>4291.6099999999997</v>
          </cell>
          <cell r="G1173" t="str">
            <v>LEANDRO</v>
          </cell>
          <cell r="K1173" t="str">
            <v>FATURADO</v>
          </cell>
        </row>
        <row r="1174">
          <cell r="A1174" t="str">
            <v>0526-019332</v>
          </cell>
          <cell r="B1174" t="str">
            <v>DP RECREIO 7</v>
          </cell>
          <cell r="C1174" t="str">
            <v>Boa noite solicito caminhão pipa pois a loja esta sem água.
 Obrigada</v>
          </cell>
          <cell r="D1174" t="str">
            <v>HIDRAULICA</v>
          </cell>
          <cell r="F1174" t="e">
            <v>#REF!</v>
          </cell>
          <cell r="G1174" t="str">
            <v>JUAN</v>
          </cell>
          <cell r="J1174" t="str">
            <v>LUANA</v>
          </cell>
          <cell r="K1174" t="str">
            <v>FATURADO</v>
          </cell>
        </row>
        <row r="1175">
          <cell r="A1175" t="str">
            <v>0526-008209</v>
          </cell>
          <cell r="B1175" t="str">
            <v>DP GLORIA</v>
          </cell>
          <cell r="C1175" t="str">
            <v>JATEAMENTO - PLANTÃO PEDRO</v>
          </cell>
          <cell r="D1175" t="str">
            <v>HIDRAULICA</v>
          </cell>
          <cell r="E1175" t="str">
            <v>EXECUTADO 02/05/2026</v>
          </cell>
          <cell r="F1175">
            <v>8600</v>
          </cell>
          <cell r="G1175" t="str">
            <v>LEANDRO</v>
          </cell>
          <cell r="I1175" t="str">
            <v>MANFAC OBRAS SPOT</v>
          </cell>
          <cell r="K1175" t="str">
            <v>PENDENTE FATURAMENTO</v>
          </cell>
        </row>
        <row r="1176">
          <cell r="A1176" t="str">
            <v>0526-008721</v>
          </cell>
          <cell r="B1176" t="str">
            <v>DP RECREIO 1</v>
          </cell>
          <cell r="C1176" t="str">
            <v>Bom dia!
 Area do jardim quebrada, solicito reparo.</v>
          </cell>
          <cell r="D1176" t="str">
            <v>CIVIL</v>
          </cell>
          <cell r="F1176" t="e">
            <v>#REF!</v>
          </cell>
          <cell r="G1176" t="str">
            <v>JUAN</v>
          </cell>
          <cell r="K1176" t="str">
            <v>FATURADO</v>
          </cell>
        </row>
        <row r="1177">
          <cell r="A1177" t="str">
            <v>0526-018684</v>
          </cell>
          <cell r="B1177" t="str">
            <v>DP GAVEA</v>
          </cell>
          <cell r="C1177" t="str">
            <v>boa tarde , alguem jogou veneno na frente de loja , bueiro e as baratas estao invadindo a loja . inimibindo dos clientes entrarem em loja.</v>
          </cell>
          <cell r="D1177" t="str">
            <v>DEDETIZAÇÃO</v>
          </cell>
          <cell r="F1177" t="e">
            <v>#REF!</v>
          </cell>
          <cell r="G1177" t="str">
            <v>LEANDRO</v>
          </cell>
          <cell r="K1177" t="str">
            <v>FATURADO</v>
          </cell>
        </row>
        <row r="1178">
          <cell r="A1178" t="str">
            <v>0526-015923</v>
          </cell>
          <cell r="B1178" t="str">
            <v>DP RIO BRANCO</v>
          </cell>
          <cell r="C1178" t="str">
            <v>Boa noite!!
 Solicito reforço da desratização, estamos com roedores correndo pelo forro da loja.</v>
          </cell>
          <cell r="D1178" t="str">
            <v>DEDETIZAÇÃO</v>
          </cell>
          <cell r="F1178" t="e">
            <v>#REF!</v>
          </cell>
          <cell r="G1178" t="str">
            <v>LEANDRO</v>
          </cell>
          <cell r="K1178" t="str">
            <v>FATURADO</v>
          </cell>
        </row>
        <row r="1179">
          <cell r="A1179" t="str">
            <v>0526-013041</v>
          </cell>
          <cell r="B1179" t="str">
            <v>DP RIO BONITO</v>
          </cell>
          <cell r="C1179" t="str">
            <v>Bom dia, solicito ajuda para portado meio de loja quebrada, sem conseguir abrir</v>
          </cell>
          <cell r="D1179" t="str">
            <v>SERRALHERIA</v>
          </cell>
          <cell r="F1179" t="e">
            <v>#REF!</v>
          </cell>
          <cell r="G1179" t="str">
            <v>AMANDA</v>
          </cell>
          <cell r="K1179" t="str">
            <v>PENDENTE FATURAMENTO</v>
          </cell>
        </row>
        <row r="1180">
          <cell r="A1180" t="str">
            <v>0926-010494</v>
          </cell>
          <cell r="B1180" t="str">
            <v>DP COPACABANA 12</v>
          </cell>
          <cell r="C1180" t="str">
            <v>Troca das 3 tampas de esgoto.</v>
          </cell>
          <cell r="D1180" t="str">
            <v>HIDRAULICA</v>
          </cell>
          <cell r="F1180" t="e">
            <v>#REF!</v>
          </cell>
          <cell r="G1180" t="str">
            <v>LEANDRO</v>
          </cell>
          <cell r="K1180" t="str">
            <v>FECHAR OS</v>
          </cell>
        </row>
        <row r="1181">
          <cell r="A1181" t="str">
            <v>0526-013233</v>
          </cell>
          <cell r="B1181" t="str">
            <v>DP RIO DAS OSTRAS 3</v>
          </cell>
          <cell r="C1181" t="str">
            <v>FOSSA CHEIA</v>
          </cell>
          <cell r="D1181" t="str">
            <v>HIDRAULICA</v>
          </cell>
          <cell r="F1181" t="e">
            <v>#REF!</v>
          </cell>
          <cell r="G1181" t="str">
            <v>LEANDRO</v>
          </cell>
          <cell r="K1181" t="str">
            <v>FATURADO</v>
          </cell>
        </row>
        <row r="1182">
          <cell r="A1182" t="str">
            <v>0526-013810</v>
          </cell>
          <cell r="B1182" t="str">
            <v>DP PIRATININGA</v>
          </cell>
          <cell r="C1182" t="str">
            <v>ESTOGO DA LOJA ENTUPIDO CAUSANDO TRANSTORNOS PARA CLIENTES E PESSOAS QUE PASSAM NA RUA.</v>
          </cell>
          <cell r="D1182" t="str">
            <v>HIDRAULICA</v>
          </cell>
          <cell r="F1182" t="e">
            <v>#REF!</v>
          </cell>
          <cell r="G1182" t="str">
            <v>AMANDA</v>
          </cell>
          <cell r="K1182" t="str">
            <v>PENDENTE FATURAMENTO</v>
          </cell>
        </row>
        <row r="1183">
          <cell r="A1183" t="str">
            <v>0526-016397</v>
          </cell>
          <cell r="B1183" t="str">
            <v>DP MACAE 2</v>
          </cell>
          <cell r="C1183" t="str">
            <v>Troca do forro da marquise. ( Aditivo)</v>
          </cell>
          <cell r="D1183" t="str">
            <v>CAPEX</v>
          </cell>
          <cell r="F1183">
            <v>7495.93</v>
          </cell>
          <cell r="G1183" t="str">
            <v>LEANDRO</v>
          </cell>
          <cell r="J1183" t="str">
            <v>YURI</v>
          </cell>
          <cell r="K1183" t="str">
            <v>PENDENTE FATURAMENTO</v>
          </cell>
        </row>
        <row r="1184">
          <cell r="A1184" t="str">
            <v>1125-017864</v>
          </cell>
          <cell r="B1184" t="e">
            <v>#N/A</v>
          </cell>
          <cell r="C1184" t="e">
            <v>#N/A</v>
          </cell>
          <cell r="D1184" t="e">
            <v>#N/A</v>
          </cell>
          <cell r="F1184">
            <v>1797.42</v>
          </cell>
          <cell r="G1184" t="e">
            <v>#N/A</v>
          </cell>
          <cell r="I1184" t="str">
            <v>MANFAC OBRAS SPOT</v>
          </cell>
          <cell r="K1184" t="str">
            <v>CANCELADO</v>
          </cell>
        </row>
        <row r="1185">
          <cell r="A1185" t="str">
            <v>0426-014763</v>
          </cell>
          <cell r="B1185" t="str">
            <v>DP SANTA LUZIA</v>
          </cell>
          <cell r="C1185" t="str">
            <v>Ola bom dia
 solicitourgenteconsertodo forro pois esta caindo dejetos de pombos dentro do psicotrópicos aonde fica medicamentos controlados e antibióticos, a colaborado foi pegar um medicamento caiu dejetos de bombom na cabeça e olhos dela.
 Peço ajuda de vocês.
 solicitante Eduardo pereira ADM</v>
          </cell>
          <cell r="D1185" t="str">
            <v>CIVIL</v>
          </cell>
          <cell r="F1185">
            <v>17982.599999999999</v>
          </cell>
          <cell r="G1185" t="str">
            <v>AMANDA</v>
          </cell>
          <cell r="J1185" t="str">
            <v>LUANA</v>
          </cell>
          <cell r="K1185" t="str">
            <v>FATURADO</v>
          </cell>
        </row>
        <row r="1186">
          <cell r="A1186" t="str">
            <v>0526-013293</v>
          </cell>
          <cell r="B1186" t="str">
            <v>DP SHOPPING TIJUCA</v>
          </cell>
          <cell r="C1186" t="str">
            <v>TRANSPORTE DE FAN COIL</v>
          </cell>
          <cell r="D1186" t="str">
            <v>AR CONDICIONADO</v>
          </cell>
          <cell r="F1186">
            <v>1729</v>
          </cell>
          <cell r="G1186" t="str">
            <v>JUAN</v>
          </cell>
          <cell r="K1186" t="str">
            <v>FATURADO</v>
          </cell>
        </row>
        <row r="1187">
          <cell r="A1187" t="str">
            <v>0526-016495</v>
          </cell>
          <cell r="B1187" t="str">
            <v>DP SAO PEDRO DA ALDEIA</v>
          </cell>
          <cell r="C1187" t="str">
            <v>Aditivo de obra ( Reforma Light)</v>
          </cell>
          <cell r="D1187" t="str">
            <v>CAPEX</v>
          </cell>
          <cell r="F1187">
            <v>6796.09</v>
          </cell>
          <cell r="G1187" t="str">
            <v>LEANDRO</v>
          </cell>
          <cell r="J1187" t="str">
            <v>YURI</v>
          </cell>
          <cell r="K1187" t="str">
            <v>PENDENTE FATURAMENTO</v>
          </cell>
        </row>
        <row r="1188">
          <cell r="A1188" t="str">
            <v>0926-010496</v>
          </cell>
          <cell r="B1188" t="str">
            <v>DP COPACABANA 12</v>
          </cell>
          <cell r="C1188" t="str">
            <v>Troca do portão na área da cisterna.</v>
          </cell>
          <cell r="D1188" t="str">
            <v>SERRALHERIA</v>
          </cell>
          <cell r="F1188" t="e">
            <v>#REF!</v>
          </cell>
          <cell r="G1188" t="str">
            <v>LEANDRO</v>
          </cell>
          <cell r="K1188" t="str">
            <v>FECHAR OS</v>
          </cell>
        </row>
        <row r="1189">
          <cell r="A1189" t="str">
            <v>0426-009975</v>
          </cell>
          <cell r="B1189" t="str">
            <v>DP ARARUAMA</v>
          </cell>
          <cell r="C1189" t="str">
            <v>SOLICITO A TROCA DO ARMÁRIO DE COZINHA, POIS ESTÁ QUASE CAINDO</v>
          </cell>
          <cell r="D1189" t="str">
            <v>EQUIPAMENTO</v>
          </cell>
          <cell r="F1189">
            <v>1605.3</v>
          </cell>
          <cell r="G1189" t="str">
            <v>LEANDRO</v>
          </cell>
          <cell r="I1189" t="str">
            <v>MANFAC OBRAS SPOT</v>
          </cell>
          <cell r="K1189" t="str">
            <v>FATURADO</v>
          </cell>
        </row>
        <row r="1190">
          <cell r="A1190" t="str">
            <v>0526-017199</v>
          </cell>
          <cell r="B1190" t="str">
            <v>DP BACAXA</v>
          </cell>
          <cell r="C1190" t="str">
            <v>BOM DIA SOLICITO SPORTE POIS A CHAVE DA PORTA DE ENTRADA ESTÁ QUEBRADA. A PORTA ESTÁ FECHADA</v>
          </cell>
          <cell r="D1190" t="str">
            <v>SERRALHERIA</v>
          </cell>
          <cell r="F1190" t="e">
            <v>#REF!</v>
          </cell>
          <cell r="G1190" t="str">
            <v>LEANDRO</v>
          </cell>
          <cell r="K1190" t="str">
            <v>PENDENTE FATURAMENTO</v>
          </cell>
        </row>
        <row r="1191">
          <cell r="A1191" t="str">
            <v>0526-017548</v>
          </cell>
          <cell r="B1191" t="str">
            <v>DP RECREIO 8</v>
          </cell>
          <cell r="C1191" t="str">
            <v>cisterna sem agua.</v>
          </cell>
          <cell r="D1191" t="str">
            <v>HIDRAULICA</v>
          </cell>
          <cell r="F1191" t="e">
            <v>#REF!</v>
          </cell>
          <cell r="G1191" t="str">
            <v>JUAN</v>
          </cell>
          <cell r="K1191" t="str">
            <v>FATURADO</v>
          </cell>
        </row>
        <row r="1192">
          <cell r="A1192" t="str">
            <v>0526-017783</v>
          </cell>
          <cell r="B1192" t="str">
            <v>DP BOTAFOGO 10</v>
          </cell>
          <cell r="C1192" t="str">
            <v>Canteiro da arvores está destruído</v>
          </cell>
          <cell r="D1192" t="str">
            <v>CIVIL</v>
          </cell>
          <cell r="F1192" t="e">
            <v>#REF!</v>
          </cell>
          <cell r="G1192" t="str">
            <v>LEANDRO</v>
          </cell>
          <cell r="K1192" t="str">
            <v>FATURADO</v>
          </cell>
        </row>
        <row r="1193">
          <cell r="A1193" t="str">
            <v>0526-018145</v>
          </cell>
          <cell r="B1193" t="str">
            <v>DP PELINCA</v>
          </cell>
          <cell r="C1193" t="str">
            <v>Substituição da pia da copa.</v>
          </cell>
          <cell r="D1193" t="str">
            <v>CIVIL</v>
          </cell>
          <cell r="F1193" t="e">
            <v>#REF!</v>
          </cell>
          <cell r="G1193" t="str">
            <v>LEANDRO</v>
          </cell>
          <cell r="K1193" t="str">
            <v>PENDENTE FATURAMENTO</v>
          </cell>
        </row>
        <row r="1194">
          <cell r="A1194" t="str">
            <v>0426-012240</v>
          </cell>
          <cell r="B1194" t="str">
            <v>DP BOTAFOGO 9</v>
          </cell>
          <cell r="C1194" t="str">
            <v>Boa tarde, solicito uma instalação de um novo ponto de tomada no estoque.</v>
          </cell>
          <cell r="D1194" t="str">
            <v>ELETRICA</v>
          </cell>
          <cell r="F1194" t="e">
            <v>#REF!</v>
          </cell>
          <cell r="G1194" t="str">
            <v>LEANDRO</v>
          </cell>
          <cell r="I1194" t="str">
            <v>MANFAC OBRAS SPOT</v>
          </cell>
          <cell r="K1194" t="str">
            <v>FATURADO</v>
          </cell>
        </row>
        <row r="1195">
          <cell r="A1195" t="str">
            <v>0526-013745</v>
          </cell>
          <cell r="B1195" t="str">
            <v>DP LUCIO COSTA</v>
          </cell>
          <cell r="C1195" t="str">
            <v>Caminho Cliente - Pintura Fachada e benfeitorias externas</v>
          </cell>
          <cell r="D1195" t="str">
            <v>CIVIL</v>
          </cell>
          <cell r="F1195" t="e">
            <v>#REF!</v>
          </cell>
          <cell r="G1195" t="str">
            <v>JUAN</v>
          </cell>
          <cell r="J1195" t="str">
            <v>YURI</v>
          </cell>
          <cell r="K1195" t="str">
            <v>CANCELADO</v>
          </cell>
        </row>
        <row r="1196">
          <cell r="A1196" t="str">
            <v>0526-013743</v>
          </cell>
          <cell r="B1196" t="str">
            <v>DP PEDRA DE GUARATIBA</v>
          </cell>
          <cell r="C1196" t="str">
            <v>Caminho Cliente - Pintura Fachada e benfeitorias externas</v>
          </cell>
          <cell r="D1196" t="str">
            <v>CIVIL</v>
          </cell>
          <cell r="F1196" t="e">
            <v>#REF!</v>
          </cell>
          <cell r="G1196" t="str">
            <v>JUAN</v>
          </cell>
          <cell r="J1196" t="str">
            <v>YURI</v>
          </cell>
          <cell r="K1196" t="str">
            <v>CANCELADO</v>
          </cell>
        </row>
        <row r="1197">
          <cell r="A1197" t="str">
            <v>0626-013824</v>
          </cell>
          <cell r="B1197" t="str">
            <v>DP PEDRA DE GUARATIBA</v>
          </cell>
          <cell r="C1197" t="str">
            <v>substituicao de ar condicionado na sala de serviços</v>
          </cell>
          <cell r="D1197" t="str">
            <v>REFRIGERAÇÃO</v>
          </cell>
          <cell r="F1197">
            <v>2645</v>
          </cell>
          <cell r="G1197" t="str">
            <v>JUAN</v>
          </cell>
          <cell r="J1197" t="str">
            <v>GABRIEL</v>
          </cell>
          <cell r="K1197" t="str">
            <v>FATURADO</v>
          </cell>
        </row>
        <row r="1198">
          <cell r="A1198" t="str">
            <v>0526-018698</v>
          </cell>
          <cell r="B1198" t="str">
            <v>DP RECREIO 7</v>
          </cell>
          <cell r="C1198" t="str">
            <v>Caminho Cliente - Rollout Fachada - Civil</v>
          </cell>
          <cell r="D1198" t="str">
            <v>CIVIL</v>
          </cell>
          <cell r="F1198" t="e">
            <v>#REF!</v>
          </cell>
          <cell r="G1198" t="str">
            <v>JUAN</v>
          </cell>
          <cell r="J1198" t="str">
            <v>YURI</v>
          </cell>
          <cell r="K1198" t="str">
            <v>CANCELADO</v>
          </cell>
        </row>
        <row r="1199">
          <cell r="A1199" t="str">
            <v>0526-018908</v>
          </cell>
          <cell r="B1199" t="str">
            <v>DP SAO GONCALO 5</v>
          </cell>
          <cell r="C1199" t="str">
            <v>Bom dia !Quebrou a chave da porta 3 e nao conseguimos abrir.</v>
          </cell>
          <cell r="D1199" t="str">
            <v>SERRALHERIA</v>
          </cell>
          <cell r="F1199" t="e">
            <v>#REF!</v>
          </cell>
          <cell r="G1199" t="str">
            <v>AMANDA</v>
          </cell>
          <cell r="K1199" t="str">
            <v>PENDENTE FATURAMENTO</v>
          </cell>
        </row>
        <row r="1200">
          <cell r="A1200" t="str">
            <v>0426-015208</v>
          </cell>
          <cell r="B1200" t="str">
            <v>DP RIO DAS OSTRAS</v>
          </cell>
          <cell r="C1200" t="str">
            <v>chamado anteriormente aberto de#0426-013255 HIDRAULICA - BOMBA DA CAIXA DÁGUA
 não resolvido, equipe esteve em loja e a bomba ficou vazando ainda mais! Eles mexeram onde não estava com vazamento e o vazamento aumentou</v>
          </cell>
          <cell r="D1200" t="str">
            <v>HIDRAULICA</v>
          </cell>
          <cell r="F1200" t="e">
            <v>#REF!</v>
          </cell>
          <cell r="G1200" t="str">
            <v>LEANDRO</v>
          </cell>
          <cell r="K1200" t="str">
            <v>FATURADO</v>
          </cell>
        </row>
        <row r="1201">
          <cell r="A1201" t="str">
            <v>0426-013103</v>
          </cell>
          <cell r="B1201" t="str">
            <v>DP CATETE 5</v>
          </cell>
          <cell r="C1201" t="str">
            <v>Solicito a remoção deste material, pois houve alteração e a empresa ira colocar um novo.</v>
          </cell>
          <cell r="D1201" t="str">
            <v>CIVIL</v>
          </cell>
          <cell r="F1201" t="e">
            <v>#REF!</v>
          </cell>
          <cell r="G1201" t="str">
            <v>LEANDRO</v>
          </cell>
          <cell r="K1201" t="str">
            <v>FATURADO</v>
          </cell>
        </row>
        <row r="1202">
          <cell r="A1202" t="str">
            <v>0326-020323</v>
          </cell>
          <cell r="B1202" t="str">
            <v>DP ICARAI 2</v>
          </cell>
          <cell r="C1202" t="str">
            <v>Bom dia!
 Solicitamos pintura na parede da entrada de loja da filial a mesma foi pichadas.</v>
          </cell>
          <cell r="D1202" t="str">
            <v>CIVIL</v>
          </cell>
          <cell r="F1202" t="e">
            <v>#REF!</v>
          </cell>
          <cell r="G1202" t="str">
            <v>AMANDA</v>
          </cell>
          <cell r="K1202" t="str">
            <v>FATURADO</v>
          </cell>
        </row>
        <row r="1203">
          <cell r="A1203" t="str">
            <v>0526-016632</v>
          </cell>
          <cell r="B1203" t="str">
            <v>DP BARRA DA TIJUCA 5</v>
          </cell>
          <cell r="C1203" t="str">
            <v>Estamos com vazamento na copa, mesmo após o reparo feito na calha no dia 18/5, por cinta do reparo o chamado foi fechado. 
 Solicito urgência pois é um problema recorrente da filial, e nao estamos conseguindo utilizar a copa em dias de chuva</v>
          </cell>
          <cell r="D1203" t="str">
            <v>HIDRAULICA</v>
          </cell>
          <cell r="F1203" t="e">
            <v>#REF!</v>
          </cell>
          <cell r="G1203" t="str">
            <v>LEANDRO</v>
          </cell>
          <cell r="J1203" t="str">
            <v>LUANA</v>
          </cell>
          <cell r="K1203" t="str">
            <v>FATURADO</v>
          </cell>
        </row>
        <row r="1204">
          <cell r="A1204" t="str">
            <v>0326-017714</v>
          </cell>
          <cell r="B1204" t="str">
            <v>DP RIO DAS OSTRAS 4</v>
          </cell>
          <cell r="C1204" t="str">
            <v>Boa tarde, precisamos de 4 refletores novos para instalação no totem e que venha no caminhão para acesso a altura e junto ao serralheiro para soldar a parte metálica e instalar os 4 refletores. Situação crítica, os dois refletores que possui esta queimado e solto podendo cair em cima dos carros ou pedestres a qualquer momento.</v>
          </cell>
          <cell r="D1204" t="str">
            <v>ELETRICA</v>
          </cell>
          <cell r="F1204" t="e">
            <v>#REF!</v>
          </cell>
          <cell r="G1204" t="str">
            <v>LEANDRO</v>
          </cell>
          <cell r="K1204" t="str">
            <v>PENDENTE FATURAMENTO</v>
          </cell>
        </row>
        <row r="1205">
          <cell r="A1205" t="str">
            <v>0626-010733</v>
          </cell>
          <cell r="B1205" t="str">
            <v>DP GUAPIMIRIM</v>
          </cell>
          <cell r="C1205" t="str">
            <v>solicito troca de pia do banheiro masculino . pia caiu por conta da umidade</v>
          </cell>
          <cell r="D1205" t="str">
            <v>HIDRAULICA</v>
          </cell>
          <cell r="F1205" t="e">
            <v>#REF!</v>
          </cell>
          <cell r="G1205" t="str">
            <v>AMANDA</v>
          </cell>
          <cell r="K1205" t="str">
            <v>FATURADO</v>
          </cell>
        </row>
        <row r="1206">
          <cell r="A1206" t="str">
            <v>0626-012778</v>
          </cell>
          <cell r="B1206" t="str">
            <v>DP LUCIO COSTA</v>
          </cell>
          <cell r="C1206" t="str">
            <v>Boa Tarde! Solicito o reabastecimento de água em loja.
 loja inteira sem água.</v>
          </cell>
          <cell r="D1206" t="str">
            <v>HIDRAULICA</v>
          </cell>
          <cell r="F1206" t="e">
            <v>#REF!</v>
          </cell>
          <cell r="G1206" t="str">
            <v>JUAN</v>
          </cell>
          <cell r="J1206" t="str">
            <v>LUANA</v>
          </cell>
          <cell r="K1206" t="str">
            <v>FATURADO</v>
          </cell>
        </row>
        <row r="1207">
          <cell r="A1207" t="str">
            <v>0526-016810</v>
          </cell>
          <cell r="B1207" t="str">
            <v>DPA UNAMAR</v>
          </cell>
          <cell r="C1207" t="str">
            <v>Solicito a substituição dos braços de iluminação do totem ,estão oxidados</v>
          </cell>
          <cell r="D1207" t="str">
            <v>CIVIL</v>
          </cell>
          <cell r="F1207" t="e">
            <v>#REF!</v>
          </cell>
          <cell r="G1207" t="e">
            <v>#N/A</v>
          </cell>
          <cell r="K1207" t="str">
            <v>PENDENTE FATURAMENTO</v>
          </cell>
        </row>
        <row r="1208">
          <cell r="A1208" t="str">
            <v>0626-011184</v>
          </cell>
          <cell r="B1208" t="str">
            <v>DP PEDRA DE GUARATIBA</v>
          </cell>
          <cell r="C1208" t="str">
            <v>FILIAL SEM ÁGUA. SOLICITO CAMINHÃO PIPA</v>
          </cell>
          <cell r="D1208" t="str">
            <v>HIDRAULICA</v>
          </cell>
          <cell r="F1208" t="e">
            <v>#REF!</v>
          </cell>
          <cell r="G1208" t="str">
            <v>JUAN</v>
          </cell>
          <cell r="J1208" t="str">
            <v>LAUNA</v>
          </cell>
          <cell r="K1208" t="str">
            <v>FATURADO</v>
          </cell>
        </row>
        <row r="1209">
          <cell r="A1209" t="str">
            <v>0626-011531</v>
          </cell>
          <cell r="B1209" t="str">
            <v>DP RECREIO 7</v>
          </cell>
          <cell r="C1209" t="str">
            <v>Bom dia !
 Loja sem água solicito reabastecimento .</v>
          </cell>
          <cell r="D1209" t="str">
            <v>HIDRAULICA</v>
          </cell>
          <cell r="F1209" t="e">
            <v>#REF!</v>
          </cell>
          <cell r="G1209" t="str">
            <v>JUAN</v>
          </cell>
          <cell r="J1209" t="str">
            <v>LUANA</v>
          </cell>
          <cell r="K1209" t="str">
            <v>FATURADO</v>
          </cell>
        </row>
        <row r="1210">
          <cell r="A1210" t="str">
            <v>0526-019340</v>
          </cell>
          <cell r="B1210" t="str">
            <v xml:space="preserve">DP PADRE MIGUEL </v>
          </cell>
          <cell r="C1210" t="str">
            <v>FIXAÇÃO DE 08 BRAÇO DE MONITOR DO CAIXA E BALCÃO DE MEDICAMENTO</v>
          </cell>
          <cell r="D1210" t="str">
            <v>CIVIL</v>
          </cell>
          <cell r="F1210">
            <v>500.63</v>
          </cell>
          <cell r="G1210" t="str">
            <v>JUAN</v>
          </cell>
          <cell r="I1210" t="str">
            <v>MANFAC OBRAS SPOT</v>
          </cell>
          <cell r="J1210" t="str">
            <v>LUANA</v>
          </cell>
          <cell r="K1210" t="str">
            <v>PENDENTE FATURAMENTO</v>
          </cell>
        </row>
        <row r="1211">
          <cell r="A1211" t="str">
            <v>0526-019250</v>
          </cell>
          <cell r="B1211" t="str">
            <v>DP BOTAFOGO 7</v>
          </cell>
          <cell r="C1211" t="str">
            <v>Chave quebrada dentro do Tambor da Porta secundária.</v>
          </cell>
          <cell r="D1211" t="str">
            <v>SERRALHERIA</v>
          </cell>
          <cell r="F1211" t="e">
            <v>#REF!</v>
          </cell>
          <cell r="G1211" t="str">
            <v>LEANDRO</v>
          </cell>
          <cell r="K1211" t="str">
            <v>PENDENTE FATURAMENTO</v>
          </cell>
        </row>
        <row r="1212">
          <cell r="A1212" t="str">
            <v>0626-004129</v>
          </cell>
          <cell r="B1212" t="str">
            <v>DP RIO DAS OSTRAS</v>
          </cell>
          <cell r="C1212" t="str">
            <v>solicito reparo urgente na bomba verde para a caixa d'agua, a mesma não esta puxando agua para a caixa, parece que deu ar.</v>
          </cell>
          <cell r="D1212" t="str">
            <v>HIDRAULICA</v>
          </cell>
          <cell r="F1212" t="e">
            <v>#REF!</v>
          </cell>
          <cell r="G1212" t="str">
            <v>LEANDRO</v>
          </cell>
          <cell r="K1212" t="str">
            <v>PENDENTE FATURAMENTO</v>
          </cell>
        </row>
        <row r="1213">
          <cell r="A1213" t="str">
            <v>0626-004183</v>
          </cell>
          <cell r="B1213" t="str">
            <v>DP ICARAI 2</v>
          </cell>
          <cell r="C1213" t="str">
            <v>Prezados, bom dia! Solicitamos a instalação de uma nova tomada para ligar o projetor na sala de reuniões da filial.</v>
          </cell>
          <cell r="D1213" t="str">
            <v>ELETRICA</v>
          </cell>
          <cell r="F1213" t="e">
            <v>#REF!</v>
          </cell>
          <cell r="G1213" t="str">
            <v>AMANDA</v>
          </cell>
          <cell r="K1213" t="str">
            <v>PENDENTE FATURAMENTO</v>
          </cell>
        </row>
        <row r="1214">
          <cell r="A1214" t="str">
            <v>0626-004570</v>
          </cell>
          <cell r="B1214" t="str">
            <v>DP CATETE 5</v>
          </cell>
          <cell r="C1214" t="str">
            <v>Solicito a verificação e o reparo na Sala de Serviços Farmacêuticos, pois o local apresenta um forte odor desagradável, causando desconforto durante o atendimento e a permanência no ambiente.</v>
          </cell>
          <cell r="D1214" t="str">
            <v>DEDETIZAÇÃO</v>
          </cell>
          <cell r="F1214" t="e">
            <v>#REF!</v>
          </cell>
          <cell r="G1214" t="str">
            <v>LEANDRO</v>
          </cell>
          <cell r="K1214" t="str">
            <v>FATURADO</v>
          </cell>
        </row>
        <row r="1215">
          <cell r="A1215" t="str">
            <v>0626-004592</v>
          </cell>
          <cell r="B1215" t="str">
            <v>DP IPANEMA 1</v>
          </cell>
          <cell r="C1215" t="str">
            <v>Boa tarde!
 Solicito a instalação de um novo ponto de tomada para a instalação da geladeira de medicamentos</v>
          </cell>
          <cell r="D1215" t="str">
            <v>ELETRICA</v>
          </cell>
          <cell r="F1215" t="e">
            <v>#REF!</v>
          </cell>
          <cell r="G1215" t="str">
            <v>LEANDRO</v>
          </cell>
          <cell r="K1215" t="str">
            <v>PENDENTE FATURAMENTO</v>
          </cell>
        </row>
        <row r="1216">
          <cell r="A1216" t="str">
            <v>0626-005516</v>
          </cell>
          <cell r="B1216" t="str">
            <v>DP LUCIO COSTA</v>
          </cell>
          <cell r="C1216" t="str">
            <v>falta de água na loja</v>
          </cell>
          <cell r="D1216" t="str">
            <v>HIDRAULICA</v>
          </cell>
          <cell r="F1216" t="e">
            <v>#REF!</v>
          </cell>
          <cell r="G1216" t="str">
            <v>JUAN</v>
          </cell>
          <cell r="J1216" t="str">
            <v>LUANA</v>
          </cell>
          <cell r="K1216" t="str">
            <v>FATURADO</v>
          </cell>
        </row>
        <row r="1217">
          <cell r="A1217" t="str">
            <v>0626-005650</v>
          </cell>
          <cell r="B1217" t="str">
            <v>DP RECREIO 4</v>
          </cell>
          <cell r="C1217" t="str">
            <v>Bom dia,
 a loja encontra-se sem aguá</v>
          </cell>
          <cell r="D1217" t="str">
            <v>HIDRAULICA</v>
          </cell>
          <cell r="F1217" t="e">
            <v>#REF!</v>
          </cell>
          <cell r="G1217" t="str">
            <v>JUAN</v>
          </cell>
          <cell r="J1217" t="str">
            <v>LUANA</v>
          </cell>
          <cell r="K1217" t="str">
            <v>FATURADO</v>
          </cell>
        </row>
        <row r="1218">
          <cell r="A1218" t="str">
            <v>0626-004809</v>
          </cell>
          <cell r="B1218" t="str">
            <v>DP RECREIO 8</v>
          </cell>
          <cell r="C1218" t="str">
            <v>a loja estar sem agua</v>
          </cell>
          <cell r="D1218" t="str">
            <v>HIDRAULICA</v>
          </cell>
          <cell r="F1218" t="e">
            <v>#REF!</v>
          </cell>
          <cell r="G1218" t="str">
            <v>JUAN</v>
          </cell>
          <cell r="J1218" t="str">
            <v>LUANA</v>
          </cell>
          <cell r="K1218" t="str">
            <v>FATURADO</v>
          </cell>
        </row>
        <row r="1219">
          <cell r="A1219" t="str">
            <v>0626-004728</v>
          </cell>
          <cell r="B1219" t="str">
            <v>DP RECREIO 1</v>
          </cell>
          <cell r="C1219" t="str">
            <v>Muro de separação do estacionamento quebrado, risco de acidente com clientes.</v>
          </cell>
          <cell r="D1219" t="str">
            <v>ELETRICA</v>
          </cell>
          <cell r="F1219" t="e">
            <v>#REF!</v>
          </cell>
          <cell r="G1219" t="str">
            <v>JUAN</v>
          </cell>
          <cell r="K1219" t="str">
            <v>FATURADO</v>
          </cell>
        </row>
        <row r="1220">
          <cell r="A1220" t="str">
            <v>0626-005012</v>
          </cell>
          <cell r="B1220" t="str">
            <v>LEBLON ATAULFO 80</v>
          </cell>
          <cell r="C1220" t="str">
            <v>Bom dia, solicito outra portinha para nosso hidrômetro, pois o da filial foi furtado.
 segue a imagem abaixo.</v>
          </cell>
          <cell r="D1220" t="str">
            <v>CIVIL</v>
          </cell>
          <cell r="F1220" t="e">
            <v>#REF!</v>
          </cell>
          <cell r="G1220" t="e">
            <v>#N/A</v>
          </cell>
          <cell r="K1220" t="str">
            <v>PENDENTE FATURAMENTO</v>
          </cell>
        </row>
        <row r="1221">
          <cell r="A1221" t="str">
            <v>0626-005068</v>
          </cell>
          <cell r="B1221" t="str">
            <v>DP PADRE MIGUEL</v>
          </cell>
          <cell r="C1221" t="str">
            <v>Caminho Cliente - Pintura fachada e benfeitorias externas</v>
          </cell>
          <cell r="D1221" t="str">
            <v>CIVIL</v>
          </cell>
          <cell r="F1221">
            <v>31527.8</v>
          </cell>
          <cell r="G1221" t="str">
            <v>JUAN</v>
          </cell>
          <cell r="I1221" t="str">
            <v>MANFAC OBRAS SPOT</v>
          </cell>
          <cell r="K1221" t="str">
            <v>PENDENTE FATURAMENTO</v>
          </cell>
        </row>
        <row r="1222">
          <cell r="A1222" t="str">
            <v>0626-005488</v>
          </cell>
          <cell r="B1222" t="str">
            <v>DP BARRA DA TIJUCA 9</v>
          </cell>
          <cell r="C1222" t="str">
            <v>Bom dia, durante a operação da porta automática, foi iniciado o fechamento sem que fosse realizada a verificação completa da área de passagem. Havia um obstáculo na trajetória da porta, ocasionando o travamento do equipamento durante a descida. Como consequência o funcionamento da porta foi interrompido.</v>
          </cell>
          <cell r="D1222" t="str">
            <v>SERRALHERIA</v>
          </cell>
          <cell r="F1222" t="e">
            <v>#REF!</v>
          </cell>
          <cell r="G1222" t="str">
            <v>LEANDRO</v>
          </cell>
          <cell r="K1222" t="str">
            <v>PENDENTE FATURAMENTO</v>
          </cell>
        </row>
        <row r="1223">
          <cell r="A1223" t="str">
            <v>0626-005880</v>
          </cell>
          <cell r="B1223" t="str">
            <v>DP BARRA DA TIJUCA 10</v>
          </cell>
          <cell r="C1223" t="str">
            <v>Mão de obra para pintura da fachada.</v>
          </cell>
          <cell r="D1223" t="str">
            <v>CIVIL</v>
          </cell>
          <cell r="F1223" t="e">
            <v>#REF!</v>
          </cell>
          <cell r="G1223" t="str">
            <v>LEANDRO</v>
          </cell>
          <cell r="K1223" t="str">
            <v>PENDENTE FATURAMENTO</v>
          </cell>
        </row>
        <row r="1224">
          <cell r="A1224" t="str">
            <v>0626-005882</v>
          </cell>
          <cell r="B1224" t="str">
            <v>DP IGUABA</v>
          </cell>
          <cell r="C1224" t="str">
            <v>Transporte de geladeira da SP Santa Rosa 1 para DP Iguaba.</v>
          </cell>
          <cell r="D1224" t="str">
            <v>TRANSPORTE</v>
          </cell>
          <cell r="F1224" t="e">
            <v>#REF!</v>
          </cell>
          <cell r="G1224" t="str">
            <v>LEANDRO</v>
          </cell>
          <cell r="K1224" t="str">
            <v>PENDENTE FATURAMENTO</v>
          </cell>
        </row>
        <row r="1225">
          <cell r="A1225" t="str">
            <v>0526-013997</v>
          </cell>
          <cell r="B1225" t="str">
            <v>DP CATETE 2</v>
          </cell>
          <cell r="C1225" t="str">
            <v>Boa tarde, solicito um ponto de elétrico para instalação de uma cftv.
 O local não tem nenhuma tomada elétrica.</v>
          </cell>
          <cell r="D1225" t="str">
            <v>ELETRICA</v>
          </cell>
          <cell r="F1225" t="e">
            <v>#REF!</v>
          </cell>
          <cell r="G1225" t="str">
            <v>LEANDRO</v>
          </cell>
          <cell r="K1225" t="str">
            <v>FATURADO</v>
          </cell>
        </row>
        <row r="1226">
          <cell r="A1226" t="str">
            <v>0626-014183</v>
          </cell>
          <cell r="B1226" t="str">
            <v>DP MARICA 2</v>
          </cell>
          <cell r="C1226" t="str">
            <v>Solicito detetizacao urgente na filial, cupins se alastrando, começou na cozinha e está no estoque</v>
          </cell>
          <cell r="D1226" t="str">
            <v>DEDETIZAÇÃO</v>
          </cell>
          <cell r="F1226" t="e">
            <v>#REF!</v>
          </cell>
          <cell r="G1226" t="str">
            <v>LEANDRO</v>
          </cell>
          <cell r="J1226" t="str">
            <v>AMANDA</v>
          </cell>
          <cell r="K1226" t="str">
            <v>FATURADO</v>
          </cell>
        </row>
        <row r="1227">
          <cell r="A1227" t="str">
            <v>0626-006632</v>
          </cell>
          <cell r="B1227" t="str">
            <v>DP CATETE 3</v>
          </cell>
          <cell r="C1227" t="str">
            <v>Bom dia, tudo bem?
 Solicito a vinda de um técnico urgentemente em loja, pois a chave quebrou dentro do tambor e não temos a cópia.
 Att, Gerência.</v>
          </cell>
          <cell r="D1227" t="str">
            <v>SERRALHERIA</v>
          </cell>
          <cell r="F1227" t="e">
            <v>#REF!</v>
          </cell>
          <cell r="G1227" t="str">
            <v>LEANDRO</v>
          </cell>
          <cell r="K1227" t="str">
            <v>PENDENTE FATURAMENTO</v>
          </cell>
        </row>
        <row r="1228">
          <cell r="A1228" t="str">
            <v>0626-006804</v>
          </cell>
          <cell r="B1228" t="str">
            <v>DP IPANEMA 8</v>
          </cell>
          <cell r="C1228" t="str">
            <v>Boa tarde,
 solicito uma nova dedetização, pois a rua foi dedetizada e a loja está infestada de baratas.</v>
          </cell>
          <cell r="D1228" t="str">
            <v>DEDETIZAÇÃO</v>
          </cell>
          <cell r="F1228" t="e">
            <v>#REF!</v>
          </cell>
          <cell r="G1228" t="str">
            <v>LEANDRO</v>
          </cell>
          <cell r="K1228" t="str">
            <v>FATURADO</v>
          </cell>
        </row>
        <row r="1229">
          <cell r="A1229" t="str">
            <v>0526-015793</v>
          </cell>
          <cell r="B1229" t="str">
            <v>DP RECREIO 7</v>
          </cell>
          <cell r="C1229" t="str">
            <v>boa tarde solicito reparo pois esta enferrujada</v>
          </cell>
          <cell r="D1229" t="str">
            <v>SERRALHERIA</v>
          </cell>
          <cell r="F1229" t="e">
            <v>#REF!</v>
          </cell>
          <cell r="G1229" t="str">
            <v>JUAN</v>
          </cell>
          <cell r="K1229" t="str">
            <v>FATURADO</v>
          </cell>
        </row>
        <row r="1230">
          <cell r="A1230" t="str">
            <v>0626-008580</v>
          </cell>
          <cell r="B1230" t="str">
            <v>DP SHOPPING BARRA SHOPPING</v>
          </cell>
          <cell r="C1230" t="str">
            <v>solicito uma pintura da nossa vitrine</v>
          </cell>
          <cell r="D1230" t="str">
            <v>CIVIL</v>
          </cell>
          <cell r="F1230" t="e">
            <v>#REF!</v>
          </cell>
          <cell r="G1230" t="str">
            <v>LEANDRO</v>
          </cell>
          <cell r="K1230" t="str">
            <v>FATURADO</v>
          </cell>
        </row>
        <row r="1231">
          <cell r="A1231" t="str">
            <v>0526-016210</v>
          </cell>
          <cell r="B1231" t="str">
            <v>DP RIO BRANCO 2</v>
          </cell>
          <cell r="C1231" t="str">
            <v>Prezados, boa tarde!
 Solicito a instalação de mais 2 espelhos convexos no salão de vendas, com o objetivo de melhorar a visualização do ambiente e auxiliar na prevenção de perdas.
 Atenciosamente,
 Dayane Polito
 Gerente de Loja</v>
          </cell>
          <cell r="D1231" t="str">
            <v>CIVIL</v>
          </cell>
          <cell r="F1231" t="e">
            <v>#REF!</v>
          </cell>
          <cell r="G1231" t="str">
            <v>LEANDRO</v>
          </cell>
          <cell r="K1231" t="str">
            <v>FATURADO</v>
          </cell>
        </row>
        <row r="1232">
          <cell r="A1232" t="str">
            <v>0626-008725</v>
          </cell>
          <cell r="B1232" t="str">
            <v>DP ITABORAI</v>
          </cell>
          <cell r="C1232" t="str">
            <v>Reparo da parede do vestiário feminino, com posterior pintura, exigência da fiscalização da vigilância sanitária</v>
          </cell>
          <cell r="D1232" t="str">
            <v>CIVIL</v>
          </cell>
          <cell r="F1232" t="e">
            <v>#REF!</v>
          </cell>
          <cell r="G1232" t="str">
            <v>AMANDA</v>
          </cell>
          <cell r="K1232" t="str">
            <v>PENDENTE FATURAMENTO</v>
          </cell>
        </row>
        <row r="1233">
          <cell r="A1233" t="str">
            <v>0626-008727</v>
          </cell>
          <cell r="B1233" t="str">
            <v>DP ITABORAI</v>
          </cell>
          <cell r="C1233" t="str">
            <v>Substituição das tela milimétricas da área infeior, grade da copa/área externa, exigência da fiscalização da vigilância sanitária</v>
          </cell>
          <cell r="D1233" t="str">
            <v>SERRALHERIA</v>
          </cell>
          <cell r="F1233" t="e">
            <v>#REF!</v>
          </cell>
          <cell r="G1233" t="str">
            <v>AMANDA</v>
          </cell>
          <cell r="K1233" t="str">
            <v>PENDENTE FATURAMENTO</v>
          </cell>
        </row>
        <row r="1234">
          <cell r="A1234" t="str">
            <v>0626-010067</v>
          </cell>
          <cell r="B1234" t="str">
            <v>DP MARICA 2</v>
          </cell>
          <cell r="C1234" t="str">
            <v>Solicito detetizacao no armário da cozinha</v>
          </cell>
          <cell r="D1234" t="str">
            <v>DEDETIZAÇÃO</v>
          </cell>
          <cell r="F1234" t="e">
            <v>#REF!</v>
          </cell>
          <cell r="G1234" t="str">
            <v>LEANDRO</v>
          </cell>
          <cell r="K1234" t="str">
            <v>FATURADO</v>
          </cell>
        </row>
        <row r="1235">
          <cell r="A1235" t="str">
            <v>0626-010287</v>
          </cell>
          <cell r="B1235" t="str">
            <v>DP CATETE 5</v>
          </cell>
          <cell r="C1235" t="str">
            <v>SOLICITO PINTURA E ACABAMENTO MELHORADO NA PAREDE PRINCIPAL DO HUB, POIS COM A MUDANÇA FICOU MAL FEITO.</v>
          </cell>
          <cell r="D1235" t="str">
            <v>CIVIL</v>
          </cell>
          <cell r="F1235" t="e">
            <v>#REF!</v>
          </cell>
          <cell r="G1235" t="str">
            <v>LEANDRO</v>
          </cell>
          <cell r="K1235" t="str">
            <v>FATURADO</v>
          </cell>
        </row>
        <row r="1236">
          <cell r="A1236" t="str">
            <v>0626-004644</v>
          </cell>
          <cell r="B1236" t="str">
            <v>DP RECREIO 1</v>
          </cell>
          <cell r="C1236" t="str">
            <v>Infiltração na copa, corredor para os banheiros, banheiro masculino e proximo a escada.</v>
          </cell>
          <cell r="D1236" t="str">
            <v>TELHADO</v>
          </cell>
          <cell r="F1236">
            <v>4090.75</v>
          </cell>
          <cell r="G1236" t="str">
            <v>JUAN</v>
          </cell>
          <cell r="K1236" t="str">
            <v>FATURADO</v>
          </cell>
        </row>
        <row r="1237">
          <cell r="A1237" t="str">
            <v>0626-010339</v>
          </cell>
          <cell r="B1237" t="str">
            <v>NITEROI 15</v>
          </cell>
          <cell r="C1237" t="str">
            <v>A LOJA ESTA SEM AGUA .</v>
          </cell>
          <cell r="D1237" t="str">
            <v>HIDRAULICA</v>
          </cell>
          <cell r="F1237" t="e">
            <v>#REF!</v>
          </cell>
          <cell r="G1237" t="str">
            <v>AMANDA</v>
          </cell>
          <cell r="K1237" t="str">
            <v>PENDENTE FATURAMENTO</v>
          </cell>
        </row>
        <row r="1238">
          <cell r="A1238" t="str">
            <v>0626-010405</v>
          </cell>
          <cell r="B1238" t="str">
            <v>DP SHOPPING BARRA SHOPPING</v>
          </cell>
          <cell r="C1238" t="str">
            <v>Solicito o reparo do bebedouro da copa. A água está saindo turva.</v>
          </cell>
          <cell r="D1238" t="str">
            <v>EQUIPAMENTO</v>
          </cell>
          <cell r="F1238" t="e">
            <v>#REF!</v>
          </cell>
          <cell r="G1238" t="str">
            <v>LEANDRO</v>
          </cell>
          <cell r="K1238" t="str">
            <v>FATURADO</v>
          </cell>
        </row>
        <row r="1239">
          <cell r="A1239" t="str">
            <v>0626-010686</v>
          </cell>
          <cell r="B1239" t="str">
            <v>DP ARARUAMA 2</v>
          </cell>
          <cell r="C1239" t="str">
            <v>A chave da porta quebrou impossibilitando a abertura</v>
          </cell>
          <cell r="D1239" t="str">
            <v>SERRALHERIA</v>
          </cell>
          <cell r="F1239" t="e">
            <v>#REF!</v>
          </cell>
          <cell r="G1239" t="str">
            <v>LEANDRO</v>
          </cell>
          <cell r="K1239" t="str">
            <v>FATURADO</v>
          </cell>
        </row>
        <row r="1240">
          <cell r="A1240" t="str">
            <v>0626-011577</v>
          </cell>
          <cell r="B1240" t="str">
            <v>DP IPANEMA 6</v>
          </cell>
          <cell r="C1240" t="str">
            <v>Boa tarde!
 lampada frente ao pdv caixa queimada devido a infliutração que esta pigando em cima na lâmpada solicito troca da lampada e colocação de bandeja para evitar queima a lâmpada por infiltração</v>
          </cell>
          <cell r="D1240" t="str">
            <v>ELETRICA</v>
          </cell>
          <cell r="F1240" t="e">
            <v>#REF!</v>
          </cell>
          <cell r="G1240" t="str">
            <v>LEANDRO</v>
          </cell>
          <cell r="K1240" t="str">
            <v>FATURADO</v>
          </cell>
        </row>
        <row r="1241">
          <cell r="A1241" t="str">
            <v>0526-019295</v>
          </cell>
          <cell r="B1241" t="str">
            <v>DP BARRA DA TIJUCA 5</v>
          </cell>
          <cell r="C1241" t="str">
            <v>Solicito desentupimento do esgoto e caixas de gordura, água retornando pra loja</v>
          </cell>
          <cell r="D1241" t="str">
            <v>HIDRAULICA</v>
          </cell>
          <cell r="F1241" t="e">
            <v>#REF!</v>
          </cell>
          <cell r="G1241" t="str">
            <v>LEANDRO</v>
          </cell>
          <cell r="K1241" t="str">
            <v>FECHAR OS</v>
          </cell>
        </row>
        <row r="1242">
          <cell r="A1242" t="str">
            <v>0626-012206</v>
          </cell>
          <cell r="B1242" t="str">
            <v>DP SENADOR DANTAS 1</v>
          </cell>
          <cell r="C1242" t="str">
            <v>Solicito substituição da fechadura de 05 armários do PC pois as mesmas estão com defeito.</v>
          </cell>
          <cell r="D1242" t="str">
            <v>SERRALHERIA</v>
          </cell>
          <cell r="F1242" t="e">
            <v>#REF!</v>
          </cell>
          <cell r="G1242" t="str">
            <v>LEANDRO</v>
          </cell>
          <cell r="K1242" t="str">
            <v>PENDENTE FATURAMENTO</v>
          </cell>
        </row>
        <row r="1243">
          <cell r="A1243" t="str">
            <v>0626-013801</v>
          </cell>
          <cell r="B1243" t="str">
            <v>DP RECREIO 1</v>
          </cell>
          <cell r="C1243" t="str">
            <v>instalação de ar na copa</v>
          </cell>
          <cell r="D1243" t="str">
            <v>REFRIGERAÇÃO</v>
          </cell>
          <cell r="F1243" t="e">
            <v>#REF!</v>
          </cell>
          <cell r="G1243" t="str">
            <v>JUAN</v>
          </cell>
          <cell r="J1243" t="str">
            <v>GABRIEL</v>
          </cell>
          <cell r="K1243" t="str">
            <v>FATURADO</v>
          </cell>
        </row>
        <row r="1244">
          <cell r="A1244" t="str">
            <v>0626-014071</v>
          </cell>
          <cell r="B1244" t="str">
            <v>DP MAGE 1</v>
          </cell>
          <cell r="C1244" t="str">
            <v>solicito suporte para limpeza e vedação para fossa que fica localizada no salão de vendas, cheiro muito forte so ameniza com ar condicionado ligado.
 necessário fazer no horario noturno para amenizar impacto com clientes devido ao cheiro.</v>
          </cell>
          <cell r="D1244" t="str">
            <v>HIDRAULICA</v>
          </cell>
          <cell r="F1244" t="e">
            <v>#REF!</v>
          </cell>
          <cell r="G1244" t="str">
            <v>AMANDA</v>
          </cell>
          <cell r="K1244" t="str">
            <v>FATURADO</v>
          </cell>
        </row>
        <row r="1245">
          <cell r="A1245" t="str">
            <v>0726-017816</v>
          </cell>
          <cell r="B1245" t="str">
            <v>DP ALCANTARA 3</v>
          </cell>
          <cell r="C1245" t="str">
            <v>Boa tarde! Iremos receber uma nova geladeira de termolábeis, e solicito que façam uma instalação de uma nova tomada.</v>
          </cell>
          <cell r="D1245" t="str">
            <v>ELETRICA</v>
          </cell>
          <cell r="F1245" t="e">
            <v>#REF!</v>
          </cell>
          <cell r="G1245" t="str">
            <v>AMANDA</v>
          </cell>
          <cell r="K1245" t="str">
            <v>EXECUTADO - APROVAR OS</v>
          </cell>
        </row>
        <row r="1246">
          <cell r="A1246" t="str">
            <v>0726-009264</v>
          </cell>
          <cell r="B1246" t="str">
            <v>DP PEDRA DE GUARATIBA</v>
          </cell>
          <cell r="C1246" t="str">
            <v>Filial sem agua</v>
          </cell>
          <cell r="D1246" t="str">
            <v>HIDRAULICA</v>
          </cell>
          <cell r="F1246" t="e">
            <v>#REF!</v>
          </cell>
          <cell r="G1246" t="str">
            <v>JUAN</v>
          </cell>
          <cell r="K1246" t="str">
            <v>FATURADO</v>
          </cell>
        </row>
        <row r="1247">
          <cell r="A1247" t="str">
            <v>0626-003845</v>
          </cell>
          <cell r="B1247" t="str">
            <v>DP RIO BRANCO 2</v>
          </cell>
          <cell r="C1247" t="str">
            <v>Prezados, bom dia!
 A Porta 3 encontra-se desalinhada, apresentando grande dificuldade para fechamento, sendo necessário o auxílio de dois colaboradores para realizar essa operação, o que compromete a rotina e a segurança operacional da filial.
 Ressalto que, em atendimento anterior, a equipe de manutenção informou que a porta não possui condições de reparo, sendo necessária a substituição completa por uma nova.
 Dessa forma, solicito providências para a troca da Porta 3 com a maior brevidade possível, a fim de garantir a segurança e o correto funcionamento da unidade.
 Atenciosamente,
 Dayane Polito
 Gerente de Loja</v>
          </cell>
          <cell r="D1247" t="str">
            <v>SERRALHERIA</v>
          </cell>
          <cell r="F1247" t="e">
            <v>#REF!</v>
          </cell>
          <cell r="G1247" t="str">
            <v>LEANDRO</v>
          </cell>
          <cell r="K1247" t="str">
            <v>FECHAR OS</v>
          </cell>
        </row>
        <row r="1248">
          <cell r="A1248" t="str">
            <v>0726-009307</v>
          </cell>
          <cell r="B1248" t="str">
            <v>DP RECREIO 8</v>
          </cell>
          <cell r="C1248" t="str">
            <v>Solicito caminhão pipa para abastecimentzo em loja.</v>
          </cell>
          <cell r="D1248" t="str">
            <v>HIDRAULICA</v>
          </cell>
          <cell r="F1248" t="e">
            <v>#REF!</v>
          </cell>
          <cell r="G1248" t="str">
            <v>JUAN</v>
          </cell>
          <cell r="K1248" t="str">
            <v>FATURADO</v>
          </cell>
        </row>
        <row r="1249">
          <cell r="A1249" t="str">
            <v>0726-009420</v>
          </cell>
          <cell r="B1249" t="str">
            <v>DP RECREIO 1</v>
          </cell>
          <cell r="C1249" t="str">
            <v>remoção de entulho</v>
          </cell>
          <cell r="D1249" t="str">
            <v>TRANSPORTE</v>
          </cell>
          <cell r="F1249" t="e">
            <v>#REF!</v>
          </cell>
          <cell r="G1249" t="str">
            <v>JUAN</v>
          </cell>
          <cell r="K1249" t="str">
            <v>PENDENTE FATURAMENTO</v>
          </cell>
        </row>
        <row r="1250">
          <cell r="A1250" t="str">
            <v>0726-009429</v>
          </cell>
          <cell r="B1250" t="str">
            <v>DP COPACABANA BARATA RIBEIRO</v>
          </cell>
          <cell r="C1250" t="str">
            <v>vazamento grande no salão da loja em frente ao infantil</v>
          </cell>
          <cell r="D1250" t="str">
            <v>HIDRAULICA</v>
          </cell>
          <cell r="F1250" t="e">
            <v>#REF!</v>
          </cell>
          <cell r="G1250" t="e">
            <v>#N/A</v>
          </cell>
          <cell r="K1250" t="str">
            <v>FATURADO</v>
          </cell>
        </row>
        <row r="1251">
          <cell r="A1251" t="str">
            <v>0726-010576</v>
          </cell>
          <cell r="B1251" t="str">
            <v>DP COPACABANA BARATA RIBEIRO</v>
          </cell>
          <cell r="C1251" t="str">
            <v>Boa tarde!
 Solicito suporte de desratização a filial pois já encontramos dois roedores no interior da loja.
 Desde já agradeço.
 João Carlos
 ADM - Matr 105186</v>
          </cell>
          <cell r="D1251" t="str">
            <v>DEDETIZAÇÃO</v>
          </cell>
          <cell r="F1251" t="e">
            <v>#REF!</v>
          </cell>
          <cell r="G1251" t="e">
            <v>#N/A</v>
          </cell>
          <cell r="K1251" t="str">
            <v>FATURADO</v>
          </cell>
        </row>
        <row r="1252">
          <cell r="A1252" t="str">
            <v>0726-018233</v>
          </cell>
          <cell r="B1252" t="str">
            <v>DP ALCANTARA 4</v>
          </cell>
          <cell r="C1252" t="str">
            <v>Filial recebeu nova geladeira com voltagem 110, solicitando instalação de um novo ponto de tomada</v>
          </cell>
          <cell r="D1252" t="str">
            <v>ELETRICA</v>
          </cell>
          <cell r="F1252" t="e">
            <v>#REF!</v>
          </cell>
          <cell r="G1252" t="str">
            <v>AMANDA</v>
          </cell>
          <cell r="K1252" t="str">
            <v>FECHAR OS</v>
          </cell>
        </row>
        <row r="1253">
          <cell r="A1253" t="str">
            <v>0726-010838</v>
          </cell>
          <cell r="B1253" t="str">
            <v>DP IPANEMA 1</v>
          </cell>
          <cell r="C1253" t="str">
            <v>Instalação de 3 novas cortinas de ar.</v>
          </cell>
          <cell r="D1253" t="str">
            <v>REFRIGERAÇÃO</v>
          </cell>
          <cell r="F1253" t="e">
            <v>#REF!</v>
          </cell>
          <cell r="G1253" t="str">
            <v>LEANDRO</v>
          </cell>
          <cell r="K1253" t="str">
            <v>PENDENTE FATURAMENTO</v>
          </cell>
        </row>
        <row r="1254">
          <cell r="A1254" t="str">
            <v>0726-010965</v>
          </cell>
          <cell r="B1254" t="str">
            <v>DP PEDRA DE GUARATIBA</v>
          </cell>
          <cell r="C1254" t="str">
            <v>Filial sem agua, solicito abastecimento caminhao pipa</v>
          </cell>
          <cell r="D1254" t="str">
            <v>HIDRAULICA</v>
          </cell>
          <cell r="F1254" t="e">
            <v>#REF!</v>
          </cell>
          <cell r="G1254" t="str">
            <v>JUAN</v>
          </cell>
          <cell r="K1254" t="str">
            <v>FATURADO</v>
          </cell>
        </row>
        <row r="1255">
          <cell r="A1255" t="str">
            <v>0726-010993</v>
          </cell>
          <cell r="B1255" t="str">
            <v>DP BUZIOS</v>
          </cell>
          <cell r="C1255" t="str">
            <v>Transporte de cadeiras de DP Copacabana 12.</v>
          </cell>
          <cell r="D1255" t="str">
            <v>TRANSPORTE</v>
          </cell>
          <cell r="F1255" t="e">
            <v>#REF!</v>
          </cell>
          <cell r="G1255" t="str">
            <v>LEANDRO</v>
          </cell>
          <cell r="K1255" t="str">
            <v>PENDENTE FATURAMENTO</v>
          </cell>
        </row>
        <row r="1256">
          <cell r="A1256" t="str">
            <v>0726-011427</v>
          </cell>
          <cell r="B1256" t="str">
            <v>DP RECREIO 7</v>
          </cell>
          <cell r="C1256" t="str">
            <v>Boa noite,
 Filial sem água;
 Consegue me ajudar?
 Att. Ronan</v>
          </cell>
          <cell r="D1256" t="str">
            <v>HIDRAULICA</v>
          </cell>
          <cell r="F1256" t="e">
            <v>#REF!</v>
          </cell>
          <cell r="G1256" t="str">
            <v>JUAN</v>
          </cell>
          <cell r="K1256" t="str">
            <v>FATURADO</v>
          </cell>
        </row>
        <row r="1257">
          <cell r="A1257" t="str">
            <v>0726-011512</v>
          </cell>
          <cell r="B1257" t="str">
            <v>DP LUCIO COSTA</v>
          </cell>
          <cell r="C1257" t="str">
            <v>Esgotamento e limpeza de cisterna e 2 caixas de água.necessário troca de uma bomba</v>
          </cell>
          <cell r="D1257" t="str">
            <v>HIDRAULICA</v>
          </cell>
          <cell r="F1257" t="e">
            <v>#REF!</v>
          </cell>
          <cell r="G1257" t="str">
            <v>JUAN</v>
          </cell>
          <cell r="K1257" t="str">
            <v>FATURADO</v>
          </cell>
        </row>
        <row r="1258">
          <cell r="A1258" t="str">
            <v>0726-011513</v>
          </cell>
          <cell r="B1258" t="str">
            <v>DP VARGEM GRANDE</v>
          </cell>
          <cell r="C1258" t="str">
            <v>troca do armario da cozinha que está enferrujado</v>
          </cell>
          <cell r="D1258" t="str">
            <v>EQUIPAMENTO</v>
          </cell>
          <cell r="F1258" t="e">
            <v>#REF!</v>
          </cell>
          <cell r="G1258" t="str">
            <v>JUAN</v>
          </cell>
          <cell r="K1258" t="str">
            <v>FATURADO</v>
          </cell>
        </row>
        <row r="1259">
          <cell r="A1259" t="str">
            <v>0726-011532</v>
          </cell>
          <cell r="B1259" t="str">
            <v>DPA BARRA DA TIJUCA 6</v>
          </cell>
          <cell r="C1259" t="str">
            <v>Mão de obra para pintura da fachada.</v>
          </cell>
          <cell r="D1259" t="str">
            <v>CIVIL</v>
          </cell>
          <cell r="F1259" t="e">
            <v>#REF!</v>
          </cell>
          <cell r="G1259" t="str">
            <v>LEANDRO</v>
          </cell>
          <cell r="K1259" t="str">
            <v>PENDENTE FATURAMENTO</v>
          </cell>
        </row>
        <row r="1260">
          <cell r="A1260" t="str">
            <v>0726-011944</v>
          </cell>
          <cell r="B1260" t="str">
            <v>DP LUCIO COSTA</v>
          </cell>
          <cell r="C1260" t="str">
            <v>Bom Dia! Solicito o abastecimento de água, pois a loja encontra-se sem água.</v>
          </cell>
          <cell r="D1260" t="str">
            <v>HIDRAULICA</v>
          </cell>
          <cell r="F1260" t="e">
            <v>#REF!</v>
          </cell>
          <cell r="G1260" t="str">
            <v>JUAN</v>
          </cell>
          <cell r="K1260" t="str">
            <v>FATURADO</v>
          </cell>
        </row>
        <row r="1261">
          <cell r="A1261" t="str">
            <v>0726-012314</v>
          </cell>
          <cell r="B1261" t="str">
            <v>DP RECREIO 8</v>
          </cell>
          <cell r="C1261" t="str">
            <v>Solicito caminhão pipa para abastecimento.</v>
          </cell>
          <cell r="D1261" t="str">
            <v>HIDRAULICA</v>
          </cell>
          <cell r="F1261" t="e">
            <v>#REF!</v>
          </cell>
          <cell r="G1261" t="str">
            <v>JUAN</v>
          </cell>
          <cell r="K1261" t="str">
            <v>FATURADO</v>
          </cell>
        </row>
        <row r="1262">
          <cell r="A1262" t="str">
            <v>0726-012445</v>
          </cell>
          <cell r="B1262" t="str">
            <v>DP ROCINHA</v>
          </cell>
          <cell r="C1262" t="str">
            <v>Transporte de longarina da BP Botafogo 6 para Rocinha.</v>
          </cell>
          <cell r="D1262" t="str">
            <v>TRANSPORTE</v>
          </cell>
          <cell r="F1262" t="e">
            <v>#REF!</v>
          </cell>
          <cell r="G1262" t="str">
            <v>LEANDRO</v>
          </cell>
          <cell r="K1262" t="str">
            <v>PENDENTE FATURAMENTO</v>
          </cell>
        </row>
        <row r="1263">
          <cell r="A1263" t="str">
            <v>0726-012450</v>
          </cell>
          <cell r="B1263" t="str">
            <v>DP SHOPPING BARRA SHOPPING</v>
          </cell>
          <cell r="C1263" t="str">
            <v>Solicito pintura do salão de vendas- Visita diretoria.</v>
          </cell>
          <cell r="D1263" t="str">
            <v>CIVIL</v>
          </cell>
          <cell r="F1263" t="e">
            <v>#REF!</v>
          </cell>
          <cell r="G1263" t="str">
            <v>LEANDRO</v>
          </cell>
          <cell r="K1263" t="str">
            <v>FATURADO</v>
          </cell>
        </row>
        <row r="1264">
          <cell r="A1264" t="str">
            <v>0726-012456</v>
          </cell>
          <cell r="B1264" t="str">
            <v>DP JARDIM BOTANICO</v>
          </cell>
          <cell r="C1264" t="str">
            <v>Pintura da fachada- Solicitação dona Helena.</v>
          </cell>
          <cell r="D1264" t="str">
            <v>CIVIL</v>
          </cell>
          <cell r="F1264" t="e">
            <v>#REF!</v>
          </cell>
          <cell r="G1264" t="str">
            <v>LEANDRO</v>
          </cell>
          <cell r="K1264" t="str">
            <v>FATURADO</v>
          </cell>
        </row>
        <row r="1265">
          <cell r="A1265" t="str">
            <v>0726-012462</v>
          </cell>
          <cell r="B1265" t="str">
            <v>DP CATETE 5</v>
          </cell>
          <cell r="C1265" t="str">
            <v>Fornecimento e instalação de uma cortina de ar.</v>
          </cell>
          <cell r="D1265" t="str">
            <v>REFRIGERAÇÃO</v>
          </cell>
          <cell r="F1265" t="e">
            <v>#REF!</v>
          </cell>
          <cell r="G1265" t="str">
            <v>LEANDRO</v>
          </cell>
          <cell r="K1265" t="str">
            <v>FATURADO</v>
          </cell>
        </row>
        <row r="1266">
          <cell r="A1266" t="str">
            <v>0726-012477</v>
          </cell>
          <cell r="B1266" t="str">
            <v>DP CATETE 5</v>
          </cell>
          <cell r="C1266" t="str">
            <v>Remoção de adesivos das salas de serviços e pintura das paredes.</v>
          </cell>
          <cell r="D1266" t="str">
            <v>CIVIL</v>
          </cell>
          <cell r="F1266" t="e">
            <v>#REF!</v>
          </cell>
          <cell r="G1266" t="str">
            <v>LEANDRO</v>
          </cell>
          <cell r="K1266" t="str">
            <v>FATURADO</v>
          </cell>
        </row>
        <row r="1267">
          <cell r="A1267" t="str">
            <v>0726-012912</v>
          </cell>
          <cell r="B1267" t="str">
            <v>DP LUCIO COSTA</v>
          </cell>
          <cell r="C1267" t="str">
            <v>retirada luminarias em grajau para lucio costa</v>
          </cell>
          <cell r="D1267" t="str">
            <v>TRANSPORTE</v>
          </cell>
          <cell r="F1267" t="e">
            <v>#REF!</v>
          </cell>
          <cell r="G1267" t="str">
            <v>JUAN</v>
          </cell>
          <cell r="K1267" t="str">
            <v>FATURADO</v>
          </cell>
        </row>
        <row r="1268">
          <cell r="A1268" t="str">
            <v>0726-013342</v>
          </cell>
          <cell r="B1268" t="str">
            <v>DP CATETE 5</v>
          </cell>
          <cell r="C1268" t="str">
            <v>Solicito instalação de um novo cabo de rede para impressora do balcão de atendimento.</v>
          </cell>
          <cell r="D1268" t="str">
            <v>ELETRICA</v>
          </cell>
          <cell r="F1268" t="e">
            <v>#REF!</v>
          </cell>
          <cell r="G1268" t="str">
            <v>LEANDRO</v>
          </cell>
          <cell r="K1268" t="str">
            <v>FATURADO</v>
          </cell>
        </row>
        <row r="1269">
          <cell r="A1269" t="str">
            <v>0726-013344</v>
          </cell>
          <cell r="B1269" t="str">
            <v>DP IPANEMA 6</v>
          </cell>
          <cell r="C1269" t="str">
            <v>Instalação de um novo ponte de rede para equipamento Wi-Fi.</v>
          </cell>
          <cell r="D1269" t="str">
            <v>ELETRICA</v>
          </cell>
          <cell r="F1269" t="e">
            <v>#REF!</v>
          </cell>
          <cell r="G1269" t="str">
            <v>LEANDRO</v>
          </cell>
          <cell r="J1269" t="str">
            <v>AMANDA</v>
          </cell>
          <cell r="K1269" t="str">
            <v>PENDENTE FATURAMENTO</v>
          </cell>
        </row>
        <row r="1270">
          <cell r="A1270" t="str">
            <v>0726-014295</v>
          </cell>
          <cell r="B1270" t="str">
            <v>DP RECREIO 8</v>
          </cell>
          <cell r="C1270" t="str">
            <v>Solicito reparo da maçaneta e da porta da sala FARMA que foi totalmente danificada durante o assalto SINISTRO que ocorreu nesta madrugada do dia 19/07, comprometendo assim as atividades laborais.
 At.te ADM Renata Maria</v>
          </cell>
          <cell r="D1270" t="str">
            <v>CIVIL</v>
          </cell>
          <cell r="F1270">
            <v>1973.8</v>
          </cell>
          <cell r="G1270" t="str">
            <v>JUAN</v>
          </cell>
          <cell r="K1270" t="str">
            <v>FATURADO</v>
          </cell>
        </row>
        <row r="1271">
          <cell r="A1271" t="str">
            <v>0726-015135</v>
          </cell>
          <cell r="B1271" t="str">
            <v>DP IPANEMA 1</v>
          </cell>
          <cell r="C1271" t="str">
            <v>Solicito instalação caixa d'água para cozinha.</v>
          </cell>
          <cell r="D1271" t="str">
            <v>HIDRAULICA</v>
          </cell>
          <cell r="F1271" t="e">
            <v>#REF!</v>
          </cell>
          <cell r="G1271" t="str">
            <v>LEANDRO</v>
          </cell>
          <cell r="K1271" t="str">
            <v>PENDENTE FATURAMENTO</v>
          </cell>
        </row>
        <row r="1272">
          <cell r="A1272" t="str">
            <v>0826-003857</v>
          </cell>
          <cell r="B1272" t="str">
            <v>DP ALCANTARA 5</v>
          </cell>
          <cell r="C1272" t="str">
            <v>Geladeira da cozinha 220v e atolada 110v , sendo que o conversor está cheirando a queimado, pois ele estava ligado a geladeira e o bebedouro que são 220v . Preciso que converte as duas tomadas da cozinha a 220v para poder ligar o bebedouro e a geladeira .</v>
          </cell>
          <cell r="D1272" t="str">
            <v>ELETRICA</v>
          </cell>
          <cell r="F1272" t="e">
            <v>#REF!</v>
          </cell>
          <cell r="G1272" t="str">
            <v>AMANDA</v>
          </cell>
          <cell r="K1272" t="str">
            <v>EXECUTADO - APROVAR OS</v>
          </cell>
        </row>
        <row r="1273">
          <cell r="A1273" t="str">
            <v>0726-015564</v>
          </cell>
          <cell r="B1273" t="str">
            <v>DP BARRA DA TIJUCA 4</v>
          </cell>
          <cell r="C1273" t="str">
            <v>Solicito, com urgência, a realização de serviços de dedetização e desratização na loja, tendo em vista que o local se encontra com uma infestação de ratos e gambá, situação que representa um sério risco à saúde e à segurança dos colaboradores.
 A presença dos roedores é evidente, sendo possível inclusive ouvir os ratos se deslocando pelo telhado da loja e da copa, local onde os colaboradores realizam suas refeições.
 Diante da gravidade da situação e dos riscos sanitários envolvidos, solicito que as providências necessárias sejam tomadas.</v>
          </cell>
          <cell r="D1273" t="str">
            <v>DEDETIZAÇÃO</v>
          </cell>
          <cell r="F1273" t="e">
            <v>#REF!</v>
          </cell>
          <cell r="G1273" t="str">
            <v>LEANDRO</v>
          </cell>
          <cell r="K1273" t="str">
            <v>FATURADO</v>
          </cell>
        </row>
        <row r="1274">
          <cell r="A1274" t="str">
            <v>0726-016096</v>
          </cell>
          <cell r="B1274" t="str">
            <v>DP CATETE 2</v>
          </cell>
          <cell r="C1274" t="str">
            <v>BOM DIA! SOLICITO SUPORTE POIS A PORTA PRINCIPAL ESTA TRAVANDO NO MOMENTO DE LEVANTAR</v>
          </cell>
          <cell r="D1274" t="str">
            <v>SERRALHERIA</v>
          </cell>
          <cell r="F1274" t="e">
            <v>#REF!</v>
          </cell>
          <cell r="G1274" t="str">
            <v>LEANDRO</v>
          </cell>
          <cell r="K1274" t="str">
            <v>FATURADO</v>
          </cell>
        </row>
        <row r="1275">
          <cell r="A1275" t="str">
            <v>0726-018009</v>
          </cell>
          <cell r="B1275" t="str">
            <v>DP ALCANTARA 6</v>
          </cell>
          <cell r="C1275" t="str">
            <v>Instalação de ponto de tomada próximo a geladeira de medicamentos para Instalação da nova geladeira.</v>
          </cell>
          <cell r="D1275" t="str">
            <v>ELETRICA</v>
          </cell>
          <cell r="F1275" t="e">
            <v>#REF!</v>
          </cell>
          <cell r="G1275" t="str">
            <v>AMANDA</v>
          </cell>
          <cell r="K1275" t="str">
            <v>EXECUTADO - APROVAR OS</v>
          </cell>
        </row>
        <row r="1276">
          <cell r="A1276" t="str">
            <v>0726-010755</v>
          </cell>
          <cell r="B1276" t="str">
            <v>DP ALCANTARA 7</v>
          </cell>
          <cell r="C1276" t="str">
            <v>Boa noite
 Solicito instalação de novo ponto de tomada para uso de painel eletrônico para a senha de farmácia popular .</v>
          </cell>
          <cell r="D1276" t="str">
            <v>ELETRICA</v>
          </cell>
          <cell r="F1276" t="e">
            <v>#REF!</v>
          </cell>
          <cell r="G1276" t="str">
            <v>AMANDA</v>
          </cell>
          <cell r="K1276" t="str">
            <v>EXECUTADO - APROVAR OS</v>
          </cell>
        </row>
        <row r="1277">
          <cell r="A1277" t="str">
            <v>0726-017469</v>
          </cell>
          <cell r="B1277" t="str">
            <v>DP RECREIO 8</v>
          </cell>
          <cell r="C1277" t="str">
            <v>Solicito caminhão pipa para abastecimento da loja.</v>
          </cell>
          <cell r="D1277" t="str">
            <v>HIDRAULICA</v>
          </cell>
          <cell r="F1277" t="e">
            <v>#REF!</v>
          </cell>
          <cell r="G1277" t="str">
            <v>JUAN</v>
          </cell>
          <cell r="K1277" t="str">
            <v>FATURADO</v>
          </cell>
        </row>
        <row r="1278">
          <cell r="A1278" t="str">
            <v>0726-018501</v>
          </cell>
          <cell r="B1278" t="str">
            <v>DP ANDRADAS</v>
          </cell>
          <cell r="C1278" t="str">
            <v>Boa noite,
 Solicito a visita de um técnico a filial para a instalação de um novo ponto de tomada 110V.
 Fomos informados que em breve a filial receberá uma nova geladeira, e esse equipamento opera nessa voltagem.
 Obrigado.</v>
          </cell>
          <cell r="D1278" t="str">
            <v>ELETRICA</v>
          </cell>
          <cell r="F1278" t="e">
            <v>#REF!</v>
          </cell>
          <cell r="G1278" t="str">
            <v>LEANDRO</v>
          </cell>
          <cell r="K1278" t="str">
            <v>EXECUTADO - APROVAR OS</v>
          </cell>
        </row>
        <row r="1279">
          <cell r="A1279" t="str">
            <v>0826-004109</v>
          </cell>
          <cell r="B1279" t="str">
            <v>DP ARARUAMA</v>
          </cell>
          <cell r="C1279" t="str">
            <v>Solicito um ponto para instalação de uma tomada para a geladeira nova.</v>
          </cell>
          <cell r="D1279" t="str">
            <v>ELETRICA</v>
          </cell>
          <cell r="F1279" t="e">
            <v>#REF!</v>
          </cell>
          <cell r="G1279" t="str">
            <v>LEANDRO</v>
          </cell>
          <cell r="K1279" t="str">
            <v>EXECUTADO - APROVAR OS</v>
          </cell>
        </row>
        <row r="1280">
          <cell r="A1280" t="str">
            <v>0926-014254</v>
          </cell>
          <cell r="B1280" t="str">
            <v>DP ARARUAMA</v>
          </cell>
          <cell r="C1280" t="str">
            <v>Transporte de cadeiras para atender notificação.</v>
          </cell>
          <cell r="D1280" t="str">
            <v>TRANSPORTE</v>
          </cell>
          <cell r="F1280" t="e">
            <v>#REF!</v>
          </cell>
          <cell r="G1280" t="str">
            <v>LEANDRO</v>
          </cell>
          <cell r="K1280" t="str">
            <v>EXECUTADO - APROVAR OS</v>
          </cell>
        </row>
        <row r="1281">
          <cell r="A1281" t="str">
            <v>0726-017769</v>
          </cell>
          <cell r="B1281" t="str">
            <v>DP RECREIO 7</v>
          </cell>
          <cell r="C1281" t="str">
            <v>Filial sem agua.
 Consegue me ajudar ?
 Att. Ronan</v>
          </cell>
          <cell r="D1281" t="str">
            <v>HIDRAULICA</v>
          </cell>
          <cell r="F1281" t="e">
            <v>#REF!</v>
          </cell>
          <cell r="G1281" t="str">
            <v>JUAN</v>
          </cell>
          <cell r="K1281" t="str">
            <v>FATURADO</v>
          </cell>
        </row>
        <row r="1282">
          <cell r="A1282" t="str">
            <v>0826-008943</v>
          </cell>
          <cell r="B1282" t="str">
            <v>DP ARARUAMA 2</v>
          </cell>
          <cell r="C1282" t="str">
            <v>solicito instalação de um novo popnto de tomada para a geladeira nova 127w</v>
          </cell>
          <cell r="D1282" t="str">
            <v>ELETRICA</v>
          </cell>
          <cell r="F1282" t="e">
            <v>#REF!</v>
          </cell>
          <cell r="G1282" t="str">
            <v>LEANDRO</v>
          </cell>
          <cell r="K1282" t="str">
            <v>EXECUTADO - APROVAR OS</v>
          </cell>
        </row>
        <row r="1283">
          <cell r="A1283" t="str">
            <v>0726-017988</v>
          </cell>
          <cell r="B1283" t="str">
            <v>DP BARRA DA TIJUCA 3</v>
          </cell>
          <cell r="C1283" t="str">
            <v>solicito uma tomada 127v para a geladeira que chegou a que temos e 220v</v>
          </cell>
          <cell r="D1283" t="str">
            <v>ELETRICA</v>
          </cell>
          <cell r="F1283" t="e">
            <v>#REF!</v>
          </cell>
          <cell r="G1283" t="str">
            <v>LEANDRO</v>
          </cell>
          <cell r="K1283" t="str">
            <v>EXECUTADO - APROVAR OS</v>
          </cell>
        </row>
        <row r="1284">
          <cell r="A1284" t="str">
            <v>0726-019040</v>
          </cell>
          <cell r="B1284" t="str">
            <v>DP BARRA DA TIJUCA 7</v>
          </cell>
          <cell r="C1284" t="str">
            <v>Boa noite solicito instalação de um novo ponto de tomada para alocação da nova geladeira de termolábeis.</v>
          </cell>
          <cell r="D1284" t="str">
            <v>ELETRICA</v>
          </cell>
          <cell r="F1284" t="e">
            <v>#REF!</v>
          </cell>
          <cell r="G1284" t="str">
            <v>LEANDRO</v>
          </cell>
          <cell r="K1284" t="str">
            <v>EXECUTADO - APROVAR OS</v>
          </cell>
        </row>
        <row r="1285">
          <cell r="A1285" t="str">
            <v>0826-011174</v>
          </cell>
          <cell r="B1285" t="str">
            <v>DP BARRA DA TIJUCA 8</v>
          </cell>
          <cell r="C1285" t="str">
            <v>instalar tomada para a geladeira</v>
          </cell>
          <cell r="D1285" t="str">
            <v>ELETRICA</v>
          </cell>
          <cell r="F1285" t="e">
            <v>#REF!</v>
          </cell>
          <cell r="G1285" t="str">
            <v>LEANDRO</v>
          </cell>
          <cell r="K1285" t="str">
            <v>EXECUTADO - APROVAR OS</v>
          </cell>
        </row>
        <row r="1286">
          <cell r="A1286" t="str">
            <v>0826-006870</v>
          </cell>
          <cell r="B1286" t="str">
            <v>DP BARRA DE SAO JOAO</v>
          </cell>
          <cell r="C1286" t="str">
            <v>Bom dia solicito a troca de voltagem da tomada de 220v para 127v da nova geladeira que chegou em loja.</v>
          </cell>
          <cell r="D1286" t="str">
            <v>ELETRICA</v>
          </cell>
          <cell r="F1286" t="e">
            <v>#REF!</v>
          </cell>
          <cell r="G1286" t="str">
            <v>LEANDRO</v>
          </cell>
          <cell r="K1286" t="str">
            <v>EXECUTADO - APROVAR OS</v>
          </cell>
        </row>
        <row r="1287">
          <cell r="A1287" t="str">
            <v>0726-018016</v>
          </cell>
          <cell r="B1287" t="str">
            <v>DP ICARAI 5</v>
          </cell>
          <cell r="C1287" t="str">
            <v>Solicito instalação de um novo ponto de tomada na voltagem 110. para a instalação de um novo refrigerador.</v>
          </cell>
          <cell r="D1287" t="str">
            <v>ELETRICA</v>
          </cell>
          <cell r="F1287" t="e">
            <v>#REF!</v>
          </cell>
          <cell r="G1287" t="str">
            <v>AMANDA</v>
          </cell>
          <cell r="K1287" t="str">
            <v>PENDENTE FATURAMENTO</v>
          </cell>
        </row>
        <row r="1288">
          <cell r="A1288" t="str">
            <v>0926-013813</v>
          </cell>
          <cell r="B1288" t="str">
            <v>DP BARRA DE SAO JOAO</v>
          </cell>
          <cell r="C1288" t="str">
            <v>Boa tarde prezados, precisamos com urgência de uma atenção na filial relacionado ao controle de pragas.
 Foi constatado na tarde de hoje 15/09/2026. Dejetos e urinas de algum animal, localizado atrás e no lado da geladeira que até pouco tempo concentrava todo o armazenamento de medicação Termolábil.
 Por ser um estabelecimento de saúde, é de suma importância as adequações necessárias pois isto ameaça a saúde dos colaboradores e pode contaminar de diversas formas as medicações á venda.
 Att.
 Deivid Menezes</v>
          </cell>
          <cell r="D1288" t="str">
            <v>DEDETIZAÇÃO</v>
          </cell>
          <cell r="F1288" t="e">
            <v>#REF!</v>
          </cell>
          <cell r="G1288" t="str">
            <v>LEANDRO</v>
          </cell>
          <cell r="K1288" t="str">
            <v>EXECUTADO - APROVAR OS</v>
          </cell>
        </row>
        <row r="1289">
          <cell r="A1289" t="str">
            <v>0826-004044</v>
          </cell>
          <cell r="B1289" t="str">
            <v>DP BOTAFOGO 1</v>
          </cell>
          <cell r="C1289" t="str">
            <v>Solicito a instalação de um novo ponto de tomado dentro da sala de psico para ligar a geladeira recebida</v>
          </cell>
          <cell r="D1289" t="str">
            <v>ELETRICA</v>
          </cell>
          <cell r="F1289" t="e">
            <v>#REF!</v>
          </cell>
          <cell r="G1289" t="str">
            <v>LEANDRO</v>
          </cell>
          <cell r="K1289" t="str">
            <v>EXECUTADO - APROVAR OS</v>
          </cell>
        </row>
        <row r="1290">
          <cell r="A1290" t="str">
            <v>0826-009620</v>
          </cell>
          <cell r="B1290" t="str">
            <v>DP BOTAFOGO 10</v>
          </cell>
          <cell r="C1290" t="str">
            <v>SOLICITO INSTALAÇAO DE PONTO DE TOMADA PARA O ESTOQUE, ONDE FICARA A GELADEIRA DE GLP'1</v>
          </cell>
          <cell r="D1290" t="str">
            <v>ELETRICA</v>
          </cell>
          <cell r="F1290" t="e">
            <v>#REF!</v>
          </cell>
          <cell r="G1290" t="str">
            <v>LEANDRO</v>
          </cell>
          <cell r="K1290" t="str">
            <v>EXECUTADO - APROVAR OS</v>
          </cell>
        </row>
        <row r="1291">
          <cell r="A1291" t="str">
            <v>0826-011191</v>
          </cell>
          <cell r="B1291" t="str">
            <v>DP BOTAFOGO 5</v>
          </cell>
          <cell r="C1291" t="str">
            <v>Bom dia solicito novo ponto de tomada para geladeira redbull 220v</v>
          </cell>
          <cell r="D1291" t="str">
            <v>ELETRICA</v>
          </cell>
          <cell r="F1291" t="e">
            <v>#REF!</v>
          </cell>
          <cell r="G1291" t="str">
            <v>LEANDRO</v>
          </cell>
          <cell r="K1291" t="str">
            <v>EXECUTADO - APROVAR OS</v>
          </cell>
        </row>
        <row r="1292">
          <cell r="A1292" t="str">
            <v>0726-016702</v>
          </cell>
          <cell r="B1292" t="str">
            <v>DP BOTAFOGO 6</v>
          </cell>
          <cell r="C1292" t="str">
            <v>precisamos deum novo ponto de tomada para colocação de geladeira</v>
          </cell>
          <cell r="D1292" t="str">
            <v>ELETRICA</v>
          </cell>
          <cell r="F1292">
            <v>0</v>
          </cell>
          <cell r="G1292" t="str">
            <v>LEANDRO</v>
          </cell>
          <cell r="K1292" t="str">
            <v>EXECUTADO - APROVAR OS</v>
          </cell>
        </row>
        <row r="1293">
          <cell r="A1293" t="str">
            <v>0926-014259</v>
          </cell>
          <cell r="B1293" t="str">
            <v>DP BOTAFOGO 7</v>
          </cell>
          <cell r="C1293" t="str">
            <v>SAOLICITO BANDEJAMENTO NO CPD, POIS TEMOS UMA GOTEIRA EM CIMA DO RACK.</v>
          </cell>
          <cell r="D1293" t="str">
            <v>TELHADO</v>
          </cell>
          <cell r="F1293" t="e">
            <v>#REF!</v>
          </cell>
          <cell r="G1293" t="str">
            <v>LEANDRO</v>
          </cell>
          <cell r="K1293" t="str">
            <v>EXECUTADO - APROVAR OS</v>
          </cell>
        </row>
        <row r="1294">
          <cell r="A1294" t="str">
            <v>0826-004219</v>
          </cell>
          <cell r="B1294" t="str">
            <v>DP BOTAFOGO 8</v>
          </cell>
          <cell r="C1294" t="str">
            <v>bom dia !! solicito instalação de ponto tomada para a geladeira nova em loja , a mesma em loja</v>
          </cell>
          <cell r="D1294" t="str">
            <v>ELETRICA</v>
          </cell>
          <cell r="F1294" t="e">
            <v>#REF!</v>
          </cell>
          <cell r="G1294" t="str">
            <v>LEANDRO</v>
          </cell>
          <cell r="K1294" t="str">
            <v>EXECUTADO - APROVAR OS</v>
          </cell>
        </row>
        <row r="1295">
          <cell r="A1295" t="str">
            <v>0726-018834</v>
          </cell>
          <cell r="B1295" t="str">
            <v>DP BUZIOS</v>
          </cell>
          <cell r="C1295" t="str">
            <v>Solicito instalação de novo ponto de tomada para geladeira nova.</v>
          </cell>
          <cell r="D1295" t="str">
            <v>ELETRICA</v>
          </cell>
          <cell r="F1295" t="e">
            <v>#REF!</v>
          </cell>
          <cell r="G1295" t="str">
            <v>LEANDRO</v>
          </cell>
          <cell r="K1295" t="str">
            <v>EXECUTADO - APROVAR OS</v>
          </cell>
        </row>
        <row r="1296">
          <cell r="A1296" t="str">
            <v>0726-018372</v>
          </cell>
          <cell r="B1296" t="str">
            <v>DP RECREIO 10</v>
          </cell>
          <cell r="C1296" t="str">
            <v>Boa tarde a todos 
 Forro de drywall se deslocou devido a ventania</v>
          </cell>
          <cell r="D1296" t="str">
            <v>CIVIL</v>
          </cell>
          <cell r="F1296" t="e">
            <v>#REF!</v>
          </cell>
          <cell r="G1296" t="str">
            <v>JUAN</v>
          </cell>
          <cell r="K1296" t="str">
            <v>FATURADO</v>
          </cell>
        </row>
        <row r="1297">
          <cell r="A1297" t="str">
            <v>0726-012971</v>
          </cell>
          <cell r="B1297" t="str">
            <v>DP CABO FRIO 1</v>
          </cell>
          <cell r="C1297" t="str">
            <v>Gostaríamos de remanejar as nossas geladeiras e precisamos de novos pontos de tomada. Solicito que seja verificado a possibilidade deste serviço.</v>
          </cell>
          <cell r="D1297" t="str">
            <v>ELETRICA</v>
          </cell>
          <cell r="F1297" t="e">
            <v>#REF!</v>
          </cell>
          <cell r="G1297" t="str">
            <v>LEANDRO</v>
          </cell>
          <cell r="K1297" t="str">
            <v>EXECUTADO - APROVAR OS</v>
          </cell>
        </row>
        <row r="1298">
          <cell r="A1298" t="str">
            <v>0926-014249</v>
          </cell>
          <cell r="B1298" t="str">
            <v>DP CABO FRIO 2</v>
          </cell>
          <cell r="C1298" t="str">
            <v>Movimentação do mobiliário para melhorar o fluxo da farmácia popular.</v>
          </cell>
          <cell r="D1298" t="str">
            <v>CIVIL</v>
          </cell>
          <cell r="F1298" t="e">
            <v>#REF!</v>
          </cell>
          <cell r="G1298" t="str">
            <v>LEANDRO</v>
          </cell>
          <cell r="K1298" t="str">
            <v>EXECUTADO - APROVAR OS</v>
          </cell>
        </row>
        <row r="1299">
          <cell r="A1299" t="str">
            <v>0826-007682</v>
          </cell>
          <cell r="B1299" t="str">
            <v>DP CABO FRIO 4</v>
          </cell>
          <cell r="C1299" t="str">
            <v>Boa noite
 Solicito um novo ponto de tomada para geladeira extra</v>
          </cell>
          <cell r="D1299" t="str">
            <v>ELETRICA</v>
          </cell>
          <cell r="F1299" t="e">
            <v>#REF!</v>
          </cell>
          <cell r="G1299" t="str">
            <v>LEANDRO</v>
          </cell>
          <cell r="K1299" t="str">
            <v>EXECUTADO - APROVAR OS</v>
          </cell>
        </row>
        <row r="1300">
          <cell r="A1300" t="str">
            <v>0826-005626</v>
          </cell>
          <cell r="B1300" t="str">
            <v>DP CABO FRIO 5</v>
          </cell>
          <cell r="C1300" t="str">
            <v>instalação de um novo ponto de tomada 110v para nova geladeira na sala da gerencia.</v>
          </cell>
          <cell r="D1300" t="str">
            <v>ELETRICA</v>
          </cell>
          <cell r="F1300" t="e">
            <v>#REF!</v>
          </cell>
          <cell r="G1300" t="str">
            <v>LEANDRO</v>
          </cell>
          <cell r="K1300" t="str">
            <v>EXECUTADO - APROVAR OS</v>
          </cell>
        </row>
        <row r="1301">
          <cell r="A1301" t="str">
            <v>0726-018242</v>
          </cell>
          <cell r="B1301" t="str">
            <v>DP CAMPOS 3</v>
          </cell>
          <cell r="C1301" t="str">
            <v>Boa tarde. Chegou nova geladeira na loja e precisa de um novo ponto de tomada. Mas porém . Com 110v... O que a geladeira suporta. 
 Eneyda Malagris 
 Gerente de loja.</v>
          </cell>
          <cell r="D1301" t="str">
            <v>ELETRICA</v>
          </cell>
          <cell r="F1301" t="e">
            <v>#REF!</v>
          </cell>
          <cell r="G1301" t="str">
            <v>LEANDRO</v>
          </cell>
          <cell r="K1301" t="str">
            <v>EXECUTADO - APROVAR OS</v>
          </cell>
        </row>
        <row r="1302">
          <cell r="A1302" t="str">
            <v>0826-012111</v>
          </cell>
          <cell r="B1302" t="str">
            <v>DP CATETE 2</v>
          </cell>
          <cell r="C1302" t="str">
            <v>solicito instalação de tomada da geladeira do estoque .</v>
          </cell>
          <cell r="D1302" t="str">
            <v>ELETRICA</v>
          </cell>
          <cell r="F1302" t="e">
            <v>#REF!</v>
          </cell>
          <cell r="G1302" t="str">
            <v>LEANDRO</v>
          </cell>
          <cell r="K1302" t="str">
            <v>EXECUTADO - APROVAR OS</v>
          </cell>
        </row>
        <row r="1303">
          <cell r="A1303" t="str">
            <v>0726-018751</v>
          </cell>
          <cell r="B1303" t="str">
            <v>DP LARGO DA BATALHA</v>
          </cell>
          <cell r="C1303" t="str">
            <v>Solicito por favor reparo com forro ou drywall nessa parte da gerência pois está soltando essa madeira devido a uma forte chuva que teve.</v>
          </cell>
          <cell r="D1303" t="str">
            <v>CIVIL</v>
          </cell>
          <cell r="F1303" t="e">
            <v>#REF!</v>
          </cell>
          <cell r="G1303" t="str">
            <v>AMANDA</v>
          </cell>
          <cell r="K1303" t="str">
            <v>PENDENTE FATURAMENTO</v>
          </cell>
        </row>
        <row r="1304">
          <cell r="A1304" t="str">
            <v>0826-011701</v>
          </cell>
          <cell r="B1304" t="str">
            <v>DP COPACABANA 12</v>
          </cell>
          <cell r="C1304" t="str">
            <v>Boa tarde!
 Solicito instalação de um novo ponto de tomada no estoque, para a colocação da geladeira de medicamentos.</v>
          </cell>
          <cell r="D1304" t="str">
            <v>ELETRICA</v>
          </cell>
          <cell r="F1304" t="e">
            <v>#REF!</v>
          </cell>
          <cell r="G1304" t="str">
            <v>LEANDRO</v>
          </cell>
          <cell r="K1304" t="str">
            <v>EXECUTADO - APROVAR OS</v>
          </cell>
        </row>
        <row r="1305">
          <cell r="A1305" t="str">
            <v>0726-018314</v>
          </cell>
          <cell r="B1305" t="str">
            <v>DP COPACABANA 13</v>
          </cell>
          <cell r="C1305" t="str">
            <v>Solicito instalação de novo ponto de tomada para geladeira nova 110v.</v>
          </cell>
          <cell r="D1305" t="str">
            <v>ELETRICA</v>
          </cell>
          <cell r="F1305" t="e">
            <v>#REF!</v>
          </cell>
          <cell r="G1305" t="str">
            <v>LEANDRO</v>
          </cell>
          <cell r="K1305" t="str">
            <v>EXECUTADO - APROVAR OS</v>
          </cell>
        </row>
        <row r="1306">
          <cell r="A1306" t="str">
            <v>0926-011302</v>
          </cell>
          <cell r="B1306" t="str">
            <v>DP COPACABANA 13</v>
          </cell>
          <cell r="C1306" t="str">
            <v>Boa tarde, solicito a troca de tensão da tomada da copa, devido ao recebimento de um novo microondas.
 Atual:220v
 Requerida:110v</v>
          </cell>
          <cell r="D1306" t="str">
            <v>ELETRICA</v>
          </cell>
          <cell r="F1306" t="e">
            <v>#REF!</v>
          </cell>
          <cell r="G1306" t="str">
            <v>LEANDRO</v>
          </cell>
          <cell r="K1306" t="str">
            <v>EXECUTADO - APROVAR OS</v>
          </cell>
        </row>
        <row r="1307">
          <cell r="A1307" t="str">
            <v>0626-014867</v>
          </cell>
          <cell r="B1307" t="str">
            <v>DP COPACABANA 8</v>
          </cell>
          <cell r="C1307" t="str">
            <v>Boa tarde!
 Solicito, por gentileza, a instalação de um ponto de tomada para a geladeira.
 Desde já, agradeço pela atenção e fico no aguardo.</v>
          </cell>
          <cell r="D1307" t="str">
            <v>ELETRICA</v>
          </cell>
          <cell r="F1307" t="e">
            <v>#REF!</v>
          </cell>
          <cell r="G1307" t="str">
            <v>LEANDRO</v>
          </cell>
          <cell r="K1307" t="str">
            <v>EXECUTADO - APROVAR OS</v>
          </cell>
        </row>
        <row r="1308">
          <cell r="A1308" t="str">
            <v>0626-011696</v>
          </cell>
          <cell r="B1308" t="str">
            <v>DP COPACABANA 12</v>
          </cell>
          <cell r="C1308" t="str">
            <v>Olá, bom dia!
 Solicito apoio na dedetização na retaguarda da loja, atrás do estoque principal vários ratos.
 Os ratos vem de onde fica a caixa d'água.</v>
          </cell>
          <cell r="D1308" t="str">
            <v>DEDETIZAÇÃO</v>
          </cell>
          <cell r="F1308" t="e">
            <v>#REF!</v>
          </cell>
          <cell r="G1308" t="str">
            <v>LEANDRO</v>
          </cell>
          <cell r="K1308" t="str">
            <v>FECHAR OS</v>
          </cell>
        </row>
        <row r="1309">
          <cell r="A1309" t="str">
            <v>0826-008471</v>
          </cell>
          <cell r="B1309" t="str">
            <v>DP CURICICA</v>
          </cell>
          <cell r="C1309" t="str">
            <v>boa noite chave quebrou dentro do tambor e não consigo fecha a loja</v>
          </cell>
          <cell r="D1309" t="str">
            <v>SERRALHERIA</v>
          </cell>
          <cell r="F1309">
            <v>653.79999999999995</v>
          </cell>
          <cell r="G1309" t="str">
            <v>JUAN</v>
          </cell>
          <cell r="K1309" t="str">
            <v>EXECUTADO - APROVAR OS</v>
          </cell>
        </row>
        <row r="1310">
          <cell r="A1310" t="str">
            <v>0826-013245</v>
          </cell>
          <cell r="B1310" t="str">
            <v>DP FONSECA</v>
          </cell>
          <cell r="C1310" t="str">
            <v>Solicito novo ponto de tomada para geladeira de projeto cinta.</v>
          </cell>
          <cell r="D1310" t="str">
            <v>ELETRICA</v>
          </cell>
          <cell r="F1310" t="e">
            <v>#REF!</v>
          </cell>
          <cell r="G1310" t="str">
            <v>AMANDA</v>
          </cell>
          <cell r="K1310" t="str">
            <v>EXECUTADO - APROVAR OS</v>
          </cell>
        </row>
        <row r="1311">
          <cell r="A1311" t="str">
            <v>0726-018452</v>
          </cell>
          <cell r="B1311" t="str">
            <v>DP ICARAI 11</v>
          </cell>
          <cell r="C1311" t="str">
            <v>Solicito instalação de tomada 110v para nova geladeira de termolabel</v>
          </cell>
          <cell r="D1311" t="str">
            <v>ELETRICA</v>
          </cell>
          <cell r="F1311" t="e">
            <v>#REF!</v>
          </cell>
          <cell r="G1311" t="str">
            <v>AMANDA</v>
          </cell>
          <cell r="K1311" t="str">
            <v>EXECUTADO - APROVAR OS</v>
          </cell>
        </row>
        <row r="1312">
          <cell r="A1312" t="str">
            <v>0726-018624</v>
          </cell>
          <cell r="B1312" t="str">
            <v>DP ICARAI 13</v>
          </cell>
          <cell r="C1312" t="str">
            <v>Instalação de um novo ponto de tomada 110v para geladeira de medicamentos</v>
          </cell>
          <cell r="D1312" t="str">
            <v>ELETRICA</v>
          </cell>
          <cell r="F1312" t="e">
            <v>#REF!</v>
          </cell>
          <cell r="G1312" t="str">
            <v>AMANDA</v>
          </cell>
          <cell r="K1312" t="str">
            <v>EXECUTADO - APROVAR OS</v>
          </cell>
        </row>
        <row r="1313">
          <cell r="A1313" t="str">
            <v>0726-019101</v>
          </cell>
          <cell r="B1313" t="str">
            <v>DP RECREIO 7</v>
          </cell>
          <cell r="C1313" t="str">
            <v>Placa do estacionamento caiu com as últimas ventanias que atingiram a região, solicito fixação.</v>
          </cell>
          <cell r="D1313" t="str">
            <v>CIVIL</v>
          </cell>
          <cell r="F1313" t="e">
            <v>#REF!</v>
          </cell>
          <cell r="G1313" t="str">
            <v>JUAN</v>
          </cell>
          <cell r="K1313" t="str">
            <v>FATURADO</v>
          </cell>
        </row>
        <row r="1314">
          <cell r="A1314" t="str">
            <v>0726-019109</v>
          </cell>
          <cell r="B1314" t="str">
            <v>DP RECREIO 4</v>
          </cell>
          <cell r="C1314" t="str">
            <v>estamos sem agua na loja</v>
          </cell>
          <cell r="D1314" t="str">
            <v>HIDRAULICA</v>
          </cell>
          <cell r="F1314" t="e">
            <v>#REF!</v>
          </cell>
          <cell r="G1314" t="str">
            <v>JUAN</v>
          </cell>
          <cell r="K1314" t="str">
            <v>FATURADO</v>
          </cell>
        </row>
        <row r="1315">
          <cell r="A1315" t="str">
            <v>0726-018126</v>
          </cell>
          <cell r="B1315" t="str">
            <v>DP ICARAI 2</v>
          </cell>
          <cell r="C1315" t="str">
            <v>Boa tarde!
 Solicitamos um ponto de tomada de 220v na proximo ao estoque para a colocação de uma geladeria vinda pela matriz!</v>
          </cell>
          <cell r="D1315" t="str">
            <v>ELETRICA</v>
          </cell>
          <cell r="F1315" t="e">
            <v>#REF!</v>
          </cell>
          <cell r="G1315" t="str">
            <v>AMANDA</v>
          </cell>
          <cell r="K1315" t="str">
            <v>EXECUTADO - APROVAR OS</v>
          </cell>
        </row>
        <row r="1316">
          <cell r="A1316" t="str">
            <v>0826-008756</v>
          </cell>
          <cell r="B1316" t="str">
            <v>DP ICARAI 3</v>
          </cell>
          <cell r="C1316" t="str">
            <v>Boa tarde !
 solicito a troca da tomada da gerencia para instala a geladeira de insulinas</v>
          </cell>
          <cell r="D1316" t="str">
            <v>ELETRICA</v>
          </cell>
          <cell r="F1316" t="e">
            <v>#REF!</v>
          </cell>
          <cell r="G1316" t="str">
            <v>AMANDA</v>
          </cell>
          <cell r="K1316" t="str">
            <v>EXECUTADO - APROVAR OS</v>
          </cell>
        </row>
        <row r="1317">
          <cell r="A1317" t="str">
            <v>0726-019005</v>
          </cell>
          <cell r="B1317" t="str">
            <v>DP ICARAI 4</v>
          </cell>
          <cell r="C1317" t="str">
            <v>instalação de ponto de tomada no estoque para a nova geladeira</v>
          </cell>
          <cell r="D1317" t="str">
            <v>ELETRICA</v>
          </cell>
          <cell r="F1317" t="e">
            <v>#REF!</v>
          </cell>
          <cell r="G1317" t="str">
            <v>AMANDA</v>
          </cell>
          <cell r="K1317" t="str">
            <v>EXECUTADO - APROVAR OS</v>
          </cell>
        </row>
        <row r="1318">
          <cell r="A1318" t="str">
            <v>0926-010498</v>
          </cell>
          <cell r="B1318" t="str">
            <v>DP COPACABANA 12</v>
          </cell>
          <cell r="C1318" t="str">
            <v>Reparo da Calha telhado retaguarda.</v>
          </cell>
          <cell r="D1318" t="str">
            <v>TELHADO</v>
          </cell>
          <cell r="F1318" t="e">
            <v>#REF!</v>
          </cell>
          <cell r="G1318" t="str">
            <v>LEANDRO</v>
          </cell>
          <cell r="K1318" t="str">
            <v>FECHAR OS</v>
          </cell>
        </row>
        <row r="1319">
          <cell r="A1319" t="str">
            <v>0726-017552</v>
          </cell>
          <cell r="B1319" t="str">
            <v>DP ICARAI 5</v>
          </cell>
          <cell r="C1319" t="str">
            <v>Olá, recebemos geladeira nova e a pedido do ggl gostaria de suporte para colocar a geladeira antiga no estoque no qual fica no andar de cima</v>
          </cell>
          <cell r="D1319" t="str">
            <v>EQUIPAMENTO</v>
          </cell>
          <cell r="F1319" t="e">
            <v>#REF!</v>
          </cell>
          <cell r="G1319" t="str">
            <v>AMANDA</v>
          </cell>
          <cell r="K1319" t="str">
            <v>EXECUTADO - APROVAR OS</v>
          </cell>
        </row>
        <row r="1320">
          <cell r="A1320" t="str">
            <v>0826-004406</v>
          </cell>
          <cell r="B1320" t="str">
            <v>DP LEBLON 4</v>
          </cell>
          <cell r="C1320" t="str">
            <v>Adequação de área da bomba de esgoto.</v>
          </cell>
          <cell r="D1320" t="str">
            <v>CIVIL</v>
          </cell>
          <cell r="F1320" t="e">
            <v>#REF!</v>
          </cell>
          <cell r="G1320" t="str">
            <v>LEANDRO</v>
          </cell>
          <cell r="K1320" t="str">
            <v>FATURADO</v>
          </cell>
        </row>
        <row r="1321">
          <cell r="A1321" t="str">
            <v>0826-004733</v>
          </cell>
          <cell r="B1321" t="str">
            <v>DP CATETE 2</v>
          </cell>
          <cell r="C1321" t="str">
            <v>Solicito a pintura das fachadas laterais, o reparo das escadas e a pintura do piso.</v>
          </cell>
          <cell r="D1321" t="str">
            <v>CIVIL</v>
          </cell>
          <cell r="F1321" t="e">
            <v>#REF!</v>
          </cell>
          <cell r="G1321" t="str">
            <v>LEANDRO</v>
          </cell>
          <cell r="K1321" t="str">
            <v>PENDENTE FATURAMENTO</v>
          </cell>
        </row>
        <row r="1322">
          <cell r="A1322" t="str">
            <v>0826-006580</v>
          </cell>
          <cell r="B1322" t="str">
            <v>DP ICARAI 5</v>
          </cell>
          <cell r="C1322" t="str">
            <v>Boa noite , solicito instalação de tomadas de 220 para o estoque , para a geladeira , sendo que também já foi aberto um chamado anterior mente para que depois da instalação subir com a geladeira para o estoque.. Chamado anterior 017552</v>
          </cell>
          <cell r="D1322" t="str">
            <v>ELETRICA</v>
          </cell>
          <cell r="F1322" t="e">
            <v>#REF!</v>
          </cell>
          <cell r="G1322" t="str">
            <v>AMANDA</v>
          </cell>
          <cell r="K1322" t="str">
            <v>EXECUTADO - APROVAR OS</v>
          </cell>
        </row>
        <row r="1323">
          <cell r="A1323" t="str">
            <v>0726-018663</v>
          </cell>
          <cell r="B1323" t="str">
            <v>DP IGUABA</v>
          </cell>
          <cell r="C1323" t="str">
            <v>Instalação de nova tomada 110,para nova geladeira.</v>
          </cell>
          <cell r="D1323" t="str">
            <v>ELETRICA</v>
          </cell>
          <cell r="F1323" t="e">
            <v>#REF!</v>
          </cell>
          <cell r="G1323" t="str">
            <v>LEANDRO</v>
          </cell>
          <cell r="K1323" t="str">
            <v>EXECUTADO - APROVAR OS</v>
          </cell>
        </row>
        <row r="1324">
          <cell r="A1324" t="str">
            <v>0726-017822</v>
          </cell>
          <cell r="B1324" t="str">
            <v>DP INGA 1</v>
          </cell>
          <cell r="C1324" t="str">
            <v>Boa noite!
 Recebi uma nova geladeira com voltagem de 127v solicito instalação de um novo ponto de tomada no balcão de medicamentos próximo a entrada da sala de pscicotrópicos</v>
          </cell>
          <cell r="D1324" t="str">
            <v>ELETRICA</v>
          </cell>
          <cell r="F1324" t="e">
            <v>#REF!</v>
          </cell>
          <cell r="G1324" t="e">
            <v>#N/A</v>
          </cell>
          <cell r="K1324" t="str">
            <v>EXECUTADO - APROVAR OS</v>
          </cell>
        </row>
        <row r="1325">
          <cell r="A1325" t="str">
            <v>0726-009288</v>
          </cell>
          <cell r="B1325" t="str">
            <v>DP SHOPPING PLAZA MACAE</v>
          </cell>
          <cell r="C1325" t="str">
            <v>Bom dia!
 Solicito dedetização para a filial, pois foi identificado a presença de um rato no interior da loja. Acreditamos que o mesmo esta tendo acesso pelos dutos de ar condicionado do shopping, onde a filial reside.
 Solicitamos urgência para evitar qualquer transtorno.
 Segue anexo fotos dos locais onde acreditamos que estão tendo acesso.
 Desde já, agradeço a colaboração.
 Att; Gilmara Ferreira, ADM</v>
          </cell>
          <cell r="D1325" t="str">
            <v>DEDETIZAÇÃO</v>
          </cell>
          <cell r="F1325" t="e">
            <v>#REF!</v>
          </cell>
          <cell r="G1325" t="str">
            <v>LEANDRO</v>
          </cell>
          <cell r="K1325" t="str">
            <v>FECHAR OS</v>
          </cell>
        </row>
        <row r="1326">
          <cell r="A1326" t="str">
            <v>0826-005902</v>
          </cell>
          <cell r="B1326" t="str">
            <v>DP FLAMENGO</v>
          </cell>
          <cell r="C1326" t="str">
            <v>Solicito substituição da calha.</v>
          </cell>
          <cell r="D1326" t="str">
            <v>TELHADO</v>
          </cell>
          <cell r="F1326" t="e">
            <v>#REF!</v>
          </cell>
          <cell r="G1326" t="str">
            <v>LEANDRO</v>
          </cell>
          <cell r="K1326" t="str">
            <v>PENDENTE FATURAMENTO</v>
          </cell>
        </row>
        <row r="1327">
          <cell r="A1327" t="str">
            <v>0826-014902</v>
          </cell>
          <cell r="B1327" t="str">
            <v>DP INGA 2</v>
          </cell>
          <cell r="C1327" t="str">
            <v>Solicito instalação de tomada 110v para geladeira que ficou alocada na gerencia</v>
          </cell>
          <cell r="D1327" t="str">
            <v>ELETRICA</v>
          </cell>
          <cell r="F1327" t="e">
            <v>#REF!</v>
          </cell>
          <cell r="G1327" t="str">
            <v>AMANDA</v>
          </cell>
          <cell r="K1327" t="str">
            <v>EXECUTADO - APROVAR OS</v>
          </cell>
        </row>
        <row r="1328">
          <cell r="A1328" t="str">
            <v>0826-006388</v>
          </cell>
          <cell r="B1328" t="str">
            <v>DP LEME</v>
          </cell>
          <cell r="C1328" t="str">
            <v>Solicito bandejamento em vários pontos da área de vendas.</v>
          </cell>
          <cell r="D1328" t="str">
            <v>TELHADO</v>
          </cell>
          <cell r="F1328" t="e">
            <v>#REF!</v>
          </cell>
          <cell r="G1328" t="str">
            <v>LEANDRO</v>
          </cell>
          <cell r="K1328" t="str">
            <v>PENDENTE FATURAMENTO</v>
          </cell>
        </row>
        <row r="1329">
          <cell r="A1329" t="str">
            <v>0826-014224</v>
          </cell>
          <cell r="B1329" t="str">
            <v>DP IPANEMA 6</v>
          </cell>
          <cell r="C1329" t="str">
            <v>Boa Tarde!
 recebemos um geladeira nova e precisamos de um ponto novo nossas tomadas sao 110 e geladeira é 220 solicito instalação de uma nova tomada.</v>
          </cell>
          <cell r="D1329" t="str">
            <v>ELETRICA</v>
          </cell>
          <cell r="F1329" t="e">
            <v>#REF!</v>
          </cell>
          <cell r="G1329" t="str">
            <v>LEANDRO</v>
          </cell>
          <cell r="K1329" t="str">
            <v>EXECUTADO - APROVAR OS</v>
          </cell>
        </row>
        <row r="1330">
          <cell r="A1330" t="str">
            <v>0826-008396</v>
          </cell>
          <cell r="B1330" t="str">
            <v>DP ITABORAI</v>
          </cell>
          <cell r="C1330" t="str">
            <v>Solicito instalação de um novo ponto de tomada na cozinha. Para ligar a geladeira.</v>
          </cell>
          <cell r="D1330" t="str">
            <v>ELETRICA</v>
          </cell>
          <cell r="F1330" t="e">
            <v>#REF!</v>
          </cell>
          <cell r="G1330" t="str">
            <v>AMANDA</v>
          </cell>
          <cell r="K1330" t="str">
            <v>EXECUTADO - APROVAR OS</v>
          </cell>
        </row>
        <row r="1331">
          <cell r="A1331" t="str">
            <v>0826-009582</v>
          </cell>
          <cell r="B1331" t="str">
            <v>DP ITABORAI 3</v>
          </cell>
          <cell r="C1331" t="str">
            <v>solicito a troca da tomada da geladeira por uma nova.</v>
          </cell>
          <cell r="D1331" t="str">
            <v>ELETRICA</v>
          </cell>
          <cell r="F1331" t="e">
            <v>#REF!</v>
          </cell>
          <cell r="G1331" t="str">
            <v>AMANDA</v>
          </cell>
          <cell r="K1331" t="str">
            <v>EXECUTADO - APROVAR OS</v>
          </cell>
        </row>
        <row r="1332">
          <cell r="A1332" t="str">
            <v>0726-014463</v>
          </cell>
          <cell r="B1332" t="str">
            <v>DP TRINDADE</v>
          </cell>
          <cell r="C1332" t="str">
            <v>Bom Dia!
 Tampa do estacionamento encontra-se quebrada solicito troca.</v>
          </cell>
          <cell r="D1332" t="str">
            <v>CIVIL</v>
          </cell>
          <cell r="F1332" t="e">
            <v>#REF!</v>
          </cell>
          <cell r="G1332" t="str">
            <v>AMANDA</v>
          </cell>
          <cell r="K1332" t="str">
            <v>PENDENTE FATURAMENTO</v>
          </cell>
        </row>
        <row r="1333">
          <cell r="A1333" t="str">
            <v>0826-004793</v>
          </cell>
          <cell r="B1333" t="str">
            <v>DP ITAIPU 2</v>
          </cell>
          <cell r="C1333" t="str">
            <v>Filial recebeu uma nova geladeira e necessita de uma instalação de novo ponto de tomada 110v.</v>
          </cell>
          <cell r="D1333" t="str">
            <v>ELETRICA</v>
          </cell>
          <cell r="F1333" t="e">
            <v>#REF!</v>
          </cell>
          <cell r="G1333" t="str">
            <v>AMANDA</v>
          </cell>
          <cell r="K1333" t="str">
            <v>EXECUTADO - APROVAR OS</v>
          </cell>
        </row>
        <row r="1334">
          <cell r="A1334" t="str">
            <v>0726-019011</v>
          </cell>
          <cell r="B1334" t="str">
            <v>DP SHOPPING PLAZA MACAE</v>
          </cell>
          <cell r="C1334" t="str">
            <v>Solicitação urgente de dedetização/desratização – Infestação de ratos
 Solicitamos, com urgência, a realização de serviço de dedetização/desratização na loja.
 Informamos que já foi aberta uma solicitação em 03/07 número do chamado0726-009288, porém a situação persiste e se agravou.Foram registrados incidentes de infestação de ratos, sendo que já foram capturados três roedores nas dependências da unidade. No momento, há indícios de que a infestação esteja concentrada entre o salão de vendas e a área interna da loja, representando risco à segurança sanitária, aos colaboradores, clientes e aos produtos.
 Diante da recorrência do problema, solicitamos atendimento prioritário para inspeção completa do local e execução das medidas necessárias para eliminação da infestação, bem como orientações para prevenção de novos casos.
 Aguardamos o agendamento do serviço com a maior brevidade possível.</v>
          </cell>
          <cell r="D1334" t="str">
            <v>DEDETIZAÇÃO</v>
          </cell>
          <cell r="F1334" t="e">
            <v>#REF!</v>
          </cell>
          <cell r="G1334" t="str">
            <v>LEANDRO</v>
          </cell>
          <cell r="K1334" t="str">
            <v>PENDENTE FATURAMENTO</v>
          </cell>
        </row>
        <row r="1335">
          <cell r="A1335" t="str">
            <v>0726-019313</v>
          </cell>
          <cell r="B1335" t="str">
            <v>DP RECREIO 8</v>
          </cell>
          <cell r="C1335" t="str">
            <v>Projeto GLP1 - Transferencia geladeira recreio 6 para recreio 8</v>
          </cell>
          <cell r="D1335" t="str">
            <v>TRANSPORTE</v>
          </cell>
          <cell r="F1335" t="e">
            <v>#REF!</v>
          </cell>
          <cell r="G1335" t="str">
            <v>JUAN</v>
          </cell>
          <cell r="K1335" t="str">
            <v>PENDENTE FATURAMENTO</v>
          </cell>
        </row>
        <row r="1336">
          <cell r="A1336" t="str">
            <v>0726-019044</v>
          </cell>
          <cell r="B1336" t="str">
            <v>DP ITAIPUACU</v>
          </cell>
          <cell r="C1336" t="str">
            <v>boa noite , solicito adição de tomada da Voltagem de 110v pois recebemos uma geladeira nova e precisamos ligar ela e nossas tomadas são 220v.</v>
          </cell>
          <cell r="D1336" t="str">
            <v>ELETRICA</v>
          </cell>
          <cell r="F1336" t="e">
            <v>#REF!</v>
          </cell>
          <cell r="G1336" t="str">
            <v>AMANDA</v>
          </cell>
          <cell r="K1336" t="str">
            <v>EXECUTADO - APROVAR OS</v>
          </cell>
        </row>
        <row r="1337">
          <cell r="A1337" t="str">
            <v>0826-005453</v>
          </cell>
          <cell r="B1337" t="str">
            <v>DP LUCIO COSTA</v>
          </cell>
          <cell r="C1337" t="str">
            <v>Realizar manobras hidraulicas para reestabelecer o funcionamento do sistema de agua de reuso (retirar tubo hidrometro que alimenta a cisterna de reuso e instalar valvula de retenção entre as duas caixas de agua)</v>
          </cell>
          <cell r="D1337" t="str">
            <v>HIDRAULICA</v>
          </cell>
          <cell r="F1337" t="e">
            <v>#REF!</v>
          </cell>
          <cell r="G1337" t="str">
            <v>JUAN</v>
          </cell>
          <cell r="K1337" t="str">
            <v>FECHAR OS</v>
          </cell>
        </row>
        <row r="1338">
          <cell r="A1338" t="str">
            <v>0826-005884</v>
          </cell>
          <cell r="B1338" t="str">
            <v>DP BARRA DA TIJUCA 5</v>
          </cell>
          <cell r="C1338" t="str">
            <v>Boa noite, solicito desentupimento do esgoto da loja, pois o mesmo está cheio e fica retornando pro salão de vendas, gostaria que fosse feito uma verificação mais precisa do que está acontecendo pois não faz 7 dias que foi feito esse desentupimento de água e não chuveu e já está retornando tudo de novo, mais precisamente hoje o estacionamento tá cheio de água e no paredão de shampoo a água tá retornando no salão.</v>
          </cell>
          <cell r="D1338" t="str">
            <v>HIDRAULICA</v>
          </cell>
          <cell r="F1338" t="e">
            <v>#REF!</v>
          </cell>
          <cell r="G1338" t="str">
            <v>LEANDRO</v>
          </cell>
          <cell r="K1338" t="str">
            <v>PENDENTE FATURAMENTO</v>
          </cell>
        </row>
        <row r="1339">
          <cell r="A1339" t="str">
            <v>0726-017515</v>
          </cell>
          <cell r="B1339" t="str">
            <v>DP ITANHANGA</v>
          </cell>
          <cell r="C1339" t="str">
            <v>solicito a instalaçaõ de uma nova tomada pra geladeira nova que chegou na filial</v>
          </cell>
          <cell r="D1339" t="str">
            <v>ELETRICA</v>
          </cell>
          <cell r="F1339" t="e">
            <v>#REF!</v>
          </cell>
          <cell r="G1339" t="str">
            <v>LEANDRO</v>
          </cell>
          <cell r="K1339" t="str">
            <v>EXECUTADO - APROVAR OS</v>
          </cell>
        </row>
        <row r="1340">
          <cell r="A1340" t="str">
            <v>0826-007642</v>
          </cell>
          <cell r="B1340" t="str">
            <v>DP BUZIOS 2</v>
          </cell>
          <cell r="C1340" t="str">
            <v>instalação de ponto de tomada para geladeira 110v.</v>
          </cell>
          <cell r="D1340" t="str">
            <v>ELETRICA</v>
          </cell>
          <cell r="F1340" t="e">
            <v>#REF!</v>
          </cell>
          <cell r="G1340" t="e">
            <v>#N/A</v>
          </cell>
          <cell r="K1340" t="str">
            <v>PENDENTE FATURAMENTO</v>
          </cell>
        </row>
        <row r="1341">
          <cell r="A1341" t="str">
            <v>0926-011139</v>
          </cell>
          <cell r="B1341" t="str">
            <v>DP JARDIM OCEANICO 2</v>
          </cell>
          <cell r="C1341" t="str">
            <v>Boa Tarde!
 Solicito ajuda para o teto da gerencia que tá ficando bem úmido devida a chuva e teto danificado, essa semana a filial ficou um dia sem acesso por molhar a parte que fica a internet.</v>
          </cell>
          <cell r="D1341" t="str">
            <v>CIVIL</v>
          </cell>
          <cell r="F1341" t="e">
            <v>#REF!</v>
          </cell>
          <cell r="G1341" t="str">
            <v>LEANDRO</v>
          </cell>
          <cell r="K1341" t="str">
            <v>EXECUTADO - APROVAR OS</v>
          </cell>
        </row>
        <row r="1342">
          <cell r="A1342" t="str">
            <v>0726-018125</v>
          </cell>
          <cell r="B1342" t="str">
            <v>DP LARGO DA BATALHA</v>
          </cell>
          <cell r="C1342" t="str">
            <v>Boa tarde, Solicito instalação de tomada nova para geladeira 110v, nós temos uma tomada de 220v</v>
          </cell>
          <cell r="D1342" t="str">
            <v>ELETRICA</v>
          </cell>
          <cell r="F1342" t="e">
            <v>#REF!</v>
          </cell>
          <cell r="G1342" t="str">
            <v>AMANDA</v>
          </cell>
          <cell r="K1342" t="str">
            <v>EXECUTADO - APROVAR OS</v>
          </cell>
        </row>
        <row r="1343">
          <cell r="A1343" t="str">
            <v>0826-009182</v>
          </cell>
          <cell r="B1343" t="str">
            <v>DP LEBLON 5</v>
          </cell>
          <cell r="C1343" t="str">
            <v>bom dia, solicito instalação de novo ponto de tomada na sala de vacinas para ligar a câmara de vacinas</v>
          </cell>
          <cell r="D1343" t="str">
            <v>ELETRICA</v>
          </cell>
          <cell r="F1343" t="e">
            <v>#REF!</v>
          </cell>
          <cell r="G1343" t="str">
            <v>LEANDRO</v>
          </cell>
          <cell r="K1343" t="str">
            <v>EXECUTADO - APROVAR OS</v>
          </cell>
        </row>
        <row r="1344">
          <cell r="A1344" t="str">
            <v>0826-006247</v>
          </cell>
          <cell r="B1344" t="str">
            <v>DP MANILHA</v>
          </cell>
          <cell r="C1344" t="str">
            <v>Boa Tarde!
 Solicito troca de tomada danificada e voltagem para 220</v>
          </cell>
          <cell r="D1344" t="str">
            <v>ELETRICA</v>
          </cell>
          <cell r="F1344" t="e">
            <v>#REF!</v>
          </cell>
          <cell r="G1344" t="str">
            <v>AMANDA</v>
          </cell>
          <cell r="K1344" t="str">
            <v>EXECUTADO - APROVAR OS</v>
          </cell>
        </row>
        <row r="1345">
          <cell r="A1345" t="str">
            <v>0826-013359</v>
          </cell>
          <cell r="B1345" t="str">
            <v>DP MARICA 2</v>
          </cell>
          <cell r="C1345" t="str">
            <v>Solicito novo ponto de tomada para geladeira de GLP1</v>
          </cell>
          <cell r="D1345" t="str">
            <v>ELETRICA</v>
          </cell>
          <cell r="F1345" t="e">
            <v>#REF!</v>
          </cell>
          <cell r="G1345" t="str">
            <v>LEANDRO</v>
          </cell>
          <cell r="K1345" t="str">
            <v>EXECUTADO - APROVAR OS</v>
          </cell>
        </row>
        <row r="1346">
          <cell r="A1346" t="str">
            <v>0826-007943</v>
          </cell>
          <cell r="B1346" t="str">
            <v>DP NITEROI 4</v>
          </cell>
          <cell r="C1346" t="str">
            <v>solicito tomada para ligacao da geladeira</v>
          </cell>
          <cell r="D1346" t="str">
            <v>ELETRICA</v>
          </cell>
          <cell r="F1346" t="e">
            <v>#REF!</v>
          </cell>
          <cell r="G1346" t="str">
            <v>AMANDA</v>
          </cell>
          <cell r="K1346" t="str">
            <v>EXECUTADO - APROVAR OS</v>
          </cell>
        </row>
        <row r="1347">
          <cell r="A1347" t="str">
            <v>0726-019100</v>
          </cell>
          <cell r="B1347" t="str">
            <v>DP NOVA FRIBURGO 3</v>
          </cell>
          <cell r="C1347" t="str">
            <v>solicito a trocada voltagem da tomada de 220 para 110volts para ligar a nova geladeira de controlados.</v>
          </cell>
          <cell r="D1347" t="str">
            <v>ELETRICA</v>
          </cell>
          <cell r="F1347" t="e">
            <v>#REF!</v>
          </cell>
          <cell r="G1347" t="str">
            <v>AMANDA</v>
          </cell>
          <cell r="K1347" t="str">
            <v>EXECUTADO - APROVAR OS</v>
          </cell>
        </row>
        <row r="1348">
          <cell r="A1348" t="str">
            <v>0926-008965</v>
          </cell>
          <cell r="B1348" t="str">
            <v>DP PECHINCHA</v>
          </cell>
          <cell r="C1348" t="str">
            <v>Bom dia, Solicito a instalação do ponto de tomada para a geladeira de medicamentos que fica com a cinta.</v>
          </cell>
          <cell r="D1348" t="str">
            <v>ELETRICA</v>
          </cell>
          <cell r="F1348" t="e">
            <v>#REF!</v>
          </cell>
          <cell r="G1348" t="e">
            <v>#N/A</v>
          </cell>
          <cell r="K1348" t="str">
            <v>EXECUTADO - APROVAR OS</v>
          </cell>
        </row>
        <row r="1349">
          <cell r="A1349" t="str">
            <v>0826-015118</v>
          </cell>
          <cell r="B1349" t="str">
            <v>DP PETROPOLIS 2</v>
          </cell>
          <cell r="C1349" t="str">
            <v>Boa tarde
 Gostaria de solicitar instalação de tomada 220v para colocar geladeira</v>
          </cell>
          <cell r="D1349" t="str">
            <v>ELETRICA</v>
          </cell>
          <cell r="F1349" t="e">
            <v>#REF!</v>
          </cell>
          <cell r="G1349" t="str">
            <v>AMANDA</v>
          </cell>
          <cell r="K1349" t="str">
            <v>EXECUTADO - APROVAR OS</v>
          </cell>
        </row>
        <row r="1350">
          <cell r="A1350" t="str">
            <v>0826-006948</v>
          </cell>
          <cell r="B1350" t="str">
            <v>DP PETROPOLIS 5</v>
          </cell>
          <cell r="C1350" t="str">
            <v>solicito instalação novo ponto de tomada para geladeira</v>
          </cell>
          <cell r="D1350" t="str">
            <v>ELETRICA</v>
          </cell>
          <cell r="F1350">
            <v>0</v>
          </cell>
          <cell r="G1350" t="str">
            <v>AMANDA</v>
          </cell>
          <cell r="K1350" t="str">
            <v>EXECUTADO - APROVAR OS</v>
          </cell>
        </row>
        <row r="1351">
          <cell r="A1351" t="str">
            <v>0926-013443</v>
          </cell>
          <cell r="B1351" t="str">
            <v>DP RIO DAS OSTRAS 3</v>
          </cell>
          <cell r="C1351" t="str">
            <v>Loja sem agua</v>
          </cell>
          <cell r="D1351" t="str">
            <v>HIDRAULICA</v>
          </cell>
          <cell r="F1351" t="e">
            <v>#REF!</v>
          </cell>
          <cell r="G1351" t="str">
            <v>LEANDRO</v>
          </cell>
          <cell r="K1351" t="str">
            <v>EXECUTADO - APROVAR OS</v>
          </cell>
        </row>
        <row r="1352">
          <cell r="A1352" t="str">
            <v>0826-011526</v>
          </cell>
          <cell r="B1352" t="str">
            <v>DP BARRA DA TIJUCA 5</v>
          </cell>
          <cell r="C1352" t="str">
            <v>Pintura da fachada.</v>
          </cell>
          <cell r="D1352" t="str">
            <v>CIVIL</v>
          </cell>
          <cell r="F1352" t="e">
            <v>#REF!</v>
          </cell>
          <cell r="G1352" t="str">
            <v>LEANDRO</v>
          </cell>
          <cell r="K1352" t="str">
            <v>PENDENTE FATURAMENTO</v>
          </cell>
        </row>
        <row r="1353">
          <cell r="A1353" t="str">
            <v>0726-018710</v>
          </cell>
          <cell r="B1353" t="str">
            <v>DP RIO DAS OSTRAS 4</v>
          </cell>
          <cell r="C1353" t="str">
            <v>bom dia , loja recebeu a geladeira nova na voltagens de 110 , solicito novo ponto de tomada 110.</v>
          </cell>
          <cell r="D1353" t="str">
            <v>ELETRICA</v>
          </cell>
          <cell r="F1353" t="e">
            <v>#REF!</v>
          </cell>
          <cell r="G1353" t="str">
            <v>LEANDRO</v>
          </cell>
          <cell r="K1353" t="str">
            <v>EXECUTADO - APROVAR OS</v>
          </cell>
        </row>
        <row r="1354">
          <cell r="A1354" t="str">
            <v>0726-015202</v>
          </cell>
          <cell r="B1354" t="str">
            <v>DP ROCINHA</v>
          </cell>
          <cell r="C1354" t="str">
            <v>boa noite, filial solicita com, urgência um novo ponto de tomada para instalação em estoque
 em vista que precisamos desse ponto para ligar a geladeira e abastecer os medicamentos.
 attt:</v>
          </cell>
          <cell r="D1354" t="str">
            <v>ELETRICA</v>
          </cell>
          <cell r="F1354" t="e">
            <v>#REF!</v>
          </cell>
          <cell r="G1354" t="str">
            <v>LEANDRO</v>
          </cell>
          <cell r="K1354" t="str">
            <v>EXECUTADO - APROVAR OS</v>
          </cell>
        </row>
        <row r="1355">
          <cell r="A1355" t="str">
            <v>0826-011936</v>
          </cell>
          <cell r="B1355" t="str">
            <v>DP BACAXA</v>
          </cell>
          <cell r="C1355" t="str">
            <v>bom dia solicito suporte urgente para a troca do tambor da porta de entrada, a chave quebrou dentro do tambor impossibilitando a abertura da porta</v>
          </cell>
          <cell r="D1355" t="str">
            <v>SERRALHERIA</v>
          </cell>
          <cell r="F1355" t="e">
            <v>#REF!</v>
          </cell>
          <cell r="G1355" t="str">
            <v>LEANDRO</v>
          </cell>
          <cell r="K1355" t="str">
            <v>PENDENTE FATURAMENTO</v>
          </cell>
        </row>
        <row r="1356">
          <cell r="A1356" t="str">
            <v>0726-018280</v>
          </cell>
          <cell r="B1356" t="str">
            <v>DP SANTA ROSA</v>
          </cell>
          <cell r="C1356" t="str">
            <v>solicito um ponto novo de tomada para geladeira de termolábeis, 110v</v>
          </cell>
          <cell r="D1356" t="str">
            <v>ELETRICA</v>
          </cell>
          <cell r="F1356" t="e">
            <v>#REF!</v>
          </cell>
          <cell r="G1356" t="str">
            <v>AMANDA</v>
          </cell>
          <cell r="K1356" t="str">
            <v>EXECUTADO - APROVAR OS</v>
          </cell>
        </row>
        <row r="1357">
          <cell r="A1357" t="str">
            <v>0726-016502</v>
          </cell>
          <cell r="B1357" t="str">
            <v>DP SANTA ROSA 3</v>
          </cell>
          <cell r="C1357" t="str">
            <v>Boa Tarde!
 Solicito por favor uma nova instalação de uma nova tomada na voltagem de 110v para chegada de uma geladeira para os nossos termolábeis o qual a voltagem é 110v.</v>
          </cell>
          <cell r="D1357" t="str">
            <v>ELETRICA</v>
          </cell>
          <cell r="F1357" t="e">
            <v>#REF!</v>
          </cell>
          <cell r="G1357" t="str">
            <v>AMANDA</v>
          </cell>
          <cell r="K1357" t="str">
            <v>EXECUTADO - APROVAR OS</v>
          </cell>
        </row>
        <row r="1358">
          <cell r="A1358" t="str">
            <v>0726-018401</v>
          </cell>
          <cell r="B1358" t="str">
            <v>DP SAO GONCALO 1</v>
          </cell>
          <cell r="C1358" t="str">
            <v>Boa tarde!
 Recebemos um nova geladeira de medicamentos que fica no balcão .
 Solicito um novo ponto de tomada por gentileza</v>
          </cell>
          <cell r="D1358" t="str">
            <v>ELETRICA</v>
          </cell>
          <cell r="F1358" t="e">
            <v>#REF!</v>
          </cell>
          <cell r="G1358" t="str">
            <v>AMANDA</v>
          </cell>
          <cell r="K1358" t="str">
            <v>EXECUTADO - APROVAR OS</v>
          </cell>
        </row>
        <row r="1359">
          <cell r="A1359" t="str">
            <v>0726-018305</v>
          </cell>
          <cell r="B1359" t="str">
            <v>DP SAO GONCALO 3</v>
          </cell>
          <cell r="C1359" t="str">
            <v>Boa tarde, solicito um novo ponto para instalação de tomada para geladeira nova.</v>
          </cell>
          <cell r="D1359" t="str">
            <v>ELETRICA</v>
          </cell>
          <cell r="F1359" t="e">
            <v>#REF!</v>
          </cell>
          <cell r="G1359" t="str">
            <v>AMANDA</v>
          </cell>
          <cell r="K1359" t="str">
            <v>EXECUTADO - APROVAR OS</v>
          </cell>
        </row>
        <row r="1360">
          <cell r="A1360" t="str">
            <v>0826-007499</v>
          </cell>
          <cell r="B1360" t="str">
            <v>DP SAO GONCALO 5</v>
          </cell>
          <cell r="C1360" t="str">
            <v>Boa tarde, solicito a instalação de uma nova tomada para a geladeira que chegou de termolabeis , a geladeira é 110v e a tomada 220v</v>
          </cell>
          <cell r="D1360" t="str">
            <v>ELETRICA</v>
          </cell>
          <cell r="F1360" t="e">
            <v>#REF!</v>
          </cell>
          <cell r="G1360" t="str">
            <v>AMANDA</v>
          </cell>
          <cell r="K1360" t="str">
            <v>EXECUTADO - APROVAR OS</v>
          </cell>
        </row>
        <row r="1361">
          <cell r="A1361" t="str">
            <v>0826-009369</v>
          </cell>
          <cell r="B1361" t="str">
            <v>DP SAQUAREMA ITAÚNA</v>
          </cell>
          <cell r="C1361" t="str">
            <v>Instalação de tomada para nova geladeira de medicamento voltagem 110v</v>
          </cell>
          <cell r="D1361" t="str">
            <v>ELETRICA</v>
          </cell>
          <cell r="F1361" t="e">
            <v>#REF!</v>
          </cell>
          <cell r="G1361" t="str">
            <v>LEANDRO</v>
          </cell>
          <cell r="K1361" t="str">
            <v>EXECUTADO - APROVAR OS</v>
          </cell>
        </row>
        <row r="1362">
          <cell r="A1362" t="str">
            <v>0726-017712</v>
          </cell>
          <cell r="B1362" t="str">
            <v>DP SHOPPING BARRA SHOPPING</v>
          </cell>
          <cell r="C1362" t="str">
            <v>Solicito a troca da tomada da geladeira de insulina, tomada de 220 e a geladeira é de 127</v>
          </cell>
          <cell r="D1362" t="str">
            <v>ELETRICA</v>
          </cell>
          <cell r="F1362" t="e">
            <v>#REF!</v>
          </cell>
          <cell r="G1362" t="str">
            <v>LEANDRO</v>
          </cell>
          <cell r="K1362" t="str">
            <v>EXECUTADO - APROVAR OS</v>
          </cell>
        </row>
        <row r="1363">
          <cell r="A1363" t="str">
            <v>0826-005767</v>
          </cell>
          <cell r="B1363" t="str">
            <v>DP SHOPPING DOWNTOWN</v>
          </cell>
          <cell r="C1363" t="str">
            <v>Solicito refazer um novo ponto de tomada no caixa para as duas geladeiras 220v e 1127v
 pois a que tinha não esta funcionando</v>
          </cell>
          <cell r="D1363" t="str">
            <v>ELETRICA</v>
          </cell>
          <cell r="F1363" t="e">
            <v>#REF!</v>
          </cell>
          <cell r="G1363" t="str">
            <v>LEANDRO</v>
          </cell>
          <cell r="K1363" t="str">
            <v>EXECUTADO - APROVAR OS</v>
          </cell>
        </row>
        <row r="1364">
          <cell r="A1364" t="str">
            <v>0826-007936</v>
          </cell>
          <cell r="B1364" t="str">
            <v>DP BACAXA 2</v>
          </cell>
          <cell r="C1364" t="str">
            <v>Solicito uma nova instalação de uma tomada 127 volts para a nova geladeira .</v>
          </cell>
          <cell r="D1364" t="str">
            <v>ELETRICA</v>
          </cell>
          <cell r="F1364" t="e">
            <v>#REF!</v>
          </cell>
          <cell r="G1364" t="str">
            <v>LEANDRO</v>
          </cell>
          <cell r="K1364" t="str">
            <v>PENDENTE FATURAMENTO</v>
          </cell>
        </row>
        <row r="1365">
          <cell r="A1365" t="str">
            <v>0926-010503</v>
          </cell>
          <cell r="B1365" t="str">
            <v>DP COPACABANA 12</v>
          </cell>
          <cell r="C1365" t="str">
            <v>Troca do piso da sala de arquivo e estoque de fraldas.</v>
          </cell>
          <cell r="D1365" t="str">
            <v>CIVIL</v>
          </cell>
          <cell r="F1365" t="e">
            <v>#REF!</v>
          </cell>
          <cell r="G1365" t="str">
            <v>LEANDRO</v>
          </cell>
          <cell r="K1365" t="str">
            <v>EXECUTAR</v>
          </cell>
        </row>
        <row r="1366">
          <cell r="A1366" t="str">
            <v>0926-010486</v>
          </cell>
          <cell r="B1366" t="str">
            <v>DP BOTAFOGO 10</v>
          </cell>
          <cell r="C1366" t="str">
            <v>Reparo grade de proteção da árvore.</v>
          </cell>
          <cell r="D1366" t="str">
            <v>SERRALHERIA</v>
          </cell>
          <cell r="F1366" t="e">
            <v>#REF!</v>
          </cell>
          <cell r="G1366" t="str">
            <v>LEANDRO</v>
          </cell>
          <cell r="K1366" t="str">
            <v>PENDENTE FATURAMENTO</v>
          </cell>
        </row>
        <row r="1367">
          <cell r="A1367" t="str">
            <v>0926-010500</v>
          </cell>
          <cell r="B1367" t="str">
            <v>DP COPACABANA 12</v>
          </cell>
          <cell r="C1367" t="str">
            <v>Troca da estrutura metálica do telhado.</v>
          </cell>
          <cell r="D1367" t="str">
            <v>TELHADO</v>
          </cell>
          <cell r="F1367" t="e">
            <v>#REF!</v>
          </cell>
          <cell r="G1367" t="str">
            <v>LEANDRO</v>
          </cell>
          <cell r="K1367" t="str">
            <v>FECHAR OS</v>
          </cell>
        </row>
        <row r="1368">
          <cell r="A1368" t="str">
            <v>0926-010501</v>
          </cell>
          <cell r="B1368" t="str">
            <v>DP COPACABANA 12</v>
          </cell>
          <cell r="C1368" t="str">
            <v>Pintura dos patamares das condensadoras e caixas d'água.</v>
          </cell>
          <cell r="D1368" t="str">
            <v>CIVIL</v>
          </cell>
          <cell r="F1368" t="e">
            <v>#REF!</v>
          </cell>
          <cell r="G1368" t="str">
            <v>LEANDRO</v>
          </cell>
          <cell r="K1368" t="str">
            <v>EXECUTAR - APROVAR OS</v>
          </cell>
        </row>
        <row r="1369">
          <cell r="A1369" t="str">
            <v>0926-010857</v>
          </cell>
          <cell r="B1369" t="str">
            <v>DP COPACABANA 12</v>
          </cell>
          <cell r="C1369" t="str">
            <v>Olá, bom dia!
 Solicitamos a troca dos pisos do estoque do subsolo.
 Solicitação feita por Cláudia da Lagra.</v>
          </cell>
          <cell r="D1369" t="str">
            <v>CIVIL</v>
          </cell>
          <cell r="F1369" t="e">
            <v>#REF!</v>
          </cell>
          <cell r="G1369" t="str">
            <v>LEANDRO</v>
          </cell>
          <cell r="K1369" t="str">
            <v>EXECUTAR</v>
          </cell>
        </row>
        <row r="1370">
          <cell r="A1370" t="str">
            <v>0926-010851</v>
          </cell>
          <cell r="B1370" t="str">
            <v>DP COPACABANA 12</v>
          </cell>
          <cell r="C1370" t="str">
            <v>Olá, bom dia!
 Solicitamos a revitalização das paredes da área em que fica a cisterna da filial.</v>
          </cell>
          <cell r="D1370" t="str">
            <v>CIVIL</v>
          </cell>
          <cell r="F1370" t="e">
            <v>#REF!</v>
          </cell>
          <cell r="G1370" t="str">
            <v>LEANDRO</v>
          </cell>
          <cell r="K1370" t="str">
            <v>FECHAR OS</v>
          </cell>
        </row>
        <row r="1371">
          <cell r="A1371" t="str">
            <v>0526-013724</v>
          </cell>
          <cell r="B1371" t="str">
            <v>DP NILOPOLIS 5</v>
          </cell>
          <cell r="C1371" t="str">
            <v>Caminho Cliente - Pintura fachada e benfeitorias externas</v>
          </cell>
          <cell r="D1371" t="str">
            <v>CIVIL</v>
          </cell>
          <cell r="F1371" t="e">
            <v>#REF!</v>
          </cell>
          <cell r="G1371" t="e">
            <v>#N/A</v>
          </cell>
          <cell r="K1371" t="str">
            <v>EXECUTAR</v>
          </cell>
        </row>
        <row r="1372">
          <cell r="A1372" t="str">
            <v>0926-010490</v>
          </cell>
          <cell r="B1372" t="str">
            <v>DP COPACABANA 12</v>
          </cell>
          <cell r="C1372" t="str">
            <v>Desmontagem e descarte da máquina de ar condicionado antiga.</v>
          </cell>
          <cell r="D1372" t="str">
            <v>REFRIGERAÇÃO</v>
          </cell>
          <cell r="F1372" t="e">
            <v>#REF!</v>
          </cell>
          <cell r="G1372" t="str">
            <v>LEANDRO</v>
          </cell>
          <cell r="K1372" t="str">
            <v>FECHAR OS</v>
          </cell>
        </row>
        <row r="1373">
          <cell r="A1373" t="str">
            <v>0926-010667</v>
          </cell>
          <cell r="B1373" t="str">
            <v>DP COPACABANA 13</v>
          </cell>
          <cell r="C1373" t="str">
            <v>Solicito pintura da fachada. (Caminho do cliente)</v>
          </cell>
          <cell r="D1373" t="str">
            <v>CIVIL</v>
          </cell>
          <cell r="F1373" t="e">
            <v>#REF!</v>
          </cell>
          <cell r="G1373" t="str">
            <v>LEANDRO</v>
          </cell>
          <cell r="K1373" t="str">
            <v>PENDENTE FATURAMENTO</v>
          </cell>
        </row>
        <row r="1374">
          <cell r="A1374" t="str">
            <v>0826-008257</v>
          </cell>
          <cell r="B1374" t="str">
            <v>DP PENDOTIBA</v>
          </cell>
          <cell r="C1374" t="str">
            <v>Solicito abertura da porta da loja, a fim de viabilizar a entrada da nova geladeira destinada ao armazenamento dos medicamentos GLP-1.
 O equipamento já foi recebido e, devido às suas dimensões, a abertura da porta é necessária para permitir a movimentação e instalação adequadas.
 A equipe de manutenção esteve na filial, mas passaram que era necessário a autorização do ggl para darem seguindo no atendimento. Com isso, segue me anexo a devida autorização. Obrigada!</v>
          </cell>
          <cell r="D1374" t="str">
            <v>CIVIL</v>
          </cell>
          <cell r="F1374" t="e">
            <v>#REF!</v>
          </cell>
          <cell r="G1374" t="str">
            <v>AMANDA</v>
          </cell>
          <cell r="K1374" t="str">
            <v>EXECUTAR</v>
          </cell>
        </row>
        <row r="1375">
          <cell r="A1375" t="str">
            <v>0826-008478</v>
          </cell>
          <cell r="B1375" t="str">
            <v>DP COPACABANA 12</v>
          </cell>
          <cell r="C1375" t="str">
            <v>Bom dia, solicito suporte com relação a porta de aço da filial COPA 6, a chave quebrou com o time do caminhão e eles não conseguem fechar a loja.</v>
          </cell>
          <cell r="D1375" t="str">
            <v>SERRALHERIA</v>
          </cell>
          <cell r="F1375" t="e">
            <v>#REF!</v>
          </cell>
          <cell r="G1375" t="str">
            <v>LEANDRO</v>
          </cell>
          <cell r="H1375" t="str">
            <v>e</v>
          </cell>
          <cell r="K1375" t="str">
            <v>PENDENTE FATURAMENTO</v>
          </cell>
        </row>
        <row r="1376">
          <cell r="A1376" t="str">
            <v>0726-018684</v>
          </cell>
          <cell r="B1376" t="str">
            <v>DP SHOPPING PLAZA NITEROI</v>
          </cell>
          <cell r="C1376" t="str">
            <v>Solicito uma novo ponto de tomada para geladeira nova .
 tomada 110
 tomada 220</v>
          </cell>
          <cell r="D1376" t="str">
            <v>ELETRICA</v>
          </cell>
          <cell r="F1376" t="e">
            <v>#REF!</v>
          </cell>
          <cell r="G1376" t="str">
            <v>AMANDA</v>
          </cell>
          <cell r="K1376" t="str">
            <v>EXECUTADO - APROVAR OS</v>
          </cell>
        </row>
        <row r="1377">
          <cell r="A1377" t="str">
            <v>0926-010665</v>
          </cell>
          <cell r="B1377" t="str">
            <v>DP COPACABANA 16</v>
          </cell>
          <cell r="C1377" t="str">
            <v>Solicito pintura da fachada. (Caminho do cliente)</v>
          </cell>
          <cell r="D1377" t="str">
            <v>CIVIL</v>
          </cell>
          <cell r="F1377" t="e">
            <v>#REF!</v>
          </cell>
          <cell r="G1377" t="str">
            <v>LEANDRO</v>
          </cell>
          <cell r="K1377" t="str">
            <v>FECHAR OS</v>
          </cell>
        </row>
        <row r="1378">
          <cell r="A1378" t="str">
            <v>SEM OS</v>
          </cell>
          <cell r="B1378" t="str">
            <v>DP COPACABANA 16</v>
          </cell>
          <cell r="C1378" t="str">
            <v xml:space="preserve">ISOLAMENTO DE DRENO E ABERTURA DE TAMPA DE AGUA PLUVIAS </v>
          </cell>
          <cell r="D1378" t="e">
            <v>#N/A</v>
          </cell>
          <cell r="F1378">
            <v>0</v>
          </cell>
          <cell r="G1378" t="str">
            <v>LEANDRO</v>
          </cell>
          <cell r="K1378" t="str">
            <v>EXECUTAR - APROVAR OS</v>
          </cell>
        </row>
        <row r="1379">
          <cell r="A1379" t="str">
            <v>0926-011413</v>
          </cell>
          <cell r="B1379" t="str">
            <v>DP ICARAI 4</v>
          </cell>
          <cell r="C1379" t="str">
            <v>Solicito a manutenção da porta de aço da vitrine travando ao abrir</v>
          </cell>
          <cell r="D1379" t="str">
            <v>SERRALHERIA</v>
          </cell>
          <cell r="F1379" t="e">
            <v>#REF!</v>
          </cell>
          <cell r="G1379" t="str">
            <v>AMANDA</v>
          </cell>
          <cell r="K1379" t="str">
            <v>EXECUTADO - APROVAR OS</v>
          </cell>
        </row>
        <row r="1380">
          <cell r="A1380" t="str">
            <v>0126-013538</v>
          </cell>
          <cell r="B1380" t="str">
            <v>DP ICARAI 8</v>
          </cell>
          <cell r="C1380" t="str">
            <v>Porta de aço travada correndo risco de queda.
 Mola embolada</v>
          </cell>
          <cell r="D1380" t="str">
            <v>SERRALHERIA</v>
          </cell>
          <cell r="F1380" t="e">
            <v>#REF!</v>
          </cell>
          <cell r="G1380" t="str">
            <v>AMANDA</v>
          </cell>
          <cell r="K1380" t="str">
            <v>EXECUTADO - APROVAR OS</v>
          </cell>
        </row>
        <row r="1381">
          <cell r="A1381" t="str">
            <v>0826-006878</v>
          </cell>
          <cell r="B1381" t="str">
            <v>DP TERESOPOLIS 1</v>
          </cell>
          <cell r="C1381" t="str">
            <v>bom dia, solicito instalação de um ponto de tomada 220v na area da cozinha.</v>
          </cell>
          <cell r="D1381" t="str">
            <v>ELETRICA</v>
          </cell>
          <cell r="F1381" t="e">
            <v>#REF!</v>
          </cell>
          <cell r="G1381" t="str">
            <v>AMANDA</v>
          </cell>
          <cell r="K1381" t="str">
            <v>EXECUTADO - APROVAR OS</v>
          </cell>
        </row>
        <row r="1382">
          <cell r="A1382" t="str">
            <v>0926-011149</v>
          </cell>
          <cell r="B1382" t="str">
            <v>DP CABO FRIO 5</v>
          </cell>
          <cell r="C1382" t="str">
            <v>estamos com problema da agua voltando pelo ralo dea sala de serviço.</v>
          </cell>
          <cell r="D1382" t="str">
            <v>HIDRAULICA</v>
          </cell>
          <cell r="F1382" t="e">
            <v>#REF!</v>
          </cell>
          <cell r="G1382" t="str">
            <v>LEANDRO</v>
          </cell>
          <cell r="K1382" t="str">
            <v>PENDENTE FATURAMENTO</v>
          </cell>
        </row>
        <row r="1383">
          <cell r="A1383" t="str">
            <v>0826-008068</v>
          </cell>
          <cell r="B1383" t="str">
            <v>DP PIRATININGA</v>
          </cell>
          <cell r="C1383" t="str">
            <v>Instalar tomada dentro da sala do farmacêutico. Remover provisoriamente a parte da porta para geladeira nova passar. Colocar tomada 110V.</v>
          </cell>
          <cell r="D1383" t="str">
            <v>ELETRICA</v>
          </cell>
          <cell r="F1383" t="e">
            <v>#REF!</v>
          </cell>
          <cell r="G1383" t="str">
            <v>AMANDA</v>
          </cell>
          <cell r="K1383" t="str">
            <v>EXECUTAR</v>
          </cell>
        </row>
        <row r="1384">
          <cell r="A1384" t="str">
            <v>0826-004996</v>
          </cell>
          <cell r="B1384" t="str">
            <v>DPA PETROPOLIS 6</v>
          </cell>
          <cell r="C1384" t="str">
            <v>Solicito instalação de um novo ponto de tomada com a voltagem de 110v para o uso da geladeira de 110v</v>
          </cell>
          <cell r="D1384" t="str">
            <v>ELETRICA</v>
          </cell>
          <cell r="F1384" t="e">
            <v>#REF!</v>
          </cell>
          <cell r="G1384" t="str">
            <v>AMANDA</v>
          </cell>
          <cell r="K1384" t="str">
            <v>EXECUTADO - APROVAR OS</v>
          </cell>
        </row>
        <row r="1385">
          <cell r="A1385" t="str">
            <v>0926-010637</v>
          </cell>
          <cell r="B1385" t="str">
            <v>DSP BARCAS</v>
          </cell>
          <cell r="C1385" t="str">
            <v>solicitamos que coloque uma nova tomada perto do balcao para popular</v>
          </cell>
          <cell r="D1385" t="str">
            <v>ELETRICA</v>
          </cell>
          <cell r="F1385" t="e">
            <v>#REF!</v>
          </cell>
          <cell r="G1385" t="str">
            <v>AMANDA</v>
          </cell>
          <cell r="K1385" t="str">
            <v>EXECUTADO - APROVAR OS</v>
          </cell>
        </row>
        <row r="1386">
          <cell r="A1386" t="str">
            <v>0726-018351</v>
          </cell>
          <cell r="B1386" t="str">
            <v>DSP NITEROI</v>
          </cell>
          <cell r="C1386" t="str">
            <v>Boa tarde, Chegou geladeira nova na filial para medicamentos. favor incluir uma tomada para ligar a geladeira.</v>
          </cell>
          <cell r="D1386" t="str">
            <v>ELETRICA</v>
          </cell>
          <cell r="F1386" t="e">
            <v>#REF!</v>
          </cell>
          <cell r="G1386" t="str">
            <v>AMANDA</v>
          </cell>
          <cell r="K1386" t="str">
            <v>EXECUTADO - APROVAR OS</v>
          </cell>
        </row>
        <row r="1387">
          <cell r="A1387" t="str">
            <v>0826-004017</v>
          </cell>
          <cell r="B1387" t="str">
            <v>LEBLON ATAULFO 80</v>
          </cell>
          <cell r="C1387" t="str">
            <v>Boa tarde, solicito a instalação de um novo ponto de tomada para a geladeira nova que chegou.</v>
          </cell>
          <cell r="D1387" t="str">
            <v>ELETRICA</v>
          </cell>
          <cell r="F1387" t="e">
            <v>#REF!</v>
          </cell>
          <cell r="G1387" t="e">
            <v>#N/A</v>
          </cell>
          <cell r="K1387" t="str">
            <v>EXECUTADO - APROVAR OS</v>
          </cell>
        </row>
        <row r="1388">
          <cell r="A1388" t="str">
            <v>0826-004183</v>
          </cell>
          <cell r="B1388" t="str">
            <v>DP RECREIO 1</v>
          </cell>
          <cell r="C1388" t="str">
            <v>FORRO DANIFICADO POR VENTANIA</v>
          </cell>
          <cell r="D1388" t="str">
            <v>CIVIL</v>
          </cell>
          <cell r="F1388" t="e">
            <v>#REF!</v>
          </cell>
          <cell r="G1388" t="str">
            <v>JUAN</v>
          </cell>
          <cell r="K1388" t="str">
            <v>EXECUTAR</v>
          </cell>
        </row>
        <row r="1389">
          <cell r="A1389" t="str">
            <v>0226-011821</v>
          </cell>
          <cell r="B1389" t="str">
            <v>DP RIO DAS OSTRAS 2</v>
          </cell>
          <cell r="C1389" t="str">
            <v>Estoque da loja é irregular.
 Há 2 caixa d'água que funcionam como cisterna dentro do estoque. A umidade do local é constantemente alta e as paredes do local sempre com mofo, totalmente em desacordo com as normas da ANVISA. Já solicitei anteriormente, varias vezes, a adequação desse estoque, sem resultado.
 Att, Gabriela Rios</v>
          </cell>
          <cell r="D1389" t="str">
            <v>VISA</v>
          </cell>
          <cell r="F1389" t="e">
            <v>#REF!</v>
          </cell>
          <cell r="G1389" t="str">
            <v>LEANDRO</v>
          </cell>
          <cell r="K1389" t="str">
            <v>EXECUTAR</v>
          </cell>
        </row>
        <row r="1390">
          <cell r="A1390" t="str">
            <v>1125-010536</v>
          </cell>
          <cell r="B1390" t="str">
            <v>DP BARRA DA TIJUCA 8</v>
          </cell>
          <cell r="C1390" t="str">
            <v>Forro soltando com o vento causando danos na estrutura da loja</v>
          </cell>
          <cell r="D1390" t="str">
            <v>TELHADO</v>
          </cell>
          <cell r="F1390" t="e">
            <v>#REF!</v>
          </cell>
          <cell r="G1390" t="str">
            <v>LEANDRO</v>
          </cell>
          <cell r="I1390" t="str">
            <v>MANFAC OBRAS SPOT</v>
          </cell>
          <cell r="K1390" t="str">
            <v>PENDENTE FATURAMENTO</v>
          </cell>
        </row>
        <row r="1391">
          <cell r="A1391" t="str">
            <v>1125-015968</v>
          </cell>
          <cell r="B1391" t="str">
            <v>DP CABO FRIO 2</v>
          </cell>
          <cell r="C1391" t="str">
            <v>Toldo da loja se encontra enferrujado e soltando.</v>
          </cell>
          <cell r="D1391" t="str">
            <v>CIVIL</v>
          </cell>
          <cell r="F1391" t="e">
            <v>#REF!</v>
          </cell>
          <cell r="G1391" t="str">
            <v>LEANDRO</v>
          </cell>
          <cell r="I1391" t="str">
            <v>MANFAC OBRAS SPOT</v>
          </cell>
          <cell r="K1391" t="str">
            <v>PENDENTE FATURAMENTO</v>
          </cell>
        </row>
        <row r="1392">
          <cell r="A1392" t="str">
            <v>1125-016234</v>
          </cell>
          <cell r="B1392" t="str">
            <v>DP CAMPOS 7</v>
          </cell>
          <cell r="C1392" t="str">
            <v>Escopo Base - Adequação Elétrica para Nobreak 6kva-Itens que serão alimentados pelo quadro de emergência: 100% dos computadores da loja e dispositivos de TI (impressoras, tira teima, ponto eletrônico e servidor), geladeira de medicamento, câmeras + rack/servidor de CFTV e Parte da iluminação (definir com analista a quantidade de luminárias)-Remanejamento de circuitos para quadro de emergência com chave reversora que será alimentado pelo nobreak-Instalação de quadro bypass -Instalação e Balanceamento de cargas no quadro bypass e emergência-Verificar se as geladeiras, Kibon, Redbull estão no mesmo circuito do caixa.. caso contrário, criar um circuito independente</v>
          </cell>
          <cell r="D1392" t="str">
            <v>NOBREAK</v>
          </cell>
          <cell r="F1392" t="e">
            <v>#REF!</v>
          </cell>
          <cell r="G1392" t="str">
            <v>LEANDRO</v>
          </cell>
          <cell r="I1392" t="str">
            <v>MANFAC OBRAS REFORMAS</v>
          </cell>
          <cell r="K1392" t="str">
            <v>PENDENTE FATURAMENTO</v>
          </cell>
        </row>
        <row r="1393">
          <cell r="A1393" t="str">
            <v>1125-016236</v>
          </cell>
          <cell r="B1393" t="str">
            <v>DP MACAE 3</v>
          </cell>
          <cell r="C1393" t="str">
            <v>Escopo Base - Adequação Elétrica para Nobreak 6kva-Itens que serão alimentados pelo quadro de emergência: 100% dos computadores da loja e dispositivos de TI (impressoras, tira teima, ponto eletrônico e servidor), geladeira de medicamento, câmeras + rack/servidor de CFTV e Parte da iluminação (definir com analista a quantidade de luminárias)-Remanejamento de circuitos para quadro de emergência com chave reversora que será alimentado pelo nobreak-Instalação de quadro bypass -Instalação e Balanceamento de cargas no quadro bypass e emergência-Verificar se as geladeiras, Kibon, Redbull estão no mesmo circuito do caixa.. caso contrário, criar um circuito independente</v>
          </cell>
          <cell r="D1393" t="str">
            <v>NOBREAK</v>
          </cell>
          <cell r="F1393" t="e">
            <v>#REF!</v>
          </cell>
          <cell r="G1393" t="str">
            <v>LEANDRO</v>
          </cell>
          <cell r="I1393" t="str">
            <v>MANFAC OBRAS REFORMAS</v>
          </cell>
          <cell r="K1393" t="str">
            <v>PENDENTE FATURAMENTO</v>
          </cell>
        </row>
        <row r="1394">
          <cell r="A1394" t="str">
            <v>0726-012200</v>
          </cell>
          <cell r="B1394" t="str">
            <v>DP RIO DAS OSTRAS 2</v>
          </cell>
          <cell r="C1394" t="str">
            <v>Após vistoria realizada no local, identificou-se a necessidade de adequações para viabilizar o acesso e a manutenção adequada das caixas d’água.
 Será necessária a abertura de uma portinhola na parede voltada para a área externa, com acesso pela lateral, a fim de proporcionar melhores condições para a execução dos serviços de limpeza.
 Adicionalmente, será necessária a instalação das tubulações de dreno para limpeza e do extravasor (ladrão) das caixas d’água, uma vez que a ausência desses dispositivos impossibilita o esgotamento adequado durante as manutenções preventivas e corretivas.
 Att: Fernanda Leocadio
 Administrativo de loja</v>
          </cell>
          <cell r="D1394" t="str">
            <v>CIVIL</v>
          </cell>
          <cell r="F1394" t="e">
            <v>#REF!</v>
          </cell>
          <cell r="G1394" t="str">
            <v>LEANDRO</v>
          </cell>
          <cell r="K1394" t="str">
            <v>EXECUTAR</v>
          </cell>
        </row>
        <row r="1395">
          <cell r="A1395" t="str">
            <v>1125-017838</v>
          </cell>
          <cell r="B1395" t="str">
            <v>DP RIO DAS OSTRAS 2</v>
          </cell>
          <cell r="C1395" t="str">
            <v>SOLICITO REPARO DESSA ESTRUTURA QUE SEPARA A CISTERNA DO ESTOQUE.
 LOCAL DE APROXIMADAMENTE 3X2METROS.
 ATT, GABRIELA.</v>
          </cell>
          <cell r="D1395" t="str">
            <v>CIVIL</v>
          </cell>
          <cell r="F1395" t="e">
            <v>#REF!</v>
          </cell>
          <cell r="G1395" t="str">
            <v>LEANDRO</v>
          </cell>
          <cell r="K1395" t="str">
            <v>EXECUTAR</v>
          </cell>
        </row>
        <row r="1396">
          <cell r="A1396" t="str">
            <v>0626-010644</v>
          </cell>
          <cell r="B1396" t="str">
            <v>DP RIO DAS OSTRAS 3</v>
          </cell>
          <cell r="C1396" t="str">
            <v>preciso de apoio referente ao bloco de cimento do estacionamento referente a contenção dos carros, preciso que seja algo mais visível e com menos riscos dos clientes caírem estamos tendo acidentes no estacionamento devido esses blocos de cimento.</v>
          </cell>
          <cell r="D1396" t="str">
            <v>CIVIL</v>
          </cell>
          <cell r="F1396" t="e">
            <v>#REF!</v>
          </cell>
          <cell r="G1396" t="str">
            <v>LEANDRO</v>
          </cell>
          <cell r="K1396" t="str">
            <v>EXECUTAR</v>
          </cell>
        </row>
        <row r="1397">
          <cell r="A1397" t="str">
            <v>0926-008714</v>
          </cell>
          <cell r="B1397" t="str">
            <v>NITEROI 15</v>
          </cell>
          <cell r="C1397" t="str">
            <v>Boa tarde, preciso fazer uma realocação de tomada do ponto eletronico. pois ela fica muito baixo e fica junto com as caixas azuis, para evitar que quebre a tomada</v>
          </cell>
          <cell r="D1397" t="str">
            <v>ELETRICA</v>
          </cell>
          <cell r="F1397" t="e">
            <v>#REF!</v>
          </cell>
          <cell r="G1397" t="e">
            <v>#N/A</v>
          </cell>
          <cell r="K1397" t="str">
            <v>EXECUTADO - APROVAR OS</v>
          </cell>
        </row>
        <row r="1398">
          <cell r="A1398" t="str">
            <v>0826-009507</v>
          </cell>
          <cell r="B1398" t="str">
            <v>DP GILKA MACHADO</v>
          </cell>
          <cell r="C1398" t="str">
            <v>Tentativa de invasão - buraco aberto na copa</v>
          </cell>
          <cell r="D1398" t="str">
            <v>CIVIL</v>
          </cell>
          <cell r="F1398" t="e">
            <v>#REF!</v>
          </cell>
          <cell r="G1398" t="str">
            <v>LEANDRO</v>
          </cell>
          <cell r="K1398" t="str">
            <v>PENDENTE FATURAMENTO</v>
          </cell>
        </row>
        <row r="1399">
          <cell r="A1399" t="str">
            <v>0526-013742</v>
          </cell>
          <cell r="B1399" t="str">
            <v>DP SANTA CRUZ 4</v>
          </cell>
          <cell r="C1399" t="str">
            <v>Caminho Cliente - Pintura Fachada e benfeitorias externas</v>
          </cell>
          <cell r="D1399" t="str">
            <v>CIVIL</v>
          </cell>
          <cell r="F1399">
            <v>32045.55</v>
          </cell>
          <cell r="G1399" t="str">
            <v>JUAN</v>
          </cell>
          <cell r="J1399" t="str">
            <v>YURI</v>
          </cell>
          <cell r="K1399" t="str">
            <v>EXECUTAR</v>
          </cell>
        </row>
        <row r="1400">
          <cell r="A1400" t="str">
            <v>0926-010478</v>
          </cell>
          <cell r="B1400" t="str">
            <v>DP BARRA DA TIJUCA 5</v>
          </cell>
          <cell r="C1400" t="str">
            <v>Solicito esgotamento da fossa filtro.</v>
          </cell>
          <cell r="D1400" t="str">
            <v>HIDRAULICA</v>
          </cell>
          <cell r="F1400" t="e">
            <v>#REF!</v>
          </cell>
          <cell r="G1400" t="str">
            <v>LEANDRO</v>
          </cell>
          <cell r="K1400" t="str">
            <v>PENDENTE FATURAMENTO</v>
          </cell>
        </row>
        <row r="1401">
          <cell r="A1401" t="str">
            <v>0926-010483</v>
          </cell>
          <cell r="B1401" t="str">
            <v>DP BOTAFOGO 10</v>
          </cell>
          <cell r="C1401" t="str">
            <v>Solicito troca das grades de escoamento da água da chuva.</v>
          </cell>
          <cell r="D1401" t="str">
            <v>SERRALHERIA</v>
          </cell>
          <cell r="F1401" t="e">
            <v>#REF!</v>
          </cell>
          <cell r="G1401" t="str">
            <v>LEANDRO</v>
          </cell>
          <cell r="K1401" t="str">
            <v>PENDENTE FATURAMENTO</v>
          </cell>
        </row>
        <row r="1402">
          <cell r="A1402" t="str">
            <v>0526-013722</v>
          </cell>
          <cell r="B1402" t="str">
            <v>DP NILOPOLIS 4</v>
          </cell>
          <cell r="C1402" t="str">
            <v>Caminho Cliente - Pintura fachada e benfeitorias externas</v>
          </cell>
          <cell r="D1402" t="str">
            <v>CIVIL</v>
          </cell>
          <cell r="F1402" t="e">
            <v>#REF!</v>
          </cell>
          <cell r="G1402" t="e">
            <v>#N/A</v>
          </cell>
          <cell r="K1402" t="str">
            <v>CANCELADO</v>
          </cell>
        </row>
        <row r="1403">
          <cell r="A1403" t="str">
            <v>0926-014270</v>
          </cell>
          <cell r="B1403" t="str">
            <v>DP SAO JOSE RJ</v>
          </cell>
          <cell r="C1403" t="str">
            <v>SOLICITO REFORÇO NA DEDETIZAÇÃO NO PERÍODO DE 1 MÊS.</v>
          </cell>
          <cell r="D1403" t="str">
            <v>DEDETIZAÇÃO</v>
          </cell>
          <cell r="F1403" t="e">
            <v>#REF!</v>
          </cell>
          <cell r="G1403" t="str">
            <v>LEANDRO</v>
          </cell>
          <cell r="K1403" t="str">
            <v>EXECUTADO - APROVAR OS</v>
          </cell>
        </row>
        <row r="1404">
          <cell r="A1404" t="str">
            <v>0926-010530</v>
          </cell>
          <cell r="B1404" t="str">
            <v>DP BARRA DA TIJUCA 4</v>
          </cell>
          <cell r="C1404" t="str">
            <v>Troca da fechadura, chave quebrada.</v>
          </cell>
          <cell r="D1404" t="str">
            <v>SERRALHERIA</v>
          </cell>
          <cell r="F1404" t="e">
            <v>#REF!</v>
          </cell>
          <cell r="G1404" t="str">
            <v>LEANDRO</v>
          </cell>
          <cell r="K1404" t="str">
            <v>FECHAR OS</v>
          </cell>
        </row>
        <row r="1405">
          <cell r="A1405" t="str">
            <v>0926-013146</v>
          </cell>
          <cell r="B1405" t="str">
            <v>DP SEROPEDICA</v>
          </cell>
          <cell r="C1405" t="str">
            <v>Atendimento notificação VISA</v>
          </cell>
          <cell r="D1405" t="str">
            <v>VISA</v>
          </cell>
          <cell r="F1405">
            <v>14425.7</v>
          </cell>
          <cell r="G1405" t="e">
            <v>#N/A</v>
          </cell>
          <cell r="K1405" t="str">
            <v>PENDENTE FATURAMENTO</v>
          </cell>
        </row>
        <row r="1406">
          <cell r="A1406" t="str">
            <v>0426-012493</v>
          </cell>
          <cell r="B1406" t="str">
            <v>DP TERESOPOLIS 2</v>
          </cell>
          <cell r="C1406" t="str">
            <v>Solicito a compra de um armario de pia tres portas, pois o da filial esta em pessimo estado e a GGL solicitou que trocasse a mesma ja aprovou a compra.segue em anexo a foto do modelo da pia e a aprovação por rmail da ggl.</v>
          </cell>
          <cell r="D1406" t="str">
            <v>CAPEX</v>
          </cell>
          <cell r="F1406" t="e">
            <v>#REF!</v>
          </cell>
          <cell r="G1406" t="str">
            <v>AMANDA</v>
          </cell>
          <cell r="K1406" t="str">
            <v>EXECUTAR</v>
          </cell>
        </row>
        <row r="1407">
          <cell r="A1407" t="str">
            <v>0926-010550</v>
          </cell>
          <cell r="B1407" t="str">
            <v>DP IPANEMA 3</v>
          </cell>
          <cell r="C1407" t="str">
            <v>TROCA FECHADURA CHAVE QUEBROU</v>
          </cell>
          <cell r="D1407" t="str">
            <v>SERRALHERIA</v>
          </cell>
          <cell r="F1407" t="e">
            <v>#REF!</v>
          </cell>
          <cell r="G1407" t="str">
            <v>LEANDRO</v>
          </cell>
          <cell r="K1407" t="str">
            <v>PENDENTE FATURAMENTO</v>
          </cell>
        </row>
        <row r="1408">
          <cell r="A1408" t="str">
            <v>0926-014901</v>
          </cell>
          <cell r="B1408" t="str">
            <v>ICARAI 8</v>
          </cell>
          <cell r="C1408" t="str">
            <v>intimação da prefeitura</v>
          </cell>
          <cell r="D1408" t="str">
            <v>CIVIL</v>
          </cell>
          <cell r="F1408" t="e">
            <v>#REF!</v>
          </cell>
          <cell r="G1408" t="str">
            <v>AMANDA</v>
          </cell>
          <cell r="K1408" t="str">
            <v>EXECUTADO - APROVAR OS</v>
          </cell>
        </row>
        <row r="1409">
          <cell r="A1409" t="str">
            <v>0926-010663</v>
          </cell>
          <cell r="B1409" t="str">
            <v>DP COPACABANA 15</v>
          </cell>
          <cell r="C1409" t="str">
            <v>Solicito pintura da fachada. (Caminho do cliente)</v>
          </cell>
          <cell r="D1409" t="str">
            <v>CIVIL</v>
          </cell>
          <cell r="F1409" t="e">
            <v>#REF!</v>
          </cell>
          <cell r="G1409" t="str">
            <v>LEANDRO</v>
          </cell>
          <cell r="K1409" t="str">
            <v>PENDENTE FATURAMENTO</v>
          </cell>
        </row>
        <row r="1410">
          <cell r="A1410" t="str">
            <v>0726-017852</v>
          </cell>
          <cell r="B1410" t="str">
            <v>DP INGA 2</v>
          </cell>
          <cell r="C1410" t="str">
            <v>Solicito instala ao de tomada 110v para ligar a nova geladeira.</v>
          </cell>
          <cell r="D1410" t="str">
            <v>ELETRICA</v>
          </cell>
          <cell r="F1410" t="e">
            <v>#REF!</v>
          </cell>
          <cell r="G1410" t="str">
            <v>AMANDA</v>
          </cell>
          <cell r="K1410" t="str">
            <v>FECHAR OS</v>
          </cell>
        </row>
        <row r="1411">
          <cell r="A1411" t="str">
            <v>0926-010003</v>
          </cell>
          <cell r="B1411" t="str">
            <v>DP CATETE 3</v>
          </cell>
          <cell r="C1411" t="str">
            <v>Bom dia prezados, informo que a chave do tambor quebrou dentro dele e não temos mais a cópia da chave. Solicito a troca do tambor.</v>
          </cell>
          <cell r="D1411" t="str">
            <v>SERRALHERIA</v>
          </cell>
          <cell r="F1411" t="e">
            <v>#REF!</v>
          </cell>
          <cell r="G1411" t="str">
            <v>LEANDRO</v>
          </cell>
          <cell r="K1411" t="str">
            <v>EXECUTADO - APROVAR OS</v>
          </cell>
        </row>
        <row r="1412">
          <cell r="A1412" t="str">
            <v>0926-009923</v>
          </cell>
          <cell r="B1412" t="str">
            <v>DP HUMAITA</v>
          </cell>
          <cell r="C1412" t="str">
            <v>SOLICITO CHAVEIRO , A CHAVE QUEBROU DENTRO DO TABOR.PORTA LATERAL</v>
          </cell>
          <cell r="D1412" t="str">
            <v>SERRALHERIA</v>
          </cell>
          <cell r="F1412" t="e">
            <v>#REF!</v>
          </cell>
          <cell r="G1412" t="str">
            <v>LEANDRO</v>
          </cell>
          <cell r="K1412" t="str">
            <v>EXECUTADO - APROVAR OS</v>
          </cell>
        </row>
        <row r="1413">
          <cell r="A1413" t="str">
            <v>0926-009636</v>
          </cell>
          <cell r="B1413" t="str">
            <v>DP ANDRADAS</v>
          </cell>
          <cell r="C1413" t="str">
            <v>Bom dia!
 A chave da porta lateral 6 quebrou. Solicito, por gentileza, ajuda para resolver essa situação, pois a loja fecha às 16h.
 Agradeço desde já pela atenção e pelo suporte.</v>
          </cell>
          <cell r="D1413" t="str">
            <v>SERRALHERIA</v>
          </cell>
          <cell r="F1413" t="e">
            <v>#REF!</v>
          </cell>
          <cell r="G1413" t="str">
            <v>LEANDRO</v>
          </cell>
          <cell r="K1413" t="str">
            <v>EXECUTADO - APROVAR OS</v>
          </cell>
        </row>
        <row r="1414">
          <cell r="A1414" t="str">
            <v>0826-004429</v>
          </cell>
          <cell r="B1414" t="str">
            <v>DPA PETROPOLIS 6</v>
          </cell>
          <cell r="C1414" t="str">
            <v>Mão de obra para pintura da fachada.</v>
          </cell>
          <cell r="D1414" t="str">
            <v>CIVIL</v>
          </cell>
          <cell r="F1414" t="e">
            <v>#REF!</v>
          </cell>
          <cell r="G1414" t="str">
            <v>AMANDA</v>
          </cell>
          <cell r="K1414" t="str">
            <v>PENDENTE FATURAMENTO</v>
          </cell>
        </row>
        <row r="1415">
          <cell r="A1415" t="str">
            <v>0626-014568</v>
          </cell>
          <cell r="B1415" t="str">
            <v>DP GILKA MACHADO</v>
          </cell>
          <cell r="C1415" t="str">
            <v>descaracterizacao de fachada - encerramento de loja</v>
          </cell>
          <cell r="D1415" t="str">
            <v>CVE</v>
          </cell>
          <cell r="F1415" t="e">
            <v>#REF!</v>
          </cell>
          <cell r="G1415" t="str">
            <v>LEANDRO</v>
          </cell>
          <cell r="K1415" t="str">
            <v>FATURADO</v>
          </cell>
        </row>
        <row r="1416">
          <cell r="A1416" t="str">
            <v>0826-007417</v>
          </cell>
          <cell r="B1416" t="str">
            <v>DP PIABETA 1</v>
          </cell>
          <cell r="C1416" t="str">
            <v>ola bom dia solicito caminhao pipa pra loja</v>
          </cell>
          <cell r="D1416" t="str">
            <v>HIDRAULICA</v>
          </cell>
          <cell r="F1416" t="e">
            <v>#REF!</v>
          </cell>
          <cell r="G1416" t="str">
            <v>AMANDA</v>
          </cell>
          <cell r="K1416" t="str">
            <v>FATURADO</v>
          </cell>
        </row>
        <row r="1417">
          <cell r="A1417" t="str">
            <v>0826-008784</v>
          </cell>
          <cell r="B1417" t="str">
            <v>DP PIABETA 1</v>
          </cell>
          <cell r="C1417" t="str">
            <v>Estamos sem água , solicito caminhão pipa.
 Estamos sem água da rua.</v>
          </cell>
          <cell r="D1417" t="str">
            <v>HIDRAULICA</v>
          </cell>
          <cell r="F1417" t="e">
            <v>#REF!</v>
          </cell>
          <cell r="G1417" t="str">
            <v>AMANDA</v>
          </cell>
          <cell r="K1417" t="str">
            <v>FATURADO</v>
          </cell>
        </row>
        <row r="1418">
          <cell r="A1418" t="str">
            <v>0726-015006</v>
          </cell>
          <cell r="B1418" t="str">
            <v>DP JARDIM BOTANICO</v>
          </cell>
          <cell r="C1418" t="str">
            <v>Solicito troca do mobiliário e pia da sala se serviços.</v>
          </cell>
          <cell r="D1418" t="str">
            <v>CIVIL</v>
          </cell>
          <cell r="F1418" t="e">
            <v>#REF!</v>
          </cell>
          <cell r="G1418" t="str">
            <v>LEANDRO</v>
          </cell>
          <cell r="K1418" t="str">
            <v>FATURADO</v>
          </cell>
        </row>
        <row r="1419">
          <cell r="A1419" t="str">
            <v>0626-008826</v>
          </cell>
          <cell r="B1419" t="str">
            <v>DP TIJUCA 8</v>
          </cell>
          <cell r="C1419" t="str">
            <v>Transferencia Tintas retiradas de itaperuna.</v>
          </cell>
          <cell r="D1419" t="str">
            <v>CAPEX</v>
          </cell>
          <cell r="F1419" t="e">
            <v>#REF!</v>
          </cell>
          <cell r="G1419" t="str">
            <v>JUAN</v>
          </cell>
          <cell r="K1419" t="str">
            <v>FATURADO</v>
          </cell>
        </row>
        <row r="1420">
          <cell r="A1420" t="str">
            <v>0826-005928</v>
          </cell>
          <cell r="B1420" t="str">
            <v>DP LEME</v>
          </cell>
          <cell r="C1420" t="str">
            <v>BOM DIA
 NECESSITO COM URGENCIA A PRESENÇA DE UM PROFISSIONAL POIS ERSTAMOS COM GOTEIRAS POR TODA PARTE COM RISCO DE QUEIMAR OS COMPUTADORES E IMPRESSORAS.
 ATT</v>
          </cell>
          <cell r="D1420" t="str">
            <v>TELHADO</v>
          </cell>
          <cell r="F1420" t="e">
            <v>#REF!</v>
          </cell>
          <cell r="G1420" t="str">
            <v>LEANDRO</v>
          </cell>
          <cell r="K1420" t="str">
            <v>FATURADO</v>
          </cell>
        </row>
        <row r="1421">
          <cell r="A1421" t="str">
            <v>0826-008617</v>
          </cell>
          <cell r="B1421" t="str">
            <v>DP RECREIO 8</v>
          </cell>
          <cell r="C1421" t="str">
            <v>Solicitou caminhão pipa por falta de água em loja.</v>
          </cell>
          <cell r="D1421" t="str">
            <v>HIDRAULICA</v>
          </cell>
          <cell r="F1421" t="e">
            <v>#REF!</v>
          </cell>
          <cell r="G1421" t="str">
            <v>JUAN</v>
          </cell>
          <cell r="K1421" t="str">
            <v>FATURADO</v>
          </cell>
        </row>
        <row r="1422">
          <cell r="A1422" t="str">
            <v>0826-006643</v>
          </cell>
          <cell r="B1422" t="str">
            <v>DP TIJUCA 8</v>
          </cell>
          <cell r="C1422" t="str">
            <v>Bom dia, fomos informado que a tampa da caixa da agua está descoberta e com foco de larvas devido ao vento/chuva de semana passada.
 Solicito urgência ao atendimento, obrigada.</v>
          </cell>
          <cell r="D1422" t="str">
            <v>DEDETIZAÇÃO</v>
          </cell>
          <cell r="F1422" t="e">
            <v>#REF!</v>
          </cell>
          <cell r="G1422" t="str">
            <v>JUAN</v>
          </cell>
          <cell r="K1422" t="str">
            <v>FATURADO</v>
          </cell>
        </row>
        <row r="1423">
          <cell r="A1423" t="str">
            <v>0726-012909</v>
          </cell>
          <cell r="B1423" t="str">
            <v>DP PEDRA DE GUARATIBA</v>
          </cell>
          <cell r="C1423" t="str">
            <v>Troca de ar condicionado transferido de gilka machado.</v>
          </cell>
          <cell r="D1423" t="str">
            <v>REFRIGERAÇÃO</v>
          </cell>
          <cell r="F1423" t="e">
            <v>#REF!</v>
          </cell>
          <cell r="G1423" t="str">
            <v>JUAN</v>
          </cell>
          <cell r="K1423" t="str">
            <v>FATURADO</v>
          </cell>
        </row>
        <row r="1424">
          <cell r="A1424" t="str">
            <v>0726-012908</v>
          </cell>
          <cell r="B1424" t="str">
            <v>DP VARGEM GRANDE</v>
          </cell>
          <cell r="C1424" t="str">
            <v>Instalação Ar Condicionado transferido de gilka machado.</v>
          </cell>
          <cell r="D1424" t="str">
            <v>REFRIGERAÇÃO</v>
          </cell>
          <cell r="F1424" t="e">
            <v>#REF!</v>
          </cell>
          <cell r="G1424" t="str">
            <v>JUAN</v>
          </cell>
          <cell r="K1424" t="str">
            <v>FATURADO</v>
          </cell>
        </row>
        <row r="1425">
          <cell r="A1425" t="str">
            <v>0826-011293</v>
          </cell>
          <cell r="B1425" t="str">
            <v>DP PADRE MIGUEL</v>
          </cell>
          <cell r="C1425" t="str">
            <v>reparo de postinho danificado por cliente. incluir placas e adesivos de sinalização</v>
          </cell>
          <cell r="D1425" t="str">
            <v>CIVIL</v>
          </cell>
          <cell r="F1425" t="e">
            <v>#REF!</v>
          </cell>
          <cell r="G1425" t="str">
            <v>JUAN</v>
          </cell>
          <cell r="K1425" t="str">
            <v>FATURADO</v>
          </cell>
        </row>
        <row r="1426">
          <cell r="A1426" t="str">
            <v>0826-011837</v>
          </cell>
          <cell r="B1426" t="str">
            <v>DP BOTAFOGO 8</v>
          </cell>
          <cell r="C1426" t="str">
            <v>Bom dia!!!
 Solicito visita da equipe de manutenção, a loja foi fechada nessa madrugada e ao tentar abrir, duas das chaves quebraram, assim, a porta da vitrine(frente) não foi aberta e a porta da entrada aberta, mas a chave quebrou.</v>
          </cell>
          <cell r="D1426" t="str">
            <v>SERRALHERIA</v>
          </cell>
          <cell r="F1426" t="e">
            <v>#REF!</v>
          </cell>
          <cell r="G1426" t="str">
            <v>LEANDRO</v>
          </cell>
          <cell r="K1426" t="str">
            <v>FATURADO</v>
          </cell>
        </row>
        <row r="1427">
          <cell r="A1427" t="str">
            <v>0726-009714</v>
          </cell>
          <cell r="B1427" t="str">
            <v>DP NITEROI 9</v>
          </cell>
          <cell r="C1427" t="str">
            <v>Solicito o concerto da fechadura da porta 8 lateraL,a chave quebrou dentro do tambor.</v>
          </cell>
          <cell r="D1427" t="str">
            <v>SERRALHERIA</v>
          </cell>
          <cell r="F1427" t="e">
            <v>#REF!</v>
          </cell>
          <cell r="G1427" t="str">
            <v>AMANDA</v>
          </cell>
          <cell r="K1427" t="str">
            <v>FECHAR OS</v>
          </cell>
        </row>
        <row r="1428">
          <cell r="A1428" t="str">
            <v>0926-015838</v>
          </cell>
          <cell r="B1428" t="str">
            <v>DP URUGUAIANA</v>
          </cell>
          <cell r="C1428" t="str">
            <v>solicito desratização na filial com urgência encontrando muitas fezes de roedor e animais presos nas caixas de passagem</v>
          </cell>
          <cell r="D1428" t="str">
            <v>DEDETIZAÇÃO</v>
          </cell>
          <cell r="F1428" t="e">
            <v>#REF!</v>
          </cell>
          <cell r="G1428" t="str">
            <v>LEANDRO</v>
          </cell>
          <cell r="K1428" t="str">
            <v>EXECUTADO - APROVAR OS</v>
          </cell>
        </row>
        <row r="1429">
          <cell r="A1429" t="str">
            <v>1026-006815</v>
          </cell>
          <cell r="B1429" t="str">
            <v>DP LEBLON 3</v>
          </cell>
          <cell r="C1429" t="str">
            <v>Solicito manutenção da porta de vitrine , não estamos conseguindo fechar a loja.</v>
          </cell>
          <cell r="D1429" t="str">
            <v>SERRALHERIA</v>
          </cell>
          <cell r="E1429" t="str">
            <v xml:space="preserve">MAU USO </v>
          </cell>
          <cell r="F1429" t="e">
            <v>#REF!</v>
          </cell>
          <cell r="G1429" t="str">
            <v>LEANDRO</v>
          </cell>
          <cell r="K1429" t="str">
            <v>EXECUTADO - APROVAR OS</v>
          </cell>
        </row>
        <row r="1430">
          <cell r="A1430" t="str">
            <v>1026-005832</v>
          </cell>
          <cell r="B1430" t="str">
            <v>DP MARICA 1</v>
          </cell>
          <cell r="C1430" t="str">
            <v>Boa noite. Filial sem água.</v>
          </cell>
          <cell r="D1430" t="str">
            <v>HIDRAULICA</v>
          </cell>
          <cell r="F1430" t="e">
            <v>#REF!</v>
          </cell>
          <cell r="G1430" t="str">
            <v>AMANDA</v>
          </cell>
          <cell r="K1430" t="str">
            <v>EXECUTADO - APROVAR OS</v>
          </cell>
        </row>
        <row r="1431">
          <cell r="A1431" t="str">
            <v>1026-005925</v>
          </cell>
          <cell r="B1431" t="str">
            <v>DSP NITEROI</v>
          </cell>
          <cell r="C1431" t="str">
            <v>Bom dia
 A chave da porta lateral do n°7 quebrou
 favor solicito a troca do tambor para a mesma
 hoje a loja só funciona até as 19:00</v>
          </cell>
          <cell r="D1431" t="str">
            <v>SERRALHERIA</v>
          </cell>
          <cell r="F1431" t="e">
            <v>#REF!</v>
          </cell>
          <cell r="G1431" t="str">
            <v>AMANDA</v>
          </cell>
          <cell r="K1431" t="str">
            <v>EXECUTADO - APROVAR OS</v>
          </cell>
        </row>
        <row r="1432">
          <cell r="B1432" t="e">
            <v>#N/A</v>
          </cell>
          <cell r="C1432" t="e">
            <v>#N/A</v>
          </cell>
          <cell r="D1432" t="e">
            <v>#N/A</v>
          </cell>
          <cell r="F1432" t="e">
            <v>#REF!</v>
          </cell>
          <cell r="G1432" t="e">
            <v>#N/A</v>
          </cell>
        </row>
        <row r="1433">
          <cell r="A1433" t="str">
            <v>0926-018955</v>
          </cell>
          <cell r="B1433" t="str">
            <v>DP ALCANTARA 3</v>
          </cell>
          <cell r="C1433" t="str">
            <v>boa noite, estamos com vaso entupido, já foi feito um pedido para este mesmo problema e foi avisado que está vazando pela parede e não foi resolvido. Está acumulando urina nos cantos dos vasos causando mal cheiro.</v>
          </cell>
          <cell r="D1433" t="str">
            <v>HIDRAULICA</v>
          </cell>
          <cell r="F1433" t="e">
            <v>#REF!</v>
          </cell>
          <cell r="G1433" t="str">
            <v>AMANDA</v>
          </cell>
          <cell r="K1433" t="str">
            <v>EXECUTADO - APROVAR OS</v>
          </cell>
        </row>
      </sheetData>
      <sheetData sheetId="5"/>
      <sheetData sheetId="6"/>
      <sheetData sheetId="7"/>
      <sheetData sheetId="8"/>
      <sheetData sheetId="9"/>
      <sheetData sheetId="1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28FE12-D9C4-4160-B407-407745209C3A}" name="Tabela1" displayName="Tabela1" ref="B2:E84" totalsRowShown="0">
  <autoFilter ref="B2:E84" xr:uid="{2828FE12-D9C4-4160-B407-407745209C3A}">
    <filterColumn colId="3">
      <filters>
        <filter val="NÃO NO HUB E NÃO NO FIELD"/>
      </filters>
    </filterColumn>
  </autoFilter>
  <tableColumns count="4">
    <tableColumn id="1" xr3:uid="{4BB45E50-E23D-4F1A-A93D-FEF39ECF6DFE}" name="Coluna1"/>
    <tableColumn id="3" xr3:uid="{76B4B6ED-71C8-4E1C-9B5E-793E440AEE19}" name="Coluna3">
      <calculatedColumnFormula>VLOOKUP(B3,'[1]PIPELINE SPOT'!$A:$K,11,0)</calculatedColumnFormula>
    </tableColumn>
    <tableColumn id="4" xr3:uid="{09615233-9F21-42AB-8DDD-8CAF05746404}" name="Coluna4"/>
    <tableColumn id="5" xr3:uid="{FD6081BF-D35B-4601-895B-82154B9E491E}" name="Coluna5"/>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F6C14-32AD-4ED1-A7E4-9509BEA58773}">
  <dimension ref="B2:E84"/>
  <sheetViews>
    <sheetView workbookViewId="0">
      <selection activeCell="B60" sqref="B60"/>
    </sheetView>
  </sheetViews>
  <sheetFormatPr defaultRowHeight="14.4" x14ac:dyDescent="0.3"/>
  <cols>
    <col min="2" max="2" width="11.6640625" bestFit="1" customWidth="1"/>
    <col min="3" max="3" width="23.5546875" bestFit="1" customWidth="1"/>
    <col min="4" max="4" width="10.109375" bestFit="1" customWidth="1"/>
    <col min="5" max="5" width="26.21875" bestFit="1" customWidth="1"/>
  </cols>
  <sheetData>
    <row r="2" spans="2:5" x14ac:dyDescent="0.3">
      <c r="B2" t="s">
        <v>0</v>
      </c>
      <c r="C2" t="s">
        <v>1</v>
      </c>
      <c r="D2" t="s">
        <v>2</v>
      </c>
      <c r="E2" t="s">
        <v>3</v>
      </c>
    </row>
    <row r="3" spans="2:5" hidden="1" x14ac:dyDescent="0.3">
      <c r="B3" t="s">
        <v>4</v>
      </c>
      <c r="C3" t="str">
        <f>VLOOKUP(B3,'[1]PIPELINE SPOT'!$A:$K,11,0)</f>
        <v>PENDENTE FATURAMENTO</v>
      </c>
      <c r="D3" t="s">
        <v>5</v>
      </c>
      <c r="E3" t="s">
        <v>6</v>
      </c>
    </row>
    <row r="4" spans="2:5" hidden="1" x14ac:dyDescent="0.3">
      <c r="B4" t="s">
        <v>7</v>
      </c>
      <c r="C4" t="str">
        <f>VLOOKUP(B4,'[1]PIPELINE SPOT'!$A:$K,11,0)</f>
        <v>PENDENTE FATURAMENTO</v>
      </c>
      <c r="D4" t="s">
        <v>5</v>
      </c>
      <c r="E4" t="s">
        <v>6</v>
      </c>
    </row>
    <row r="5" spans="2:5" hidden="1" x14ac:dyDescent="0.3">
      <c r="B5" t="s">
        <v>8</v>
      </c>
      <c r="C5" t="str">
        <f>VLOOKUP(B5,'[1]PIPELINE SPOT'!$A:$K,11,0)</f>
        <v>PENDENTE FATURAMENTO</v>
      </c>
      <c r="D5" t="s">
        <v>5</v>
      </c>
      <c r="E5" t="s">
        <v>6</v>
      </c>
    </row>
    <row r="6" spans="2:5" hidden="1" x14ac:dyDescent="0.3">
      <c r="B6" t="s">
        <v>9</v>
      </c>
      <c r="C6" t="str">
        <f>VLOOKUP(B6,'[1]PIPELINE SPOT'!$A:$K,11,0)</f>
        <v>PENDENTE FATURAMENTO</v>
      </c>
      <c r="D6" t="s">
        <v>5</v>
      </c>
      <c r="E6" t="s">
        <v>6</v>
      </c>
    </row>
    <row r="7" spans="2:5" hidden="1" x14ac:dyDescent="0.3">
      <c r="B7" t="s">
        <v>10</v>
      </c>
      <c r="C7" t="str">
        <f>VLOOKUP(B7,'[1]PIPELINE SPOT'!$A:$K,11,0)</f>
        <v>PENDENTE FATURAMENTO</v>
      </c>
      <c r="D7" t="s">
        <v>5</v>
      </c>
      <c r="E7" t="s">
        <v>6</v>
      </c>
    </row>
    <row r="8" spans="2:5" hidden="1" x14ac:dyDescent="0.3">
      <c r="B8" t="s">
        <v>11</v>
      </c>
      <c r="C8" t="str">
        <f>VLOOKUP(B8,'[1]PIPELINE SPOT'!$A:$K,11,0)</f>
        <v>PENDENTE FATURAMENTO</v>
      </c>
      <c r="D8" t="s">
        <v>5</v>
      </c>
      <c r="E8" t="s">
        <v>6</v>
      </c>
    </row>
    <row r="9" spans="2:5" hidden="1" x14ac:dyDescent="0.3">
      <c r="B9" t="s">
        <v>12</v>
      </c>
      <c r="C9" t="str">
        <f>VLOOKUP(B9,'[1]PIPELINE SPOT'!$A:$K,11,0)</f>
        <v>PENDENTE FATURAMENTO</v>
      </c>
      <c r="D9" t="s">
        <v>5</v>
      </c>
      <c r="E9" t="s">
        <v>6</v>
      </c>
    </row>
    <row r="10" spans="2:5" hidden="1" x14ac:dyDescent="0.3">
      <c r="B10" t="s">
        <v>13</v>
      </c>
      <c r="C10" t="str">
        <f>VLOOKUP(B10,'[1]PIPELINE SPOT'!$A:$K,11,0)</f>
        <v>PENDENTE FATURAMENTO</v>
      </c>
      <c r="D10" t="s">
        <v>5</v>
      </c>
      <c r="E10" t="s">
        <v>6</v>
      </c>
    </row>
    <row r="11" spans="2:5" hidden="1" x14ac:dyDescent="0.3">
      <c r="B11" t="s">
        <v>14</v>
      </c>
      <c r="C11" t="str">
        <f>VLOOKUP(B11,'[1]PIPELINE SPOT'!$A:$K,11,0)</f>
        <v>PENDENTE FATURAMENTO</v>
      </c>
      <c r="D11" t="s">
        <v>5</v>
      </c>
      <c r="E11" t="s">
        <v>6</v>
      </c>
    </row>
    <row r="12" spans="2:5" hidden="1" x14ac:dyDescent="0.3">
      <c r="B12" t="s">
        <v>15</v>
      </c>
      <c r="C12" t="str">
        <f>VLOOKUP(B12,'[1]PIPELINE SPOT'!$A:$K,11,0)</f>
        <v>PENDENTE FATURAMENTO</v>
      </c>
      <c r="D12" t="s">
        <v>5</v>
      </c>
      <c r="E12" t="s">
        <v>6</v>
      </c>
    </row>
    <row r="13" spans="2:5" hidden="1" x14ac:dyDescent="0.3">
      <c r="B13" t="s">
        <v>16</v>
      </c>
      <c r="C13" t="str">
        <f>VLOOKUP(B13,'[1]PIPELINE SPOT'!$A:$K,11,0)</f>
        <v>PENDENTE FATURAMENTO</v>
      </c>
      <c r="D13" t="s">
        <v>5</v>
      </c>
      <c r="E13" t="s">
        <v>6</v>
      </c>
    </row>
    <row r="14" spans="2:5" hidden="1" x14ac:dyDescent="0.3">
      <c r="B14" t="s">
        <v>17</v>
      </c>
      <c r="C14" t="str">
        <f>VLOOKUP(B14,'[1]PIPELINE SPOT'!$A:$K,11,0)</f>
        <v>PENDENTE FATURAMENTO</v>
      </c>
      <c r="D14" t="s">
        <v>5</v>
      </c>
      <c r="E14" t="s">
        <v>6</v>
      </c>
    </row>
    <row r="15" spans="2:5" hidden="1" x14ac:dyDescent="0.3">
      <c r="B15" t="s">
        <v>18</v>
      </c>
      <c r="C15" t="str">
        <f>VLOOKUP(B15,'[1]PIPELINE SPOT'!$A:$K,11,0)</f>
        <v>PENDENTE FATURAMENTO</v>
      </c>
      <c r="D15" t="s">
        <v>5</v>
      </c>
      <c r="E15" t="s">
        <v>6</v>
      </c>
    </row>
    <row r="16" spans="2:5" hidden="1" x14ac:dyDescent="0.3">
      <c r="B16" t="s">
        <v>19</v>
      </c>
      <c r="C16" t="str">
        <f>VLOOKUP(B16,'[1]PIPELINE SPOT'!$A:$K,11,0)</f>
        <v>PENDENTE FATURAMENTO</v>
      </c>
      <c r="D16" t="s">
        <v>5</v>
      </c>
      <c r="E16" t="s">
        <v>6</v>
      </c>
    </row>
    <row r="17" spans="2:5" hidden="1" x14ac:dyDescent="0.3">
      <c r="B17" t="s">
        <v>20</v>
      </c>
      <c r="C17" t="str">
        <f>VLOOKUP(B17,'[1]PIPELINE SPOT'!$A:$K,11,0)</f>
        <v>PENDENTE FATURAMENTO</v>
      </c>
      <c r="D17" t="s">
        <v>5</v>
      </c>
      <c r="E17" t="s">
        <v>6</v>
      </c>
    </row>
    <row r="18" spans="2:5" hidden="1" x14ac:dyDescent="0.3">
      <c r="B18" t="s">
        <v>21</v>
      </c>
      <c r="C18" t="str">
        <f>VLOOKUP(B18,'[1]PIPELINE SPOT'!$A:$K,11,0)</f>
        <v>PENDENTE FATURAMENTO</v>
      </c>
      <c r="D18" t="s">
        <v>5</v>
      </c>
      <c r="E18" t="s">
        <v>6</v>
      </c>
    </row>
    <row r="19" spans="2:5" hidden="1" x14ac:dyDescent="0.3">
      <c r="B19" t="s">
        <v>22</v>
      </c>
      <c r="C19" t="str">
        <f>VLOOKUP(B19,'[1]PIPELINE SPOT'!$A:$K,11,0)</f>
        <v>PENDENTE FATURAMENTO</v>
      </c>
      <c r="D19" t="s">
        <v>5</v>
      </c>
      <c r="E19" t="s">
        <v>6</v>
      </c>
    </row>
    <row r="20" spans="2:5" hidden="1" x14ac:dyDescent="0.3">
      <c r="B20" t="s">
        <v>23</v>
      </c>
      <c r="C20" t="str">
        <f>VLOOKUP(B20,'[1]PIPELINE SPOT'!$A:$K,11,0)</f>
        <v>PENDENTE FATURAMENTO</v>
      </c>
      <c r="D20" t="s">
        <v>5</v>
      </c>
      <c r="E20" t="s">
        <v>6</v>
      </c>
    </row>
    <row r="21" spans="2:5" hidden="1" x14ac:dyDescent="0.3">
      <c r="B21" t="s">
        <v>24</v>
      </c>
      <c r="C21" t="str">
        <f>VLOOKUP(B21,'[1]PIPELINE SPOT'!$A:$K,11,0)</f>
        <v>PENDENTE FATURAMENTO</v>
      </c>
      <c r="D21" t="s">
        <v>5</v>
      </c>
      <c r="E21" t="s">
        <v>6</v>
      </c>
    </row>
    <row r="22" spans="2:5" hidden="1" x14ac:dyDescent="0.3">
      <c r="B22" t="s">
        <v>25</v>
      </c>
      <c r="C22" t="str">
        <f>VLOOKUP(B22,'[1]PIPELINE SPOT'!$A:$K,11,0)</f>
        <v>PENDENTE FATURAMENTO</v>
      </c>
      <c r="D22" t="s">
        <v>5</v>
      </c>
      <c r="E22" t="s">
        <v>6</v>
      </c>
    </row>
    <row r="23" spans="2:5" hidden="1" x14ac:dyDescent="0.3">
      <c r="B23" t="s">
        <v>26</v>
      </c>
      <c r="C23" t="str">
        <f>VLOOKUP(B23,'[1]PIPELINE SPOT'!$A:$K,11,0)</f>
        <v>PENDENTE FATURAMENTO</v>
      </c>
      <c r="D23" t="s">
        <v>5</v>
      </c>
      <c r="E23" t="s">
        <v>6</v>
      </c>
    </row>
    <row r="24" spans="2:5" hidden="1" x14ac:dyDescent="0.3">
      <c r="B24" t="s">
        <v>27</v>
      </c>
      <c r="C24" t="str">
        <f>VLOOKUP(B24,'[1]PIPELINE SPOT'!$A:$K,11,0)</f>
        <v>PENDENTE FATURAMENTO</v>
      </c>
      <c r="D24" t="s">
        <v>5</v>
      </c>
      <c r="E24" t="s">
        <v>6</v>
      </c>
    </row>
    <row r="25" spans="2:5" hidden="1" x14ac:dyDescent="0.3">
      <c r="B25" t="s">
        <v>28</v>
      </c>
      <c r="C25" t="str">
        <f>VLOOKUP(B25,'[1]PIPELINE SPOT'!$A:$K,11,0)</f>
        <v>PENDENTE FATURAMENTO</v>
      </c>
      <c r="D25" t="s">
        <v>5</v>
      </c>
      <c r="E25" t="s">
        <v>6</v>
      </c>
    </row>
    <row r="26" spans="2:5" hidden="1" x14ac:dyDescent="0.3">
      <c r="B26" t="s">
        <v>29</v>
      </c>
      <c r="C26" t="str">
        <f>VLOOKUP(B26,'[1]PIPELINE SPOT'!$A:$K,11,0)</f>
        <v>PENDENTE FATURAMENTO</v>
      </c>
      <c r="D26" t="s">
        <v>5</v>
      </c>
      <c r="E26" t="s">
        <v>6</v>
      </c>
    </row>
    <row r="27" spans="2:5" hidden="1" x14ac:dyDescent="0.3">
      <c r="B27" t="s">
        <v>30</v>
      </c>
      <c r="C27" t="str">
        <f>VLOOKUP(B27,'[1]PIPELINE SPOT'!$A:$K,11,0)</f>
        <v>PENDENTE FATURAMENTO</v>
      </c>
      <c r="D27" t="s">
        <v>5</v>
      </c>
      <c r="E27" t="s">
        <v>6</v>
      </c>
    </row>
    <row r="28" spans="2:5" hidden="1" x14ac:dyDescent="0.3">
      <c r="B28" t="s">
        <v>31</v>
      </c>
      <c r="C28" t="str">
        <f>VLOOKUP(B28,'[1]PIPELINE SPOT'!$A:$K,11,0)</f>
        <v>PENDENTE FATURAMENTO</v>
      </c>
      <c r="D28" t="s">
        <v>5</v>
      </c>
      <c r="E28" t="s">
        <v>6</v>
      </c>
    </row>
    <row r="29" spans="2:5" hidden="1" x14ac:dyDescent="0.3">
      <c r="B29" t="s">
        <v>32</v>
      </c>
      <c r="C29" t="str">
        <f>VLOOKUP(B29,'[1]PIPELINE SPOT'!$A:$K,11,0)</f>
        <v>PENDENTE FATURAMENTO</v>
      </c>
      <c r="D29" t="s">
        <v>5</v>
      </c>
      <c r="E29" t="s">
        <v>6</v>
      </c>
    </row>
    <row r="30" spans="2:5" hidden="1" x14ac:dyDescent="0.3">
      <c r="B30" t="s">
        <v>33</v>
      </c>
      <c r="C30" t="str">
        <f>VLOOKUP(B30,'[1]PIPELINE SPOT'!$A:$K,11,0)</f>
        <v>PENDENTE FATURAMENTO</v>
      </c>
      <c r="D30" t="s">
        <v>5</v>
      </c>
      <c r="E30" t="s">
        <v>6</v>
      </c>
    </row>
    <row r="31" spans="2:5" hidden="1" x14ac:dyDescent="0.3">
      <c r="B31" t="s">
        <v>34</v>
      </c>
      <c r="C31" t="str">
        <f>VLOOKUP(B31,'[1]PIPELINE SPOT'!$A:$K,11,0)</f>
        <v>PENDENTE FATURAMENTO</v>
      </c>
      <c r="D31" t="s">
        <v>5</v>
      </c>
      <c r="E31" t="s">
        <v>6</v>
      </c>
    </row>
    <row r="32" spans="2:5" x14ac:dyDescent="0.3">
      <c r="B32" t="s">
        <v>35</v>
      </c>
      <c r="C32" t="str">
        <f>VLOOKUP(B32,'[1]PIPELINE SPOT'!$A:$K,11,0)</f>
        <v>FECHAR OS</v>
      </c>
      <c r="D32" t="s">
        <v>5</v>
      </c>
      <c r="E32" t="s">
        <v>36</v>
      </c>
    </row>
    <row r="33" spans="2:5" x14ac:dyDescent="0.3">
      <c r="B33" t="s">
        <v>37</v>
      </c>
      <c r="C33" t="str">
        <f>VLOOKUP(B33,'[1]PIPELINE SPOT'!$A:$K,11,0)</f>
        <v>FECHAR OS</v>
      </c>
      <c r="D33" t="s">
        <v>5</v>
      </c>
      <c r="E33" t="s">
        <v>36</v>
      </c>
    </row>
    <row r="34" spans="2:5" hidden="1" x14ac:dyDescent="0.3">
      <c r="B34" t="s">
        <v>38</v>
      </c>
      <c r="C34" t="str">
        <f>VLOOKUP(B34,'[1]PIPELINE SPOT'!$A:$K,11,0)</f>
        <v>PENDENTE FATURAMENTO</v>
      </c>
      <c r="D34" t="s">
        <v>5</v>
      </c>
      <c r="E34" t="s">
        <v>6</v>
      </c>
    </row>
    <row r="35" spans="2:5" hidden="1" x14ac:dyDescent="0.3">
      <c r="B35" t="s">
        <v>39</v>
      </c>
      <c r="C35" t="str">
        <f>VLOOKUP(B35,'[1]PIPELINE SPOT'!$A:$K,11,0)</f>
        <v>PENDENTE FATURAMENTO</v>
      </c>
      <c r="D35" t="s">
        <v>5</v>
      </c>
      <c r="E35" t="s">
        <v>6</v>
      </c>
    </row>
    <row r="36" spans="2:5" hidden="1" x14ac:dyDescent="0.3">
      <c r="B36" t="s">
        <v>40</v>
      </c>
      <c r="C36" t="str">
        <f>VLOOKUP(B36,'[1]PIPELINE SPOT'!$A:$K,11,0)</f>
        <v>PENDENTE FATURAMENTO</v>
      </c>
      <c r="D36" t="s">
        <v>5</v>
      </c>
      <c r="E36" t="s">
        <v>6</v>
      </c>
    </row>
    <row r="37" spans="2:5" hidden="1" x14ac:dyDescent="0.3">
      <c r="B37" t="s">
        <v>41</v>
      </c>
      <c r="C37" t="str">
        <f>VLOOKUP(B37,'[1]PIPELINE SPOT'!$A:$K,11,0)</f>
        <v>PENDENTE FATURAMENTO</v>
      </c>
      <c r="D37" t="s">
        <v>5</v>
      </c>
      <c r="E37" t="s">
        <v>6</v>
      </c>
    </row>
    <row r="38" spans="2:5" hidden="1" x14ac:dyDescent="0.3">
      <c r="B38" t="s">
        <v>42</v>
      </c>
      <c r="C38" t="str">
        <f>VLOOKUP(B38,'[1]PIPELINE SPOT'!$A:$K,11,0)</f>
        <v>PENDENTE FATURAMENTO</v>
      </c>
      <c r="D38" t="s">
        <v>5</v>
      </c>
      <c r="E38" t="s">
        <v>6</v>
      </c>
    </row>
    <row r="39" spans="2:5" hidden="1" x14ac:dyDescent="0.3">
      <c r="B39" t="s">
        <v>43</v>
      </c>
      <c r="C39" t="str">
        <f>VLOOKUP(B39,'[1]PIPELINE SPOT'!$A:$K,11,0)</f>
        <v>PENDENTE FATURAMENTO</v>
      </c>
      <c r="D39" t="s">
        <v>5</v>
      </c>
      <c r="E39" t="s">
        <v>6</v>
      </c>
    </row>
    <row r="40" spans="2:5" x14ac:dyDescent="0.3">
      <c r="B40" t="s">
        <v>44</v>
      </c>
      <c r="C40" t="str">
        <f>VLOOKUP(B40,'[1]PIPELINE SPOT'!$A:$K,11,0)</f>
        <v>EXECUTADO - APROVAR OS</v>
      </c>
      <c r="D40" t="s">
        <v>5</v>
      </c>
      <c r="E40" t="s">
        <v>36</v>
      </c>
    </row>
    <row r="41" spans="2:5" hidden="1" x14ac:dyDescent="0.3">
      <c r="B41" t="s">
        <v>45</v>
      </c>
      <c r="C41" t="str">
        <f>VLOOKUP(B41,'[1]PIPELINE SPOT'!$A:$K,11,0)</f>
        <v>PENDENTE FATURAMENTO</v>
      </c>
      <c r="D41" t="s">
        <v>5</v>
      </c>
      <c r="E41" t="s">
        <v>6</v>
      </c>
    </row>
    <row r="42" spans="2:5" x14ac:dyDescent="0.3">
      <c r="B42" t="s">
        <v>46</v>
      </c>
      <c r="C42" t="str">
        <f>VLOOKUP(B42,'[1]PIPELINE SPOT'!$A:$K,11,0)</f>
        <v>EXECUTADO - APROVAR OS</v>
      </c>
      <c r="D42" t="s">
        <v>5</v>
      </c>
      <c r="E42" t="s">
        <v>36</v>
      </c>
    </row>
    <row r="43" spans="2:5" hidden="1" x14ac:dyDescent="0.3">
      <c r="B43" t="s">
        <v>47</v>
      </c>
      <c r="C43" t="str">
        <f>VLOOKUP(B43,'[1]PIPELINE SPOT'!$A:$K,11,0)</f>
        <v>PENDENTE FATURAMENTO</v>
      </c>
      <c r="D43" t="s">
        <v>5</v>
      </c>
      <c r="E43" t="s">
        <v>6</v>
      </c>
    </row>
    <row r="44" spans="2:5" x14ac:dyDescent="0.3">
      <c r="B44" t="s">
        <v>48</v>
      </c>
      <c r="C44" t="str">
        <f>VLOOKUP(B44,'[1]PIPELINE SPOT'!$A:$K,11,0)</f>
        <v>EXECUTADO - APROVAR OS</v>
      </c>
      <c r="D44" t="s">
        <v>5</v>
      </c>
      <c r="E44" t="s">
        <v>36</v>
      </c>
    </row>
    <row r="45" spans="2:5" hidden="1" x14ac:dyDescent="0.3">
      <c r="B45" t="s">
        <v>49</v>
      </c>
      <c r="C45" t="str">
        <f>VLOOKUP(B45,'[1]PIPELINE SPOT'!$A:$K,11,0)</f>
        <v>FECHAR OS</v>
      </c>
      <c r="D45" t="s">
        <v>5</v>
      </c>
      <c r="E45" t="s">
        <v>6</v>
      </c>
    </row>
    <row r="46" spans="2:5" hidden="1" x14ac:dyDescent="0.3">
      <c r="B46" t="s">
        <v>50</v>
      </c>
      <c r="C46" t="str">
        <f>VLOOKUP(B46,'[1]PIPELINE SPOT'!$A:$K,11,0)</f>
        <v>PENDENTE FATURAMENTO</v>
      </c>
      <c r="D46" t="s">
        <v>5</v>
      </c>
      <c r="E46" t="s">
        <v>6</v>
      </c>
    </row>
    <row r="47" spans="2:5" hidden="1" x14ac:dyDescent="0.3">
      <c r="B47" t="s">
        <v>51</v>
      </c>
      <c r="C47" t="str">
        <f>VLOOKUP(B47,'[1]PIPELINE SPOT'!$A:$K,11,0)</f>
        <v>PENDENTE FATURAMENTO</v>
      </c>
      <c r="D47" t="s">
        <v>5</v>
      </c>
      <c r="E47" t="s">
        <v>6</v>
      </c>
    </row>
    <row r="48" spans="2:5" hidden="1" x14ac:dyDescent="0.3">
      <c r="B48" t="s">
        <v>52</v>
      </c>
      <c r="C48" t="str">
        <f>VLOOKUP(B48,'[1]PIPELINE SPOT'!$A:$K,11,0)</f>
        <v>FECHAR OS</v>
      </c>
      <c r="D48" t="s">
        <v>5</v>
      </c>
      <c r="E48" t="s">
        <v>6</v>
      </c>
    </row>
    <row r="49" spans="2:5" x14ac:dyDescent="0.3">
      <c r="B49" t="s">
        <v>53</v>
      </c>
      <c r="C49" t="str">
        <f>VLOOKUP(B49,'[1]PIPELINE SPOT'!$A:$K,11,0)</f>
        <v>EXECUTADO - APROVAR OS</v>
      </c>
      <c r="D49" t="s">
        <v>5</v>
      </c>
      <c r="E49" t="s">
        <v>36</v>
      </c>
    </row>
    <row r="50" spans="2:5" hidden="1" x14ac:dyDescent="0.3">
      <c r="B50" t="s">
        <v>54</v>
      </c>
      <c r="C50" t="str">
        <f>VLOOKUP(B50,'[1]PIPELINE SPOT'!$A:$K,11,0)</f>
        <v>PENDENTE FATURAMENTO</v>
      </c>
      <c r="D50" t="s">
        <v>5</v>
      </c>
      <c r="E50" t="s">
        <v>6</v>
      </c>
    </row>
    <row r="51" spans="2:5" hidden="1" x14ac:dyDescent="0.3">
      <c r="B51" t="s">
        <v>55</v>
      </c>
      <c r="C51" t="str">
        <f>VLOOKUP(B51,'[1]PIPELINE SPOT'!$A:$K,11,0)</f>
        <v>EXECUTADO - APROVAR OS</v>
      </c>
      <c r="D51" t="s">
        <v>5</v>
      </c>
      <c r="E51" t="s">
        <v>6</v>
      </c>
    </row>
    <row r="52" spans="2:5" hidden="1" x14ac:dyDescent="0.3">
      <c r="B52" t="s">
        <v>56</v>
      </c>
      <c r="C52" t="str">
        <f>VLOOKUP(B52,'[1]PIPELINE SPOT'!$A:$K,11,0)</f>
        <v>EXECUTADO - APROVAR OS</v>
      </c>
      <c r="D52" t="s">
        <v>5</v>
      </c>
      <c r="E52" t="s">
        <v>6</v>
      </c>
    </row>
    <row r="53" spans="2:5" hidden="1" x14ac:dyDescent="0.3">
      <c r="B53" t="s">
        <v>57</v>
      </c>
      <c r="C53" t="str">
        <f>VLOOKUP(B53,'[1]PIPELINE SPOT'!$A:$K,11,0)</f>
        <v>EXECUTADO - APROVAR OS</v>
      </c>
      <c r="D53" t="s">
        <v>5</v>
      </c>
      <c r="E53" t="s">
        <v>6</v>
      </c>
    </row>
    <row r="54" spans="2:5" hidden="1" x14ac:dyDescent="0.3">
      <c r="B54" t="s">
        <v>58</v>
      </c>
      <c r="C54" t="str">
        <f>VLOOKUP(B54,'[1]PIPELINE SPOT'!$A:$K,11,0)</f>
        <v>EXECUTADO - APROVAR OS</v>
      </c>
      <c r="D54" t="s">
        <v>5</v>
      </c>
      <c r="E54" t="s">
        <v>6</v>
      </c>
    </row>
    <row r="55" spans="2:5" x14ac:dyDescent="0.3">
      <c r="B55" t="s">
        <v>59</v>
      </c>
      <c r="C55" t="str">
        <f>VLOOKUP(B55,'[1]PIPELINE SPOT'!$A:$K,11,0)</f>
        <v>EXECUTADO - APROVAR OS</v>
      </c>
      <c r="D55" t="s">
        <v>5</v>
      </c>
      <c r="E55" t="s">
        <v>36</v>
      </c>
    </row>
    <row r="56" spans="2:5" hidden="1" x14ac:dyDescent="0.3">
      <c r="B56" t="s">
        <v>60</v>
      </c>
      <c r="C56" t="str">
        <f>VLOOKUP(B56,'[1]PIPELINE SPOT'!$A:$K,11,0)</f>
        <v>PENDENTE FATURAMENTO</v>
      </c>
      <c r="D56" t="s">
        <v>5</v>
      </c>
      <c r="E56" t="s">
        <v>6</v>
      </c>
    </row>
    <row r="57" spans="2:5" x14ac:dyDescent="0.3">
      <c r="B57" t="s">
        <v>61</v>
      </c>
      <c r="C57" t="str">
        <f>VLOOKUP(B57,'[1]PIPELINE SPOT'!$A:$K,11,0)</f>
        <v>EXECUTADO - APROVAR OS</v>
      </c>
      <c r="D57" t="s">
        <v>5</v>
      </c>
      <c r="E57" t="s">
        <v>36</v>
      </c>
    </row>
    <row r="58" spans="2:5" hidden="1" x14ac:dyDescent="0.3">
      <c r="B58" t="s">
        <v>62</v>
      </c>
      <c r="C58" t="str">
        <f>VLOOKUP(B58,'[1]PIPELINE SPOT'!$A:$K,11,0)</f>
        <v>PENDENTE FATURAMENTO</v>
      </c>
      <c r="D58" t="s">
        <v>5</v>
      </c>
      <c r="E58" t="s">
        <v>6</v>
      </c>
    </row>
    <row r="59" spans="2:5" hidden="1" x14ac:dyDescent="0.3">
      <c r="B59" t="s">
        <v>63</v>
      </c>
      <c r="C59" t="str">
        <f>VLOOKUP(B59,'[1]PIPELINE SPOT'!$A:$K,11,0)</f>
        <v>EXECUTAR</v>
      </c>
      <c r="D59" t="s">
        <v>5</v>
      </c>
      <c r="E59" t="s">
        <v>6</v>
      </c>
    </row>
    <row r="60" spans="2:5" x14ac:dyDescent="0.3">
      <c r="B60" t="s">
        <v>64</v>
      </c>
      <c r="C60" t="str">
        <f>VLOOKUP(B60,'[1]PIPELINE SPOT'!$A:$K,11,0)</f>
        <v>EXECUTADO - APROVAR OS</v>
      </c>
      <c r="D60" t="s">
        <v>5</v>
      </c>
      <c r="E60" t="s">
        <v>36</v>
      </c>
    </row>
    <row r="61" spans="2:5" hidden="1" x14ac:dyDescent="0.3">
      <c r="B61" t="s">
        <v>65</v>
      </c>
      <c r="C61" t="str">
        <f>VLOOKUP(B61,'[1]PIPELINE SPOT'!$A:$K,11,0)</f>
        <v>EXECUTAR - APROVAR OS</v>
      </c>
      <c r="D61" t="s">
        <v>5</v>
      </c>
      <c r="E61" t="s">
        <v>6</v>
      </c>
    </row>
    <row r="62" spans="2:5" hidden="1" x14ac:dyDescent="0.3">
      <c r="B62" t="s">
        <v>66</v>
      </c>
      <c r="C62" t="str">
        <f>VLOOKUP(B62,'[1]PIPELINE SPOT'!$A:$K,11,0)</f>
        <v>PENDENTE FATURAMENTO</v>
      </c>
      <c r="D62" t="s">
        <v>5</v>
      </c>
      <c r="E62" t="s">
        <v>6</v>
      </c>
    </row>
    <row r="63" spans="2:5" hidden="1" x14ac:dyDescent="0.3">
      <c r="B63" t="s">
        <v>67</v>
      </c>
      <c r="C63" t="str">
        <f>VLOOKUP(B63,'[1]PIPELINE SPOT'!$A:$K,11,0)</f>
        <v>PENDENTE FATURAMENTO</v>
      </c>
      <c r="D63" t="s">
        <v>5</v>
      </c>
      <c r="E63" t="s">
        <v>6</v>
      </c>
    </row>
    <row r="64" spans="2:5" hidden="1" x14ac:dyDescent="0.3">
      <c r="B64" t="s">
        <v>68</v>
      </c>
      <c r="C64" t="str">
        <f>VLOOKUP(B64,'[1]PIPELINE SPOT'!$A:$K,11,0)</f>
        <v>PENDENTE FATURAMENTO</v>
      </c>
      <c r="D64" t="s">
        <v>5</v>
      </c>
      <c r="E64" t="s">
        <v>6</v>
      </c>
    </row>
    <row r="65" spans="2:5" hidden="1" x14ac:dyDescent="0.3">
      <c r="B65" t="s">
        <v>69</v>
      </c>
      <c r="C65" t="str">
        <f>VLOOKUP(B65,'[1]PIPELINE SPOT'!$A:$K,11,0)</f>
        <v>PENDENTE FATURAMENTO</v>
      </c>
      <c r="D65" t="s">
        <v>5</v>
      </c>
      <c r="E65" t="s">
        <v>6</v>
      </c>
    </row>
    <row r="66" spans="2:5" hidden="1" x14ac:dyDescent="0.3">
      <c r="B66" t="s">
        <v>70</v>
      </c>
      <c r="C66" t="str">
        <f>VLOOKUP(B66,'[1]PIPELINE SPOT'!$A:$K,11,0)</f>
        <v>PENDENTE FATURAMENTO</v>
      </c>
      <c r="D66" t="s">
        <v>5</v>
      </c>
      <c r="E66" t="s">
        <v>6</v>
      </c>
    </row>
    <row r="67" spans="2:5" hidden="1" x14ac:dyDescent="0.3">
      <c r="B67" t="s">
        <v>71</v>
      </c>
      <c r="C67" t="str">
        <f>VLOOKUP(B67,'[1]PIPELINE SPOT'!$A:$K,11,0)</f>
        <v>PENDENTE FATURAMENTO</v>
      </c>
      <c r="D67" t="s">
        <v>5</v>
      </c>
      <c r="E67" t="s">
        <v>6</v>
      </c>
    </row>
    <row r="68" spans="2:5" hidden="1" x14ac:dyDescent="0.3">
      <c r="B68" t="s">
        <v>72</v>
      </c>
      <c r="C68" t="str">
        <f>VLOOKUP(B68,'[1]PIPELINE SPOT'!$A:$K,11,0)</f>
        <v>PENDENTE FATURAMENTO</v>
      </c>
      <c r="D68" t="s">
        <v>5</v>
      </c>
      <c r="E68" t="s">
        <v>6</v>
      </c>
    </row>
    <row r="69" spans="2:5" hidden="1" x14ac:dyDescent="0.3">
      <c r="B69" t="s">
        <v>73</v>
      </c>
      <c r="C69" t="str">
        <f>VLOOKUP(B69,'[1]PIPELINE SPOT'!$A:$K,11,0)</f>
        <v>FECHAR OS</v>
      </c>
      <c r="D69" t="s">
        <v>5</v>
      </c>
      <c r="E69" t="s">
        <v>6</v>
      </c>
    </row>
    <row r="70" spans="2:5" hidden="1" x14ac:dyDescent="0.3">
      <c r="B70" t="s">
        <v>74</v>
      </c>
      <c r="C70" t="str">
        <f>VLOOKUP(B70,'[1]PIPELINE SPOT'!$A:$K,11,0)</f>
        <v>EXECUTADO - APROVAR OS</v>
      </c>
      <c r="D70" t="s">
        <v>5</v>
      </c>
      <c r="E70" t="s">
        <v>6</v>
      </c>
    </row>
    <row r="71" spans="2:5" hidden="1" x14ac:dyDescent="0.3">
      <c r="B71" t="s">
        <v>75</v>
      </c>
      <c r="C71" t="str">
        <f>VLOOKUP(B71,'[1]PIPELINE SPOT'!$A:$K,11,0)</f>
        <v>EXECUTADO - APROVAR OS</v>
      </c>
      <c r="D71" t="s">
        <v>5</v>
      </c>
      <c r="E71" t="s">
        <v>6</v>
      </c>
    </row>
    <row r="72" spans="2:5" hidden="1" x14ac:dyDescent="0.3">
      <c r="B72" t="s">
        <v>76</v>
      </c>
      <c r="C72" t="str">
        <f>VLOOKUP(B72,'[1]PIPELINE SPOT'!$A:$K,11,0)</f>
        <v>PENDENTE FATURAMENTO</v>
      </c>
      <c r="D72" t="s">
        <v>5</v>
      </c>
      <c r="E72" t="s">
        <v>6</v>
      </c>
    </row>
    <row r="73" spans="2:5" hidden="1" x14ac:dyDescent="0.3">
      <c r="B73" t="s">
        <v>77</v>
      </c>
      <c r="C73" t="str">
        <f>VLOOKUP(B73,'[1]PIPELINE SPOT'!$A:$K,11,0)</f>
        <v>FECHAR OS</v>
      </c>
      <c r="D73" t="s">
        <v>5</v>
      </c>
      <c r="E73" t="s">
        <v>6</v>
      </c>
    </row>
    <row r="74" spans="2:5" hidden="1" x14ac:dyDescent="0.3">
      <c r="B74" t="s">
        <v>78</v>
      </c>
      <c r="C74" t="str">
        <f>VLOOKUP(B74,'[1]PIPELINE SPOT'!$A:$K,11,0)</f>
        <v>EXECUTADO - APROVAR OS</v>
      </c>
      <c r="D74" t="s">
        <v>5</v>
      </c>
      <c r="E74" t="s">
        <v>6</v>
      </c>
    </row>
    <row r="75" spans="2:5" hidden="1" x14ac:dyDescent="0.3">
      <c r="B75" t="s">
        <v>79</v>
      </c>
      <c r="C75" t="str">
        <f>VLOOKUP(B75,'[1]PIPELINE SPOT'!$A:$K,11,0)</f>
        <v>EXECUTADO - APROVAR OS</v>
      </c>
      <c r="D75" t="s">
        <v>5</v>
      </c>
      <c r="E75" t="s">
        <v>6</v>
      </c>
    </row>
    <row r="76" spans="2:5" hidden="1" x14ac:dyDescent="0.3">
      <c r="B76" t="s">
        <v>80</v>
      </c>
      <c r="C76" t="str">
        <f>VLOOKUP(B76,'[1]PIPELINE SPOT'!$A:$K,11,0)</f>
        <v>EXECUTADO - APROVAR OS</v>
      </c>
      <c r="D76" t="s">
        <v>5</v>
      </c>
      <c r="E76" t="s">
        <v>6</v>
      </c>
    </row>
    <row r="77" spans="2:5" hidden="1" x14ac:dyDescent="0.3">
      <c r="B77" t="s">
        <v>81</v>
      </c>
      <c r="C77" t="str">
        <f>VLOOKUP(B77,'[1]PIPELINE SPOT'!$A:$K,11,0)</f>
        <v>EXECUTADO - APROVAR OS</v>
      </c>
      <c r="D77" t="s">
        <v>5</v>
      </c>
      <c r="E77" t="s">
        <v>6</v>
      </c>
    </row>
    <row r="78" spans="2:5" hidden="1" x14ac:dyDescent="0.3">
      <c r="B78" t="s">
        <v>82</v>
      </c>
      <c r="D78" t="s">
        <v>83</v>
      </c>
      <c r="E78" t="s">
        <v>84</v>
      </c>
    </row>
    <row r="79" spans="2:5" hidden="1" x14ac:dyDescent="0.3">
      <c r="B79" t="s">
        <v>85</v>
      </c>
      <c r="D79" t="s">
        <v>83</v>
      </c>
      <c r="E79" t="s">
        <v>84</v>
      </c>
    </row>
    <row r="80" spans="2:5" hidden="1" x14ac:dyDescent="0.3">
      <c r="B80" t="s">
        <v>86</v>
      </c>
      <c r="D80" t="s">
        <v>83</v>
      </c>
      <c r="E80" t="s">
        <v>84</v>
      </c>
    </row>
    <row r="81" spans="2:5" hidden="1" x14ac:dyDescent="0.3">
      <c r="B81" t="s">
        <v>87</v>
      </c>
      <c r="D81" t="s">
        <v>83</v>
      </c>
      <c r="E81" t="s">
        <v>84</v>
      </c>
    </row>
    <row r="82" spans="2:5" hidden="1" x14ac:dyDescent="0.3">
      <c r="B82" t="s">
        <v>88</v>
      </c>
      <c r="D82" t="s">
        <v>83</v>
      </c>
      <c r="E82" t="s">
        <v>84</v>
      </c>
    </row>
    <row r="83" spans="2:5" hidden="1" x14ac:dyDescent="0.3">
      <c r="B83" t="s">
        <v>89</v>
      </c>
      <c r="D83" t="s">
        <v>83</v>
      </c>
      <c r="E83" t="s">
        <v>84</v>
      </c>
    </row>
    <row r="84" spans="2:5" hidden="1" x14ac:dyDescent="0.3">
      <c r="B84" t="s">
        <v>90</v>
      </c>
      <c r="D84" t="s">
        <v>83</v>
      </c>
      <c r="E84" t="s">
        <v>84</v>
      </c>
    </row>
  </sheetData>
  <conditionalFormatting sqref="B3:B84">
    <cfRule type="duplicateValues" dxfId="1" priority="3"/>
  </conditionalFormatting>
  <conditionalFormatting sqref="B2">
    <cfRule type="duplicateValues" dxfId="0" priority="4"/>
  </conditionalFormatting>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B6D6D-A1F5-4A7B-BFDF-AE5CB7890EA7}">
  <dimension ref="A1:AK10"/>
  <sheetViews>
    <sheetView tabSelected="1" workbookViewId="0">
      <selection activeCell="D26" sqref="D26"/>
    </sheetView>
  </sheetViews>
  <sheetFormatPr defaultRowHeight="14.4" x14ac:dyDescent="0.3"/>
  <cols>
    <col min="1" max="1" width="12.88671875" bestFit="1" customWidth="1"/>
    <col min="2" max="2" width="24.109375" bestFit="1" customWidth="1"/>
    <col min="3" max="3" width="32.109375" bestFit="1" customWidth="1"/>
    <col min="4" max="4" width="38.21875" bestFit="1" customWidth="1"/>
    <col min="5" max="5" width="67.6640625" bestFit="1" customWidth="1"/>
    <col min="6" max="6" width="10.44140625" bestFit="1" customWidth="1"/>
    <col min="7" max="7" width="14" bestFit="1" customWidth="1"/>
    <col min="8" max="8" width="32.6640625" bestFit="1" customWidth="1"/>
    <col min="9" max="9" width="38.21875" bestFit="1" customWidth="1"/>
    <col min="10" max="10" width="31.88671875" bestFit="1" customWidth="1"/>
    <col min="11" max="11" width="19.33203125" bestFit="1" customWidth="1"/>
    <col min="12" max="12" width="34" bestFit="1" customWidth="1"/>
    <col min="13" max="13" width="30.77734375" bestFit="1" customWidth="1"/>
    <col min="14" max="14" width="19.77734375" bestFit="1" customWidth="1"/>
    <col min="15" max="15" width="49.33203125" bestFit="1" customWidth="1"/>
    <col min="16" max="16" width="36.33203125" bestFit="1" customWidth="1"/>
    <col min="17" max="17" width="27.88671875" bestFit="1" customWidth="1"/>
    <col min="18" max="18" width="25.77734375" bestFit="1" customWidth="1"/>
    <col min="19" max="19" width="36.21875" bestFit="1" customWidth="1"/>
    <col min="20" max="20" width="22.44140625" bestFit="1" customWidth="1"/>
    <col min="21" max="21" width="26.21875" bestFit="1" customWidth="1"/>
    <col min="22" max="22" width="18" bestFit="1" customWidth="1"/>
    <col min="23" max="23" width="28.6640625" bestFit="1" customWidth="1"/>
    <col min="24" max="24" width="8.5546875" bestFit="1" customWidth="1"/>
    <col min="25" max="25" width="17.88671875" bestFit="1" customWidth="1"/>
    <col min="26" max="26" width="13.5546875" bestFit="1" customWidth="1"/>
    <col min="27" max="27" width="13.77734375" bestFit="1" customWidth="1"/>
    <col min="28" max="28" width="9.88671875" bestFit="1" customWidth="1"/>
    <col min="29" max="29" width="13.88671875" bestFit="1" customWidth="1"/>
    <col min="30" max="30" width="31.33203125" bestFit="1" customWidth="1"/>
    <col min="31" max="31" width="2.6640625" bestFit="1" customWidth="1"/>
  </cols>
  <sheetData>
    <row r="1" spans="1:37" ht="15.6" x14ac:dyDescent="0.3">
      <c r="A1" s="1" t="s">
        <v>91</v>
      </c>
      <c r="B1" s="1" t="s">
        <v>92</v>
      </c>
      <c r="C1" s="1" t="s">
        <v>93</v>
      </c>
      <c r="D1" s="1" t="s">
        <v>94</v>
      </c>
      <c r="E1" s="1" t="s">
        <v>95</v>
      </c>
      <c r="F1" s="1" t="s">
        <v>96</v>
      </c>
      <c r="G1" s="1" t="s">
        <v>97</v>
      </c>
      <c r="H1" s="1" t="s">
        <v>98</v>
      </c>
      <c r="I1" s="1" t="s">
        <v>99</v>
      </c>
      <c r="J1" s="1" t="s">
        <v>100</v>
      </c>
      <c r="K1" s="1" t="s">
        <v>101</v>
      </c>
      <c r="L1" s="1" t="s">
        <v>102</v>
      </c>
      <c r="M1" s="1" t="s">
        <v>103</v>
      </c>
      <c r="N1" s="1" t="s">
        <v>104</v>
      </c>
      <c r="O1" s="1" t="s">
        <v>105</v>
      </c>
      <c r="P1" s="1" t="s">
        <v>106</v>
      </c>
      <c r="Q1" s="1" t="s">
        <v>107</v>
      </c>
      <c r="R1" s="1" t="s">
        <v>108</v>
      </c>
      <c r="S1" s="1" t="s">
        <v>109</v>
      </c>
      <c r="T1" s="1" t="s">
        <v>110</v>
      </c>
      <c r="U1" s="1" t="s">
        <v>111</v>
      </c>
      <c r="V1" s="1" t="s">
        <v>112</v>
      </c>
      <c r="W1" s="1" t="s">
        <v>113</v>
      </c>
      <c r="X1" s="1" t="s">
        <v>114</v>
      </c>
      <c r="Y1" s="2" t="s">
        <v>115</v>
      </c>
      <c r="Z1" s="2" t="s">
        <v>116</v>
      </c>
      <c r="AA1" s="2" t="s">
        <v>117</v>
      </c>
      <c r="AB1" s="2" t="s">
        <v>118</v>
      </c>
      <c r="AC1" s="2" t="s">
        <v>119</v>
      </c>
      <c r="AD1" s="2" t="s">
        <v>120</v>
      </c>
      <c r="AE1" s="3" t="s">
        <v>121</v>
      </c>
    </row>
    <row r="2" spans="1:37" x14ac:dyDescent="0.3">
      <c r="A2" s="4" t="s">
        <v>35</v>
      </c>
      <c r="B2" s="5">
        <v>46201</v>
      </c>
      <c r="C2" s="4"/>
      <c r="D2" s="6" t="s">
        <v>122</v>
      </c>
      <c r="E2" s="4" t="s">
        <v>123</v>
      </c>
      <c r="F2" s="7">
        <v>1</v>
      </c>
      <c r="G2" s="6">
        <v>4791.2</v>
      </c>
      <c r="H2" s="4" t="s">
        <v>124</v>
      </c>
      <c r="I2" s="8">
        <v>1588</v>
      </c>
      <c r="J2" s="4" t="s">
        <v>125</v>
      </c>
      <c r="K2" s="4" t="s">
        <v>126</v>
      </c>
      <c r="L2" s="4"/>
      <c r="M2" s="4"/>
      <c r="N2" s="4" t="s">
        <v>127</v>
      </c>
      <c r="O2" s="4" t="s">
        <v>128</v>
      </c>
      <c r="P2" s="4" t="s">
        <v>128</v>
      </c>
      <c r="Q2" s="9" t="s">
        <v>129</v>
      </c>
      <c r="R2" s="10"/>
      <c r="S2" s="10"/>
      <c r="T2" s="4" t="s">
        <v>130</v>
      </c>
      <c r="U2" s="5">
        <v>46201</v>
      </c>
      <c r="V2" s="5">
        <v>46275</v>
      </c>
      <c r="W2" s="5">
        <v>46172</v>
      </c>
      <c r="X2" s="6" t="s">
        <v>131</v>
      </c>
      <c r="Y2" s="7">
        <v>4791.2</v>
      </c>
      <c r="Z2" s="11" t="s">
        <v>132</v>
      </c>
      <c r="AA2" s="11" t="s">
        <v>132</v>
      </c>
      <c r="AB2" s="4" t="s">
        <v>133</v>
      </c>
      <c r="AC2" s="4" t="s">
        <v>134</v>
      </c>
      <c r="AD2" s="4" t="s">
        <v>135</v>
      </c>
      <c r="AE2" s="3"/>
    </row>
    <row r="3" spans="1:37" x14ac:dyDescent="0.3">
      <c r="A3" s="4" t="s">
        <v>37</v>
      </c>
      <c r="B3" s="5">
        <v>46178</v>
      </c>
      <c r="C3" s="4"/>
      <c r="D3" s="6" t="s">
        <v>136</v>
      </c>
      <c r="E3" s="4" t="s">
        <v>137</v>
      </c>
      <c r="F3" s="7">
        <v>1</v>
      </c>
      <c r="G3" s="6">
        <v>1300.6600000000001</v>
      </c>
      <c r="H3" s="4" t="s">
        <v>124</v>
      </c>
      <c r="I3" s="8">
        <v>1545</v>
      </c>
      <c r="J3" s="4" t="s">
        <v>138</v>
      </c>
      <c r="K3" s="4" t="s">
        <v>126</v>
      </c>
      <c r="L3" s="4"/>
      <c r="M3" s="4"/>
      <c r="N3" s="4" t="s">
        <v>127</v>
      </c>
      <c r="O3" s="4" t="s">
        <v>128</v>
      </c>
      <c r="P3" s="4" t="s">
        <v>128</v>
      </c>
      <c r="Q3" s="9" t="s">
        <v>129</v>
      </c>
      <c r="R3" s="10"/>
      <c r="S3" s="10"/>
      <c r="T3" s="4" t="s">
        <v>130</v>
      </c>
      <c r="U3" s="5">
        <v>46178</v>
      </c>
      <c r="V3" s="5">
        <v>46281</v>
      </c>
      <c r="W3" s="5">
        <v>46174</v>
      </c>
      <c r="X3" s="6" t="s">
        <v>131</v>
      </c>
      <c r="Y3" s="7">
        <f ca="1">IFERROR(__xludf.DUMMYFUNCTION("ArrayFormula(INDEX($G:$G, FILTER(ROW($A:$A), ($A:$A=$A1128) * ($H:$H=""Orçamento Aprovado"") * ($G:$G&lt;&gt;""""))))
"),1300.66)</f>
        <v>1300.6600000000001</v>
      </c>
      <c r="Z3" s="11" t="str">
        <f ca="1">IFERROR(__xludf.DUMMYFUNCTION("ArrayFormula(INDEX($G:$G, FILTER(ROW($A:$A), ($A:$A=$A1128) * ($H:$H=""Aguardando Aprovação"") * ($G:$G&lt;&gt;""""))))
"),"#N/A")</f>
        <v>#N/A</v>
      </c>
      <c r="AA3" s="11" t="str">
        <f ca="1">IFERROR(__xludf.DUMMYFUNCTION("ArrayFormula(INDEX($G:$G, FILTER(ROW($A:$A), ($A:$A=$A1128) * ($H:$H=""Resolvido"") * ($G:$G&lt;&gt;""""))))
"),"#N/A")</f>
        <v>#N/A</v>
      </c>
      <c r="AB3" s="4" t="str">
        <f>VLOOKUP(D3,'[1]LISTA LOJAS'!$C:$D,2,0)</f>
        <v>RJ CENTRO</v>
      </c>
      <c r="AC3" s="4" t="str">
        <f>IF(ISERROR(VLOOKUP(A3,'[1]PIPELINE SPOT'!$A:$A,1,0)),"NÃO PROGRAMADA","PROGRAMADA")</f>
        <v>PROGRAMADA</v>
      </c>
      <c r="AD3" s="4" t="str">
        <f t="shared" ref="AD3:AD10" si="0">A3&amp;T3</f>
        <v>0626-003845Aguardando Aprovação</v>
      </c>
      <c r="AE3" s="3"/>
      <c r="AF3" s="3"/>
      <c r="AG3" s="3"/>
      <c r="AH3" s="3"/>
      <c r="AI3" s="3"/>
      <c r="AJ3" s="3"/>
      <c r="AK3" s="3"/>
    </row>
    <row r="4" spans="1:37" x14ac:dyDescent="0.3">
      <c r="A4" s="4" t="s">
        <v>44</v>
      </c>
      <c r="B4" s="5">
        <v>46265</v>
      </c>
      <c r="C4" s="4"/>
      <c r="D4" s="4" t="s">
        <v>139</v>
      </c>
      <c r="E4" s="4" t="s">
        <v>140</v>
      </c>
      <c r="F4" s="7">
        <v>1</v>
      </c>
      <c r="G4" s="6">
        <v>2014.54</v>
      </c>
      <c r="H4" s="4" t="s">
        <v>130</v>
      </c>
      <c r="I4" s="8">
        <v>1502</v>
      </c>
      <c r="J4" s="4" t="s">
        <v>141</v>
      </c>
      <c r="K4" s="4" t="s">
        <v>142</v>
      </c>
      <c r="L4" s="4"/>
      <c r="M4" s="4"/>
      <c r="N4" s="4" t="s">
        <v>127</v>
      </c>
      <c r="O4" s="4" t="s">
        <v>143</v>
      </c>
      <c r="P4" s="4" t="s">
        <v>143</v>
      </c>
      <c r="Q4" s="9" t="s">
        <v>129</v>
      </c>
      <c r="R4" s="10"/>
      <c r="S4" s="10"/>
      <c r="T4" s="4" t="s">
        <v>130</v>
      </c>
      <c r="U4" s="5">
        <v>46265</v>
      </c>
      <c r="V4" s="5">
        <v>46265</v>
      </c>
      <c r="W4" s="5">
        <v>46232</v>
      </c>
      <c r="X4" s="6" t="s">
        <v>131</v>
      </c>
      <c r="Y4" s="7" t="str">
        <f ca="1">IFERROR(__xludf.DUMMYFUNCTION("ArrayFormula(INDEX($G:$G, FILTER(ROW($A:$A), ($A:$A=$A465) * ($H:$H=""Orçamento Aprovado"") * ($G:$G&lt;&gt;""""))))
"),"#N/A")</f>
        <v>#N/A</v>
      </c>
      <c r="Z4" s="12">
        <f ca="1">IFERROR(__xludf.DUMMYFUNCTION("ArrayFormula(INDEX($G:$G, FILTER(ROW($A:$A), ($A:$A=$A465) * ($H:$H=""Aguardando Aprovação"") * ($G:$G&lt;&gt;""""))))
"),2014.54)</f>
        <v>2014.54</v>
      </c>
      <c r="AA4" s="11" t="str">
        <f ca="1">IFERROR(__xludf.DUMMYFUNCTION("ArrayFormula(INDEX($G:$G, FILTER(ROW($A:$A), ($A:$A=$A465) * ($H:$H=""Resolvido"") * ($G:$G&lt;&gt;""""))))
"),"#N/A")</f>
        <v>#N/A</v>
      </c>
      <c r="AB4" s="4" t="str">
        <f>VLOOKUP(D4,'[1]LISTA LOJAS'!$C:$D,2,0)</f>
        <v>RJ BARRA</v>
      </c>
      <c r="AC4" s="4" t="str">
        <f>IF(ISERROR(VLOOKUP(A4,'[1]PIPELINE SPOT'!$A:$A,1,0)),"NÃO PROGRAMADA","PROGRAMADA")</f>
        <v>PROGRAMADA</v>
      </c>
      <c r="AD4" s="4" t="str">
        <f t="shared" si="0"/>
        <v>0726-017988Aguardando Aprovação</v>
      </c>
      <c r="AE4" s="3"/>
      <c r="AF4" s="3"/>
      <c r="AG4" s="3"/>
      <c r="AH4" s="3"/>
      <c r="AI4" s="3"/>
      <c r="AJ4" s="3"/>
      <c r="AK4" s="3"/>
    </row>
    <row r="5" spans="1:37" x14ac:dyDescent="0.3">
      <c r="A5" s="4" t="s">
        <v>46</v>
      </c>
      <c r="B5" s="5">
        <v>46261</v>
      </c>
      <c r="C5" s="4"/>
      <c r="D5" s="4" t="s">
        <v>144</v>
      </c>
      <c r="E5" s="4" t="s">
        <v>145</v>
      </c>
      <c r="F5" s="7">
        <v>1</v>
      </c>
      <c r="G5" s="6">
        <v>1949.68</v>
      </c>
      <c r="H5" s="4" t="s">
        <v>130</v>
      </c>
      <c r="I5" s="8">
        <v>1651</v>
      </c>
      <c r="J5" s="4" t="s">
        <v>141</v>
      </c>
      <c r="K5" s="4" t="s">
        <v>142</v>
      </c>
      <c r="L5" s="4"/>
      <c r="M5" s="4"/>
      <c r="N5" s="4" t="s">
        <v>127</v>
      </c>
      <c r="O5" s="4" t="s">
        <v>143</v>
      </c>
      <c r="P5" s="4" t="s">
        <v>143</v>
      </c>
      <c r="Q5" s="9" t="s">
        <v>129</v>
      </c>
      <c r="R5" s="10"/>
      <c r="S5" s="10"/>
      <c r="T5" s="4" t="s">
        <v>130</v>
      </c>
      <c r="U5" s="5">
        <v>46261</v>
      </c>
      <c r="V5" s="5">
        <v>46261</v>
      </c>
      <c r="W5" s="5">
        <v>46233</v>
      </c>
      <c r="X5" s="6" t="s">
        <v>131</v>
      </c>
      <c r="Y5" s="7" t="str">
        <f ca="1">IFERROR(__xludf.DUMMYFUNCTION("ArrayFormula(INDEX($G:$G, FILTER(ROW($A:$A), ($A:$A=$A629) * ($H:$H=""Orçamento Aprovado"") * ($G:$G&lt;&gt;""""))))
"),"#N/A")</f>
        <v>#N/A</v>
      </c>
      <c r="Z5" s="12">
        <f ca="1">IFERROR(__xludf.DUMMYFUNCTION("ArrayFormula(INDEX($G:$G, FILTER(ROW($A:$A), ($A:$A=$A629) * ($H:$H=""Aguardando Aprovação"") * ($G:$G&lt;&gt;""""))))
"),1949.68)</f>
        <v>1949.68</v>
      </c>
      <c r="AA5" s="11" t="str">
        <f ca="1">IFERROR(__xludf.DUMMYFUNCTION("ArrayFormula(INDEX($G:$G, FILTER(ROW($A:$A), ($A:$A=$A629) * ($H:$H=""Resolvido"") * ($G:$G&lt;&gt;""""))))
"),"#N/A")</f>
        <v>#N/A</v>
      </c>
      <c r="AB5" s="4" t="str">
        <f>VLOOKUP(D5,'[1]LISTA LOJAS'!$C:$D,2,0)</f>
        <v>RJ LAGOS</v>
      </c>
      <c r="AC5" s="4" t="str">
        <f>IF(ISERROR(VLOOKUP(A5,'[1]PIPELINE SPOT'!$A:$A,1,0)),"NÃO PROGRAMADA","PROGRAMADA")</f>
        <v>PROGRAMADA</v>
      </c>
      <c r="AD5" s="4" t="str">
        <f t="shared" si="0"/>
        <v>0726-018834Aguardando Aprovação</v>
      </c>
      <c r="AE5" s="3"/>
      <c r="AF5" s="3"/>
      <c r="AG5" s="3"/>
      <c r="AH5" s="3"/>
      <c r="AI5" s="3"/>
      <c r="AJ5" s="3"/>
      <c r="AK5" s="3"/>
    </row>
    <row r="6" spans="1:37" x14ac:dyDescent="0.3">
      <c r="A6" s="4" t="s">
        <v>48</v>
      </c>
      <c r="B6" s="5">
        <v>46265</v>
      </c>
      <c r="C6" s="4"/>
      <c r="D6" s="4" t="s">
        <v>146</v>
      </c>
      <c r="E6" s="4" t="s">
        <v>147</v>
      </c>
      <c r="F6" s="7">
        <v>1</v>
      </c>
      <c r="G6" s="6">
        <v>2033.6</v>
      </c>
      <c r="H6" s="4" t="s">
        <v>130</v>
      </c>
      <c r="I6" s="8">
        <v>1730</v>
      </c>
      <c r="J6" s="4" t="s">
        <v>141</v>
      </c>
      <c r="K6" s="4" t="s">
        <v>142</v>
      </c>
      <c r="L6" s="4"/>
      <c r="M6" s="4"/>
      <c r="N6" s="4" t="s">
        <v>127</v>
      </c>
      <c r="O6" s="4" t="s">
        <v>143</v>
      </c>
      <c r="P6" s="4" t="s">
        <v>143</v>
      </c>
      <c r="Q6" s="9" t="s">
        <v>129</v>
      </c>
      <c r="R6" s="10"/>
      <c r="S6" s="10"/>
      <c r="T6" s="4" t="s">
        <v>130</v>
      </c>
      <c r="U6" s="5">
        <v>46265</v>
      </c>
      <c r="V6" s="5">
        <v>46287</v>
      </c>
      <c r="W6" s="5">
        <v>46233</v>
      </c>
      <c r="X6" s="6" t="s">
        <v>148</v>
      </c>
      <c r="Y6" s="7" t="str">
        <f ca="1">IFERROR(__xludf.DUMMYFUNCTION("ArrayFormula(INDEX($G:$G, FILTER(ROW($A:$A), ($A:$A=$A467) * ($H:$H=""Orçamento Aprovado"") * ($G:$G&lt;&gt;""""))))
"),"#N/A")</f>
        <v>#N/A</v>
      </c>
      <c r="Z6" s="12">
        <f ca="1">IFERROR(__xludf.DUMMYFUNCTION("ArrayFormula(INDEX($G:$G, FILTER(ROW($A:$A), ($A:$A=$A467) * ($H:$H=""Aguardando Aprovação"") * ($G:$G&lt;&gt;""""))))
"),1906)</f>
        <v>1906</v>
      </c>
      <c r="AA6" s="11" t="str">
        <f ca="1">IFERROR(__xludf.DUMMYFUNCTION("ArrayFormula(INDEX($G:$G, FILTER(ROW($A:$A), ($A:$A=$A467) * ($H:$H=""Resolvido"") * ($G:$G&lt;&gt;""""))))
"),"#N/A")</f>
        <v>#N/A</v>
      </c>
      <c r="AB6" s="4" t="str">
        <f>VLOOKUP(D6,'[1]LISTA LOJAS'!$C:$D,2,0)</f>
        <v>RJ NITEROI</v>
      </c>
      <c r="AC6" s="4" t="str">
        <f>IF(ISERROR(VLOOKUP(A6,'[1]PIPELINE SPOT'!$A:$A,1,0)),"NÃO PROGRAMADA","PROGRAMADA")</f>
        <v>PROGRAMADA</v>
      </c>
      <c r="AD6" s="4" t="str">
        <f t="shared" si="0"/>
        <v>0726-018624Aguardando Aprovação</v>
      </c>
      <c r="AE6" s="3"/>
      <c r="AF6" s="3"/>
      <c r="AG6" s="3"/>
      <c r="AH6" s="3"/>
      <c r="AI6" s="3"/>
      <c r="AJ6" s="3"/>
      <c r="AK6" s="3"/>
    </row>
    <row r="7" spans="1:37" x14ac:dyDescent="0.3">
      <c r="A7" s="4" t="s">
        <v>53</v>
      </c>
      <c r="B7" s="5">
        <v>46261</v>
      </c>
      <c r="C7" s="4"/>
      <c r="D7" s="4" t="s">
        <v>149</v>
      </c>
      <c r="E7" s="4" t="s">
        <v>150</v>
      </c>
      <c r="F7" s="7">
        <v>1</v>
      </c>
      <c r="G7" s="6">
        <v>1904.48</v>
      </c>
      <c r="H7" s="4" t="s">
        <v>130</v>
      </c>
      <c r="I7" s="8">
        <v>1570</v>
      </c>
      <c r="J7" s="4" t="s">
        <v>141</v>
      </c>
      <c r="K7" s="4" t="s">
        <v>142</v>
      </c>
      <c r="L7" s="4"/>
      <c r="M7" s="4"/>
      <c r="N7" s="4" t="s">
        <v>127</v>
      </c>
      <c r="O7" s="4" t="s">
        <v>143</v>
      </c>
      <c r="P7" s="4" t="s">
        <v>143</v>
      </c>
      <c r="Q7" s="9" t="s">
        <v>129</v>
      </c>
      <c r="R7" s="10"/>
      <c r="S7" s="10"/>
      <c r="T7" s="4" t="s">
        <v>130</v>
      </c>
      <c r="U7" s="5">
        <v>46261</v>
      </c>
      <c r="V7" s="5">
        <v>46261</v>
      </c>
      <c r="W7" s="5">
        <v>46231</v>
      </c>
      <c r="X7" s="6" t="s">
        <v>131</v>
      </c>
      <c r="Y7" s="7" t="str">
        <f ca="1">IFERROR(__xludf.DUMMYFUNCTION("ArrayFormula(INDEX($G:$G, FILTER(ROW($A:$A), ($A:$A=$A618) * ($H:$H=""Orçamento Aprovado"") * ($G:$G&lt;&gt;""""))))
"),"#N/A")</f>
        <v>#N/A</v>
      </c>
      <c r="Z7" s="12">
        <f ca="1">IFERROR(__xludf.DUMMYFUNCTION("ArrayFormula(INDEX($G:$G, FILTER(ROW($A:$A), ($A:$A=$A618) * ($H:$H=""Aguardando Aprovação"") * ($G:$G&lt;&gt;""""))))
"),1904.48)</f>
        <v>1904.48</v>
      </c>
      <c r="AA7" s="11" t="str">
        <f ca="1">IFERROR(__xludf.DUMMYFUNCTION("ArrayFormula(INDEX($G:$G, FILTER(ROW($A:$A), ($A:$A=$A618) * ($H:$H=""Resolvido"") * ($G:$G&lt;&gt;""""))))
"),"#N/A")</f>
        <v>#N/A</v>
      </c>
      <c r="AB7" s="4" t="str">
        <f>VLOOKUP(D7,'[1]LISTA LOJAS'!$C:$D,2,0)</f>
        <v>RJ BARRA</v>
      </c>
      <c r="AC7" s="4" t="str">
        <f>IF(ISERROR(VLOOKUP(A7,'[1]PIPELINE SPOT'!$A:$A,1,0)),"NÃO PROGRAMADA","PROGRAMADA")</f>
        <v>PROGRAMADA</v>
      </c>
      <c r="AD7" s="4" t="str">
        <f t="shared" si="0"/>
        <v>0726-017515Aguardando Aprovação</v>
      </c>
      <c r="AE7" s="3"/>
      <c r="AF7" s="3"/>
      <c r="AG7" s="3"/>
      <c r="AH7" s="3"/>
      <c r="AI7" s="3"/>
      <c r="AJ7" s="3"/>
      <c r="AK7" s="3"/>
    </row>
    <row r="8" spans="1:37" x14ac:dyDescent="0.3">
      <c r="A8" s="4" t="s">
        <v>59</v>
      </c>
      <c r="B8" s="5">
        <v>46265</v>
      </c>
      <c r="C8" s="4"/>
      <c r="D8" s="4" t="s">
        <v>151</v>
      </c>
      <c r="E8" s="4" t="s">
        <v>152</v>
      </c>
      <c r="F8" s="7">
        <v>1</v>
      </c>
      <c r="G8" s="6">
        <v>2632.6</v>
      </c>
      <c r="H8" s="4" t="s">
        <v>130</v>
      </c>
      <c r="I8" s="8">
        <v>1773</v>
      </c>
      <c r="J8" s="4" t="s">
        <v>141</v>
      </c>
      <c r="K8" s="4" t="s">
        <v>142</v>
      </c>
      <c r="L8" s="4"/>
      <c r="M8" s="4"/>
      <c r="N8" s="4" t="s">
        <v>127</v>
      </c>
      <c r="O8" s="4" t="s">
        <v>143</v>
      </c>
      <c r="P8" s="4" t="s">
        <v>143</v>
      </c>
      <c r="Q8" s="9" t="s">
        <v>129</v>
      </c>
      <c r="R8" s="10"/>
      <c r="S8" s="10"/>
      <c r="T8" s="4" t="s">
        <v>130</v>
      </c>
      <c r="U8" s="5">
        <v>46265</v>
      </c>
      <c r="V8" s="5">
        <v>46265</v>
      </c>
      <c r="W8" s="5">
        <v>46233</v>
      </c>
      <c r="X8" s="6" t="s">
        <v>131</v>
      </c>
      <c r="Y8" s="7" t="str">
        <f ca="1">IFERROR(__xludf.DUMMYFUNCTION("ArrayFormula(INDEX($G:$G, FILTER(ROW($A:$A), ($A:$A=$A468) * ($H:$H=""Orçamento Aprovado"") * ($G:$G&lt;&gt;""""))))
"),"#N/A")</f>
        <v>#N/A</v>
      </c>
      <c r="Z8" s="12">
        <f ca="1">IFERROR(__xludf.DUMMYFUNCTION("ArrayFormula(INDEX($G:$G, FILTER(ROW($A:$A), ($A:$A=$A468) * ($H:$H=""Aguardando Aprovação"") * ($G:$G&lt;&gt;""""))))
"),2632.6)</f>
        <v>2632.6</v>
      </c>
      <c r="AA8" s="11" t="str">
        <f ca="1">IFERROR(__xludf.DUMMYFUNCTION("ArrayFormula(INDEX($G:$G, FILTER(ROW($A:$A), ($A:$A=$A468) * ($H:$H=""Resolvido"") * ($G:$G&lt;&gt;""""))))
"),"#N/A")</f>
        <v>#N/A</v>
      </c>
      <c r="AB8" s="4" t="str">
        <f>VLOOKUP(D8,'[1]LISTA LOJAS'!$C:$D,2,0)</f>
        <v>RJ LAGOS</v>
      </c>
      <c r="AC8" s="4" t="str">
        <f>IF(ISERROR(VLOOKUP(A8,'[1]PIPELINE SPOT'!$A:$A,1,0)),"NÃO PROGRAMADA","PROGRAMADA")</f>
        <v>PROGRAMADA</v>
      </c>
      <c r="AD8" s="4" t="str">
        <f t="shared" si="0"/>
        <v>0726-018710Aguardando Aprovação</v>
      </c>
      <c r="AE8" s="3"/>
      <c r="AF8" s="3"/>
      <c r="AG8" s="3"/>
      <c r="AH8" s="3"/>
      <c r="AI8" s="3"/>
      <c r="AJ8" s="3"/>
      <c r="AK8" s="3"/>
    </row>
    <row r="9" spans="1:37" x14ac:dyDescent="0.3">
      <c r="A9" s="4" t="s">
        <v>61</v>
      </c>
      <c r="B9" s="5">
        <v>46261</v>
      </c>
      <c r="C9" s="4"/>
      <c r="D9" s="6" t="s">
        <v>153</v>
      </c>
      <c r="E9" s="4" t="s">
        <v>154</v>
      </c>
      <c r="F9" s="7">
        <v>1</v>
      </c>
      <c r="G9" s="6">
        <v>1941.64</v>
      </c>
      <c r="H9" s="4" t="s">
        <v>130</v>
      </c>
      <c r="I9" s="8">
        <v>1593</v>
      </c>
      <c r="J9" s="4" t="s">
        <v>141</v>
      </c>
      <c r="K9" s="4" t="s">
        <v>142</v>
      </c>
      <c r="L9" s="4"/>
      <c r="M9" s="4"/>
      <c r="N9" s="4" t="s">
        <v>127</v>
      </c>
      <c r="O9" s="4" t="s">
        <v>143</v>
      </c>
      <c r="P9" s="4" t="s">
        <v>143</v>
      </c>
      <c r="Q9" s="9" t="s">
        <v>129</v>
      </c>
      <c r="R9" s="10"/>
      <c r="S9" s="10"/>
      <c r="T9" s="4" t="s">
        <v>130</v>
      </c>
      <c r="U9" s="5">
        <v>46261</v>
      </c>
      <c r="V9" s="5">
        <v>46261</v>
      </c>
      <c r="W9" s="5">
        <v>46231</v>
      </c>
      <c r="X9" s="6" t="s">
        <v>131</v>
      </c>
      <c r="Y9" s="7" t="str">
        <f ca="1">IFERROR(__xludf.DUMMYFUNCTION("ArrayFormula(INDEX($G:$G, FILTER(ROW($A:$A), ($A:$A=$A619) * ($H:$H=""Orçamento Aprovado"") * ($G:$G&lt;&gt;""""))))
"),"#N/A")</f>
        <v>#N/A</v>
      </c>
      <c r="Z9" s="12">
        <f ca="1">IFERROR(__xludf.DUMMYFUNCTION("ArrayFormula(INDEX($G:$G, FILTER(ROW($A:$A), ($A:$A=$A619) * ($H:$H=""Aguardando Aprovação"") * ($G:$G&lt;&gt;""""))))
"),1941.64)</f>
        <v>1941.64</v>
      </c>
      <c r="AA9" s="11" t="str">
        <f ca="1">IFERROR(__xludf.DUMMYFUNCTION("ArrayFormula(INDEX($G:$G, FILTER(ROW($A:$A), ($A:$A=$A619) * ($H:$H=""Resolvido"") * ($G:$G&lt;&gt;""""))))
"),"#N/A")</f>
        <v>#N/A</v>
      </c>
      <c r="AB9" s="4" t="str">
        <f>VLOOKUP(D9,'[1]LISTA LOJAS'!$C:$D,2,0)</f>
        <v>RJ BARRA</v>
      </c>
      <c r="AC9" s="4" t="str">
        <f>IF(ISERROR(VLOOKUP(A9,'[1]PIPELINE SPOT'!$A:$A,1,0)),"NÃO PROGRAMADA","PROGRAMADA")</f>
        <v>PROGRAMADA</v>
      </c>
      <c r="AD9" s="4" t="str">
        <f t="shared" si="0"/>
        <v>0726-017712Aguardando Aprovação</v>
      </c>
      <c r="AE9" s="3"/>
      <c r="AF9" s="3"/>
      <c r="AG9" s="3"/>
      <c r="AH9" s="3"/>
      <c r="AI9" s="3"/>
      <c r="AJ9" s="3"/>
      <c r="AK9" s="3"/>
    </row>
    <row r="10" spans="1:37" x14ac:dyDescent="0.3">
      <c r="A10" s="4" t="s">
        <v>64</v>
      </c>
      <c r="B10" s="5">
        <v>46258</v>
      </c>
      <c r="C10" s="4"/>
      <c r="D10" s="4" t="s">
        <v>155</v>
      </c>
      <c r="E10" s="4" t="s">
        <v>156</v>
      </c>
      <c r="F10" s="7">
        <v>1</v>
      </c>
      <c r="G10" s="6">
        <v>2007.48</v>
      </c>
      <c r="H10" s="4" t="s">
        <v>130</v>
      </c>
      <c r="I10" s="8">
        <v>1595</v>
      </c>
      <c r="J10" s="4" t="s">
        <v>141</v>
      </c>
      <c r="K10" s="4" t="s">
        <v>142</v>
      </c>
      <c r="L10" s="4"/>
      <c r="M10" s="4"/>
      <c r="N10" s="4" t="s">
        <v>127</v>
      </c>
      <c r="O10" s="4" t="s">
        <v>143</v>
      </c>
      <c r="P10" s="4" t="s">
        <v>143</v>
      </c>
      <c r="Q10" s="9" t="s">
        <v>129</v>
      </c>
      <c r="R10" s="10"/>
      <c r="S10" s="10"/>
      <c r="T10" s="4" t="s">
        <v>130</v>
      </c>
      <c r="U10" s="5">
        <v>46258</v>
      </c>
      <c r="V10" s="5">
        <v>46287</v>
      </c>
      <c r="W10" s="5">
        <v>46233</v>
      </c>
      <c r="X10" s="6" t="s">
        <v>148</v>
      </c>
      <c r="Y10" s="7" t="str">
        <f ca="1">IFERROR(__xludf.DUMMYFUNCTION("ArrayFormula(INDEX($G:$G, FILTER(ROW($A:$A), ($A:$A=$A687) * ($H:$H=""Orçamento Aprovado"") * ($G:$G&lt;&gt;""""))))
"),"#N/A")</f>
        <v>#N/A</v>
      </c>
      <c r="Z10" s="12">
        <f ca="1">IFERROR(__xludf.DUMMYFUNCTION("ArrayFormula(INDEX($G:$G, FILTER(ROW($A:$A), ($A:$A=$A687) * ($H:$H=""Aguardando Aprovação"") * ($G:$G&lt;&gt;""""))))
"),1879.88)</f>
        <v>1879.88</v>
      </c>
      <c r="AA10" s="11" t="str">
        <f ca="1">IFERROR(__xludf.DUMMYFUNCTION("ArrayFormula(INDEX($G:$G, FILTER(ROW($A:$A), ($A:$A=$A687) * ($H:$H=""Resolvido"") * ($G:$G&lt;&gt;""""))))
"),"#N/A")</f>
        <v>#N/A</v>
      </c>
      <c r="AB10" s="4" t="str">
        <f>VLOOKUP(D10,'[1]LISTA LOJAS'!$C:$D,2,0)</f>
        <v>RJ NITEROI</v>
      </c>
      <c r="AC10" s="4" t="str">
        <f>IF(ISERROR(VLOOKUP(A10,'[1]PIPELINE SPOT'!$A:$A,1,0)),"NÃO PROGRAMADA","PROGRAMADA")</f>
        <v>PROGRAMADA</v>
      </c>
      <c r="AD10" s="4" t="str">
        <f t="shared" si="0"/>
        <v>0726-018684Aguardando Aprovação</v>
      </c>
      <c r="AE10" s="3"/>
      <c r="AF10" s="3"/>
      <c r="AG10" s="3"/>
      <c r="AH10" s="3"/>
      <c r="AI10" s="3"/>
      <c r="AJ10" s="3"/>
      <c r="AK10" s="3"/>
    </row>
  </sheetData>
  <mergeCells count="9">
    <mergeCell ref="Q8:S8"/>
    <mergeCell ref="Q9:S9"/>
    <mergeCell ref="Q10:S10"/>
    <mergeCell ref="Q2:S2"/>
    <mergeCell ref="Q3:S3"/>
    <mergeCell ref="Q4:S4"/>
    <mergeCell ref="Q5:S5"/>
    <mergeCell ref="Q6:S6"/>
    <mergeCell ref="Q7:S7"/>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NEM NO HUB NEM NO FIELD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 MOREIRA</dc:creator>
  <cp:lastModifiedBy>YURI MOREIRA</cp:lastModifiedBy>
  <dcterms:created xsi:type="dcterms:W3CDTF">2026-10-15T14:50:11Z</dcterms:created>
  <dcterms:modified xsi:type="dcterms:W3CDTF">2026-10-15T18:49:11Z</dcterms:modified>
</cp:coreProperties>
</file>