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BEF0B4E-D0D0-4814-8BEB-CCFEEAAF1497}" xr6:coauthVersionLast="47" xr6:coauthVersionMax="47" xr10:uidLastSave="{00000000-0000-0000-0000-000000000000}"/>
  <bookViews>
    <workbookView xWindow="28680" yWindow="-120" windowWidth="24240" windowHeight="13020" activeTab="2" xr2:uid="{00000000-000D-0000-FFFF-FFFF00000000}"/>
  </bookViews>
  <sheets>
    <sheet name="Resumo" sheetId="1" r:id="rId1"/>
    <sheet name="Validar com o time" sheetId="2" r:id="rId2"/>
    <sheet name="Vai subir (conferir)" sheetId="4" r:id="rId3"/>
    <sheet name="Pendente Financeiro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" i="4" l="1"/>
  <c r="B10" i="1"/>
  <c r="B9" i="1"/>
  <c r="D6" i="1"/>
  <c r="C6" i="1"/>
  <c r="E6" i="1" s="1"/>
  <c r="D5" i="1"/>
  <c r="D7" i="1" s="1"/>
  <c r="C5" i="1"/>
  <c r="C7" i="1" l="1"/>
  <c r="E5" i="1"/>
  <c r="E7" i="1" s="1"/>
</calcChain>
</file>

<file path=xl/sharedStrings.xml><?xml version="1.0" encoding="utf-8"?>
<sst xmlns="http://schemas.openxmlformats.org/spreadsheetml/2006/main" count="979" uniqueCount="473">
  <si>
    <t>Pendências da conciliação SPOT D1000 × hub — 27/10/2026</t>
  </si>
  <si>
    <t>Feito a partir do retorno do time na planilha de 23/10 (abas 1 e 2 respondidas; 4, 5, 7 e 9 em branco). O resumo conta sozinho.</t>
  </si>
  <si>
    <t>Aba</t>
  </si>
  <si>
    <t>Com quem</t>
  </si>
  <si>
    <t>Itens</t>
  </si>
  <si>
    <t>Respondidos</t>
  </si>
  <si>
    <t>Faltam</t>
  </si>
  <si>
    <t>Validar com o time</t>
  </si>
  <si>
    <t>Time (analistas / PCM)</t>
  </si>
  <si>
    <t>Pendente Financeiro</t>
  </si>
  <si>
    <t>Financeiro</t>
  </si>
  <si>
    <t>Total</t>
  </si>
  <si>
    <t>Vai subir (conferir):</t>
  </si>
  <si>
    <t>obras</t>
  </si>
  <si>
    <t>R$</t>
  </si>
  <si>
    <t>Já resolvido, sem ação: "S/N REPARO DE GERADOR" (R$ 805,58) entrou no hub em 24/10 como "REPARO DE GERADOR -01".</t>
  </si>
  <si>
    <t>Validar com o time — conciliação SPOT D1000 (Profarma)</t>
  </si>
  <si>
    <t>Preencha só as colunas amarelas. Exemplo de resposta: "OS 3291045, subir em Pendente faturamento".</t>
  </si>
  <si>
    <t>#</t>
  </si>
  <si>
    <t>Grupo</t>
  </si>
  <si>
    <t>OS</t>
  </si>
  <si>
    <t>Loja</t>
  </si>
  <si>
    <t>Descrição</t>
  </si>
  <si>
    <t>Valor (R$)</t>
  </si>
  <si>
    <t>Pergunta</t>
  </si>
  <si>
    <t>O que acontece conforme a resposta</t>
  </si>
  <si>
    <t>Resposta</t>
  </si>
  <si>
    <t>Respondido por / data</t>
  </si>
  <si>
    <t>Como ler as respostas</t>
  </si>
  <si>
    <t>—</t>
  </si>
  <si>
    <t>Aba 1 da planilha de retorno</t>
  </si>
  <si>
    <t>Na aba 1, "SIM" quer dizer "pode subir no hub" e "FEITO EM dd/mm" é a data em que o serviço foi EXECUTADO?</t>
  </si>
  <si>
    <t>Se sim, uso essa data como data de execução no hub. Se for outra data (aprovação, relatório), me diga qual.</t>
  </si>
  <si>
    <t>Aba 2 da planilha de retorno</t>
  </si>
  <si>
    <t>Na aba 2, "SIM" quer dizer que a obra JÁ FOI FATURADA? As datas que vocês puseram são iguais à data de aprovação em 5 das 6 obras.</t>
  </si>
  <si>
    <t>Se faturou: fica no histórico, não entra no hub. Se não: sobe em Pendente faturamento.</t>
  </si>
  <si>
    <t>Etapa a confirmar</t>
  </si>
  <si>
    <t>2684022</t>
  </si>
  <si>
    <t>TMO-113</t>
  </si>
  <si>
    <t>SUBSTITUIÇÃO DE DOBRADIÇAS</t>
  </si>
  <si>
    <t>A planilha diz PROGRAMADO (ainda não executada). Subo em Levantamento?</t>
  </si>
  <si>
    <t>Subo na etapa informada.</t>
  </si>
  <si>
    <t>2725797</t>
  </si>
  <si>
    <t>DML-613</t>
  </si>
  <si>
    <t>SUBSTITUIÇÃO DE CIRCUITO</t>
  </si>
  <si>
    <t>2889012</t>
  </si>
  <si>
    <t>DML-602</t>
  </si>
  <si>
    <t>REPARO EM FORRO</t>
  </si>
  <si>
    <t>3053075</t>
  </si>
  <si>
    <t>TMO-134</t>
  </si>
  <si>
    <t>TROCA DE RAMPA DE ACESSIBILIDADE</t>
  </si>
  <si>
    <t>A planilha diz CONCLUÍDO, mas na análise de 23/10 a recomendação foi Levantamento. Qual a etapa real: executada aguardando aprovação da OS, pendente faturamento, ou ainda não executada?</t>
  </si>
  <si>
    <t>3082169</t>
  </si>
  <si>
    <t>DML-84</t>
  </si>
  <si>
    <t>TROCA DE MOLA E EIXO</t>
  </si>
  <si>
    <t>3087264</t>
  </si>
  <si>
    <t>TMO-124</t>
  </si>
  <si>
    <t>INSTALAÇÃO DE CANTONEIRAS</t>
  </si>
  <si>
    <t>2958522</t>
  </si>
  <si>
    <t>DML-619</t>
  </si>
  <si>
    <t>Foi realizado a cópia de duas chaves do cadeado de chão</t>
  </si>
  <si>
    <t>A linha não tem status na planilha. A obra existe? Em que etapa está (executada, aguardando aprovação, pendente faturamento)?</t>
  </si>
  <si>
    <t>2983365</t>
  </si>
  <si>
    <t>Foi realizada a fabricação de três cópias da trava lateral da porta principal</t>
  </si>
  <si>
    <t>Sem resposta na aba 1</t>
  </si>
  <si>
    <t>2384534</t>
  </si>
  <si>
    <t>DML-65</t>
  </si>
  <si>
    <t>PINTURA DE PISO RETAGUARDA</t>
  </si>
  <si>
    <t>Ficou em branco. Status na planilha: PENDENTE FATURAMENTO. Sobe no hub? Em que etapa?</t>
  </si>
  <si>
    <t>Se sim, subo na etapa informada. Se não, fica de fora (e sai da planilha).</t>
  </si>
  <si>
    <t>2461419</t>
  </si>
  <si>
    <t>DML-631</t>
  </si>
  <si>
    <t>SUBSTITUIÇÃO DA CENTRAL E CABO DE AÇO</t>
  </si>
  <si>
    <t>2681966</t>
  </si>
  <si>
    <t>DML-625</t>
  </si>
  <si>
    <t>LOCAÇÃO DE ANDAIME</t>
  </si>
  <si>
    <t>2731555</t>
  </si>
  <si>
    <t>DML-91</t>
  </si>
  <si>
    <t>INSTALAÇÃO DE MAINEL</t>
  </si>
  <si>
    <t>2738602</t>
  </si>
  <si>
    <t>DML-2</t>
  </si>
  <si>
    <t>referente a substituição de vaso sanitário:</t>
  </si>
  <si>
    <t>2908817</t>
  </si>
  <si>
    <t>FIXAÇÃO DE CORRIMÃO</t>
  </si>
  <si>
    <t>SEM OS</t>
  </si>
  <si>
    <t>DML-51</t>
  </si>
  <si>
    <t>TROCA DE DISJUNTOR</t>
  </si>
  <si>
    <t>Ficou em branco. Status na planilha: PENDENTE FATURAMENTO. Sobe no hub? Em que etapa? Qual o nº da OS no sistema D1000?</t>
  </si>
  <si>
    <t>Respondidas "NÃO"</t>
  </si>
  <si>
    <t>3159410</t>
  </si>
  <si>
    <t>DML-63</t>
  </si>
  <si>
    <t>ACOMPANHAMENTO DE GERADOR</t>
  </si>
  <si>
    <t>Resposta: "a luz havia retornado", ou seja, o serviço não foi feito. Mas a planilha lista como PENDENTE FATURAMENTO. Confirmar que não há nada a faturar e que o chamado foi cancelado no sistema D1000.</t>
  </si>
  <si>
    <t>Não sobe no hub.</t>
  </si>
  <si>
    <t>VISA 995</t>
  </si>
  <si>
    <t>TMO-995</t>
  </si>
  <si>
    <t>SERVIÇOS ADICIONAIS</t>
  </si>
  <si>
    <t>Veio "NÃO" sem motivo. Provavelmente é duplicata dos itens "VISA TMO 995" que já estão no hub (e da obra "VISA" da TMO-995 na aba 4). É isso?</t>
  </si>
  <si>
    <t>Sem nº de OS</t>
  </si>
  <si>
    <t>(sem OS)</t>
  </si>
  <si>
    <t>TMO-116</t>
  </si>
  <si>
    <t>SUBSTITUIÇÃO FORRO PVC</t>
  </si>
  <si>
    <t>Qual o nº da OS no sistema D1000? (status na planilha: PENDENTE FATURAMENTO)</t>
  </si>
  <si>
    <t>Subo com o nº informado em "Pendente faturamento".</t>
  </si>
  <si>
    <t>EMERGENCIAL</t>
  </si>
  <si>
    <t>DML-37</t>
  </si>
  <si>
    <t>SUBISTITUIÇÃO DE BLINDEX</t>
  </si>
  <si>
    <t>S/N</t>
  </si>
  <si>
    <t>REPARO DE GERADORES</t>
  </si>
  <si>
    <t>DML-70</t>
  </si>
  <si>
    <t>TROCA DE LUMINÁRIAS</t>
  </si>
  <si>
    <t>DML-81</t>
  </si>
  <si>
    <t>DML-636</t>
  </si>
  <si>
    <t>DML-638</t>
  </si>
  <si>
    <t>DML-641</t>
  </si>
  <si>
    <t>DML-639</t>
  </si>
  <si>
    <t>TMO-226</t>
  </si>
  <si>
    <t>FORNECIMENTO E INSTALAÇÃO DE VIDRAÇARIA</t>
  </si>
  <si>
    <t>SOS</t>
  </si>
  <si>
    <t>TMO-189</t>
  </si>
  <si>
    <t>SUBSTITUIÇÃO DE CAIXA D'ÁGUA</t>
  </si>
  <si>
    <t>VISA 126</t>
  </si>
  <si>
    <t>TMO-126</t>
  </si>
  <si>
    <t>INTIMAÇÃO VIGILÂNCIA SANITÁRIA</t>
  </si>
  <si>
    <t>TMO-162</t>
  </si>
  <si>
    <t>VISA</t>
  </si>
  <si>
    <t>Qual o nº da OS no sistema D1000? (status na planilha: CONCLUIDO)</t>
  </si>
  <si>
    <t>Subo com o nº informado em "Executado - pend. aprovação OS (relatório pendente)".</t>
  </si>
  <si>
    <t>COPIA DE CHAVE(MAU USO)</t>
  </si>
  <si>
    <t>Qual o nº da OS no sistema D1000? (status na planilha: ENVIAR RELATÓRIO)</t>
  </si>
  <si>
    <t>DML-44</t>
  </si>
  <si>
    <t>ABERTURA DE ALÇAPÃO</t>
  </si>
  <si>
    <t>TMO-106</t>
  </si>
  <si>
    <t>MULTIRÃO</t>
  </si>
  <si>
    <t>Subo com o nº informado em "Em andamento".</t>
  </si>
  <si>
    <t>TMO-136</t>
  </si>
  <si>
    <t>TROCA DE CADEADOS</t>
  </si>
  <si>
    <t>Qual o nº da OS no sistema D1000? (status na planilha: CONCLUIDO) A planilha tem o pedido 4503235799 — já foi faturada?</t>
  </si>
  <si>
    <t>Subo com o nº informado em "Levantamento (aguardando execução)".</t>
  </si>
  <si>
    <t>Data estranha</t>
  </si>
  <si>
    <t>3115066</t>
  </si>
  <si>
    <t>TMO-117</t>
  </si>
  <si>
    <t>TROCA DE TAMPA DE BUEIRO</t>
  </si>
  <si>
    <t>Data de aprovação na planilha: 10/08/2028. É 10/08/2026?</t>
  </si>
  <si>
    <t>Corrijo a data ao subir.</t>
  </si>
  <si>
    <t>3151602</t>
  </si>
  <si>
    <t>TMO-171</t>
  </si>
  <si>
    <t>ABASTECIMENTO DE ÁGUA</t>
  </si>
  <si>
    <t>Execução em 19/08/2026, antes da aprovação em 21/08/2026. Qual está certa?</t>
  </si>
  <si>
    <t>Uso a data correta ao subir.</t>
  </si>
  <si>
    <t>Aba 4 — OS fora do padrão no hub</t>
  </si>
  <si>
    <t>VISA TMO-108</t>
  </si>
  <si>
    <t>TMO-108</t>
  </si>
  <si>
    <t>Etapa no hub: Pendente faturamento</t>
  </si>
  <si>
    <t>Esta obra está no hub com o nº "VISA TMO-108". Qual o nº da OS no sistema D1000 (7 dígitos)? Na planilha aparece como "VISA 108".</t>
  </si>
  <si>
    <t>Corrijo o nº da OS no hub.</t>
  </si>
  <si>
    <t>VISA141</t>
  </si>
  <si>
    <t>TMO-141</t>
  </si>
  <si>
    <t>Esta obra está no hub com o nº "VISA141". Qual o nº da OS no sistema D1000 (7 dígitos)? Na planilha aparece como "VISA 141".</t>
  </si>
  <si>
    <t>Esta obra está no hub com o nº "VISA". Qual o nº da OS no sistema D1000 (7 dígitos)? Na planilha aparece como "VISA 995".</t>
  </si>
  <si>
    <t>Cadeado Sem Os's</t>
  </si>
  <si>
    <t>TMO-105</t>
  </si>
  <si>
    <t>Esta obra está no hub com o nº "Cadeado Sem Os's". Qual o nº da OS no sistema D1000 (7 dígitos)? Na planilha aparece como "SEM OS".</t>
  </si>
  <si>
    <t>Reforma Calçada e Marquise</t>
  </si>
  <si>
    <t>TMO-168</t>
  </si>
  <si>
    <t>Etapa no hub: Levantamento</t>
  </si>
  <si>
    <t>Esta obra está no hub com o nº "Reforma Calçada e Marquise". Qual o nº da OS no sistema D1000 (7 dígitos)? Na planilha aparece como "SEM OS".</t>
  </si>
  <si>
    <t>TMO104 - PINTURA</t>
  </si>
  <si>
    <t>TMO-104</t>
  </si>
  <si>
    <t>Etapa no hub: Fechar OS</t>
  </si>
  <si>
    <t>Esta obra está no hub com o nº "TMO104 - PINTURA". Qual o nº da OS no sistema D1000 (7 dígitos)? Na planilha aparece como "SEM OS".</t>
  </si>
  <si>
    <t>TMO106-Reparos gerais</t>
  </si>
  <si>
    <t>Esta obra está no hub com o nº "TMO106-Reparos gerais". Qual o nº da OS no sistema D1000 (7 dígitos)? Na planilha aparece como "SEM OS".</t>
  </si>
  <si>
    <t>DML624 - ADEQUAÇÃO DE PONTO DE TOMADA</t>
  </si>
  <si>
    <t>FML-624</t>
  </si>
  <si>
    <t>Esta obra está no hub com o nº "DML624 - ADEQUAÇÃO DE PONTO DE TOMADA". Qual o nº da OS no sistema D1000 (7 dígitos)? Na planilha aparece como "SEM OS".</t>
  </si>
  <si>
    <t>Aba 5 — loja ou valor divergente</t>
  </si>
  <si>
    <t>2973385</t>
  </si>
  <si>
    <t>TMO-129</t>
  </si>
  <si>
    <t>INSTALAÇÃO DE 2 CAIXAS D'ÁGUA</t>
  </si>
  <si>
    <t>Etapa compatível, mas valor: planilha 4369.50, hub 4483.24. Qual está certo?</t>
  </si>
  <si>
    <t>Corrijo no hub se o certo for o da planilha.</t>
  </si>
  <si>
    <t>3230485</t>
  </si>
  <si>
    <t>TMO-186</t>
  </si>
  <si>
    <t>SUBSTITUIÇÃO DE CAIXA DE GORDURA</t>
  </si>
  <si>
    <t>Etapa compatível, mas loja: planilha TMO-186, hub TMO-185. Qual está certo?</t>
  </si>
  <si>
    <t>3238303</t>
  </si>
  <si>
    <t>TMO-128</t>
  </si>
  <si>
    <t>SUBSTITUIÇÃO DE BOMBA D'ÁGUA</t>
  </si>
  <si>
    <t>Etapa compatível, mas loja: planilha TMO-128, hub TMO-104. Qual está certo?</t>
  </si>
  <si>
    <t>3263792</t>
  </si>
  <si>
    <t>Etapa compatível, mas valor: planilha 2107.23, hub 3079.66. Qual está certo?</t>
  </si>
  <si>
    <t>DML-624</t>
  </si>
  <si>
    <t>ADEQUAÇÃO DE PONTO DE TOMADA</t>
  </si>
  <si>
    <t>Etapa compatível, mas loja: planilha DML-624, hub FML-624. Qual está certo?</t>
  </si>
  <si>
    <t>Field</t>
  </si>
  <si>
    <t>Todas as obras da aba "Vai subir"</t>
  </si>
  <si>
    <t>Alguém (ex.: Matheus) vai abrir essas obras no Field? Na DPSP isso aconteceu no mesmo dia e o script teve que ser refeito.</t>
  </si>
  <si>
    <t>Se forem pelo Field, tiro do script; se não, subo pelo script.</t>
  </si>
  <si>
    <t>Pendente com o Financeiro — conciliação SPOT D1000</t>
  </si>
  <si>
    <t>Preencha só as colunas amarelas. Exemplo de resposta: "NF 2391, emitida em 25/07/2026".</t>
  </si>
  <si>
    <t>O que já se sabe</t>
  </si>
  <si>
    <t>O que falta</t>
  </si>
  <si>
    <t>3050164</t>
  </si>
  <si>
    <t>TMO-115</t>
  </si>
  <si>
    <t>SUBSTITUIÇÃO DE BOMBA</t>
  </si>
  <si>
    <t>Time respondeu "SIM" (faturada) com data 07/07/2026; status no sistema D1000 pela planilha: APROVADO.</t>
  </si>
  <si>
    <t>Nº da NF que faturou esta obra</t>
  </si>
  <si>
    <t>2926403</t>
  </si>
  <si>
    <t>TMO-120</t>
  </si>
  <si>
    <t>SUBSTITUIÇÃO DE PISO</t>
  </si>
  <si>
    <t>Time respondeu "SIM" (faturada) com data 09/07/2026; status no sistema D1000 pela planilha: FATURADO.</t>
  </si>
  <si>
    <t>3077273</t>
  </si>
  <si>
    <t>DML-632</t>
  </si>
  <si>
    <t>FORNECIMENTO DE CONTROLES</t>
  </si>
  <si>
    <t>Time respondeu "SIM" (faturada) com data 22/08/2026; status no sistema D1000 pela planilha: APROVADO.</t>
  </si>
  <si>
    <t>3070940</t>
  </si>
  <si>
    <t>TROCA DE BOMBA</t>
  </si>
  <si>
    <t>Time respondeu "SIM" (faturada) com data 15/07/2026; status no sistema D1000 pela planilha: APROVADO.</t>
  </si>
  <si>
    <t>3088762</t>
  </si>
  <si>
    <t>DML-36</t>
  </si>
  <si>
    <t>TROCA DE BOMBA PRESSURIZADA</t>
  </si>
  <si>
    <t>Time respondeu "SIM" (faturada) com data 23/07/2026; status no sistema D1000 pela planilha: APROVADO.</t>
  </si>
  <si>
    <t>3081276</t>
  </si>
  <si>
    <t>TMO-179</t>
  </si>
  <si>
    <t>HIDROJATEAMENTO CAIXA DE GORDURA</t>
  </si>
  <si>
    <t>Time respondeu "SIM" (faturada) com data 29/07/2026; status no sistema D1000 pela planilha: APROVADO.</t>
  </si>
  <si>
    <t>A planilha tem o pedido 4503235799, mas a obra está na lista para subir.</t>
  </si>
  <si>
    <t>Já foi faturada? Qual NF?</t>
  </si>
  <si>
    <t>Várias lojas</t>
  </si>
  <si>
    <t>EQUIPE EXTRA - JUNHO (173 linhas)</t>
  </si>
  <si>
    <t>Não são obras: cobrança de equipe extra de junho, por loja, todas "pendente faturamento".</t>
  </si>
  <si>
    <t>Faturar em lote fora do hub, ou lançar como uma obra única de cobrança?</t>
  </si>
  <si>
    <t>Vão subir no hub assim que você confirmar (78 obras com OS e "SIM" do time)</t>
  </si>
  <si>
    <t>Só olhar. Se alguma não deve subir ou a etapa está errada, escreva na coluna amarela. Em branco = pode subir. Exemplo: "não subir, já faturada".</t>
  </si>
  <si>
    <t>Analista</t>
  </si>
  <si>
    <t>Etapa em que vai subir</t>
  </si>
  <si>
    <t>Data aprovação</t>
  </si>
  <si>
    <t>Data execução (FEITO EM)</t>
  </si>
  <si>
    <t>Correção</t>
  </si>
  <si>
    <t>2767867</t>
  </si>
  <si>
    <t>TMO-188</t>
  </si>
  <si>
    <t>SUBSTITUIÇÃO DE BOTOEIRA DA PORTA</t>
  </si>
  <si>
    <t>Felipe Ferreira</t>
  </si>
  <si>
    <t>Executado - pend. aprovação OS</t>
  </si>
  <si>
    <t>2866916</t>
  </si>
  <si>
    <t>TMO-193</t>
  </si>
  <si>
    <t>REPARO DA MAQUISE E FACHADA</t>
  </si>
  <si>
    <t>2982319</t>
  </si>
  <si>
    <t>TMO-142</t>
  </si>
  <si>
    <t>INSTALAÇÃO DE BOMBA PRESSURUZADORA</t>
  </si>
  <si>
    <t>3018955</t>
  </si>
  <si>
    <t>TROCA DE CENTRAL DE PORTA</t>
  </si>
  <si>
    <t>Letícia Medeiros</t>
  </si>
  <si>
    <t>3032545</t>
  </si>
  <si>
    <t>TMO-131</t>
  </si>
  <si>
    <t>SUBSTITUIÇÃO DE TRAVA LATERAL</t>
  </si>
  <si>
    <t>3047605</t>
  </si>
  <si>
    <t>TMO-139</t>
  </si>
  <si>
    <t>3065960</t>
  </si>
  <si>
    <t>TMO-147</t>
  </si>
  <si>
    <t>SUBSTITUIÇÃO DE TAMBOR POR MAU USO</t>
  </si>
  <si>
    <t>3072695</t>
  </si>
  <si>
    <t>3078140</t>
  </si>
  <si>
    <t>TMO-137</t>
  </si>
  <si>
    <t>3078259</t>
  </si>
  <si>
    <t>TMO-160</t>
  </si>
  <si>
    <t>3078536</t>
  </si>
  <si>
    <t>DML-54</t>
  </si>
  <si>
    <t>3080881</t>
  </si>
  <si>
    <t>3086866</t>
  </si>
  <si>
    <t>3099670</t>
  </si>
  <si>
    <t>TMO-143</t>
  </si>
  <si>
    <t>3108288</t>
  </si>
  <si>
    <t>DML-25</t>
  </si>
  <si>
    <t>SUBSTITUIÇÃO DE TRAVA DA PORTINHOLA</t>
  </si>
  <si>
    <t>3112825</t>
  </si>
  <si>
    <t>DML-13</t>
  </si>
  <si>
    <t>3123030</t>
  </si>
  <si>
    <t>FML-67</t>
  </si>
  <si>
    <t>3139237</t>
  </si>
  <si>
    <t>3147017</t>
  </si>
  <si>
    <t>DML-637</t>
  </si>
  <si>
    <t>3147597</t>
  </si>
  <si>
    <t>DML-34</t>
  </si>
  <si>
    <t>3153379</t>
  </si>
  <si>
    <t>3163062</t>
  </si>
  <si>
    <t>DML-77</t>
  </si>
  <si>
    <t>3167169</t>
  </si>
  <si>
    <t>TMO-185</t>
  </si>
  <si>
    <t>3167733</t>
  </si>
  <si>
    <t>3168624</t>
  </si>
  <si>
    <t>DML-60</t>
  </si>
  <si>
    <t>3170144</t>
  </si>
  <si>
    <t>DML-42</t>
  </si>
  <si>
    <t>3173631</t>
  </si>
  <si>
    <t>3173935</t>
  </si>
  <si>
    <t>3174050</t>
  </si>
  <si>
    <t>DML-52</t>
  </si>
  <si>
    <t>3183923</t>
  </si>
  <si>
    <t>3183964</t>
  </si>
  <si>
    <t>3189312</t>
  </si>
  <si>
    <t>DML-58</t>
  </si>
  <si>
    <t>3190127</t>
  </si>
  <si>
    <t>3198889</t>
  </si>
  <si>
    <t>3212123</t>
  </si>
  <si>
    <t>3215191</t>
  </si>
  <si>
    <t>3215921</t>
  </si>
  <si>
    <t>3216570</t>
  </si>
  <si>
    <t>3226239</t>
  </si>
  <si>
    <t>TMO-140</t>
  </si>
  <si>
    <t>3227877</t>
  </si>
  <si>
    <t>DML-6</t>
  </si>
  <si>
    <t>3257042</t>
  </si>
  <si>
    <t>TMO-121</t>
  </si>
  <si>
    <t>3262058</t>
  </si>
  <si>
    <t>DML-64</t>
  </si>
  <si>
    <t>3273277</t>
  </si>
  <si>
    <t>SUBSTITUIÇÃO DE TRAVA LATERAL POR MAU USO</t>
  </si>
  <si>
    <t>4977028</t>
  </si>
  <si>
    <t>TMO-152</t>
  </si>
  <si>
    <t>COMUNICADO DESLIGAMENTO PROGRAMADO PARA MANUTENÇÃO NA REDE</t>
  </si>
  <si>
    <t>22/07/2026</t>
  </si>
  <si>
    <t>8441151</t>
  </si>
  <si>
    <t>2419572</t>
  </si>
  <si>
    <t>TMO-138</t>
  </si>
  <si>
    <t>NOVO CIRCUITO ELÉTRICO</t>
  </si>
  <si>
    <t>Pendente faturamento</t>
  </si>
  <si>
    <t>11/05/2026</t>
  </si>
  <si>
    <t>16/05/2026</t>
  </si>
  <si>
    <t>2532038</t>
  </si>
  <si>
    <t>TMO-177</t>
  </si>
  <si>
    <t>TROCA DE MOTOR E ALINHAMENTO DA PORTA DE AÇO</t>
  </si>
  <si>
    <t>07/05/2026</t>
  </si>
  <si>
    <t>22/05/2026</t>
  </si>
  <si>
    <t>2677412</t>
  </si>
  <si>
    <t>DML-605</t>
  </si>
  <si>
    <t>SUBSTITUIÇÃO DE VASO SANITARIO</t>
  </si>
  <si>
    <t>06/04/2026</t>
  </si>
  <si>
    <t>21/04/2026</t>
  </si>
  <si>
    <t>2714566</t>
  </si>
  <si>
    <t>REPARO EM COMPORTA + ABERTURA DE ALÇAPÃO</t>
  </si>
  <si>
    <t>14/07/2026</t>
  </si>
  <si>
    <t>20/07/2026</t>
  </si>
  <si>
    <t>2730579</t>
  </si>
  <si>
    <t>DML-79</t>
  </si>
  <si>
    <t>LIMPEZA DE PORTA DE ENROLAR</t>
  </si>
  <si>
    <t>01/04/2026</t>
  </si>
  <si>
    <t>10/05/2026</t>
  </si>
  <si>
    <t>2736434</t>
  </si>
  <si>
    <t>DML-87</t>
  </si>
  <si>
    <t>SUBSTITUIÇÃO DE VASO</t>
  </si>
  <si>
    <t>08/04/2026</t>
  </si>
  <si>
    <t>2741876</t>
  </si>
  <si>
    <t>DML-56</t>
  </si>
  <si>
    <t>REPARO EM CALHA DO TELHADO</t>
  </si>
  <si>
    <t>10/04/2026</t>
  </si>
  <si>
    <t>13/04/2026</t>
  </si>
  <si>
    <t>2791349</t>
  </si>
  <si>
    <t>DML-626</t>
  </si>
  <si>
    <t>12/04/2026</t>
  </si>
  <si>
    <t>29/07/2026</t>
  </si>
  <si>
    <t>2811031</t>
  </si>
  <si>
    <t>REPARO DE FORRO DE PORTA DE ENROLAR</t>
  </si>
  <si>
    <t>05/06/2026</t>
  </si>
  <si>
    <t>2834680</t>
  </si>
  <si>
    <t>13/07/2026</t>
  </si>
  <si>
    <t>2851704</t>
  </si>
  <si>
    <t>REPARO EM DRYWALL</t>
  </si>
  <si>
    <t>08/07/2026</t>
  </si>
  <si>
    <t>28/07/2026</t>
  </si>
  <si>
    <t>2865147</t>
  </si>
  <si>
    <t>DML-27</t>
  </si>
  <si>
    <t>ESGOTAMENTO DE AGUA GALERIAS DO SOBSOLO</t>
  </si>
  <si>
    <t>08/05/2026</t>
  </si>
  <si>
    <t>21/06/2026</t>
  </si>
  <si>
    <t>2928929</t>
  </si>
  <si>
    <t>SUBSTITUIÇÃO DE PIA</t>
  </si>
  <si>
    <t>18/08/2026</t>
  </si>
  <si>
    <t>01/09/2026</t>
  </si>
  <si>
    <t>2934134</t>
  </si>
  <si>
    <t>DML-1</t>
  </si>
  <si>
    <t>CORTE E DESCARTE DO TOTEM</t>
  </si>
  <si>
    <t>17/05/2026</t>
  </si>
  <si>
    <t>19/05/2026</t>
  </si>
  <si>
    <t>2975939</t>
  </si>
  <si>
    <t>08/06/2026</t>
  </si>
  <si>
    <t>11/06/2026</t>
  </si>
  <si>
    <t>3048568</t>
  </si>
  <si>
    <t>TMO-149</t>
  </si>
  <si>
    <t>FORRO COBRE ROLO</t>
  </si>
  <si>
    <t>27/08/2026</t>
  </si>
  <si>
    <t>31/08/2026</t>
  </si>
  <si>
    <t>3056197</t>
  </si>
  <si>
    <t>FECHADURAS TETRACHAVE</t>
  </si>
  <si>
    <t>17/08/2026</t>
  </si>
  <si>
    <t>02/09/2026</t>
  </si>
  <si>
    <t>3082591</t>
  </si>
  <si>
    <t>HIDROJATEAMENTO</t>
  </si>
  <si>
    <t>02/08/2026</t>
  </si>
  <si>
    <t>3101107</t>
  </si>
  <si>
    <t>TMO-107</t>
  </si>
  <si>
    <t>READEQUAÇÃO DE ILUMINAÇÃO  FACHADA</t>
  </si>
  <si>
    <t>12/08/2026</t>
  </si>
  <si>
    <t>12/09/2026</t>
  </si>
  <si>
    <t>3106284</t>
  </si>
  <si>
    <t>FORNECIMENTO, REPARO E INSTALAÇÃO DE VIDROS E PERFIS DE ALUMINIO</t>
  </si>
  <si>
    <t>11/08/2026</t>
  </si>
  <si>
    <t>20/08/2026</t>
  </si>
  <si>
    <t>3108137</t>
  </si>
  <si>
    <t>SUBSTITUIÇÃO DE TELHAS</t>
  </si>
  <si>
    <t>31/07/2026</t>
  </si>
  <si>
    <t>04/08/2026</t>
  </si>
  <si>
    <t>10/08/2028</t>
  </si>
  <si>
    <t>3129193</t>
  </si>
  <si>
    <t>SUBSTITUIÇÃO DE LÂMPADAS</t>
  </si>
  <si>
    <t>20/10/2026</t>
  </si>
  <si>
    <t>3129438</t>
  </si>
  <si>
    <t>TMO-130</t>
  </si>
  <si>
    <t>TROCA DE BACIA SANITÁRIA</t>
  </si>
  <si>
    <t>3134246</t>
  </si>
  <si>
    <t>DML-608</t>
  </si>
  <si>
    <t>NOVO CIRCUITO DE CABOS</t>
  </si>
  <si>
    <t>3149147</t>
  </si>
  <si>
    <t>26/08/2026</t>
  </si>
  <si>
    <t>21/08/2026</t>
  </si>
  <si>
    <t>19/08/2026</t>
  </si>
  <si>
    <t>3159758</t>
  </si>
  <si>
    <t>24/08/2026</t>
  </si>
  <si>
    <t>28/08/2026</t>
  </si>
  <si>
    <t>3176745</t>
  </si>
  <si>
    <t>RECOMPOSIÇÃO DE FORRO</t>
  </si>
  <si>
    <t>03/09/2026</t>
  </si>
  <si>
    <t>05/09/2026</t>
  </si>
  <si>
    <t>3230585</t>
  </si>
  <si>
    <t>TMO-175</t>
  </si>
  <si>
    <t>SUBSTITUIÇÃO DE TAMBOR</t>
  </si>
  <si>
    <t>28/09/2026</t>
  </si>
  <si>
    <t>3230586</t>
  </si>
  <si>
    <t>SUBSTITUIÇÃO DE TAMBOR (MAU USO)</t>
  </si>
  <si>
    <t>3245574</t>
  </si>
  <si>
    <t>SUBSTITUIÇÃO DE  2 TAMBORES POR MAU USO</t>
  </si>
  <si>
    <t>05/10/2026</t>
  </si>
  <si>
    <t>3271053</t>
  </si>
  <si>
    <t>23/10/2026</t>
  </si>
  <si>
    <t xml:space="preserve">Valor correto  R$ 4.483,24 	
	</t>
  </si>
  <si>
    <t>TMO 186</t>
  </si>
  <si>
    <t>TMO 104</t>
  </si>
  <si>
    <t>executado como mau uso</t>
  </si>
  <si>
    <t>FML 624</t>
  </si>
  <si>
    <t>Fazer via script</t>
  </si>
  <si>
    <t>valor correto R$ 2107,23</t>
  </si>
  <si>
    <t>Serviço não tem OS aberta.</t>
  </si>
  <si>
    <t>Serviço não tem OS específica. Demandas divididas em 3 OS: 2716704, 2948868 e 2958423</t>
  </si>
  <si>
    <t xml:space="preserve">Serviço não tem OS específica aberta. Demandas divididas em 4 OS: 3175421, 3175401, 3175469 e 3175915. </t>
  </si>
  <si>
    <t xml:space="preserve">Serviço não tem OS aberta. </t>
  </si>
  <si>
    <t>Execução dia 20/08 e aprovação formal por e-mail dia 21/08. Serviço solicitado pelo Analista Felipe por Whatsapp dia 20/08.</t>
  </si>
  <si>
    <t>Data correta é 10/08/2026.</t>
  </si>
  <si>
    <t>OS 3190630</t>
  </si>
  <si>
    <t>OS 3058267</t>
  </si>
  <si>
    <t>OS 3112058</t>
  </si>
  <si>
    <t>OS 3158589</t>
  </si>
  <si>
    <t>OS 2803532</t>
  </si>
  <si>
    <t>Não, este é um serviço adicional aos solicitados inicialmente na TMO995. Não tem OS aberta.</t>
  </si>
  <si>
    <t>Serviço executado, há faturamento. Confirmado pela analista Letícia por e-mail dia 24/08.</t>
  </si>
  <si>
    <t>Subir no HUB, porém, confirmar se houve faturamento.</t>
  </si>
  <si>
    <t>Serviço executado, sem OS no sistema D1000. Subir no HUB, porém, confirmar se houve faturamento.</t>
  </si>
  <si>
    <t>Não subir no HUB.</t>
  </si>
  <si>
    <t>Subir no HUB, executada, confirmar faturamento.</t>
  </si>
  <si>
    <t>Executada, confirmar faturamento.</t>
  </si>
  <si>
    <t>Executado, confirmar faturamento.</t>
  </si>
  <si>
    <t>SEM APROVAÇÃO</t>
  </si>
  <si>
    <t>AGUARDANDO APROVAÇÃO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</si>
</sst>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&quot;-&quot;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D205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4" fontId="5" fillId="0" borderId="0" xfId="0" applyNumberFormat="1" applyFont="1"/>
    <xf numFmtId="14" fontId="4" fillId="0" borderId="1" xfId="0" applyNumberFormat="1" applyFont="1" applyBorder="1" applyAlignment="1">
      <alignment vertical="top" wrapText="1"/>
    </xf>
    <xf numFmtId="16" fontId="4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workbookViewId="0">
      <selection activeCell="C8" sqref="C8"/>
    </sheetView>
  </sheetViews>
  <sheetFormatPr defaultRowHeight="14.5" x14ac:dyDescent="0.35"/>
  <cols>
    <col min="1" max="2" width="24" customWidth="1"/>
    <col min="3" max="3" width="8" customWidth="1"/>
    <col min="4" max="4" width="13" customWidth="1"/>
    <col min="5" max="5" width="8" customWidth="1"/>
  </cols>
  <sheetData>
    <row r="1" spans="1:5" ht="18" x14ac:dyDescent="0.4">
      <c r="A1" s="1" t="s">
        <v>0</v>
      </c>
    </row>
    <row r="2" spans="1:5" x14ac:dyDescent="0.35">
      <c r="A2" s="2" t="s">
        <v>1</v>
      </c>
    </row>
    <row r="4" spans="1:5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5">
      <c r="A5" s="4" t="s">
        <v>7</v>
      </c>
      <c r="B5" s="4" t="s">
        <v>8</v>
      </c>
      <c r="C5" s="4">
        <f>COUNTA('Validar com o time'!B5:B57)</f>
        <v>53</v>
      </c>
      <c r="D5" s="4">
        <f>COUNTA('Validar com o time'!I5:I57)</f>
        <v>50</v>
      </c>
      <c r="E5" s="4">
        <f>C5-D5</f>
        <v>3</v>
      </c>
    </row>
    <row r="6" spans="1:5" x14ac:dyDescent="0.35">
      <c r="A6" s="4" t="s">
        <v>9</v>
      </c>
      <c r="B6" s="4" t="s">
        <v>10</v>
      </c>
      <c r="C6" s="4">
        <f>COUNTA('Pendente Financeiro'!B5:B12)</f>
        <v>8</v>
      </c>
      <c r="D6" s="4">
        <f>COUNTA('Pendente Financeiro'!H5:H12)</f>
        <v>0</v>
      </c>
      <c r="E6" s="4">
        <f>C6-D6</f>
        <v>8</v>
      </c>
    </row>
    <row r="7" spans="1:5" x14ac:dyDescent="0.35">
      <c r="A7" s="5" t="s">
        <v>11</v>
      </c>
      <c r="C7" s="6">
        <f>SUM(C5:C6)</f>
        <v>61</v>
      </c>
      <c r="D7" s="6">
        <f>SUM(D5:D6)</f>
        <v>50</v>
      </c>
      <c r="E7" s="6">
        <f>SUM(E5:E6)</f>
        <v>11</v>
      </c>
    </row>
    <row r="9" spans="1:5" x14ac:dyDescent="0.35">
      <c r="A9" s="5" t="s">
        <v>12</v>
      </c>
      <c r="B9" s="7">
        <f>COUNTA('Vai subir (conferir)'!B5:B82)</f>
        <v>78</v>
      </c>
      <c r="C9" s="7" t="s">
        <v>13</v>
      </c>
    </row>
    <row r="10" spans="1:5" x14ac:dyDescent="0.35">
      <c r="B10" s="8">
        <f>SUM('Vai subir (conferir)'!E5:E82)</f>
        <v>103589.65999999999</v>
      </c>
      <c r="C10" s="7" t="s">
        <v>14</v>
      </c>
    </row>
    <row r="12" spans="1:5" x14ac:dyDescent="0.35">
      <c r="A12" s="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showGridLines="0" workbookViewId="0">
      <pane xSplit="2" ySplit="4" topLeftCell="E7" activePane="bottomRight" state="frozen"/>
      <selection pane="topRight"/>
      <selection pane="bottomLeft"/>
      <selection pane="bottomRight" activeCell="I8" sqref="I8"/>
    </sheetView>
  </sheetViews>
  <sheetFormatPr defaultRowHeight="14.5" x14ac:dyDescent="0.35"/>
  <cols>
    <col min="1" max="1" width="4" customWidth="1"/>
    <col min="2" max="2" width="22" customWidth="1"/>
    <col min="3" max="3" width="13" customWidth="1"/>
    <col min="4" max="4" width="11" customWidth="1"/>
    <col min="5" max="5" width="32" customWidth="1"/>
    <col min="6" max="6" width="12" customWidth="1"/>
    <col min="7" max="7" width="60" customWidth="1"/>
    <col min="8" max="8" width="36" customWidth="1"/>
    <col min="9" max="9" width="40" customWidth="1"/>
    <col min="10" max="10" width="18" customWidth="1"/>
  </cols>
  <sheetData>
    <row r="1" spans="1:10" ht="18" x14ac:dyDescent="0.4">
      <c r="A1" s="1" t="s">
        <v>16</v>
      </c>
    </row>
    <row r="2" spans="1:10" x14ac:dyDescent="0.35">
      <c r="A2" s="2" t="s">
        <v>17</v>
      </c>
    </row>
    <row r="4" spans="1:10" ht="26" x14ac:dyDescent="0.35">
      <c r="A4" s="9" t="s">
        <v>18</v>
      </c>
      <c r="B4" s="9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9" t="s">
        <v>26</v>
      </c>
      <c r="J4" s="9" t="s">
        <v>27</v>
      </c>
    </row>
    <row r="5" spans="1:10" ht="37.5" x14ac:dyDescent="0.35">
      <c r="A5" s="10">
        <v>1</v>
      </c>
      <c r="B5" s="10" t="s">
        <v>28</v>
      </c>
      <c r="C5" s="10" t="s">
        <v>29</v>
      </c>
      <c r="D5" s="10" t="s">
        <v>29</v>
      </c>
      <c r="E5" s="10" t="s">
        <v>30</v>
      </c>
      <c r="F5" s="11"/>
      <c r="G5" s="10" t="s">
        <v>31</v>
      </c>
      <c r="H5" s="10" t="s">
        <v>32</v>
      </c>
      <c r="I5" s="12"/>
      <c r="J5" s="12"/>
    </row>
    <row r="6" spans="1:10" ht="37.5" x14ac:dyDescent="0.35">
      <c r="A6" s="10">
        <v>2</v>
      </c>
      <c r="B6" s="10" t="s">
        <v>28</v>
      </c>
      <c r="C6" s="10" t="s">
        <v>29</v>
      </c>
      <c r="D6" s="10" t="s">
        <v>29</v>
      </c>
      <c r="E6" s="10" t="s">
        <v>33</v>
      </c>
      <c r="F6" s="11"/>
      <c r="G6" s="10" t="s">
        <v>34</v>
      </c>
      <c r="H6" s="10" t="s">
        <v>35</v>
      </c>
      <c r="I6" s="12"/>
      <c r="J6" s="12"/>
    </row>
    <row r="7" spans="1:10" ht="25" x14ac:dyDescent="0.35">
      <c r="A7" s="10">
        <v>3</v>
      </c>
      <c r="B7" s="10" t="s">
        <v>36</v>
      </c>
      <c r="C7" s="10" t="s">
        <v>37</v>
      </c>
      <c r="D7" s="10" t="s">
        <v>38</v>
      </c>
      <c r="E7" s="10" t="s">
        <v>39</v>
      </c>
      <c r="F7" s="11">
        <v>496.24</v>
      </c>
      <c r="G7" s="10" t="s">
        <v>40</v>
      </c>
      <c r="H7" s="10" t="s">
        <v>41</v>
      </c>
      <c r="I7" s="12" t="s">
        <v>470</v>
      </c>
      <c r="J7" s="12"/>
    </row>
    <row r="8" spans="1:10" ht="25" x14ac:dyDescent="0.35">
      <c r="A8" s="10">
        <v>4</v>
      </c>
      <c r="B8" s="10" t="s">
        <v>36</v>
      </c>
      <c r="C8" s="10" t="s">
        <v>42</v>
      </c>
      <c r="D8" s="10" t="s">
        <v>43</v>
      </c>
      <c r="E8" s="10" t="s">
        <v>44</v>
      </c>
      <c r="F8" s="11">
        <v>4323.8</v>
      </c>
      <c r="G8" s="10" t="s">
        <v>40</v>
      </c>
      <c r="H8" s="10" t="s">
        <v>41</v>
      </c>
      <c r="I8" s="12" t="s">
        <v>469</v>
      </c>
      <c r="J8" s="12"/>
    </row>
    <row r="9" spans="1:10" ht="25" x14ac:dyDescent="0.35">
      <c r="A9" s="10">
        <v>5</v>
      </c>
      <c r="B9" s="10" t="s">
        <v>36</v>
      </c>
      <c r="C9" s="10" t="s">
        <v>45</v>
      </c>
      <c r="D9" s="10" t="s">
        <v>46</v>
      </c>
      <c r="E9" s="10" t="s">
        <v>47</v>
      </c>
      <c r="F9" s="11">
        <v>1197.7</v>
      </c>
      <c r="G9" s="10" t="s">
        <v>40</v>
      </c>
      <c r="H9" s="10" t="s">
        <v>41</v>
      </c>
      <c r="I9" s="12" t="s">
        <v>469</v>
      </c>
      <c r="J9" s="12"/>
    </row>
    <row r="10" spans="1:10" ht="37.5" x14ac:dyDescent="0.35">
      <c r="A10" s="10">
        <v>6</v>
      </c>
      <c r="B10" s="10" t="s">
        <v>36</v>
      </c>
      <c r="C10" s="10" t="s">
        <v>48</v>
      </c>
      <c r="D10" s="10" t="s">
        <v>49</v>
      </c>
      <c r="E10" s="10" t="s">
        <v>50</v>
      </c>
      <c r="F10" s="11">
        <v>1332.68</v>
      </c>
      <c r="G10" s="10" t="s">
        <v>51</v>
      </c>
      <c r="H10" s="10" t="s">
        <v>41</v>
      </c>
      <c r="I10" s="12" t="s">
        <v>468</v>
      </c>
      <c r="J10" s="12"/>
    </row>
    <row r="11" spans="1:10" ht="37.5" x14ac:dyDescent="0.35">
      <c r="A11" s="10">
        <v>7</v>
      </c>
      <c r="B11" s="10" t="s">
        <v>36</v>
      </c>
      <c r="C11" s="10" t="s">
        <v>52</v>
      </c>
      <c r="D11" s="10" t="s">
        <v>53</v>
      </c>
      <c r="E11" s="10" t="s">
        <v>54</v>
      </c>
      <c r="F11" s="11">
        <v>1326.37</v>
      </c>
      <c r="G11" s="10" t="s">
        <v>51</v>
      </c>
      <c r="H11" s="10" t="s">
        <v>41</v>
      </c>
      <c r="I11" s="12" t="s">
        <v>468</v>
      </c>
      <c r="J11" s="12"/>
    </row>
    <row r="12" spans="1:10" ht="37.5" x14ac:dyDescent="0.35">
      <c r="A12" s="10">
        <v>8</v>
      </c>
      <c r="B12" s="10" t="s">
        <v>36</v>
      </c>
      <c r="C12" s="10" t="s">
        <v>55</v>
      </c>
      <c r="D12" s="10" t="s">
        <v>56</v>
      </c>
      <c r="E12" s="10" t="s">
        <v>57</v>
      </c>
      <c r="F12" s="11">
        <v>850.65</v>
      </c>
      <c r="G12" s="10" t="s">
        <v>51</v>
      </c>
      <c r="H12" s="10" t="s">
        <v>41</v>
      </c>
      <c r="I12" s="12" t="s">
        <v>468</v>
      </c>
      <c r="J12" s="12"/>
    </row>
    <row r="13" spans="1:10" ht="25" x14ac:dyDescent="0.35">
      <c r="A13" s="10">
        <v>9</v>
      </c>
      <c r="B13" s="10" t="s">
        <v>36</v>
      </c>
      <c r="C13" s="10" t="s">
        <v>58</v>
      </c>
      <c r="D13" s="10" t="s">
        <v>59</v>
      </c>
      <c r="E13" s="10" t="s">
        <v>60</v>
      </c>
      <c r="F13" s="11">
        <v>200.8</v>
      </c>
      <c r="G13" s="10" t="s">
        <v>61</v>
      </c>
      <c r="H13" s="10" t="s">
        <v>41</v>
      </c>
      <c r="I13" s="12" t="s">
        <v>468</v>
      </c>
      <c r="J13" s="12"/>
    </row>
    <row r="14" spans="1:10" ht="37.5" x14ac:dyDescent="0.35">
      <c r="A14" s="10">
        <v>10</v>
      </c>
      <c r="B14" s="10" t="s">
        <v>36</v>
      </c>
      <c r="C14" s="10" t="s">
        <v>62</v>
      </c>
      <c r="D14" s="10" t="s">
        <v>59</v>
      </c>
      <c r="E14" s="10" t="s">
        <v>63</v>
      </c>
      <c r="F14" s="11">
        <v>200.8</v>
      </c>
      <c r="G14" s="10" t="s">
        <v>61</v>
      </c>
      <c r="H14" s="10" t="s">
        <v>41</v>
      </c>
      <c r="I14" s="12" t="s">
        <v>468</v>
      </c>
      <c r="J14" s="12"/>
    </row>
    <row r="15" spans="1:10" ht="25" x14ac:dyDescent="0.35">
      <c r="A15" s="10">
        <v>11</v>
      </c>
      <c r="B15" s="10" t="s">
        <v>64</v>
      </c>
      <c r="C15" s="10" t="s">
        <v>65</v>
      </c>
      <c r="D15" s="10" t="s">
        <v>66</v>
      </c>
      <c r="E15" s="10" t="s">
        <v>67</v>
      </c>
      <c r="F15" s="11">
        <v>2741.02</v>
      </c>
      <c r="G15" s="10" t="s">
        <v>68</v>
      </c>
      <c r="H15" s="10" t="s">
        <v>69</v>
      </c>
      <c r="I15" s="12" t="s">
        <v>467</v>
      </c>
      <c r="J15" s="12"/>
    </row>
    <row r="16" spans="1:10" ht="25" x14ac:dyDescent="0.35">
      <c r="A16" s="10">
        <v>12</v>
      </c>
      <c r="B16" s="10" t="s">
        <v>64</v>
      </c>
      <c r="C16" s="10" t="s">
        <v>70</v>
      </c>
      <c r="D16" s="10" t="s">
        <v>71</v>
      </c>
      <c r="E16" s="10" t="s">
        <v>72</v>
      </c>
      <c r="F16" s="11">
        <v>3975.45</v>
      </c>
      <c r="G16" s="10" t="s">
        <v>68</v>
      </c>
      <c r="H16" s="10" t="s">
        <v>69</v>
      </c>
      <c r="I16" s="12" t="s">
        <v>465</v>
      </c>
      <c r="J16" s="12"/>
    </row>
    <row r="17" spans="1:10" ht="25" x14ac:dyDescent="0.35">
      <c r="A17" s="10">
        <v>13</v>
      </c>
      <c r="B17" s="10" t="s">
        <v>64</v>
      </c>
      <c r="C17" s="10" t="s">
        <v>73</v>
      </c>
      <c r="D17" s="10" t="s">
        <v>74</v>
      </c>
      <c r="E17" s="10" t="s">
        <v>75</v>
      </c>
      <c r="F17" s="11">
        <v>522.75</v>
      </c>
      <c r="G17" s="10" t="s">
        <v>68</v>
      </c>
      <c r="H17" s="10" t="s">
        <v>69</v>
      </c>
      <c r="I17" s="12" t="s">
        <v>465</v>
      </c>
      <c r="J17" s="12"/>
    </row>
    <row r="18" spans="1:10" ht="25" x14ac:dyDescent="0.35">
      <c r="A18" s="10">
        <v>14</v>
      </c>
      <c r="B18" s="10" t="s">
        <v>64</v>
      </c>
      <c r="C18" s="10" t="s">
        <v>76</v>
      </c>
      <c r="D18" s="10" t="s">
        <v>77</v>
      </c>
      <c r="E18" s="10" t="s">
        <v>78</v>
      </c>
      <c r="F18" s="11">
        <v>2400.36</v>
      </c>
      <c r="G18" s="10" t="s">
        <v>68</v>
      </c>
      <c r="H18" s="10" t="s">
        <v>69</v>
      </c>
      <c r="I18" s="12" t="s">
        <v>465</v>
      </c>
      <c r="J18" s="12"/>
    </row>
    <row r="19" spans="1:10" ht="25" x14ac:dyDescent="0.35">
      <c r="A19" s="10">
        <v>15</v>
      </c>
      <c r="B19" s="10" t="s">
        <v>64</v>
      </c>
      <c r="C19" s="10" t="s">
        <v>79</v>
      </c>
      <c r="D19" s="10" t="s">
        <v>80</v>
      </c>
      <c r="E19" s="10" t="s">
        <v>81</v>
      </c>
      <c r="F19" s="11">
        <v>1565.57</v>
      </c>
      <c r="G19" s="10" t="s">
        <v>68</v>
      </c>
      <c r="H19" s="10" t="s">
        <v>69</v>
      </c>
      <c r="I19" s="12" t="s">
        <v>465</v>
      </c>
      <c r="J19" s="12"/>
    </row>
    <row r="20" spans="1:10" ht="25" x14ac:dyDescent="0.35">
      <c r="A20" s="10">
        <v>16</v>
      </c>
      <c r="B20" s="10" t="s">
        <v>64</v>
      </c>
      <c r="C20" s="10" t="s">
        <v>82</v>
      </c>
      <c r="D20" s="10" t="s">
        <v>74</v>
      </c>
      <c r="E20" s="10" t="s">
        <v>83</v>
      </c>
      <c r="F20" s="11">
        <v>1585.25</v>
      </c>
      <c r="G20" s="10" t="s">
        <v>68</v>
      </c>
      <c r="H20" s="10" t="s">
        <v>69</v>
      </c>
      <c r="I20" s="12" t="s">
        <v>465</v>
      </c>
      <c r="J20" s="12"/>
    </row>
    <row r="21" spans="1:10" ht="37.5" x14ac:dyDescent="0.35">
      <c r="A21" s="10">
        <v>17</v>
      </c>
      <c r="B21" s="10" t="s">
        <v>64</v>
      </c>
      <c r="C21" s="10" t="s">
        <v>84</v>
      </c>
      <c r="D21" s="10" t="s">
        <v>85</v>
      </c>
      <c r="E21" s="10" t="s">
        <v>86</v>
      </c>
      <c r="F21" s="11">
        <v>1700.72</v>
      </c>
      <c r="G21" s="10" t="s">
        <v>87</v>
      </c>
      <c r="H21" s="10" t="s">
        <v>69</v>
      </c>
      <c r="I21" s="12" t="s">
        <v>466</v>
      </c>
      <c r="J21" s="12"/>
    </row>
    <row r="22" spans="1:10" ht="37.5" x14ac:dyDescent="0.35">
      <c r="A22" s="10">
        <v>18</v>
      </c>
      <c r="B22" s="10" t="s">
        <v>88</v>
      </c>
      <c r="C22" s="10" t="s">
        <v>89</v>
      </c>
      <c r="D22" s="10" t="s">
        <v>90</v>
      </c>
      <c r="E22" s="10" t="s">
        <v>91</v>
      </c>
      <c r="F22" s="11">
        <v>4399</v>
      </c>
      <c r="G22" s="10" t="s">
        <v>92</v>
      </c>
      <c r="H22" s="10" t="s">
        <v>93</v>
      </c>
      <c r="I22" s="12" t="s">
        <v>464</v>
      </c>
      <c r="J22" s="12"/>
    </row>
    <row r="23" spans="1:10" ht="37.5" x14ac:dyDescent="0.35">
      <c r="A23" s="10">
        <v>19</v>
      </c>
      <c r="B23" s="10" t="s">
        <v>88</v>
      </c>
      <c r="C23" s="10" t="s">
        <v>94</v>
      </c>
      <c r="D23" s="10" t="s">
        <v>95</v>
      </c>
      <c r="E23" s="10" t="s">
        <v>96</v>
      </c>
      <c r="F23" s="11">
        <v>2525.1</v>
      </c>
      <c r="G23" s="10" t="s">
        <v>97</v>
      </c>
      <c r="H23" s="10" t="s">
        <v>93</v>
      </c>
      <c r="I23" s="12" t="s">
        <v>463</v>
      </c>
      <c r="J23" s="12"/>
    </row>
    <row r="24" spans="1:10" ht="25" x14ac:dyDescent="0.35">
      <c r="A24" s="10">
        <v>20</v>
      </c>
      <c r="B24" s="10" t="s">
        <v>98</v>
      </c>
      <c r="C24" s="10" t="s">
        <v>99</v>
      </c>
      <c r="D24" s="10" t="s">
        <v>100</v>
      </c>
      <c r="E24" s="10" t="s">
        <v>101</v>
      </c>
      <c r="F24" s="11">
        <v>5266.84</v>
      </c>
      <c r="G24" s="10" t="s">
        <v>102</v>
      </c>
      <c r="H24" s="10" t="s">
        <v>103</v>
      </c>
      <c r="I24" s="12" t="s">
        <v>461</v>
      </c>
      <c r="J24" s="12"/>
    </row>
    <row r="25" spans="1:10" ht="25" x14ac:dyDescent="0.35">
      <c r="A25" s="10">
        <v>21</v>
      </c>
      <c r="B25" s="10" t="s">
        <v>98</v>
      </c>
      <c r="C25" s="10" t="s">
        <v>104</v>
      </c>
      <c r="D25" s="10" t="s">
        <v>105</v>
      </c>
      <c r="E25" s="10" t="s">
        <v>106</v>
      </c>
      <c r="F25" s="11">
        <v>3694.46</v>
      </c>
      <c r="G25" s="10" t="s">
        <v>102</v>
      </c>
      <c r="H25" s="10" t="s">
        <v>103</v>
      </c>
      <c r="I25" s="12" t="s">
        <v>462</v>
      </c>
      <c r="J25" s="12"/>
    </row>
    <row r="26" spans="1:10" ht="25" x14ac:dyDescent="0.35">
      <c r="A26" s="10">
        <v>22</v>
      </c>
      <c r="B26" s="10" t="s">
        <v>98</v>
      </c>
      <c r="C26" s="10" t="s">
        <v>107</v>
      </c>
      <c r="D26" s="10" t="s">
        <v>107</v>
      </c>
      <c r="E26" s="10" t="s">
        <v>108</v>
      </c>
      <c r="F26" s="11">
        <v>2476.9</v>
      </c>
      <c r="G26" s="10" t="s">
        <v>102</v>
      </c>
      <c r="H26" s="10" t="s">
        <v>103</v>
      </c>
      <c r="I26" s="12" t="s">
        <v>452</v>
      </c>
      <c r="J26" s="12"/>
    </row>
    <row r="27" spans="1:10" ht="25" x14ac:dyDescent="0.35">
      <c r="A27" s="10">
        <v>23</v>
      </c>
      <c r="B27" s="10" t="s">
        <v>98</v>
      </c>
      <c r="C27" s="10" t="s">
        <v>84</v>
      </c>
      <c r="D27" s="10" t="s">
        <v>109</v>
      </c>
      <c r="E27" s="10" t="s">
        <v>110</v>
      </c>
      <c r="F27" s="11">
        <v>1300</v>
      </c>
      <c r="G27" s="10" t="s">
        <v>102</v>
      </c>
      <c r="H27" s="10" t="s">
        <v>103</v>
      </c>
      <c r="I27" s="12" t="s">
        <v>452</v>
      </c>
      <c r="J27" s="12"/>
    </row>
    <row r="28" spans="1:10" ht="25" x14ac:dyDescent="0.35">
      <c r="A28" s="10">
        <v>24</v>
      </c>
      <c r="B28" s="10" t="s">
        <v>98</v>
      </c>
      <c r="C28" s="10" t="s">
        <v>84</v>
      </c>
      <c r="D28" s="10" t="s">
        <v>111</v>
      </c>
      <c r="E28" s="10" t="s">
        <v>110</v>
      </c>
      <c r="F28" s="11">
        <v>1300</v>
      </c>
      <c r="G28" s="10" t="s">
        <v>102</v>
      </c>
      <c r="H28" s="10" t="s">
        <v>103</v>
      </c>
      <c r="I28" s="12" t="s">
        <v>452</v>
      </c>
      <c r="J28" s="12"/>
    </row>
    <row r="29" spans="1:10" ht="25" x14ac:dyDescent="0.35">
      <c r="A29" s="10">
        <v>25</v>
      </c>
      <c r="B29" s="10" t="s">
        <v>98</v>
      </c>
      <c r="C29" s="10" t="s">
        <v>84</v>
      </c>
      <c r="D29" s="10" t="s">
        <v>112</v>
      </c>
      <c r="E29" s="10" t="s">
        <v>110</v>
      </c>
      <c r="F29" s="11">
        <v>1300</v>
      </c>
      <c r="G29" s="10" t="s">
        <v>102</v>
      </c>
      <c r="H29" s="10" t="s">
        <v>103</v>
      </c>
      <c r="I29" s="12" t="s">
        <v>452</v>
      </c>
      <c r="J29" s="12"/>
    </row>
    <row r="30" spans="1:10" ht="25" x14ac:dyDescent="0.35">
      <c r="A30" s="10">
        <v>26</v>
      </c>
      <c r="B30" s="10" t="s">
        <v>98</v>
      </c>
      <c r="C30" s="10" t="s">
        <v>84</v>
      </c>
      <c r="D30" s="10" t="s">
        <v>113</v>
      </c>
      <c r="E30" s="10" t="s">
        <v>110</v>
      </c>
      <c r="F30" s="11">
        <v>1300</v>
      </c>
      <c r="G30" s="10" t="s">
        <v>102</v>
      </c>
      <c r="H30" s="10" t="s">
        <v>103</v>
      </c>
      <c r="I30" s="12" t="s">
        <v>452</v>
      </c>
      <c r="J30" s="12"/>
    </row>
    <row r="31" spans="1:10" ht="25" x14ac:dyDescent="0.35">
      <c r="A31" s="10">
        <v>27</v>
      </c>
      <c r="B31" s="10" t="s">
        <v>98</v>
      </c>
      <c r="C31" s="10" t="s">
        <v>84</v>
      </c>
      <c r="D31" s="10" t="s">
        <v>114</v>
      </c>
      <c r="E31" s="10" t="s">
        <v>110</v>
      </c>
      <c r="F31" s="11">
        <v>1300</v>
      </c>
      <c r="G31" s="10" t="s">
        <v>102</v>
      </c>
      <c r="H31" s="10" t="s">
        <v>103</v>
      </c>
      <c r="I31" s="12" t="s">
        <v>452</v>
      </c>
      <c r="J31" s="12"/>
    </row>
    <row r="32" spans="1:10" ht="25" x14ac:dyDescent="0.35">
      <c r="A32" s="10">
        <v>28</v>
      </c>
      <c r="B32" s="10" t="s">
        <v>98</v>
      </c>
      <c r="C32" s="10" t="s">
        <v>84</v>
      </c>
      <c r="D32" s="10" t="s">
        <v>115</v>
      </c>
      <c r="E32" s="10" t="s">
        <v>110</v>
      </c>
      <c r="F32" s="11">
        <v>1300</v>
      </c>
      <c r="G32" s="10" t="s">
        <v>102</v>
      </c>
      <c r="H32" s="10" t="s">
        <v>103</v>
      </c>
      <c r="I32" s="12" t="s">
        <v>452</v>
      </c>
      <c r="J32" s="12"/>
    </row>
    <row r="33" spans="1:10" ht="25" x14ac:dyDescent="0.35">
      <c r="A33" s="10">
        <v>29</v>
      </c>
      <c r="B33" s="10" t="s">
        <v>98</v>
      </c>
      <c r="C33" s="10" t="s">
        <v>84</v>
      </c>
      <c r="D33" s="10" t="s">
        <v>116</v>
      </c>
      <c r="E33" s="10" t="s">
        <v>117</v>
      </c>
      <c r="F33" s="11">
        <v>2500</v>
      </c>
      <c r="G33" s="10" t="s">
        <v>102</v>
      </c>
      <c r="H33" s="10" t="s">
        <v>103</v>
      </c>
      <c r="I33" s="12" t="s">
        <v>460</v>
      </c>
      <c r="J33" s="12"/>
    </row>
    <row r="34" spans="1:10" ht="25" x14ac:dyDescent="0.35">
      <c r="A34" s="10">
        <v>30</v>
      </c>
      <c r="B34" s="10" t="s">
        <v>98</v>
      </c>
      <c r="C34" s="10" t="s">
        <v>118</v>
      </c>
      <c r="D34" s="10" t="s">
        <v>119</v>
      </c>
      <c r="E34" s="10" t="s">
        <v>120</v>
      </c>
      <c r="F34" s="11">
        <v>1660.54</v>
      </c>
      <c r="G34" s="10" t="s">
        <v>102</v>
      </c>
      <c r="H34" s="10" t="s">
        <v>103</v>
      </c>
      <c r="I34" s="12" t="s">
        <v>459</v>
      </c>
      <c r="J34" s="12"/>
    </row>
    <row r="35" spans="1:10" ht="25" x14ac:dyDescent="0.35">
      <c r="A35" s="10">
        <v>31</v>
      </c>
      <c r="B35" s="10" t="s">
        <v>98</v>
      </c>
      <c r="C35" s="10" t="s">
        <v>121</v>
      </c>
      <c r="D35" s="10" t="s">
        <v>122</v>
      </c>
      <c r="E35" s="10" t="s">
        <v>123</v>
      </c>
      <c r="F35" s="11">
        <v>2748.46</v>
      </c>
      <c r="G35" s="10" t="s">
        <v>102</v>
      </c>
      <c r="H35" s="10" t="s">
        <v>103</v>
      </c>
      <c r="I35" s="12" t="s">
        <v>458</v>
      </c>
      <c r="J35" s="12"/>
    </row>
    <row r="36" spans="1:10" ht="25" x14ac:dyDescent="0.35">
      <c r="A36" s="10">
        <v>32</v>
      </c>
      <c r="B36" s="10" t="s">
        <v>98</v>
      </c>
      <c r="C36" s="10" t="s">
        <v>99</v>
      </c>
      <c r="D36" s="10" t="s">
        <v>124</v>
      </c>
      <c r="E36" s="10" t="s">
        <v>125</v>
      </c>
      <c r="F36" s="11">
        <v>8396.33</v>
      </c>
      <c r="G36" s="10" t="s">
        <v>126</v>
      </c>
      <c r="H36" s="10" t="s">
        <v>127</v>
      </c>
      <c r="I36" s="12" t="s">
        <v>452</v>
      </c>
      <c r="J36" s="12"/>
    </row>
    <row r="37" spans="1:10" ht="25" x14ac:dyDescent="0.35">
      <c r="A37" s="10">
        <v>33</v>
      </c>
      <c r="B37" s="10" t="s">
        <v>98</v>
      </c>
      <c r="C37" s="10" t="s">
        <v>99</v>
      </c>
      <c r="D37" s="10" t="s">
        <v>59</v>
      </c>
      <c r="E37" s="10" t="s">
        <v>128</v>
      </c>
      <c r="F37" s="11">
        <v>258.45</v>
      </c>
      <c r="G37" s="10" t="s">
        <v>129</v>
      </c>
      <c r="H37" s="10" t="s">
        <v>127</v>
      </c>
      <c r="I37" s="12" t="s">
        <v>452</v>
      </c>
      <c r="J37" s="12"/>
    </row>
    <row r="38" spans="1:10" ht="25" x14ac:dyDescent="0.35">
      <c r="A38" s="10">
        <v>34</v>
      </c>
      <c r="B38" s="10" t="s">
        <v>98</v>
      </c>
      <c r="C38" s="10" t="s">
        <v>99</v>
      </c>
      <c r="D38" s="10" t="s">
        <v>130</v>
      </c>
      <c r="E38" s="10" t="s">
        <v>131</v>
      </c>
      <c r="F38" s="11">
        <v>2131.6</v>
      </c>
      <c r="G38" s="10" t="s">
        <v>129</v>
      </c>
      <c r="H38" s="10" t="s">
        <v>127</v>
      </c>
      <c r="I38" s="12" t="s">
        <v>452</v>
      </c>
      <c r="J38" s="12"/>
    </row>
    <row r="39" spans="1:10" ht="25" x14ac:dyDescent="0.35">
      <c r="A39" s="10">
        <v>35</v>
      </c>
      <c r="B39" s="10" t="s">
        <v>98</v>
      </c>
      <c r="C39" s="10" t="s">
        <v>99</v>
      </c>
      <c r="D39" s="10" t="s">
        <v>132</v>
      </c>
      <c r="E39" s="10" t="s">
        <v>133</v>
      </c>
      <c r="F39" s="11">
        <v>10720.72</v>
      </c>
      <c r="G39" s="10" t="s">
        <v>126</v>
      </c>
      <c r="H39" s="10" t="s">
        <v>134</v>
      </c>
      <c r="I39" s="12" t="s">
        <v>452</v>
      </c>
      <c r="J39" s="12"/>
    </row>
    <row r="40" spans="1:10" ht="25" x14ac:dyDescent="0.35">
      <c r="A40" s="10">
        <v>36</v>
      </c>
      <c r="B40" s="10" t="s">
        <v>98</v>
      </c>
      <c r="C40" s="10" t="s">
        <v>84</v>
      </c>
      <c r="D40" s="10" t="s">
        <v>135</v>
      </c>
      <c r="E40" s="10" t="s">
        <v>136</v>
      </c>
      <c r="F40" s="11">
        <v>998.69</v>
      </c>
      <c r="G40" s="10" t="s">
        <v>137</v>
      </c>
      <c r="H40" s="10" t="s">
        <v>138</v>
      </c>
      <c r="I40" s="12" t="s">
        <v>452</v>
      </c>
      <c r="J40" s="12"/>
    </row>
    <row r="41" spans="1:10" ht="25" x14ac:dyDescent="0.35">
      <c r="A41" s="10">
        <v>37</v>
      </c>
      <c r="B41" s="10" t="s">
        <v>98</v>
      </c>
      <c r="C41" s="10" t="s">
        <v>84</v>
      </c>
      <c r="D41" s="10" t="s">
        <v>132</v>
      </c>
      <c r="E41" s="10" t="s">
        <v>57</v>
      </c>
      <c r="F41" s="11">
        <v>567.1</v>
      </c>
      <c r="G41" s="10" t="s">
        <v>126</v>
      </c>
      <c r="H41" s="10" t="s">
        <v>138</v>
      </c>
      <c r="I41" s="12" t="s">
        <v>452</v>
      </c>
      <c r="J41" s="12"/>
    </row>
    <row r="42" spans="1:10" x14ac:dyDescent="0.35">
      <c r="A42" s="10">
        <v>38</v>
      </c>
      <c r="B42" s="10" t="s">
        <v>139</v>
      </c>
      <c r="C42" s="10" t="s">
        <v>140</v>
      </c>
      <c r="D42" s="10" t="s">
        <v>141</v>
      </c>
      <c r="E42" s="10" t="s">
        <v>142</v>
      </c>
      <c r="F42" s="11">
        <v>1017.03</v>
      </c>
      <c r="G42" s="10" t="s">
        <v>143</v>
      </c>
      <c r="H42" s="10" t="s">
        <v>144</v>
      </c>
      <c r="I42" s="12" t="s">
        <v>457</v>
      </c>
      <c r="J42" s="12"/>
    </row>
    <row r="43" spans="1:10" ht="37.5" x14ac:dyDescent="0.35">
      <c r="A43" s="10">
        <v>39</v>
      </c>
      <c r="B43" s="10" t="s">
        <v>139</v>
      </c>
      <c r="C43" s="10" t="s">
        <v>145</v>
      </c>
      <c r="D43" s="10" t="s">
        <v>146</v>
      </c>
      <c r="E43" s="10" t="s">
        <v>147</v>
      </c>
      <c r="F43" s="11">
        <v>2273.33</v>
      </c>
      <c r="G43" s="10" t="s">
        <v>148</v>
      </c>
      <c r="H43" s="10" t="s">
        <v>149</v>
      </c>
      <c r="I43" s="12" t="s">
        <v>456</v>
      </c>
      <c r="J43" s="12"/>
    </row>
    <row r="44" spans="1:10" ht="25" x14ac:dyDescent="0.35">
      <c r="A44" s="10">
        <v>40</v>
      </c>
      <c r="B44" s="10" t="s">
        <v>150</v>
      </c>
      <c r="C44" s="10" t="s">
        <v>151</v>
      </c>
      <c r="D44" s="10" t="s">
        <v>152</v>
      </c>
      <c r="E44" s="10" t="s">
        <v>153</v>
      </c>
      <c r="F44" s="11">
        <v>13091.88</v>
      </c>
      <c r="G44" s="10" t="s">
        <v>154</v>
      </c>
      <c r="H44" s="10" t="s">
        <v>155</v>
      </c>
      <c r="I44" s="12" t="s">
        <v>452</v>
      </c>
      <c r="J44" s="12"/>
    </row>
    <row r="45" spans="1:10" ht="37.5" x14ac:dyDescent="0.35">
      <c r="A45" s="10">
        <v>41</v>
      </c>
      <c r="B45" s="10" t="s">
        <v>150</v>
      </c>
      <c r="C45" s="10" t="s">
        <v>156</v>
      </c>
      <c r="D45" s="10" t="s">
        <v>157</v>
      </c>
      <c r="E45" s="10" t="s">
        <v>153</v>
      </c>
      <c r="F45" s="11">
        <v>22815.31</v>
      </c>
      <c r="G45" s="10" t="s">
        <v>158</v>
      </c>
      <c r="H45" s="10" t="s">
        <v>155</v>
      </c>
      <c r="I45" s="12" t="s">
        <v>454</v>
      </c>
      <c r="J45" s="12"/>
    </row>
    <row r="46" spans="1:10" ht="25" x14ac:dyDescent="0.35">
      <c r="A46" s="10">
        <v>42</v>
      </c>
      <c r="B46" s="10" t="s">
        <v>150</v>
      </c>
      <c r="C46" s="10" t="s">
        <v>125</v>
      </c>
      <c r="D46" s="10" t="s">
        <v>95</v>
      </c>
      <c r="E46" s="10" t="s">
        <v>153</v>
      </c>
      <c r="F46" s="11">
        <v>5727.38</v>
      </c>
      <c r="G46" s="10" t="s">
        <v>159</v>
      </c>
      <c r="H46" s="10" t="s">
        <v>155</v>
      </c>
      <c r="I46" s="12" t="s">
        <v>455</v>
      </c>
      <c r="J46" s="12"/>
    </row>
    <row r="47" spans="1:10" ht="25" x14ac:dyDescent="0.35">
      <c r="A47" s="10">
        <v>43</v>
      </c>
      <c r="B47" s="10" t="s">
        <v>150</v>
      </c>
      <c r="C47" s="10" t="s">
        <v>160</v>
      </c>
      <c r="D47" s="10" t="s">
        <v>161</v>
      </c>
      <c r="E47" s="10" t="s">
        <v>153</v>
      </c>
      <c r="F47" s="11">
        <v>1113.8399999999999</v>
      </c>
      <c r="G47" s="10" t="s">
        <v>162</v>
      </c>
      <c r="H47" s="10" t="s">
        <v>155</v>
      </c>
      <c r="I47" s="12"/>
      <c r="J47" s="12"/>
    </row>
    <row r="48" spans="1:10" ht="37.5" x14ac:dyDescent="0.35">
      <c r="A48" s="10">
        <v>44</v>
      </c>
      <c r="B48" s="10" t="s">
        <v>150</v>
      </c>
      <c r="C48" s="10" t="s">
        <v>163</v>
      </c>
      <c r="D48" s="10" t="s">
        <v>164</v>
      </c>
      <c r="E48" s="10" t="s">
        <v>165</v>
      </c>
      <c r="F48" s="11">
        <v>14133.15</v>
      </c>
      <c r="G48" s="10" t="s">
        <v>166</v>
      </c>
      <c r="H48" s="10" t="s">
        <v>155</v>
      </c>
      <c r="I48" s="12" t="s">
        <v>453</v>
      </c>
      <c r="J48" s="12"/>
    </row>
    <row r="49" spans="1:10" ht="37.5" x14ac:dyDescent="0.35">
      <c r="A49" s="10">
        <v>45</v>
      </c>
      <c r="B49" s="10" t="s">
        <v>150</v>
      </c>
      <c r="C49" s="10" t="s">
        <v>167</v>
      </c>
      <c r="D49" s="10" t="s">
        <v>168</v>
      </c>
      <c r="E49" s="10" t="s">
        <v>169</v>
      </c>
      <c r="F49" s="11">
        <v>2730.44</v>
      </c>
      <c r="G49" s="10" t="s">
        <v>170</v>
      </c>
      <c r="H49" s="10" t="s">
        <v>155</v>
      </c>
      <c r="I49" s="12" t="s">
        <v>452</v>
      </c>
      <c r="J49" s="12"/>
    </row>
    <row r="50" spans="1:10" ht="37.5" x14ac:dyDescent="0.35">
      <c r="A50" s="10">
        <v>46</v>
      </c>
      <c r="B50" s="10" t="s">
        <v>150</v>
      </c>
      <c r="C50" s="10" t="s">
        <v>171</v>
      </c>
      <c r="D50" s="10" t="s">
        <v>132</v>
      </c>
      <c r="E50" s="10" t="s">
        <v>169</v>
      </c>
      <c r="F50" s="11">
        <v>3828.42</v>
      </c>
      <c r="G50" s="10" t="s">
        <v>172</v>
      </c>
      <c r="H50" s="10" t="s">
        <v>155</v>
      </c>
      <c r="I50" s="12" t="s">
        <v>452</v>
      </c>
      <c r="J50" s="12"/>
    </row>
    <row r="51" spans="1:10" ht="50" x14ac:dyDescent="0.35">
      <c r="A51" s="10">
        <v>47</v>
      </c>
      <c r="B51" s="10" t="s">
        <v>150</v>
      </c>
      <c r="C51" s="10" t="s">
        <v>173</v>
      </c>
      <c r="D51" s="10" t="s">
        <v>174</v>
      </c>
      <c r="E51" s="10" t="s">
        <v>153</v>
      </c>
      <c r="F51" s="11">
        <v>2963.84</v>
      </c>
      <c r="G51" s="10" t="s">
        <v>175</v>
      </c>
      <c r="H51" s="10" t="s">
        <v>155</v>
      </c>
      <c r="I51" s="12" t="s">
        <v>452</v>
      </c>
      <c r="J51" s="12"/>
    </row>
    <row r="52" spans="1:10" ht="25" x14ac:dyDescent="0.35">
      <c r="A52" s="10">
        <v>48</v>
      </c>
      <c r="B52" s="10" t="s">
        <v>176</v>
      </c>
      <c r="C52" s="10" t="s">
        <v>177</v>
      </c>
      <c r="D52" s="10" t="s">
        <v>178</v>
      </c>
      <c r="E52" s="10" t="s">
        <v>179</v>
      </c>
      <c r="F52" s="11">
        <v>4369.5</v>
      </c>
      <c r="G52" s="10" t="s">
        <v>180</v>
      </c>
      <c r="H52" s="10" t="s">
        <v>181</v>
      </c>
      <c r="I52" s="12" t="s">
        <v>445</v>
      </c>
      <c r="J52" s="12"/>
    </row>
    <row r="53" spans="1:10" ht="25" x14ac:dyDescent="0.35">
      <c r="A53" s="10">
        <v>49</v>
      </c>
      <c r="B53" s="10" t="s">
        <v>176</v>
      </c>
      <c r="C53" s="10" t="s">
        <v>182</v>
      </c>
      <c r="D53" s="10" t="s">
        <v>183</v>
      </c>
      <c r="E53" s="10" t="s">
        <v>184</v>
      </c>
      <c r="F53" s="11">
        <v>1610.26</v>
      </c>
      <c r="G53" s="10" t="s">
        <v>185</v>
      </c>
      <c r="H53" s="10" t="s">
        <v>181</v>
      </c>
      <c r="I53" s="12" t="s">
        <v>446</v>
      </c>
      <c r="J53" s="12"/>
    </row>
    <row r="54" spans="1:10" ht="25" x14ac:dyDescent="0.35">
      <c r="A54" s="10">
        <v>50</v>
      </c>
      <c r="B54" s="10" t="s">
        <v>176</v>
      </c>
      <c r="C54" s="10" t="s">
        <v>186</v>
      </c>
      <c r="D54" s="10" t="s">
        <v>187</v>
      </c>
      <c r="E54" s="10" t="s">
        <v>188</v>
      </c>
      <c r="F54" s="11">
        <v>1602.27</v>
      </c>
      <c r="G54" s="10" t="s">
        <v>189</v>
      </c>
      <c r="H54" s="10" t="s">
        <v>181</v>
      </c>
      <c r="I54" s="12" t="s">
        <v>447</v>
      </c>
      <c r="J54" s="12"/>
    </row>
    <row r="55" spans="1:10" ht="25" x14ac:dyDescent="0.35">
      <c r="A55" s="10">
        <v>51</v>
      </c>
      <c r="B55" s="10" t="s">
        <v>176</v>
      </c>
      <c r="C55" s="10" t="s">
        <v>190</v>
      </c>
      <c r="D55" s="10" t="s">
        <v>53</v>
      </c>
      <c r="E55" s="10" t="s">
        <v>120</v>
      </c>
      <c r="F55" s="11">
        <v>2107.23</v>
      </c>
      <c r="G55" s="10" t="s">
        <v>191</v>
      </c>
      <c r="H55" s="10" t="s">
        <v>181</v>
      </c>
      <c r="I55" s="12" t="s">
        <v>451</v>
      </c>
      <c r="J55" s="12"/>
    </row>
    <row r="56" spans="1:10" ht="25" x14ac:dyDescent="0.35">
      <c r="A56" s="10">
        <v>52</v>
      </c>
      <c r="B56" s="10" t="s">
        <v>176</v>
      </c>
      <c r="C56" s="10" t="s">
        <v>84</v>
      </c>
      <c r="D56" s="10" t="s">
        <v>192</v>
      </c>
      <c r="E56" s="10" t="s">
        <v>193</v>
      </c>
      <c r="F56" s="11">
        <v>2963.84</v>
      </c>
      <c r="G56" s="10" t="s">
        <v>194</v>
      </c>
      <c r="H56" s="10" t="s">
        <v>181</v>
      </c>
      <c r="I56" s="12" t="s">
        <v>449</v>
      </c>
      <c r="J56" s="12"/>
    </row>
    <row r="57" spans="1:10" ht="25" x14ac:dyDescent="0.35">
      <c r="A57" s="10">
        <v>53</v>
      </c>
      <c r="B57" s="10" t="s">
        <v>195</v>
      </c>
      <c r="C57" s="10" t="s">
        <v>29</v>
      </c>
      <c r="D57" s="10" t="s">
        <v>29</v>
      </c>
      <c r="E57" s="10" t="s">
        <v>196</v>
      </c>
      <c r="F57" s="11"/>
      <c r="G57" s="10" t="s">
        <v>197</v>
      </c>
      <c r="H57" s="10" t="s">
        <v>198</v>
      </c>
      <c r="I57" s="12" t="s">
        <v>450</v>
      </c>
      <c r="J57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4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H48" sqref="H48"/>
    </sheetView>
  </sheetViews>
  <sheetFormatPr defaultRowHeight="14.5" x14ac:dyDescent="0.35"/>
  <cols>
    <col min="1" max="1" width="4" customWidth="1"/>
    <col min="2" max="3" width="11" customWidth="1"/>
    <col min="4" max="4" width="36" customWidth="1"/>
    <col min="5" max="5" width="12" customWidth="1"/>
    <col min="6" max="6" width="16" customWidth="1"/>
    <col min="7" max="7" width="28" customWidth="1"/>
    <col min="8" max="8" width="13" customWidth="1"/>
    <col min="9" max="9" width="14" customWidth="1"/>
    <col min="10" max="10" width="36" customWidth="1"/>
  </cols>
  <sheetData>
    <row r="1" spans="1:10" ht="18" x14ac:dyDescent="0.4">
      <c r="A1" s="1" t="s">
        <v>233</v>
      </c>
    </row>
    <row r="2" spans="1:10" x14ac:dyDescent="0.35">
      <c r="A2" s="2" t="s">
        <v>234</v>
      </c>
    </row>
    <row r="4" spans="1:10" ht="26" x14ac:dyDescent="0.35">
      <c r="A4" s="9" t="s">
        <v>18</v>
      </c>
      <c r="B4" s="9" t="s">
        <v>20</v>
      </c>
      <c r="C4" s="9" t="s">
        <v>21</v>
      </c>
      <c r="D4" s="9" t="s">
        <v>22</v>
      </c>
      <c r="E4" s="9" t="s">
        <v>23</v>
      </c>
      <c r="F4" s="9" t="s">
        <v>235</v>
      </c>
      <c r="G4" s="9" t="s">
        <v>236</v>
      </c>
      <c r="H4" s="9" t="s">
        <v>237</v>
      </c>
      <c r="I4" s="9" t="s">
        <v>238</v>
      </c>
      <c r="J4" s="9" t="s">
        <v>239</v>
      </c>
    </row>
    <row r="5" spans="1:10" ht="25" x14ac:dyDescent="0.35">
      <c r="A5" s="10">
        <v>1</v>
      </c>
      <c r="B5" s="10" t="s">
        <v>240</v>
      </c>
      <c r="C5" s="10" t="s">
        <v>241</v>
      </c>
      <c r="D5" s="10" t="s">
        <v>242</v>
      </c>
      <c r="E5" s="11">
        <v>530</v>
      </c>
      <c r="F5" s="10" t="s">
        <v>243</v>
      </c>
      <c r="G5" s="10" t="s">
        <v>244</v>
      </c>
      <c r="H5" s="15">
        <v>46196</v>
      </c>
      <c r="I5" s="14">
        <v>46202</v>
      </c>
      <c r="J5" s="12"/>
    </row>
    <row r="6" spans="1:10" ht="25" x14ac:dyDescent="0.35">
      <c r="A6" s="10">
        <v>2</v>
      </c>
      <c r="B6" s="10" t="s">
        <v>245</v>
      </c>
      <c r="C6" s="10" t="s">
        <v>246</v>
      </c>
      <c r="D6" s="10" t="s">
        <v>247</v>
      </c>
      <c r="E6" s="11">
        <v>3412.16</v>
      </c>
      <c r="F6" s="10" t="s">
        <v>243</v>
      </c>
      <c r="G6" s="10" t="s">
        <v>244</v>
      </c>
      <c r="H6" s="15" t="s">
        <v>471</v>
      </c>
      <c r="I6" s="14">
        <v>46150</v>
      </c>
      <c r="J6" s="12"/>
    </row>
    <row r="7" spans="1:10" ht="25" x14ac:dyDescent="0.35">
      <c r="A7" s="10">
        <v>3</v>
      </c>
      <c r="B7" s="10" t="s">
        <v>248</v>
      </c>
      <c r="C7" s="10" t="s">
        <v>249</v>
      </c>
      <c r="D7" s="10" t="s">
        <v>250</v>
      </c>
      <c r="E7" s="11">
        <v>1969.13</v>
      </c>
      <c r="F7" s="10" t="s">
        <v>243</v>
      </c>
      <c r="G7" s="10" t="s">
        <v>244</v>
      </c>
      <c r="H7" s="15">
        <v>46189</v>
      </c>
      <c r="I7" s="14">
        <v>46190</v>
      </c>
      <c r="J7" s="12"/>
    </row>
    <row r="8" spans="1:10" ht="25" x14ac:dyDescent="0.35">
      <c r="A8" s="10">
        <v>4</v>
      </c>
      <c r="B8" s="10" t="s">
        <v>251</v>
      </c>
      <c r="C8" s="10" t="s">
        <v>220</v>
      </c>
      <c r="D8" s="10" t="s">
        <v>252</v>
      </c>
      <c r="E8" s="11">
        <v>1145.44</v>
      </c>
      <c r="F8" s="10" t="s">
        <v>253</v>
      </c>
      <c r="G8" s="10" t="s">
        <v>244</v>
      </c>
      <c r="H8" s="15">
        <v>46210</v>
      </c>
      <c r="I8" s="14">
        <v>46211</v>
      </c>
      <c r="J8" s="12"/>
    </row>
    <row r="9" spans="1:10" ht="25" x14ac:dyDescent="0.35">
      <c r="A9" s="10">
        <v>5</v>
      </c>
      <c r="B9" s="10" t="s">
        <v>254</v>
      </c>
      <c r="C9" s="10" t="s">
        <v>255</v>
      </c>
      <c r="D9" s="10" t="s">
        <v>256</v>
      </c>
      <c r="E9" s="11">
        <v>200.8</v>
      </c>
      <c r="F9" s="10" t="s">
        <v>243</v>
      </c>
      <c r="G9" s="10" t="s">
        <v>244</v>
      </c>
      <c r="H9" s="16" t="s">
        <v>472</v>
      </c>
      <c r="I9" s="14">
        <v>46220.601226851853</v>
      </c>
      <c r="J9" s="12" t="s">
        <v>448</v>
      </c>
    </row>
    <row r="10" spans="1:10" ht="25" x14ac:dyDescent="0.35">
      <c r="A10" s="10">
        <v>6</v>
      </c>
      <c r="B10" s="10" t="s">
        <v>257</v>
      </c>
      <c r="C10" s="10" t="s">
        <v>258</v>
      </c>
      <c r="D10" s="10" t="s">
        <v>256</v>
      </c>
      <c r="E10" s="11">
        <v>200.8</v>
      </c>
      <c r="F10" s="10" t="s">
        <v>243</v>
      </c>
      <c r="G10" s="10" t="s">
        <v>244</v>
      </c>
      <c r="H10" s="16" t="s">
        <v>472</v>
      </c>
      <c r="I10" s="14">
        <v>46220.633333333331</v>
      </c>
      <c r="J10" s="12" t="s">
        <v>448</v>
      </c>
    </row>
    <row r="11" spans="1:10" ht="25" x14ac:dyDescent="0.35">
      <c r="A11" s="10">
        <v>7</v>
      </c>
      <c r="B11" s="10" t="s">
        <v>259</v>
      </c>
      <c r="C11" s="10" t="s">
        <v>260</v>
      </c>
      <c r="D11" s="10" t="s">
        <v>261</v>
      </c>
      <c r="E11" s="11">
        <v>200.8</v>
      </c>
      <c r="F11" s="10" t="s">
        <v>243</v>
      </c>
      <c r="G11" s="10" t="s">
        <v>244</v>
      </c>
      <c r="H11" s="15">
        <v>46309</v>
      </c>
      <c r="I11" s="14">
        <v>46218.448344907403</v>
      </c>
      <c r="J11" s="12" t="s">
        <v>448</v>
      </c>
    </row>
    <row r="12" spans="1:10" ht="25" x14ac:dyDescent="0.35">
      <c r="A12" s="10">
        <v>8</v>
      </c>
      <c r="B12" s="10" t="s">
        <v>262</v>
      </c>
      <c r="C12" s="10" t="s">
        <v>260</v>
      </c>
      <c r="D12" s="10" t="s">
        <v>261</v>
      </c>
      <c r="E12" s="11">
        <v>200.8</v>
      </c>
      <c r="F12" s="10" t="s">
        <v>243</v>
      </c>
      <c r="G12" s="10" t="s">
        <v>244</v>
      </c>
      <c r="H12" s="15">
        <v>46309</v>
      </c>
      <c r="I12" s="14">
        <v>46223.712627314817</v>
      </c>
      <c r="J12" s="12" t="s">
        <v>448</v>
      </c>
    </row>
    <row r="13" spans="1:10" ht="25" x14ac:dyDescent="0.35">
      <c r="A13" s="10">
        <v>9</v>
      </c>
      <c r="B13" s="10" t="s">
        <v>263</v>
      </c>
      <c r="C13" s="10" t="s">
        <v>264</v>
      </c>
      <c r="D13" s="10" t="s">
        <v>261</v>
      </c>
      <c r="E13" s="11">
        <v>200.8</v>
      </c>
      <c r="F13" s="10" t="s">
        <v>243</v>
      </c>
      <c r="G13" s="10" t="s">
        <v>244</v>
      </c>
      <c r="H13" s="15">
        <v>46309</v>
      </c>
      <c r="I13" s="14">
        <v>46223.824641203704</v>
      </c>
      <c r="J13" s="12" t="s">
        <v>448</v>
      </c>
    </row>
    <row r="14" spans="1:10" ht="25" x14ac:dyDescent="0.35">
      <c r="A14" s="10">
        <v>10</v>
      </c>
      <c r="B14" s="10" t="s">
        <v>265</v>
      </c>
      <c r="C14" s="10" t="s">
        <v>266</v>
      </c>
      <c r="D14" s="10" t="s">
        <v>261</v>
      </c>
      <c r="E14" s="11">
        <v>200.8</v>
      </c>
      <c r="F14" s="10" t="s">
        <v>243</v>
      </c>
      <c r="G14" s="10" t="s">
        <v>244</v>
      </c>
      <c r="H14" s="15">
        <v>46309</v>
      </c>
      <c r="I14" s="14">
        <v>46232.669479166667</v>
      </c>
      <c r="J14" s="12" t="s">
        <v>448</v>
      </c>
    </row>
    <row r="15" spans="1:10" ht="25" x14ac:dyDescent="0.35">
      <c r="A15" s="10">
        <v>11</v>
      </c>
      <c r="B15" s="10" t="s">
        <v>267</v>
      </c>
      <c r="C15" s="10" t="s">
        <v>268</v>
      </c>
      <c r="D15" s="10" t="s">
        <v>261</v>
      </c>
      <c r="E15" s="11">
        <v>200.8</v>
      </c>
      <c r="F15" s="10" t="s">
        <v>253</v>
      </c>
      <c r="G15" s="10" t="s">
        <v>244</v>
      </c>
      <c r="H15" s="15">
        <v>46309</v>
      </c>
      <c r="I15" s="14">
        <v>46223.906539351854</v>
      </c>
      <c r="J15" s="12" t="s">
        <v>448</v>
      </c>
    </row>
    <row r="16" spans="1:10" ht="25" x14ac:dyDescent="0.35">
      <c r="A16" s="10">
        <v>12</v>
      </c>
      <c r="B16" s="10" t="s">
        <v>269</v>
      </c>
      <c r="C16" s="10" t="s">
        <v>260</v>
      </c>
      <c r="D16" s="10" t="s">
        <v>261</v>
      </c>
      <c r="E16" s="11">
        <v>200.8</v>
      </c>
      <c r="F16" s="10" t="s">
        <v>243</v>
      </c>
      <c r="G16" s="10" t="s">
        <v>244</v>
      </c>
      <c r="H16" s="15">
        <v>46309</v>
      </c>
      <c r="I16" s="14">
        <v>46289.838506944448</v>
      </c>
      <c r="J16" s="12" t="s">
        <v>448</v>
      </c>
    </row>
    <row r="17" spans="1:10" ht="25" x14ac:dyDescent="0.35">
      <c r="A17" s="10">
        <v>13</v>
      </c>
      <c r="B17" s="10" t="s">
        <v>270</v>
      </c>
      <c r="C17" s="10" t="s">
        <v>260</v>
      </c>
      <c r="D17" s="10" t="s">
        <v>261</v>
      </c>
      <c r="E17" s="11">
        <v>200.8</v>
      </c>
      <c r="F17" s="10" t="s">
        <v>243</v>
      </c>
      <c r="G17" s="10" t="s">
        <v>244</v>
      </c>
      <c r="H17" s="15">
        <v>46309</v>
      </c>
      <c r="I17" s="14">
        <v>46289.831087962964</v>
      </c>
      <c r="J17" s="12" t="s">
        <v>448</v>
      </c>
    </row>
    <row r="18" spans="1:10" ht="25" x14ac:dyDescent="0.35">
      <c r="A18" s="10">
        <v>14</v>
      </c>
      <c r="B18" s="10" t="s">
        <v>271</v>
      </c>
      <c r="C18" s="10" t="s">
        <v>272</v>
      </c>
      <c r="D18" s="10" t="s">
        <v>256</v>
      </c>
      <c r="E18" s="11">
        <v>200.8</v>
      </c>
      <c r="F18" s="10" t="s">
        <v>243</v>
      </c>
      <c r="G18" s="10" t="s">
        <v>244</v>
      </c>
      <c r="H18" s="16" t="s">
        <v>472</v>
      </c>
      <c r="I18" s="14">
        <v>46289.724166666667</v>
      </c>
      <c r="J18" s="12" t="s">
        <v>448</v>
      </c>
    </row>
    <row r="19" spans="1:10" ht="25" x14ac:dyDescent="0.35">
      <c r="A19" s="10">
        <v>15</v>
      </c>
      <c r="B19" s="10" t="s">
        <v>273</v>
      </c>
      <c r="C19" s="10" t="s">
        <v>274</v>
      </c>
      <c r="D19" s="10" t="s">
        <v>275</v>
      </c>
      <c r="E19" s="11">
        <v>200.8</v>
      </c>
      <c r="F19" s="10" t="s">
        <v>253</v>
      </c>
      <c r="G19" s="10" t="s">
        <v>244</v>
      </c>
      <c r="H19" s="16" t="s">
        <v>472</v>
      </c>
      <c r="I19" s="14">
        <v>46239.686157407406</v>
      </c>
      <c r="J19" s="12" t="s">
        <v>448</v>
      </c>
    </row>
    <row r="20" spans="1:10" ht="25" x14ac:dyDescent="0.35">
      <c r="A20" s="10">
        <v>16</v>
      </c>
      <c r="B20" s="10" t="s">
        <v>276</v>
      </c>
      <c r="C20" s="10" t="s">
        <v>277</v>
      </c>
      <c r="D20" s="10" t="s">
        <v>256</v>
      </c>
      <c r="E20" s="11">
        <v>200.8</v>
      </c>
      <c r="F20" s="10" t="s">
        <v>253</v>
      </c>
      <c r="G20" s="10" t="s">
        <v>244</v>
      </c>
      <c r="H20" s="16" t="s">
        <v>472</v>
      </c>
      <c r="I20" s="14">
        <v>46261.752175925925</v>
      </c>
      <c r="J20" s="12" t="s">
        <v>448</v>
      </c>
    </row>
    <row r="21" spans="1:10" ht="25" x14ac:dyDescent="0.35">
      <c r="A21" s="10">
        <v>17</v>
      </c>
      <c r="B21" s="10" t="s">
        <v>278</v>
      </c>
      <c r="C21" s="10" t="s">
        <v>279</v>
      </c>
      <c r="D21" s="10" t="s">
        <v>256</v>
      </c>
      <c r="E21" s="11">
        <v>200.8</v>
      </c>
      <c r="F21" s="10" t="s">
        <v>253</v>
      </c>
      <c r="G21" s="10" t="s">
        <v>244</v>
      </c>
      <c r="H21" s="16" t="s">
        <v>472</v>
      </c>
      <c r="I21" s="14">
        <v>46265.746319444443</v>
      </c>
      <c r="J21" s="12" t="s">
        <v>448</v>
      </c>
    </row>
    <row r="22" spans="1:10" ht="25" x14ac:dyDescent="0.35">
      <c r="A22" s="10">
        <v>18</v>
      </c>
      <c r="B22" s="10" t="s">
        <v>280</v>
      </c>
      <c r="C22" s="10" t="s">
        <v>49</v>
      </c>
      <c r="D22" s="10" t="s">
        <v>256</v>
      </c>
      <c r="E22" s="11">
        <v>200.8</v>
      </c>
      <c r="F22" s="10" t="s">
        <v>243</v>
      </c>
      <c r="G22" s="10" t="s">
        <v>244</v>
      </c>
      <c r="H22" s="15">
        <v>46309</v>
      </c>
      <c r="I22" s="14">
        <v>46247.813981481479</v>
      </c>
      <c r="J22" s="12" t="s">
        <v>448</v>
      </c>
    </row>
    <row r="23" spans="1:10" ht="25" x14ac:dyDescent="0.35">
      <c r="A23" s="10">
        <v>19</v>
      </c>
      <c r="B23" s="10" t="s">
        <v>281</v>
      </c>
      <c r="C23" s="10" t="s">
        <v>282</v>
      </c>
      <c r="D23" s="10" t="s">
        <v>256</v>
      </c>
      <c r="E23" s="11">
        <v>200.8</v>
      </c>
      <c r="F23" s="10" t="s">
        <v>253</v>
      </c>
      <c r="G23" s="10" t="s">
        <v>244</v>
      </c>
      <c r="H23" s="16" t="s">
        <v>472</v>
      </c>
      <c r="I23" s="14">
        <v>46254.488310185188</v>
      </c>
      <c r="J23" s="12" t="s">
        <v>448</v>
      </c>
    </row>
    <row r="24" spans="1:10" ht="25" x14ac:dyDescent="0.35">
      <c r="A24" s="10">
        <v>20</v>
      </c>
      <c r="B24" s="10" t="s">
        <v>283</v>
      </c>
      <c r="C24" s="10" t="s">
        <v>284</v>
      </c>
      <c r="D24" s="10" t="s">
        <v>261</v>
      </c>
      <c r="E24" s="11">
        <v>200.8</v>
      </c>
      <c r="F24" s="10" t="s">
        <v>253</v>
      </c>
      <c r="G24" s="10" t="s">
        <v>244</v>
      </c>
      <c r="H24" s="16" t="s">
        <v>472</v>
      </c>
      <c r="I24" s="14">
        <v>46254.447349537033</v>
      </c>
      <c r="J24" s="12" t="s">
        <v>448</v>
      </c>
    </row>
    <row r="25" spans="1:10" ht="25" x14ac:dyDescent="0.35">
      <c r="A25" s="10">
        <v>21</v>
      </c>
      <c r="B25" s="10" t="s">
        <v>285</v>
      </c>
      <c r="C25" s="10" t="s">
        <v>157</v>
      </c>
      <c r="D25" s="10" t="s">
        <v>261</v>
      </c>
      <c r="E25" s="11">
        <v>200.8</v>
      </c>
      <c r="F25" s="10" t="s">
        <v>243</v>
      </c>
      <c r="G25" s="10" t="s">
        <v>244</v>
      </c>
      <c r="H25" s="15">
        <v>46309</v>
      </c>
      <c r="I25" s="14">
        <v>46282.808391203704</v>
      </c>
      <c r="J25" s="12" t="s">
        <v>448</v>
      </c>
    </row>
    <row r="26" spans="1:10" ht="25" x14ac:dyDescent="0.35">
      <c r="A26" s="10">
        <v>22</v>
      </c>
      <c r="B26" s="10" t="s">
        <v>286</v>
      </c>
      <c r="C26" s="10" t="s">
        <v>287</v>
      </c>
      <c r="D26" s="10" t="s">
        <v>256</v>
      </c>
      <c r="E26" s="11">
        <v>200.8</v>
      </c>
      <c r="F26" s="10" t="s">
        <v>253</v>
      </c>
      <c r="G26" s="10" t="s">
        <v>244</v>
      </c>
      <c r="H26" s="16" t="s">
        <v>472</v>
      </c>
      <c r="I26" s="14">
        <v>46280.499074074076</v>
      </c>
      <c r="J26" s="12" t="s">
        <v>448</v>
      </c>
    </row>
    <row r="27" spans="1:10" ht="25" x14ac:dyDescent="0.35">
      <c r="A27" s="10">
        <v>23</v>
      </c>
      <c r="B27" s="10" t="s">
        <v>288</v>
      </c>
      <c r="C27" s="10" t="s">
        <v>289</v>
      </c>
      <c r="D27" s="10" t="s">
        <v>256</v>
      </c>
      <c r="E27" s="11">
        <v>200.8</v>
      </c>
      <c r="F27" s="10" t="s">
        <v>243</v>
      </c>
      <c r="G27" s="10" t="s">
        <v>244</v>
      </c>
      <c r="H27" s="16" t="s">
        <v>472</v>
      </c>
      <c r="I27" s="14">
        <v>46266.589016203703</v>
      </c>
      <c r="J27" s="12" t="s">
        <v>448</v>
      </c>
    </row>
    <row r="28" spans="1:10" ht="25" x14ac:dyDescent="0.35">
      <c r="A28" s="10">
        <v>24</v>
      </c>
      <c r="B28" s="10" t="s">
        <v>290</v>
      </c>
      <c r="C28" s="10" t="s">
        <v>135</v>
      </c>
      <c r="D28" s="10" t="s">
        <v>261</v>
      </c>
      <c r="E28" s="11">
        <v>200.8</v>
      </c>
      <c r="F28" s="10" t="s">
        <v>243</v>
      </c>
      <c r="G28" s="10" t="s">
        <v>244</v>
      </c>
      <c r="H28" s="15">
        <v>46309</v>
      </c>
      <c r="I28" s="14">
        <v>46262.770138888889</v>
      </c>
      <c r="J28" s="12" t="s">
        <v>448</v>
      </c>
    </row>
    <row r="29" spans="1:10" ht="25" x14ac:dyDescent="0.35">
      <c r="A29" s="10">
        <v>25</v>
      </c>
      <c r="B29" s="10" t="s">
        <v>291</v>
      </c>
      <c r="C29" s="10" t="s">
        <v>292</v>
      </c>
      <c r="D29" s="10" t="s">
        <v>261</v>
      </c>
      <c r="E29" s="11">
        <v>200.8</v>
      </c>
      <c r="F29" s="10" t="s">
        <v>253</v>
      </c>
      <c r="G29" s="10" t="s">
        <v>244</v>
      </c>
      <c r="H29" s="15">
        <v>46309</v>
      </c>
      <c r="I29" s="14">
        <v>46261.925138888888</v>
      </c>
      <c r="J29" s="12" t="s">
        <v>448</v>
      </c>
    </row>
    <row r="30" spans="1:10" ht="25" x14ac:dyDescent="0.35">
      <c r="A30" s="10">
        <v>26</v>
      </c>
      <c r="B30" s="10" t="s">
        <v>293</v>
      </c>
      <c r="C30" s="10" t="s">
        <v>294</v>
      </c>
      <c r="D30" s="10" t="s">
        <v>261</v>
      </c>
      <c r="E30" s="11">
        <v>200.8</v>
      </c>
      <c r="F30" s="10" t="s">
        <v>253</v>
      </c>
      <c r="G30" s="10" t="s">
        <v>244</v>
      </c>
      <c r="H30" s="15">
        <v>46309</v>
      </c>
      <c r="I30" s="14">
        <v>46266.656215277777</v>
      </c>
      <c r="J30" s="12" t="s">
        <v>448</v>
      </c>
    </row>
    <row r="31" spans="1:10" ht="25" x14ac:dyDescent="0.35">
      <c r="A31" s="10">
        <v>27</v>
      </c>
      <c r="B31" s="10" t="s">
        <v>295</v>
      </c>
      <c r="C31" s="10" t="s">
        <v>183</v>
      </c>
      <c r="D31" s="10" t="s">
        <v>256</v>
      </c>
      <c r="E31" s="11">
        <v>200.8</v>
      </c>
      <c r="F31" s="10" t="s">
        <v>243</v>
      </c>
      <c r="G31" s="10" t="s">
        <v>244</v>
      </c>
      <c r="H31" s="16" t="s">
        <v>472</v>
      </c>
      <c r="I31" s="14">
        <v>46265</v>
      </c>
      <c r="J31" s="12" t="s">
        <v>448</v>
      </c>
    </row>
    <row r="32" spans="1:10" ht="25" x14ac:dyDescent="0.35">
      <c r="A32" s="10">
        <v>28</v>
      </c>
      <c r="B32" s="10" t="s">
        <v>296</v>
      </c>
      <c r="C32" s="10" t="s">
        <v>183</v>
      </c>
      <c r="D32" s="10" t="s">
        <v>261</v>
      </c>
      <c r="E32" s="11">
        <v>200.8</v>
      </c>
      <c r="F32" s="10" t="s">
        <v>243</v>
      </c>
      <c r="G32" s="10" t="s">
        <v>244</v>
      </c>
      <c r="H32" s="15">
        <v>46309</v>
      </c>
      <c r="I32" s="14">
        <v>46265</v>
      </c>
      <c r="J32" s="12" t="s">
        <v>448</v>
      </c>
    </row>
    <row r="33" spans="1:10" ht="25" x14ac:dyDescent="0.35">
      <c r="A33" s="10">
        <v>29</v>
      </c>
      <c r="B33" s="10" t="s">
        <v>297</v>
      </c>
      <c r="C33" s="10" t="s">
        <v>298</v>
      </c>
      <c r="D33" s="10" t="s">
        <v>256</v>
      </c>
      <c r="E33" s="11">
        <v>200.8</v>
      </c>
      <c r="F33" s="10" t="s">
        <v>253</v>
      </c>
      <c r="G33" s="10" t="s">
        <v>244</v>
      </c>
      <c r="H33" s="16" t="s">
        <v>472</v>
      </c>
      <c r="I33" s="14">
        <v>46265.738182870366</v>
      </c>
      <c r="J33" s="12" t="s">
        <v>448</v>
      </c>
    </row>
    <row r="34" spans="1:10" ht="25" x14ac:dyDescent="0.35">
      <c r="A34" s="10">
        <v>30</v>
      </c>
      <c r="B34" s="10" t="s">
        <v>299</v>
      </c>
      <c r="C34" s="10" t="s">
        <v>287</v>
      </c>
      <c r="D34" s="10" t="s">
        <v>256</v>
      </c>
      <c r="E34" s="11">
        <v>200.8</v>
      </c>
      <c r="F34" s="10" t="s">
        <v>253</v>
      </c>
      <c r="G34" s="10" t="s">
        <v>244</v>
      </c>
      <c r="H34" s="16" t="s">
        <v>472</v>
      </c>
      <c r="I34" s="14">
        <v>46269</v>
      </c>
      <c r="J34" s="12" t="s">
        <v>448</v>
      </c>
    </row>
    <row r="35" spans="1:10" ht="25" x14ac:dyDescent="0.35">
      <c r="A35" s="10">
        <v>31</v>
      </c>
      <c r="B35" s="10" t="s">
        <v>300</v>
      </c>
      <c r="C35" s="10" t="s">
        <v>130</v>
      </c>
      <c r="D35" s="10" t="s">
        <v>256</v>
      </c>
      <c r="E35" s="11">
        <v>200.8</v>
      </c>
      <c r="F35" s="10" t="s">
        <v>253</v>
      </c>
      <c r="G35" s="10" t="s">
        <v>244</v>
      </c>
      <c r="H35" s="16" t="s">
        <v>472</v>
      </c>
      <c r="I35" s="14">
        <v>46274.626180555555</v>
      </c>
      <c r="J35" s="12" t="s">
        <v>448</v>
      </c>
    </row>
    <row r="36" spans="1:10" ht="25" x14ac:dyDescent="0.35">
      <c r="A36" s="10">
        <v>32</v>
      </c>
      <c r="B36" s="10" t="s">
        <v>301</v>
      </c>
      <c r="C36" s="10" t="s">
        <v>302</v>
      </c>
      <c r="D36" s="10" t="s">
        <v>256</v>
      </c>
      <c r="E36" s="11">
        <v>200.8</v>
      </c>
      <c r="F36" s="10" t="s">
        <v>253</v>
      </c>
      <c r="G36" s="10" t="s">
        <v>244</v>
      </c>
      <c r="H36" s="16" t="s">
        <v>472</v>
      </c>
      <c r="I36" s="14">
        <v>46290</v>
      </c>
      <c r="J36" s="12" t="s">
        <v>448</v>
      </c>
    </row>
    <row r="37" spans="1:10" ht="25" x14ac:dyDescent="0.35">
      <c r="A37" s="10">
        <v>33</v>
      </c>
      <c r="B37" s="10" t="s">
        <v>303</v>
      </c>
      <c r="C37" s="10" t="s">
        <v>287</v>
      </c>
      <c r="D37" s="10" t="s">
        <v>261</v>
      </c>
      <c r="E37" s="11">
        <v>200.8</v>
      </c>
      <c r="F37" s="10" t="s">
        <v>253</v>
      </c>
      <c r="G37" s="10" t="s">
        <v>244</v>
      </c>
      <c r="H37" s="15">
        <v>46309</v>
      </c>
      <c r="I37" s="14">
        <v>46274.006678240738</v>
      </c>
      <c r="J37" s="12" t="s">
        <v>448</v>
      </c>
    </row>
    <row r="38" spans="1:10" ht="25" x14ac:dyDescent="0.35">
      <c r="A38" s="10">
        <v>34</v>
      </c>
      <c r="B38" s="10" t="s">
        <v>304</v>
      </c>
      <c r="C38" s="10" t="s">
        <v>292</v>
      </c>
      <c r="D38" s="10" t="s">
        <v>261</v>
      </c>
      <c r="E38" s="11">
        <v>200.8</v>
      </c>
      <c r="F38" s="10" t="s">
        <v>253</v>
      </c>
      <c r="G38" s="10" t="s">
        <v>244</v>
      </c>
      <c r="H38" s="15">
        <v>46309</v>
      </c>
      <c r="I38" s="14">
        <v>46276.592766203699</v>
      </c>
      <c r="J38" s="12" t="s">
        <v>448</v>
      </c>
    </row>
    <row r="39" spans="1:10" ht="25" x14ac:dyDescent="0.35">
      <c r="A39" s="10">
        <v>35</v>
      </c>
      <c r="B39" s="10" t="s">
        <v>305</v>
      </c>
      <c r="C39" s="10" t="s">
        <v>74</v>
      </c>
      <c r="D39" s="10" t="s">
        <v>256</v>
      </c>
      <c r="E39" s="11">
        <v>200.8</v>
      </c>
      <c r="F39" s="10" t="s">
        <v>253</v>
      </c>
      <c r="G39" s="10" t="s">
        <v>244</v>
      </c>
      <c r="H39" s="16" t="s">
        <v>472</v>
      </c>
      <c r="I39" s="14">
        <v>46283</v>
      </c>
      <c r="J39" s="12" t="s">
        <v>448</v>
      </c>
    </row>
    <row r="40" spans="1:10" ht="25" x14ac:dyDescent="0.35">
      <c r="A40" s="10">
        <v>36</v>
      </c>
      <c r="B40" s="10" t="s">
        <v>306</v>
      </c>
      <c r="C40" s="10" t="s">
        <v>130</v>
      </c>
      <c r="D40" s="10" t="s">
        <v>256</v>
      </c>
      <c r="E40" s="11">
        <v>200.8</v>
      </c>
      <c r="F40" s="10" t="s">
        <v>253</v>
      </c>
      <c r="G40" s="10" t="s">
        <v>244</v>
      </c>
      <c r="H40" s="16" t="s">
        <v>472</v>
      </c>
      <c r="I40" s="14">
        <v>46283.900682870371</v>
      </c>
      <c r="J40" s="12" t="s">
        <v>448</v>
      </c>
    </row>
    <row r="41" spans="1:10" ht="25" x14ac:dyDescent="0.35">
      <c r="A41" s="10">
        <v>37</v>
      </c>
      <c r="B41" s="10" t="s">
        <v>307</v>
      </c>
      <c r="C41" s="10" t="s">
        <v>100</v>
      </c>
      <c r="D41" s="10" t="s">
        <v>256</v>
      </c>
      <c r="E41" s="11">
        <v>200.8</v>
      </c>
      <c r="F41" s="10" t="s">
        <v>243</v>
      </c>
      <c r="G41" s="10" t="s">
        <v>244</v>
      </c>
      <c r="H41" s="16" t="s">
        <v>472</v>
      </c>
      <c r="I41" s="14">
        <v>46288.447210648148</v>
      </c>
      <c r="J41" s="12" t="s">
        <v>448</v>
      </c>
    </row>
    <row r="42" spans="1:10" ht="25" x14ac:dyDescent="0.35">
      <c r="A42" s="10">
        <v>38</v>
      </c>
      <c r="B42" s="10" t="s">
        <v>308</v>
      </c>
      <c r="C42" s="10" t="s">
        <v>146</v>
      </c>
      <c r="D42" s="10" t="s">
        <v>261</v>
      </c>
      <c r="E42" s="11">
        <v>200.8</v>
      </c>
      <c r="F42" s="10" t="s">
        <v>243</v>
      </c>
      <c r="G42" s="10" t="s">
        <v>244</v>
      </c>
      <c r="H42" s="15">
        <v>46309</v>
      </c>
      <c r="I42" s="14">
        <v>46287.496377314819</v>
      </c>
      <c r="J42" s="12" t="s">
        <v>448</v>
      </c>
    </row>
    <row r="43" spans="1:10" ht="25" x14ac:dyDescent="0.35">
      <c r="A43" s="10">
        <v>39</v>
      </c>
      <c r="B43" s="10" t="s">
        <v>309</v>
      </c>
      <c r="C43" s="10" t="s">
        <v>310</v>
      </c>
      <c r="D43" s="10" t="s">
        <v>261</v>
      </c>
      <c r="E43" s="11">
        <v>200.8</v>
      </c>
      <c r="F43" s="10" t="s">
        <v>243</v>
      </c>
      <c r="G43" s="10" t="s">
        <v>244</v>
      </c>
      <c r="H43" s="15">
        <v>46309</v>
      </c>
      <c r="I43" s="14">
        <v>46289.58258101852</v>
      </c>
      <c r="J43" s="12" t="s">
        <v>448</v>
      </c>
    </row>
    <row r="44" spans="1:10" ht="25" x14ac:dyDescent="0.35">
      <c r="A44" s="10">
        <v>40</v>
      </c>
      <c r="B44" s="10" t="s">
        <v>311</v>
      </c>
      <c r="C44" s="10" t="s">
        <v>312</v>
      </c>
      <c r="D44" s="10" t="s">
        <v>256</v>
      </c>
      <c r="E44" s="11">
        <v>200.8</v>
      </c>
      <c r="F44" s="10" t="s">
        <v>253</v>
      </c>
      <c r="G44" s="10" t="s">
        <v>244</v>
      </c>
      <c r="H44" s="16" t="s">
        <v>472</v>
      </c>
      <c r="I44" s="14">
        <v>46290.647569444445</v>
      </c>
      <c r="J44" s="12" t="s">
        <v>448</v>
      </c>
    </row>
    <row r="45" spans="1:10" ht="25" x14ac:dyDescent="0.35">
      <c r="A45" s="10">
        <v>41</v>
      </c>
      <c r="B45" s="10" t="s">
        <v>313</v>
      </c>
      <c r="C45" s="10" t="s">
        <v>314</v>
      </c>
      <c r="D45" s="10" t="s">
        <v>261</v>
      </c>
      <c r="E45" s="11">
        <v>200.8</v>
      </c>
      <c r="F45" s="10" t="s">
        <v>243</v>
      </c>
      <c r="G45" s="10" t="s">
        <v>244</v>
      </c>
      <c r="H45" s="10" t="s">
        <v>471</v>
      </c>
      <c r="I45" s="14">
        <v>46303</v>
      </c>
      <c r="J45" s="12" t="s">
        <v>448</v>
      </c>
    </row>
    <row r="46" spans="1:10" ht="25" x14ac:dyDescent="0.35">
      <c r="A46" s="10">
        <v>42</v>
      </c>
      <c r="B46" s="10" t="s">
        <v>315</v>
      </c>
      <c r="C46" s="10" t="s">
        <v>316</v>
      </c>
      <c r="D46" s="10" t="s">
        <v>261</v>
      </c>
      <c r="E46" s="11">
        <v>200.8</v>
      </c>
      <c r="F46" s="10" t="s">
        <v>253</v>
      </c>
      <c r="G46" s="10" t="s">
        <v>244</v>
      </c>
      <c r="H46" s="10" t="s">
        <v>471</v>
      </c>
      <c r="I46" s="14">
        <v>46307</v>
      </c>
      <c r="J46" s="12" t="s">
        <v>448</v>
      </c>
    </row>
    <row r="47" spans="1:10" ht="25" x14ac:dyDescent="0.35">
      <c r="A47" s="10">
        <v>43</v>
      </c>
      <c r="B47" s="10" t="s">
        <v>317</v>
      </c>
      <c r="C47" s="10" t="s">
        <v>298</v>
      </c>
      <c r="D47" s="10" t="s">
        <v>318</v>
      </c>
      <c r="E47" s="11">
        <v>200.8</v>
      </c>
      <c r="F47" s="10" t="s">
        <v>253</v>
      </c>
      <c r="G47" s="10" t="s">
        <v>244</v>
      </c>
      <c r="H47" s="10" t="s">
        <v>471</v>
      </c>
      <c r="I47" s="14">
        <v>46313</v>
      </c>
      <c r="J47" s="12" t="s">
        <v>448</v>
      </c>
    </row>
    <row r="48" spans="1:10" ht="37.5" x14ac:dyDescent="0.35">
      <c r="A48" s="10">
        <v>44</v>
      </c>
      <c r="B48" s="10" t="s">
        <v>319</v>
      </c>
      <c r="C48" s="10" t="s">
        <v>320</v>
      </c>
      <c r="D48" s="10" t="s">
        <v>321</v>
      </c>
      <c r="E48" s="11">
        <v>5399.5</v>
      </c>
      <c r="F48" s="10" t="s">
        <v>243</v>
      </c>
      <c r="G48" s="10" t="s">
        <v>244</v>
      </c>
      <c r="H48" s="10" t="s">
        <v>322</v>
      </c>
      <c r="I48" s="14">
        <v>46229</v>
      </c>
      <c r="J48" s="12"/>
    </row>
    <row r="49" spans="1:10" ht="37.5" x14ac:dyDescent="0.35">
      <c r="A49" s="10">
        <v>45</v>
      </c>
      <c r="B49" s="10" t="s">
        <v>323</v>
      </c>
      <c r="C49" s="10" t="s">
        <v>224</v>
      </c>
      <c r="D49" s="10" t="s">
        <v>321</v>
      </c>
      <c r="E49" s="11">
        <v>5399.5</v>
      </c>
      <c r="F49" s="10" t="s">
        <v>243</v>
      </c>
      <c r="G49" s="10" t="s">
        <v>244</v>
      </c>
      <c r="H49" s="10" t="s">
        <v>322</v>
      </c>
      <c r="I49" s="14">
        <v>46229</v>
      </c>
      <c r="J49" s="12"/>
    </row>
    <row r="50" spans="1:10" x14ac:dyDescent="0.35">
      <c r="A50" s="10">
        <v>46</v>
      </c>
      <c r="B50" s="10" t="s">
        <v>324</v>
      </c>
      <c r="C50" s="10" t="s">
        <v>325</v>
      </c>
      <c r="D50" s="10" t="s">
        <v>326</v>
      </c>
      <c r="E50" s="11">
        <v>2128.4499999999998</v>
      </c>
      <c r="F50" s="10" t="s">
        <v>243</v>
      </c>
      <c r="G50" s="10" t="s">
        <v>327</v>
      </c>
      <c r="H50" s="10" t="s">
        <v>328</v>
      </c>
      <c r="I50" s="10" t="s">
        <v>329</v>
      </c>
      <c r="J50" s="12"/>
    </row>
    <row r="51" spans="1:10" ht="25" x14ac:dyDescent="0.35">
      <c r="A51" s="10">
        <v>47</v>
      </c>
      <c r="B51" s="10" t="s">
        <v>330</v>
      </c>
      <c r="C51" s="10" t="s">
        <v>331</v>
      </c>
      <c r="D51" s="10" t="s">
        <v>332</v>
      </c>
      <c r="E51" s="11">
        <v>5365.32</v>
      </c>
      <c r="F51" s="10" t="s">
        <v>243</v>
      </c>
      <c r="G51" s="10" t="s">
        <v>327</v>
      </c>
      <c r="H51" s="10" t="s">
        <v>333</v>
      </c>
      <c r="I51" s="10" t="s">
        <v>334</v>
      </c>
      <c r="J51" s="12"/>
    </row>
    <row r="52" spans="1:10" x14ac:dyDescent="0.35">
      <c r="A52" s="10">
        <v>48</v>
      </c>
      <c r="B52" s="10" t="s">
        <v>335</v>
      </c>
      <c r="C52" s="10" t="s">
        <v>336</v>
      </c>
      <c r="D52" s="10" t="s">
        <v>337</v>
      </c>
      <c r="E52" s="11">
        <v>1649.03</v>
      </c>
      <c r="F52" s="10" t="s">
        <v>253</v>
      </c>
      <c r="G52" s="10" t="s">
        <v>327</v>
      </c>
      <c r="H52" s="10" t="s">
        <v>338</v>
      </c>
      <c r="I52" s="10" t="s">
        <v>339</v>
      </c>
      <c r="J52" s="12"/>
    </row>
    <row r="53" spans="1:10" ht="25" x14ac:dyDescent="0.35">
      <c r="A53" s="10">
        <v>49</v>
      </c>
      <c r="B53" s="10" t="s">
        <v>340</v>
      </c>
      <c r="C53" s="10" t="s">
        <v>130</v>
      </c>
      <c r="D53" s="10" t="s">
        <v>341</v>
      </c>
      <c r="E53" s="11">
        <v>3602</v>
      </c>
      <c r="F53" s="10" t="s">
        <v>253</v>
      </c>
      <c r="G53" s="10" t="s">
        <v>327</v>
      </c>
      <c r="H53" s="10" t="s">
        <v>342</v>
      </c>
      <c r="I53" s="10" t="s">
        <v>343</v>
      </c>
      <c r="J53" s="12"/>
    </row>
    <row r="54" spans="1:10" x14ac:dyDescent="0.35">
      <c r="A54" s="10">
        <v>50</v>
      </c>
      <c r="B54" s="10" t="s">
        <v>344</v>
      </c>
      <c r="C54" s="10" t="s">
        <v>345</v>
      </c>
      <c r="D54" s="10" t="s">
        <v>346</v>
      </c>
      <c r="E54" s="11">
        <v>1126.8</v>
      </c>
      <c r="F54" s="10" t="s">
        <v>253</v>
      </c>
      <c r="G54" s="10" t="s">
        <v>327</v>
      </c>
      <c r="H54" s="10" t="s">
        <v>347</v>
      </c>
      <c r="I54" s="10" t="s">
        <v>348</v>
      </c>
      <c r="J54" s="12"/>
    </row>
    <row r="55" spans="1:10" x14ac:dyDescent="0.35">
      <c r="A55" s="10">
        <v>51</v>
      </c>
      <c r="B55" s="10" t="s">
        <v>349</v>
      </c>
      <c r="C55" s="10" t="s">
        <v>350</v>
      </c>
      <c r="D55" s="10" t="s">
        <v>351</v>
      </c>
      <c r="E55" s="11">
        <v>1565.57</v>
      </c>
      <c r="F55" s="10" t="s">
        <v>253</v>
      </c>
      <c r="G55" s="10" t="s">
        <v>327</v>
      </c>
      <c r="H55" s="10" t="s">
        <v>347</v>
      </c>
      <c r="I55" s="10" t="s">
        <v>352</v>
      </c>
      <c r="J55" s="12"/>
    </row>
    <row r="56" spans="1:10" x14ac:dyDescent="0.35">
      <c r="A56" s="10">
        <v>52</v>
      </c>
      <c r="B56" s="10" t="s">
        <v>353</v>
      </c>
      <c r="C56" s="10" t="s">
        <v>354</v>
      </c>
      <c r="D56" s="10" t="s">
        <v>355</v>
      </c>
      <c r="E56" s="11">
        <v>3825.42</v>
      </c>
      <c r="F56" s="10" t="s">
        <v>253</v>
      </c>
      <c r="G56" s="10" t="s">
        <v>327</v>
      </c>
      <c r="H56" s="10" t="s">
        <v>356</v>
      </c>
      <c r="I56" s="10" t="s">
        <v>357</v>
      </c>
      <c r="J56" s="12"/>
    </row>
    <row r="57" spans="1:10" x14ac:dyDescent="0.35">
      <c r="A57" s="10">
        <v>53</v>
      </c>
      <c r="B57" s="10" t="s">
        <v>358</v>
      </c>
      <c r="C57" s="10" t="s">
        <v>359</v>
      </c>
      <c r="D57" s="10" t="s">
        <v>252</v>
      </c>
      <c r="E57" s="11">
        <v>1023.47</v>
      </c>
      <c r="F57" s="10" t="s">
        <v>253</v>
      </c>
      <c r="G57" s="10" t="s">
        <v>327</v>
      </c>
      <c r="H57" s="10" t="s">
        <v>360</v>
      </c>
      <c r="I57" s="10" t="s">
        <v>361</v>
      </c>
      <c r="J57" s="12"/>
    </row>
    <row r="58" spans="1:10" ht="25" x14ac:dyDescent="0.35">
      <c r="A58" s="10">
        <v>54</v>
      </c>
      <c r="B58" s="10" t="s">
        <v>362</v>
      </c>
      <c r="C58" s="10" t="s">
        <v>161</v>
      </c>
      <c r="D58" s="10" t="s">
        <v>363</v>
      </c>
      <c r="E58" s="11">
        <v>2823.48</v>
      </c>
      <c r="F58" s="10" t="s">
        <v>243</v>
      </c>
      <c r="G58" s="10" t="s">
        <v>327</v>
      </c>
      <c r="H58" s="10" t="s">
        <v>364</v>
      </c>
      <c r="I58" s="10" t="s">
        <v>364</v>
      </c>
      <c r="J58" s="12"/>
    </row>
    <row r="59" spans="1:10" x14ac:dyDescent="0.35">
      <c r="A59" s="10">
        <v>55</v>
      </c>
      <c r="B59" s="10" t="s">
        <v>365</v>
      </c>
      <c r="C59" s="10" t="s">
        <v>287</v>
      </c>
      <c r="D59" s="10" t="s">
        <v>205</v>
      </c>
      <c r="E59" s="11">
        <v>1669.67</v>
      </c>
      <c r="F59" s="10" t="s">
        <v>253</v>
      </c>
      <c r="G59" s="10" t="s">
        <v>327</v>
      </c>
      <c r="H59" s="10" t="s">
        <v>366</v>
      </c>
      <c r="I59" s="10" t="s">
        <v>366</v>
      </c>
      <c r="J59" s="12"/>
    </row>
    <row r="60" spans="1:10" x14ac:dyDescent="0.35">
      <c r="A60" s="10">
        <v>56</v>
      </c>
      <c r="B60" s="10" t="s">
        <v>367</v>
      </c>
      <c r="C60" s="10" t="s">
        <v>220</v>
      </c>
      <c r="D60" s="10" t="s">
        <v>368</v>
      </c>
      <c r="E60" s="11">
        <v>2041.14</v>
      </c>
      <c r="F60" s="10" t="s">
        <v>253</v>
      </c>
      <c r="G60" s="10" t="s">
        <v>327</v>
      </c>
      <c r="H60" s="10" t="s">
        <v>369</v>
      </c>
      <c r="I60" s="10" t="s">
        <v>370</v>
      </c>
      <c r="J60" s="12"/>
    </row>
    <row r="61" spans="1:10" ht="25" x14ac:dyDescent="0.35">
      <c r="A61" s="10">
        <v>57</v>
      </c>
      <c r="B61" s="10" t="s">
        <v>371</v>
      </c>
      <c r="C61" s="10" t="s">
        <v>372</v>
      </c>
      <c r="D61" s="10" t="s">
        <v>373</v>
      </c>
      <c r="E61" s="11">
        <v>12258.3</v>
      </c>
      <c r="F61" s="10" t="s">
        <v>253</v>
      </c>
      <c r="G61" s="10" t="s">
        <v>327</v>
      </c>
      <c r="H61" s="10" t="s">
        <v>374</v>
      </c>
      <c r="I61" s="10" t="s">
        <v>375</v>
      </c>
      <c r="J61" s="12"/>
    </row>
    <row r="62" spans="1:10" x14ac:dyDescent="0.35">
      <c r="A62" s="10">
        <v>58</v>
      </c>
      <c r="B62" s="10" t="s">
        <v>376</v>
      </c>
      <c r="C62" s="10" t="s">
        <v>249</v>
      </c>
      <c r="D62" s="10" t="s">
        <v>377</v>
      </c>
      <c r="E62" s="11">
        <v>2481.4</v>
      </c>
      <c r="F62" s="10" t="s">
        <v>243</v>
      </c>
      <c r="G62" s="10" t="s">
        <v>327</v>
      </c>
      <c r="H62" s="10" t="s">
        <v>378</v>
      </c>
      <c r="I62" s="10" t="s">
        <v>379</v>
      </c>
      <c r="J62" s="12"/>
    </row>
    <row r="63" spans="1:10" x14ac:dyDescent="0.35">
      <c r="A63" s="10">
        <v>59</v>
      </c>
      <c r="B63" s="10" t="s">
        <v>380</v>
      </c>
      <c r="C63" s="10" t="s">
        <v>381</v>
      </c>
      <c r="D63" s="10" t="s">
        <v>382</v>
      </c>
      <c r="E63" s="11">
        <v>740.81</v>
      </c>
      <c r="F63" s="10" t="s">
        <v>253</v>
      </c>
      <c r="G63" s="10" t="s">
        <v>327</v>
      </c>
      <c r="H63" s="10" t="s">
        <v>383</v>
      </c>
      <c r="I63" s="10" t="s">
        <v>384</v>
      </c>
      <c r="J63" s="12"/>
    </row>
    <row r="64" spans="1:10" x14ac:dyDescent="0.35">
      <c r="A64" s="10">
        <v>60</v>
      </c>
      <c r="B64" s="10" t="s">
        <v>385</v>
      </c>
      <c r="C64" s="10" t="s">
        <v>316</v>
      </c>
      <c r="D64" s="10" t="s">
        <v>142</v>
      </c>
      <c r="E64" s="11">
        <v>1017.03</v>
      </c>
      <c r="F64" s="10" t="s">
        <v>253</v>
      </c>
      <c r="G64" s="10" t="s">
        <v>327</v>
      </c>
      <c r="H64" s="10" t="s">
        <v>386</v>
      </c>
      <c r="I64" s="10" t="s">
        <v>387</v>
      </c>
      <c r="J64" s="12"/>
    </row>
    <row r="65" spans="1:10" x14ac:dyDescent="0.35">
      <c r="A65" s="10">
        <v>61</v>
      </c>
      <c r="B65" s="10" t="s">
        <v>388</v>
      </c>
      <c r="C65" s="10" t="s">
        <v>389</v>
      </c>
      <c r="D65" s="10" t="s">
        <v>390</v>
      </c>
      <c r="E65" s="11">
        <v>919.8</v>
      </c>
      <c r="F65" s="10" t="s">
        <v>243</v>
      </c>
      <c r="G65" s="10" t="s">
        <v>327</v>
      </c>
      <c r="H65" s="10" t="s">
        <v>391</v>
      </c>
      <c r="I65" s="10" t="s">
        <v>392</v>
      </c>
      <c r="J65" s="12"/>
    </row>
    <row r="66" spans="1:10" x14ac:dyDescent="0.35">
      <c r="A66" s="10">
        <v>62</v>
      </c>
      <c r="B66" s="10" t="s">
        <v>393</v>
      </c>
      <c r="C66" s="10" t="s">
        <v>168</v>
      </c>
      <c r="D66" s="10" t="s">
        <v>394</v>
      </c>
      <c r="E66" s="11">
        <v>1004</v>
      </c>
      <c r="F66" s="10" t="s">
        <v>243</v>
      </c>
      <c r="G66" s="10" t="s">
        <v>327</v>
      </c>
      <c r="H66" s="10" t="s">
        <v>395</v>
      </c>
      <c r="I66" s="10" t="s">
        <v>396</v>
      </c>
      <c r="J66" s="12"/>
    </row>
    <row r="67" spans="1:10" x14ac:dyDescent="0.35">
      <c r="A67" s="10">
        <v>63</v>
      </c>
      <c r="B67" s="10" t="s">
        <v>397</v>
      </c>
      <c r="C67" s="10" t="s">
        <v>111</v>
      </c>
      <c r="D67" s="10" t="s">
        <v>398</v>
      </c>
      <c r="E67" s="11">
        <v>3500</v>
      </c>
      <c r="F67" s="10" t="s">
        <v>253</v>
      </c>
      <c r="G67" s="10" t="s">
        <v>327</v>
      </c>
      <c r="H67" s="10" t="s">
        <v>361</v>
      </c>
      <c r="I67" s="10" t="s">
        <v>399</v>
      </c>
      <c r="J67" s="12"/>
    </row>
    <row r="68" spans="1:10" ht="25" x14ac:dyDescent="0.35">
      <c r="A68" s="10">
        <v>64</v>
      </c>
      <c r="B68" s="10" t="s">
        <v>400</v>
      </c>
      <c r="C68" s="10" t="s">
        <v>401</v>
      </c>
      <c r="D68" s="10" t="s">
        <v>402</v>
      </c>
      <c r="E68" s="11">
        <v>7542.4</v>
      </c>
      <c r="F68" s="10" t="s">
        <v>243</v>
      </c>
      <c r="G68" s="10" t="s">
        <v>327</v>
      </c>
      <c r="H68" s="10" t="s">
        <v>403</v>
      </c>
      <c r="I68" s="10" t="s">
        <v>404</v>
      </c>
      <c r="J68" s="12"/>
    </row>
    <row r="69" spans="1:10" ht="37.5" x14ac:dyDescent="0.35">
      <c r="A69" s="10">
        <v>65</v>
      </c>
      <c r="B69" s="10" t="s">
        <v>405</v>
      </c>
      <c r="C69" s="10" t="s">
        <v>401</v>
      </c>
      <c r="D69" s="10" t="s">
        <v>406</v>
      </c>
      <c r="E69" s="11">
        <v>4693.7</v>
      </c>
      <c r="F69" s="10" t="s">
        <v>243</v>
      </c>
      <c r="G69" s="10" t="s">
        <v>327</v>
      </c>
      <c r="H69" s="10" t="s">
        <v>407</v>
      </c>
      <c r="I69" s="10" t="s">
        <v>408</v>
      </c>
      <c r="J69" s="12"/>
    </row>
    <row r="70" spans="1:10" x14ac:dyDescent="0.35">
      <c r="A70" s="10">
        <v>66</v>
      </c>
      <c r="B70" s="10" t="s">
        <v>409</v>
      </c>
      <c r="C70" s="10" t="s">
        <v>100</v>
      </c>
      <c r="D70" s="10" t="s">
        <v>410</v>
      </c>
      <c r="E70" s="11">
        <v>4706.07</v>
      </c>
      <c r="F70" s="10" t="s">
        <v>243</v>
      </c>
      <c r="G70" s="10" t="s">
        <v>327</v>
      </c>
      <c r="H70" s="10" t="s">
        <v>411</v>
      </c>
      <c r="I70" s="10" t="s">
        <v>412</v>
      </c>
      <c r="J70" s="12"/>
    </row>
    <row r="71" spans="1:10" x14ac:dyDescent="0.35">
      <c r="A71" s="10">
        <v>67</v>
      </c>
      <c r="B71" s="10" t="s">
        <v>140</v>
      </c>
      <c r="C71" s="10" t="s">
        <v>141</v>
      </c>
      <c r="D71" s="10" t="s">
        <v>142</v>
      </c>
      <c r="E71" s="11">
        <v>1017.03</v>
      </c>
      <c r="F71" s="10" t="s">
        <v>243</v>
      </c>
      <c r="G71" s="10" t="s">
        <v>327</v>
      </c>
      <c r="H71" s="10" t="s">
        <v>413</v>
      </c>
      <c r="I71" s="10" t="s">
        <v>378</v>
      </c>
      <c r="J71" s="12"/>
    </row>
    <row r="72" spans="1:10" x14ac:dyDescent="0.35">
      <c r="A72" s="10">
        <v>68</v>
      </c>
      <c r="B72" s="10" t="s">
        <v>414</v>
      </c>
      <c r="C72" s="10" t="s">
        <v>224</v>
      </c>
      <c r="D72" s="10" t="s">
        <v>415</v>
      </c>
      <c r="E72" s="11">
        <v>1859</v>
      </c>
      <c r="F72" s="10" t="s">
        <v>243</v>
      </c>
      <c r="G72" s="10" t="s">
        <v>327</v>
      </c>
      <c r="H72" s="10" t="s">
        <v>416</v>
      </c>
      <c r="I72" s="10" t="s">
        <v>416</v>
      </c>
      <c r="J72" s="12"/>
    </row>
    <row r="73" spans="1:10" x14ac:dyDescent="0.35">
      <c r="A73" s="10">
        <v>69</v>
      </c>
      <c r="B73" s="10" t="s">
        <v>417</v>
      </c>
      <c r="C73" s="10" t="s">
        <v>418</v>
      </c>
      <c r="D73" s="10" t="s">
        <v>419</v>
      </c>
      <c r="E73" s="11">
        <v>1516.87</v>
      </c>
      <c r="F73" s="10" t="s">
        <v>243</v>
      </c>
      <c r="G73" s="10" t="s">
        <v>327</v>
      </c>
      <c r="H73" s="10" t="s">
        <v>403</v>
      </c>
      <c r="I73" s="10" t="s">
        <v>378</v>
      </c>
      <c r="J73" s="12"/>
    </row>
    <row r="74" spans="1:10" x14ac:dyDescent="0.35">
      <c r="A74" s="10">
        <v>70</v>
      </c>
      <c r="B74" s="10" t="s">
        <v>420</v>
      </c>
      <c r="C74" s="10" t="s">
        <v>421</v>
      </c>
      <c r="D74" s="10" t="s">
        <v>422</v>
      </c>
      <c r="E74" s="11">
        <v>1421.08</v>
      </c>
      <c r="F74" s="10" t="s">
        <v>253</v>
      </c>
      <c r="G74" s="10" t="s">
        <v>327</v>
      </c>
      <c r="H74" s="10" t="s">
        <v>407</v>
      </c>
      <c r="I74" s="10"/>
      <c r="J74" s="12"/>
    </row>
    <row r="75" spans="1:10" x14ac:dyDescent="0.35">
      <c r="A75" s="10">
        <v>71</v>
      </c>
      <c r="B75" s="10" t="s">
        <v>423</v>
      </c>
      <c r="C75" s="10" t="s">
        <v>289</v>
      </c>
      <c r="D75" s="10" t="s">
        <v>390</v>
      </c>
      <c r="E75" s="11">
        <v>1091.5999999999999</v>
      </c>
      <c r="F75" s="10" t="s">
        <v>243</v>
      </c>
      <c r="G75" s="10" t="s">
        <v>327</v>
      </c>
      <c r="H75" s="10" t="s">
        <v>424</v>
      </c>
      <c r="I75" s="10" t="s">
        <v>396</v>
      </c>
      <c r="J75" s="12"/>
    </row>
    <row r="76" spans="1:10" x14ac:dyDescent="0.35">
      <c r="A76" s="10">
        <v>72</v>
      </c>
      <c r="B76" s="10" t="s">
        <v>145</v>
      </c>
      <c r="C76" s="10" t="s">
        <v>146</v>
      </c>
      <c r="D76" s="10" t="s">
        <v>147</v>
      </c>
      <c r="E76" s="11">
        <v>2273.33</v>
      </c>
      <c r="F76" s="10" t="s">
        <v>243</v>
      </c>
      <c r="G76" s="10" t="s">
        <v>327</v>
      </c>
      <c r="H76" s="10" t="s">
        <v>425</v>
      </c>
      <c r="I76" s="10" t="s">
        <v>426</v>
      </c>
      <c r="J76" s="12"/>
    </row>
    <row r="77" spans="1:10" x14ac:dyDescent="0.35">
      <c r="A77" s="10">
        <v>73</v>
      </c>
      <c r="B77" s="10" t="s">
        <v>427</v>
      </c>
      <c r="C77" s="10" t="s">
        <v>292</v>
      </c>
      <c r="D77" s="10" t="s">
        <v>214</v>
      </c>
      <c r="E77" s="11">
        <v>368.26</v>
      </c>
      <c r="F77" s="10" t="s">
        <v>253</v>
      </c>
      <c r="G77" s="10" t="s">
        <v>327</v>
      </c>
      <c r="H77" s="10" t="s">
        <v>428</v>
      </c>
      <c r="I77" s="10" t="s">
        <v>429</v>
      </c>
      <c r="J77" s="12"/>
    </row>
    <row r="78" spans="1:10" x14ac:dyDescent="0.35">
      <c r="A78" s="10">
        <v>74</v>
      </c>
      <c r="B78" s="10" t="s">
        <v>430</v>
      </c>
      <c r="C78" s="10" t="s">
        <v>325</v>
      </c>
      <c r="D78" s="10" t="s">
        <v>431</v>
      </c>
      <c r="E78" s="11">
        <v>1667.7</v>
      </c>
      <c r="F78" s="10" t="s">
        <v>243</v>
      </c>
      <c r="G78" s="10" t="s">
        <v>327</v>
      </c>
      <c r="H78" s="10" t="s">
        <v>432</v>
      </c>
      <c r="I78" s="10" t="s">
        <v>433</v>
      </c>
      <c r="J78" s="12"/>
    </row>
    <row r="79" spans="1:10" x14ac:dyDescent="0.35">
      <c r="A79" s="10">
        <v>75</v>
      </c>
      <c r="B79" s="10" t="s">
        <v>434</v>
      </c>
      <c r="C79" s="10" t="s">
        <v>435</v>
      </c>
      <c r="D79" s="10" t="s">
        <v>436</v>
      </c>
      <c r="E79" s="11">
        <v>200.8</v>
      </c>
      <c r="F79" s="10" t="s">
        <v>243</v>
      </c>
      <c r="G79" s="10" t="s">
        <v>327</v>
      </c>
      <c r="H79" s="10" t="s">
        <v>437</v>
      </c>
      <c r="I79" s="10" t="s">
        <v>437</v>
      </c>
      <c r="J79" s="12"/>
    </row>
    <row r="80" spans="1:10" ht="25" x14ac:dyDescent="0.35">
      <c r="A80" s="10">
        <v>76</v>
      </c>
      <c r="B80" s="10" t="s">
        <v>438</v>
      </c>
      <c r="C80" s="10" t="s">
        <v>95</v>
      </c>
      <c r="D80" s="10" t="s">
        <v>439</v>
      </c>
      <c r="E80" s="11">
        <v>200.8</v>
      </c>
      <c r="F80" s="10" t="s">
        <v>243</v>
      </c>
      <c r="G80" s="10" t="s">
        <v>327</v>
      </c>
      <c r="H80" s="10" t="s">
        <v>437</v>
      </c>
      <c r="I80" s="10" t="s">
        <v>437</v>
      </c>
      <c r="J80" s="12"/>
    </row>
    <row r="81" spans="1:10" ht="25" x14ac:dyDescent="0.35">
      <c r="A81" s="10">
        <v>77</v>
      </c>
      <c r="B81" s="10" t="s">
        <v>440</v>
      </c>
      <c r="C81" s="10" t="s">
        <v>132</v>
      </c>
      <c r="D81" s="10" t="s">
        <v>441</v>
      </c>
      <c r="E81" s="11">
        <v>401.6</v>
      </c>
      <c r="F81" s="10" t="s">
        <v>243</v>
      </c>
      <c r="G81" s="10" t="s">
        <v>327</v>
      </c>
      <c r="H81" s="10" t="s">
        <v>442</v>
      </c>
      <c r="I81" s="10" t="s">
        <v>442</v>
      </c>
      <c r="J81" s="12"/>
    </row>
    <row r="82" spans="1:10" ht="25" x14ac:dyDescent="0.35">
      <c r="A82" s="10">
        <v>78</v>
      </c>
      <c r="B82" s="10" t="s">
        <v>443</v>
      </c>
      <c r="C82" s="10" t="s">
        <v>135</v>
      </c>
      <c r="D82" s="10" t="s">
        <v>261</v>
      </c>
      <c r="E82" s="11">
        <v>200.8</v>
      </c>
      <c r="F82" s="10" t="s">
        <v>243</v>
      </c>
      <c r="G82" s="10" t="s">
        <v>327</v>
      </c>
      <c r="H82" s="10" t="s">
        <v>444</v>
      </c>
      <c r="I82" s="10" t="s">
        <v>444</v>
      </c>
      <c r="J82" s="12"/>
    </row>
    <row r="84" spans="1:10" x14ac:dyDescent="0.35">
      <c r="D84" s="5" t="s">
        <v>11</v>
      </c>
      <c r="E84" s="13">
        <f>SUM(E5:E82)</f>
        <v>103589.65999999999</v>
      </c>
    </row>
  </sheetData>
  <conditionalFormatting sqref="B1:B1048576">
    <cfRule type="duplicateValues" dxfId="1" priority="3"/>
  </conditionalFormatting>
  <conditionalFormatting sqref="B1:B1048576">
    <cfRule type="duplicateValues" dxfId="0" priority="4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D4" sqref="D4:D7"/>
    </sheetView>
  </sheetViews>
  <sheetFormatPr defaultRowHeight="14.5" x14ac:dyDescent="0.35"/>
  <cols>
    <col min="1" max="1" width="4" customWidth="1"/>
    <col min="2" max="2" width="11" customWidth="1"/>
    <col min="3" max="3" width="13" customWidth="1"/>
    <col min="4" max="4" width="34" customWidth="1"/>
    <col min="5" max="5" width="12" customWidth="1"/>
    <col min="6" max="6" width="55" customWidth="1"/>
    <col min="7" max="7" width="34" customWidth="1"/>
    <col min="8" max="8" width="40" customWidth="1"/>
    <col min="9" max="9" width="18" customWidth="1"/>
  </cols>
  <sheetData>
    <row r="1" spans="1:9" ht="18" x14ac:dyDescent="0.4">
      <c r="A1" s="1" t="s">
        <v>199</v>
      </c>
    </row>
    <row r="2" spans="1:9" x14ac:dyDescent="0.35">
      <c r="A2" s="2" t="s">
        <v>200</v>
      </c>
    </row>
    <row r="4" spans="1:9" ht="26" x14ac:dyDescent="0.35">
      <c r="A4" s="9" t="s">
        <v>18</v>
      </c>
      <c r="B4" s="9" t="s">
        <v>20</v>
      </c>
      <c r="C4" s="9" t="s">
        <v>21</v>
      </c>
      <c r="D4" s="9" t="s">
        <v>22</v>
      </c>
      <c r="E4" s="9" t="s">
        <v>23</v>
      </c>
      <c r="F4" s="9" t="s">
        <v>201</v>
      </c>
      <c r="G4" s="9" t="s">
        <v>202</v>
      </c>
      <c r="H4" s="9" t="s">
        <v>26</v>
      </c>
      <c r="I4" s="9" t="s">
        <v>27</v>
      </c>
    </row>
    <row r="5" spans="1:9" ht="25" x14ac:dyDescent="0.35">
      <c r="A5" s="10">
        <v>1</v>
      </c>
      <c r="B5" s="10" t="s">
        <v>203</v>
      </c>
      <c r="C5" s="10" t="s">
        <v>204</v>
      </c>
      <c r="D5" s="10" t="s">
        <v>205</v>
      </c>
      <c r="E5" s="11">
        <v>1669.67</v>
      </c>
      <c r="F5" s="10" t="s">
        <v>206</v>
      </c>
      <c r="G5" s="10" t="s">
        <v>207</v>
      </c>
      <c r="H5" s="12"/>
      <c r="I5" s="12"/>
    </row>
    <row r="6" spans="1:9" ht="25" x14ac:dyDescent="0.35">
      <c r="A6" s="10">
        <v>2</v>
      </c>
      <c r="B6" s="10" t="s">
        <v>208</v>
      </c>
      <c r="C6" s="10" t="s">
        <v>209</v>
      </c>
      <c r="D6" s="10" t="s">
        <v>210</v>
      </c>
      <c r="E6" s="11">
        <v>3188.3</v>
      </c>
      <c r="F6" s="10" t="s">
        <v>211</v>
      </c>
      <c r="G6" s="10" t="s">
        <v>207</v>
      </c>
      <c r="H6" s="12"/>
      <c r="I6" s="12"/>
    </row>
    <row r="7" spans="1:9" ht="25" x14ac:dyDescent="0.35">
      <c r="A7" s="10">
        <v>3</v>
      </c>
      <c r="B7" s="10" t="s">
        <v>212</v>
      </c>
      <c r="C7" s="10" t="s">
        <v>213</v>
      </c>
      <c r="D7" s="10" t="s">
        <v>214</v>
      </c>
      <c r="E7" s="11">
        <v>368.26</v>
      </c>
      <c r="F7" s="10" t="s">
        <v>215</v>
      </c>
      <c r="G7" s="10" t="s">
        <v>207</v>
      </c>
      <c r="H7" s="12"/>
      <c r="I7" s="12"/>
    </row>
    <row r="8" spans="1:9" ht="25" x14ac:dyDescent="0.35">
      <c r="A8" s="10">
        <v>4</v>
      </c>
      <c r="B8" s="10" t="s">
        <v>216</v>
      </c>
      <c r="C8" s="10" t="s">
        <v>164</v>
      </c>
      <c r="D8" s="10" t="s">
        <v>217</v>
      </c>
      <c r="E8" s="11">
        <v>1919.67</v>
      </c>
      <c r="F8" s="10" t="s">
        <v>218</v>
      </c>
      <c r="G8" s="10" t="s">
        <v>207</v>
      </c>
      <c r="H8" s="12"/>
      <c r="I8" s="12"/>
    </row>
    <row r="9" spans="1:9" ht="25" x14ac:dyDescent="0.35">
      <c r="A9" s="10">
        <v>5</v>
      </c>
      <c r="B9" s="10" t="s">
        <v>219</v>
      </c>
      <c r="C9" s="10" t="s">
        <v>220</v>
      </c>
      <c r="D9" s="10" t="s">
        <v>221</v>
      </c>
      <c r="E9" s="11">
        <v>3306.27</v>
      </c>
      <c r="F9" s="10" t="s">
        <v>222</v>
      </c>
      <c r="G9" s="10" t="s">
        <v>207</v>
      </c>
      <c r="H9" s="12"/>
      <c r="I9" s="12"/>
    </row>
    <row r="10" spans="1:9" ht="25" x14ac:dyDescent="0.35">
      <c r="A10" s="10">
        <v>6</v>
      </c>
      <c r="B10" s="10" t="s">
        <v>223</v>
      </c>
      <c r="C10" s="10" t="s">
        <v>224</v>
      </c>
      <c r="D10" s="10" t="s">
        <v>225</v>
      </c>
      <c r="E10" s="11">
        <v>3500</v>
      </c>
      <c r="F10" s="10" t="s">
        <v>226</v>
      </c>
      <c r="G10" s="10" t="s">
        <v>207</v>
      </c>
      <c r="H10" s="12"/>
      <c r="I10" s="12"/>
    </row>
    <row r="11" spans="1:9" ht="25" x14ac:dyDescent="0.35">
      <c r="A11" s="10">
        <v>7</v>
      </c>
      <c r="B11" s="10" t="s">
        <v>84</v>
      </c>
      <c r="C11" s="10" t="s">
        <v>135</v>
      </c>
      <c r="D11" s="10" t="s">
        <v>136</v>
      </c>
      <c r="E11" s="11">
        <v>998.69</v>
      </c>
      <c r="F11" s="10" t="s">
        <v>227</v>
      </c>
      <c r="G11" s="10" t="s">
        <v>228</v>
      </c>
      <c r="H11" s="12"/>
      <c r="I11" s="12"/>
    </row>
    <row r="12" spans="1:9" ht="25" x14ac:dyDescent="0.35">
      <c r="A12" s="10">
        <v>8</v>
      </c>
      <c r="B12" s="10" t="s">
        <v>29</v>
      </c>
      <c r="C12" s="10" t="s">
        <v>229</v>
      </c>
      <c r="D12" s="10" t="s">
        <v>230</v>
      </c>
      <c r="E12" s="11">
        <v>25977</v>
      </c>
      <c r="F12" s="10" t="s">
        <v>231</v>
      </c>
      <c r="G12" s="10" t="s">
        <v>232</v>
      </c>
      <c r="H12" s="12"/>
      <c r="I12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Validar com o time</vt:lpstr>
      <vt:lpstr>Vai subir (conferir)</vt:lpstr>
      <vt:lpstr>Pendente Financeiro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Petter Costa</cp:lastModifiedBy>
  <dcterms:created xsi:type="dcterms:W3CDTF">2026-10-28T00:58:59Z</dcterms:created>
  <dcterms:modified xsi:type="dcterms:W3CDTF">2026-10-29T18:04:51Z</dcterms:modified>
</cp:coreProperties>
</file>