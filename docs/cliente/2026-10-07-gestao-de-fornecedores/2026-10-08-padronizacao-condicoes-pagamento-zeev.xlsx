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guil\Downloads\"/>
    </mc:Choice>
  </mc:AlternateContent>
  <xr:revisionPtr revIDLastSave="0" documentId="13_ncr:1_{8A61DCBD-86D1-43D0-BE27-63C89041CF40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Resumo" sheetId="1" r:id="rId1"/>
    <sheet name="Alcadas de Valor" sheetId="2" r:id="rId2"/>
    <sheet name="Condicoes de Pagamento" sheetId="3" r:id="rId3"/>
    <sheet name="Fluxo Zeev" sheetId="4" r:id="rId4"/>
    <sheet name="Simulado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5" l="1"/>
  <c r="D7" i="5"/>
  <c r="E6" i="5"/>
  <c r="D6" i="5"/>
  <c r="G5" i="5"/>
  <c r="E5" i="5"/>
  <c r="D5" i="5"/>
  <c r="E4" i="5"/>
  <c r="D4" i="5"/>
  <c r="H4" i="5" l="1"/>
  <c r="H7" i="5"/>
  <c r="G7" i="5"/>
  <c r="F7" i="5"/>
  <c r="H5" i="5"/>
  <c r="H6" i="5"/>
  <c r="G6" i="5"/>
  <c r="F6" i="5"/>
  <c r="F5" i="5"/>
  <c r="G4" i="5"/>
  <c r="F4" i="5"/>
</calcChain>
</file>

<file path=xl/sharedStrings.xml><?xml version="1.0" encoding="utf-8"?>
<sst xmlns="http://schemas.openxmlformats.org/spreadsheetml/2006/main" count="309" uniqueCount="228">
  <si>
    <t>Padronização de Condições de Pagamento - Parceiros / Obras / Serviços Spot</t>
  </si>
  <si>
    <t>Base analisada</t>
  </si>
  <si>
    <t>Controle de obras.xlsx</t>
  </si>
  <si>
    <t>Resumo da recomendação</t>
  </si>
  <si>
    <t>Critério principal</t>
  </si>
  <si>
    <t>Valor de mão de obra / contratação do parceiro</t>
  </si>
  <si>
    <t>1</t>
  </si>
  <si>
    <t>Obra pequena</t>
  </si>
  <si>
    <t>Até R$ 1.500</t>
  </si>
  <si>
    <t>Pagamento único após execução aprovada</t>
  </si>
  <si>
    <t>Baixo risco e maioria da base concentrada nessa faixa</t>
  </si>
  <si>
    <t>Registros com valor de mão de obra</t>
  </si>
  <si>
    <t>2</t>
  </si>
  <si>
    <t>Obra média</t>
  </si>
  <si>
    <t>&gt; R$ 1.500 até R$ 5.000</t>
  </si>
  <si>
    <t>50/50 ou 100% pós execução, conforme risco</t>
  </si>
  <si>
    <t>Faixa intermediária até o P75 da base</t>
  </si>
  <si>
    <t>Registros de obras/serviços não Spot</t>
  </si>
  <si>
    <t>3</t>
  </si>
  <si>
    <t>Obra maior</t>
  </si>
  <si>
    <t>&gt; R$ 5.000</t>
  </si>
  <si>
    <t>30/30/40 por medição/etapa</t>
  </si>
  <si>
    <t>Top 25% da base; exige maior controle</t>
  </si>
  <si>
    <t>Mediana não Spot</t>
  </si>
  <si>
    <t>R$ 1.825</t>
  </si>
  <si>
    <t>4</t>
  </si>
  <si>
    <t>Obra crítica / exceção</t>
  </si>
  <si>
    <t>&gt; R$ 8.000 ou escopo sensível</t>
  </si>
  <si>
    <t>30/30/30/10 ou aprovação especial</t>
  </si>
  <si>
    <t>Acima do P90 aproximado; reforçar aceite final</t>
  </si>
  <si>
    <t>Percentil 75 não Spot</t>
  </si>
  <si>
    <t>R$ 5.000</t>
  </si>
  <si>
    <t>5</t>
  </si>
  <si>
    <t>Serviços Spot recorrentes</t>
  </si>
  <si>
    <t>Contrato guarda-chuva</t>
  </si>
  <si>
    <t>Mensal consolidado ou tabela fixa</t>
  </si>
  <si>
    <t>Evita renegociação e retrabalho por atendimento</t>
  </si>
  <si>
    <t>Percentil 90 não Spot</t>
  </si>
  <si>
    <t>R$ 7.900</t>
  </si>
  <si>
    <t>Leitura executiva</t>
  </si>
  <si>
    <t>A alçada de pequena obra foi fixada em até R$ 1.500 porque esse valor cobre aproximadamente metade dos registros de obras/serviços não Spot e representa serviços curtos de baixo risco.</t>
  </si>
  <si>
    <t>A alçada média foi definida até R$ 5.000 porque esse valor coincide com o percentil 75 da base; até esse limite ainda estamos dentro do comportamento mais comum da planilha.</t>
  </si>
  <si>
    <t>A alçada de obra maior começa acima de R$ 5.000 porque, a partir daí, o contrato entra no grupo de maior exposição financeira e deve ter pagamento por etapas ou medição.</t>
  </si>
  <si>
    <t>A faixa crítica acima de R$ 8.000 é opcional, mas recomendada, pois fica próxima ao percentil 90 e concentra obras com risco relevante de escopo, retrabalho ou saldo contratual.</t>
  </si>
  <si>
    <t>No Zeev, a condição deve nascer na contratação/contrato e a medição deve apenas comprovar execução; o Financeiro programa a data efetiva de pagamento depois da aprovação.</t>
  </si>
  <si>
    <t>Alçadas sugeridas por valor de obra / contratação</t>
  </si>
  <si>
    <t>Alçada</t>
  </si>
  <si>
    <t>Faixa de valor de Mão de Obra</t>
  </si>
  <si>
    <t>Condição padrão Zeev</t>
  </si>
  <si>
    <t>Aprovação sugerida</t>
  </si>
  <si>
    <t>Documentos mínimos</t>
  </si>
  <si>
    <t>Controle Zeev</t>
  </si>
  <si>
    <t>Quando usar</t>
  </si>
  <si>
    <t>Justificativa</t>
  </si>
  <si>
    <t>Pequena</t>
  </si>
  <si>
    <t>OBRA_PEQUENA_UNICA_D7</t>
  </si>
  <si>
    <t>Gestor responsável</t>
  </si>
  <si>
    <t>NF/recibo válido + evidência simples</t>
  </si>
  <si>
    <t>Contrato simplificado + medição única</t>
  </si>
  <si>
    <t>Serviços curtos, reparos simples, apoio pontual</t>
  </si>
  <si>
    <t>Faixa cobre cerca de metade dos registros não Spot; baixo risco financeiro</t>
  </si>
  <si>
    <t>Média</t>
  </si>
  <si>
    <t>OBRA_MEDIA_50_50</t>
  </si>
  <si>
    <t>Gestor + Financeiro</t>
  </si>
  <si>
    <t>NF + fotos/evidências + aceite do gestor</t>
  </si>
  <si>
    <t>Contrato específico + medição final</t>
  </si>
  <si>
    <t>Serviços com alguma mobilização, mas escopo controlado</t>
  </si>
  <si>
    <t>Até o P75 da base; parcela final reduz risco de pagar sem aceite</t>
  </si>
  <si>
    <t>Maior</t>
  </si>
  <si>
    <t>OBRA_MAIOR_30_30_40</t>
  </si>
  <si>
    <t>Gestor + Financeiro + responsável da área</t>
  </si>
  <si>
    <t>NF + relatório/fotos + medição parcial/final</t>
  </si>
  <si>
    <t>Contrato específico + saldo contratual + múltiplas medições</t>
  </si>
  <si>
    <t>Obras, reformas, telhado, AR, elétrica, civil ou escopos relevantes</t>
  </si>
  <si>
    <t>Acima do P75; top 25% da base merece controle por etapa</t>
  </si>
  <si>
    <t>Crítica / exceção</t>
  </si>
  <si>
    <t>&gt; R$ 8.000 ou alto risco</t>
  </si>
  <si>
    <t>OBRA_RETENCAO_10 ou EXCECAO_APROVACAO</t>
  </si>
  <si>
    <t>Gestor + Financeiro + Diretoria/Coordenação</t>
  </si>
  <si>
    <t>Documentação completa + aceite formal final</t>
  </si>
  <si>
    <t>Contrato + saldo + bloqueio de excesso + aditivo</t>
  </si>
  <si>
    <t>Obras complexas, novo parceiro, risco técnico, garantia, retrabalho</t>
  </si>
  <si>
    <t>Próximo ao P90; recomendável segurar retenção/aceite final</t>
  </si>
  <si>
    <t>Condições de pagamento padronizadas para cadastro no Zeev</t>
  </si>
  <si>
    <t>Código Zeev</t>
  </si>
  <si>
    <t>Tipo</t>
  </si>
  <si>
    <t>Faixa / Critério</t>
  </si>
  <si>
    <t>Parcelas</t>
  </si>
  <si>
    <t>Percentuais</t>
  </si>
  <si>
    <t>Gatilho da Parcela 1</t>
  </si>
  <si>
    <t>Gatilho da Parcela 2</t>
  </si>
  <si>
    <t>Gatilho da Parcela 3 / Final</t>
  </si>
  <si>
    <t>Como será na prática</t>
  </si>
  <si>
    <t>Observações</t>
  </si>
  <si>
    <t>100%</t>
  </si>
  <si>
    <t>Não aplicável</t>
  </si>
  <si>
    <t>Após execução aprovada + documentação mínima</t>
  </si>
  <si>
    <t>Solicitante abre contrato simplificado; mede uma vez; Financeiro programa D+7 ou calendário financeiro</t>
  </si>
  <si>
    <t>Não permitir pagamento antes da execução, salvo exceção</t>
  </si>
  <si>
    <t>50% / 50%</t>
  </si>
  <si>
    <t>Contrato aprovado + início/mobilização autorizada</t>
  </si>
  <si>
    <t>Conclusão aprovada + NF + evidências</t>
  </si>
  <si>
    <t>Contrato nasce com 2 parcelas; medição final libera a segunda parcela</t>
  </si>
  <si>
    <t>Usar quando há custo de mobilização, mas escopo é controlado</t>
  </si>
  <si>
    <t>OBRA_MEDIA_UNICA_D15</t>
  </si>
  <si>
    <t>Obra média baixo risco</t>
  </si>
  <si>
    <t>&gt; R$ 1.500 até R$ 5.000 e baixo risco</t>
  </si>
  <si>
    <t>Após conclusão aprovada + NF</t>
  </si>
  <si>
    <t>Contrato com medição única; Financeiro programa D+15</t>
  </si>
  <si>
    <t>Alternativa ao 50/50 para parceiros confiáveis e serviços rápidos</t>
  </si>
  <si>
    <t>30% / 30% / 40%</t>
  </si>
  <si>
    <t>Contrato aprovado + início/mobilização</t>
  </si>
  <si>
    <t>Medição parcial aprovada</t>
  </si>
  <si>
    <t>Conclusão + aceite final + NF</t>
  </si>
  <si>
    <t>Zeev controla saldo; cada medição fica vinculada ao contrato</t>
  </si>
  <si>
    <t>Condição principal para obras maiores</t>
  </si>
  <si>
    <t>OBRA_RETENCAO_10</t>
  </si>
  <si>
    <t>Obra crítica / garantia</t>
  </si>
  <si>
    <t>&gt; R$ 8.000 ou risco técnico</t>
  </si>
  <si>
    <t>30% / 30% / 30% / 10%</t>
  </si>
  <si>
    <t>Início/mobilização</t>
  </si>
  <si>
    <t>Medição parcial</t>
  </si>
  <si>
    <t>Conclusão aprovada; retenção após aceite/garantia</t>
  </si>
  <si>
    <t>Últimos 10% só após aceite final ou prazo acordado</t>
  </si>
  <si>
    <t>Usar com cautela para não gerar excesso de controle em serviços simples</t>
  </si>
  <si>
    <t>OBRA_MEDICAO_MENSAL</t>
  </si>
  <si>
    <t>Obra contínua</t>
  </si>
  <si>
    <t>Contrato com medições recorrentes</t>
  </si>
  <si>
    <t>Mensal</t>
  </si>
  <si>
    <t>100% do valor medido</t>
  </si>
  <si>
    <t>Medição mensal aprovada + NF</t>
  </si>
  <si>
    <t>Contrato tem valor total/estimado; medição mensal gera pagamento</t>
  </si>
  <si>
    <t>Ideal para contratos contínuos ou guarda-chuva de manutenção</t>
  </si>
  <si>
    <t>SPOT_UNICO_D7</t>
  </si>
  <si>
    <t>Serviço Spot simples</t>
  </si>
  <si>
    <t>Atendimento avulso até R$ 1.500</t>
  </si>
  <si>
    <t>Atendimento concluído + evidência + NF</t>
  </si>
  <si>
    <t>Solicitante vincula ao contrato spot; Financeiro programa D+7</t>
  </si>
  <si>
    <t>Caminhão pipa avulso, desentupidora, dedetização simples</t>
  </si>
  <si>
    <t>SPOT_UNICO_D15</t>
  </si>
  <si>
    <t>Serviço Spot padrão</t>
  </si>
  <si>
    <t>Atendimento avulso acima de R$ 1.500 ou fornecedor com prazo</t>
  </si>
  <si>
    <t>Atendimento concluído + NF aprovada</t>
  </si>
  <si>
    <t>Financeiro programa D+15 ou calendário financeiro</t>
  </si>
  <si>
    <t>Melhor para melhorar prazo de caixa</t>
  </si>
  <si>
    <t>SPOT_MENSAL_CONSOLIDADO</t>
  </si>
  <si>
    <t>Spot recorrente</t>
  </si>
  <si>
    <t>Múltiplos atendimentos no mês</t>
  </si>
  <si>
    <t>100% do consolidado</t>
  </si>
  <si>
    <t>Fechamento mensal aprovado + NF consolidada</t>
  </si>
  <si>
    <t>Atendimentos são acumulados; fechamento mensal gera pagamento</t>
  </si>
  <si>
    <t>Reduz retrabalho e volume de solicitações de pagamento</t>
  </si>
  <si>
    <t>SPOT_TABELA_FIXA</t>
  </si>
  <si>
    <t>Spot recorrente com preço fixo</t>
  </si>
  <si>
    <t>Contrato guarda-chuva com tabela</t>
  </si>
  <si>
    <t>100% conforme tabela</t>
  </si>
  <si>
    <t>Serviço selecionado + evidência + NF</t>
  </si>
  <si>
    <t>Solicitante escolhe serviço da tabela; Zeev puxa valor e condição</t>
  </si>
  <si>
    <t>Recomendado para caminhão pipa, dedetização, desentupidoras</t>
  </si>
  <si>
    <t>MATERIAL_MEDIANTE_NF</t>
  </si>
  <si>
    <t>Material</t>
  </si>
  <si>
    <t>Compra/entrega de material</t>
  </si>
  <si>
    <t>Entrega comprovada + NF aprovada</t>
  </si>
  <si>
    <t>Separar material da mão de obra no contrato/medição</t>
  </si>
  <si>
    <t>Evita misturar lógica de empreiteiro com compra de material</t>
  </si>
  <si>
    <t>EXCECAO_APROVACAO</t>
  </si>
  <si>
    <t>Exceção comercial</t>
  </si>
  <si>
    <t>Fora do padrão</t>
  </si>
  <si>
    <t>A definir</t>
  </si>
  <si>
    <t>Justificativa obrigatória</t>
  </si>
  <si>
    <t>Aprovação adicional</t>
  </si>
  <si>
    <t>Conforme aprovação</t>
  </si>
  <si>
    <t>Fluxo exige justificativa e aprovação superior antes de liberar</t>
  </si>
  <si>
    <t>Usar para antecipação, condição especial, aditivo ou urgência</t>
  </si>
  <si>
    <t>Fluxo prático no Zeev</t>
  </si>
  <si>
    <t>Etapa</t>
  </si>
  <si>
    <t>Responsável</t>
  </si>
  <si>
    <t>O que acontece</t>
  </si>
  <si>
    <t>Campos/controles necessários</t>
  </si>
  <si>
    <t>Regra de negócio</t>
  </si>
  <si>
    <t>Saída esperada</t>
  </si>
  <si>
    <t>1. Cadastro da contratação</t>
  </si>
  <si>
    <t>Solicitante</t>
  </si>
  <si>
    <t>Abre a contratação/contrato no Zeev</t>
  </si>
  <si>
    <t>Fornecedor, escopo, local, valor, condição padrão, documentos, centro de custo</t>
  </si>
  <si>
    <t>Condição de pagamento nasce aqui e não na medição</t>
  </si>
  <si>
    <t>Contrato CT aprovado ou devolvido</t>
  </si>
  <si>
    <t>2. Aprovação da contratação</t>
  </si>
  <si>
    <t>Gestor / Financeiro</t>
  </si>
  <si>
    <t>Valida escopo, valor e condição comercial</t>
  </si>
  <si>
    <t>Alçada de valor, orçamento, documentos obrigatórios</t>
  </si>
  <si>
    <t>Condição fora do padrão exige exceção/aditivo</t>
  </si>
  <si>
    <t>Contrato aprovado e ativo</t>
  </si>
  <si>
    <t>3. Execução do serviço</t>
  </si>
  <si>
    <t>Parceiro</t>
  </si>
  <si>
    <t>Executa conforme escopo contratado</t>
  </si>
  <si>
    <t>Contrato ativo e escopo aprovado</t>
  </si>
  <si>
    <t>Não deve haver pagamento sem evidência de execução, salvo exceção</t>
  </si>
  <si>
    <t>Serviço pronto para medição</t>
  </si>
  <si>
    <t>4. Medição</t>
  </si>
  <si>
    <t>Solicitante / Gestor</t>
  </si>
  <si>
    <t>Registra valor medido e evidências</t>
  </si>
  <si>
    <t>Contrato vinculado, NF, fotos, relatório, saldo disponível</t>
  </si>
  <si>
    <t>Medição não pode alterar condição comercial</t>
  </si>
  <si>
    <t>Medição aprovada ou pendente de correção</t>
  </si>
  <si>
    <t>5. Programação financeira</t>
  </si>
  <si>
    <t>Financeiro</t>
  </si>
  <si>
    <t>Programa parcelas/datas efetivas</t>
  </si>
  <si>
    <t>Dados puxados do contrato e da medição</t>
  </si>
  <si>
    <t>Financeiro define datas, mas não muda condição aprovada sem aditivo</t>
  </si>
  <si>
    <t>Solicitação de pagamento criada</t>
  </si>
  <si>
    <t>6. Pagamento e baixa</t>
  </si>
  <si>
    <t>Executa pagamento e baixa status</t>
  </si>
  <si>
    <t>Data de pagamento, valor pago, comprovante</t>
  </si>
  <si>
    <t>Controlar pago x aprovado x saldo</t>
  </si>
  <si>
    <t>Contrato/medição atualizados</t>
  </si>
  <si>
    <t>Simulador simples de classificação e condição sugerida</t>
  </si>
  <si>
    <t>Valor Mão de Obra</t>
  </si>
  <si>
    <t>Risco/Observação</t>
  </si>
  <si>
    <t>Alçada sugerida</t>
  </si>
  <si>
    <t>Condição Zeev</t>
  </si>
  <si>
    <t>Observação prática</t>
  </si>
  <si>
    <t>Obra</t>
  </si>
  <si>
    <t>Baixo risco</t>
  </si>
  <si>
    <t>Médio risco</t>
  </si>
  <si>
    <t>Maior controle</t>
  </si>
  <si>
    <t>Crítico</t>
  </si>
  <si>
    <t>Como usar: altere os valores da coluna A e veja a alçada e a condição sugerida. Para serviços Spot, prefira as condições SPOT_UNICO_D7, SPOT_UNICO_D15, SPOT_MENSAL_CONSOLIDADO ou SPOT_TABELA_FIXA conforme recorrência e contrato guarda-chuva.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</si>
</sst>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"/>
  </numFmts>
  <fonts count="5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111827"/>
      <name val="Carlito"/>
    </font>
    <font>
      <b/>
      <sz val="11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4F6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Font="1" applyFill="1" applyAlignment="1">
      <alignment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Alcadas" displayName="TabelaAlcadas" ref="A3:H7">
  <tableColumns count="8">
    <tableColumn id="1" xr3:uid="{00000000-0010-0000-0000-000001000000}" name="Alçada"/>
    <tableColumn id="2" xr3:uid="{00000000-0010-0000-0000-000002000000}" name="Faixa de valor de Mão de Obra"/>
    <tableColumn id="3" xr3:uid="{00000000-0010-0000-0000-000003000000}" name="Condição padrão Zeev"/>
    <tableColumn id="4" xr3:uid="{00000000-0010-0000-0000-000004000000}" name="Aprovação sugerida"/>
    <tableColumn id="5" xr3:uid="{00000000-0010-0000-0000-000005000000}" name="Documentos mínimos"/>
    <tableColumn id="6" xr3:uid="{00000000-0010-0000-0000-000006000000}" name="Controle Zeev"/>
    <tableColumn id="7" xr3:uid="{00000000-0010-0000-0000-000007000000}" name="Quando usar"/>
    <tableColumn id="8" xr3:uid="{00000000-0010-0000-0000-000008000000}" name="Justificativ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Condicoes" displayName="TabelaCondicoes" ref="A3:J15">
  <tableColumns count="10">
    <tableColumn id="1" xr3:uid="{00000000-0010-0000-0100-000001000000}" name="Código Zeev"/>
    <tableColumn id="2" xr3:uid="{00000000-0010-0000-0100-000002000000}" name="Tipo"/>
    <tableColumn id="3" xr3:uid="{00000000-0010-0000-0100-000003000000}" name="Faixa / Critério"/>
    <tableColumn id="4" xr3:uid="{00000000-0010-0000-0100-000004000000}" name="Parcelas"/>
    <tableColumn id="5" xr3:uid="{00000000-0010-0000-0100-000005000000}" name="Percentuais"/>
    <tableColumn id="6" xr3:uid="{00000000-0010-0000-0100-000006000000}" name="Gatilho da Parcela 1"/>
    <tableColumn id="7" xr3:uid="{00000000-0010-0000-0100-000007000000}" name="Gatilho da Parcela 2"/>
    <tableColumn id="8" xr3:uid="{00000000-0010-0000-0100-000008000000}" name="Gatilho da Parcela 3 / Final"/>
    <tableColumn id="9" xr3:uid="{00000000-0010-0000-0100-000009000000}" name="Como será na prática"/>
    <tableColumn id="10" xr3:uid="{00000000-0010-0000-0100-00000A000000}" name="Observaçõ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FluxoZeev" displayName="TabelaFluxoZeev" ref="A3:F9">
  <tableColumns count="6">
    <tableColumn id="1" xr3:uid="{00000000-0010-0000-0200-000001000000}" name="Etapa"/>
    <tableColumn id="2" xr3:uid="{00000000-0010-0000-0200-000002000000}" name="Responsável"/>
    <tableColumn id="3" xr3:uid="{00000000-0010-0000-0200-000003000000}" name="O que acontece"/>
    <tableColumn id="4" xr3:uid="{00000000-0010-0000-0200-000004000000}" name="Campos/controles necessários"/>
    <tableColumn id="5" xr3:uid="{00000000-0010-0000-0200-000005000000}" name="Regra de negócio"/>
    <tableColumn id="6" xr3:uid="{00000000-0010-0000-0200-000006000000}" name="Saída esperad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Simulador" displayName="TabelaSimulador" ref="A3:H7">
  <tableColumns count="8">
    <tableColumn id="1" xr3:uid="{00000000-0010-0000-0300-000001000000}" name="Valor Mão de Obra"/>
    <tableColumn id="2" xr3:uid="{00000000-0010-0000-0300-000002000000}" name="Tipo"/>
    <tableColumn id="3" xr3:uid="{00000000-0010-0000-0300-000003000000}" name="Risco/Observação"/>
    <tableColumn id="4" xr3:uid="{00000000-0010-0000-0300-000004000000}" name="Alçada sugerida"/>
    <tableColumn id="5" xr3:uid="{00000000-0010-0000-0300-000005000000}" name="Condição Zeev"/>
    <tableColumn id="6" xr3:uid="{00000000-0010-0000-0300-000006000000}" name="Parcelas"/>
    <tableColumn id="7" xr3:uid="{00000000-0010-0000-0300-000007000000}" name="Percentuais"/>
    <tableColumn id="8" xr3:uid="{00000000-0010-0000-0300-000008000000}" name="Observação práti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workbookViewId="0">
      <selection sqref="A1:H1"/>
    </sheetView>
  </sheetViews>
  <sheetFormatPr defaultRowHeight="13.8"/>
  <cols>
    <col min="1" max="1" width="18" customWidth="1"/>
    <col min="2" max="2" width="24" customWidth="1"/>
    <col min="3" max="3" width="4" customWidth="1"/>
    <col min="4" max="4" width="10" customWidth="1"/>
    <col min="5" max="5" width="18" customWidth="1"/>
    <col min="6" max="6" width="20" customWidth="1"/>
    <col min="7" max="7" width="22" customWidth="1"/>
    <col min="8" max="8" width="38" customWidth="1"/>
  </cols>
  <sheetData>
    <row r="1" spans="1:8" ht="22.35" customHeight="1">
      <c r="A1" s="11" t="s">
        <v>0</v>
      </c>
      <c r="B1" s="11" t="s">
        <v>0</v>
      </c>
      <c r="C1" s="11" t="s">
        <v>0</v>
      </c>
      <c r="D1" s="11" t="s">
        <v>0</v>
      </c>
      <c r="E1" s="11" t="s">
        <v>0</v>
      </c>
      <c r="F1" s="11" t="s">
        <v>0</v>
      </c>
      <c r="G1" s="11" t="s">
        <v>0</v>
      </c>
      <c r="H1" s="11" t="s">
        <v>0</v>
      </c>
    </row>
    <row r="2" spans="1:8">
      <c r="A2" s="7"/>
      <c r="B2" s="7"/>
      <c r="C2" s="7"/>
      <c r="D2" s="7"/>
      <c r="E2" s="7"/>
      <c r="F2" s="7"/>
      <c r="G2" s="7"/>
      <c r="H2" s="7"/>
    </row>
    <row r="3" spans="1:8">
      <c r="A3" s="1" t="s">
        <v>1</v>
      </c>
      <c r="B3" s="7" t="s">
        <v>2</v>
      </c>
      <c r="C3" s="7"/>
      <c r="D3" s="12" t="s">
        <v>3</v>
      </c>
      <c r="E3" s="12"/>
      <c r="F3" s="12"/>
      <c r="G3" s="12"/>
      <c r="H3" s="12"/>
    </row>
    <row r="4" spans="1:8" ht="27.6">
      <c r="A4" s="1" t="s">
        <v>4</v>
      </c>
      <c r="B4" s="7" t="s">
        <v>5</v>
      </c>
      <c r="C4" s="7"/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ht="41.4">
      <c r="A5" s="1" t="s">
        <v>11</v>
      </c>
      <c r="B5" s="7">
        <v>127</v>
      </c>
      <c r="C5" s="7"/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</row>
    <row r="6" spans="1:8" ht="41.4">
      <c r="A6" s="1" t="s">
        <v>17</v>
      </c>
      <c r="B6" s="7">
        <v>102</v>
      </c>
      <c r="C6" s="7"/>
      <c r="D6" s="4" t="s">
        <v>18</v>
      </c>
      <c r="E6" s="4" t="s">
        <v>19</v>
      </c>
      <c r="F6" s="4" t="s">
        <v>20</v>
      </c>
      <c r="G6" s="4" t="s">
        <v>21</v>
      </c>
      <c r="H6" s="4" t="s">
        <v>22</v>
      </c>
    </row>
    <row r="7" spans="1:8" ht="27.6">
      <c r="A7" s="1" t="s">
        <v>23</v>
      </c>
      <c r="B7" s="7" t="s">
        <v>24</v>
      </c>
      <c r="C7" s="7"/>
      <c r="D7" s="5" t="s">
        <v>25</v>
      </c>
      <c r="E7" s="5" t="s">
        <v>26</v>
      </c>
      <c r="F7" s="5" t="s">
        <v>27</v>
      </c>
      <c r="G7" s="5" t="s">
        <v>28</v>
      </c>
      <c r="H7" s="5" t="s">
        <v>29</v>
      </c>
    </row>
    <row r="8" spans="1:8" ht="27.6">
      <c r="A8" s="1" t="s">
        <v>30</v>
      </c>
      <c r="B8" s="7" t="s">
        <v>31</v>
      </c>
      <c r="C8" s="7"/>
      <c r="D8" s="6" t="s">
        <v>32</v>
      </c>
      <c r="E8" s="6" t="s">
        <v>33</v>
      </c>
      <c r="F8" s="6" t="s">
        <v>34</v>
      </c>
      <c r="G8" s="6" t="s">
        <v>35</v>
      </c>
      <c r="H8" s="6" t="s">
        <v>36</v>
      </c>
    </row>
    <row r="9" spans="1:8" ht="27.6">
      <c r="A9" s="1" t="s">
        <v>37</v>
      </c>
      <c r="B9" s="7" t="s">
        <v>38</v>
      </c>
      <c r="C9" s="7"/>
      <c r="D9" s="7"/>
      <c r="E9" s="7"/>
      <c r="F9" s="7"/>
      <c r="G9" s="7"/>
      <c r="H9" s="7"/>
    </row>
    <row r="10" spans="1:8">
      <c r="A10" s="7"/>
      <c r="B10" s="7"/>
      <c r="C10" s="7"/>
      <c r="D10" s="7"/>
      <c r="E10" s="7"/>
      <c r="F10" s="7"/>
      <c r="G10" s="7"/>
      <c r="H10" s="7"/>
    </row>
    <row r="11" spans="1:8">
      <c r="A11" s="12" t="s">
        <v>39</v>
      </c>
      <c r="B11" s="12" t="s">
        <v>39</v>
      </c>
      <c r="C11" s="12" t="s">
        <v>39</v>
      </c>
      <c r="D11" s="12" t="s">
        <v>39</v>
      </c>
      <c r="E11" s="12" t="s">
        <v>39</v>
      </c>
      <c r="F11" s="12" t="s">
        <v>39</v>
      </c>
      <c r="G11" s="12" t="s">
        <v>39</v>
      </c>
      <c r="H11" s="12" t="s">
        <v>39</v>
      </c>
    </row>
    <row r="12" spans="1:8">
      <c r="A12" s="13" t="s">
        <v>40</v>
      </c>
      <c r="B12" s="13"/>
      <c r="C12" s="13"/>
      <c r="D12" s="13"/>
      <c r="E12" s="13"/>
      <c r="F12" s="13"/>
      <c r="G12" s="13"/>
      <c r="H12" s="13"/>
    </row>
    <row r="13" spans="1:8">
      <c r="A13" s="13" t="s">
        <v>41</v>
      </c>
      <c r="B13" s="13"/>
      <c r="C13" s="13"/>
      <c r="D13" s="13"/>
      <c r="E13" s="13"/>
      <c r="F13" s="13"/>
      <c r="G13" s="13"/>
      <c r="H13" s="13"/>
    </row>
    <row r="14" spans="1:8">
      <c r="A14" s="13" t="s">
        <v>42</v>
      </c>
      <c r="B14" s="13"/>
      <c r="C14" s="13"/>
      <c r="D14" s="13"/>
      <c r="E14" s="13"/>
      <c r="F14" s="13"/>
      <c r="G14" s="13"/>
      <c r="H14" s="13"/>
    </row>
    <row r="15" spans="1:8">
      <c r="A15" s="13" t="s">
        <v>43</v>
      </c>
      <c r="B15" s="13"/>
      <c r="C15" s="13"/>
      <c r="D15" s="13"/>
      <c r="E15" s="13"/>
      <c r="F15" s="13"/>
      <c r="G15" s="13"/>
      <c r="H15" s="13"/>
    </row>
    <row r="16" spans="1:8">
      <c r="A16" s="13" t="s">
        <v>44</v>
      </c>
      <c r="B16" s="13"/>
      <c r="C16" s="13"/>
      <c r="D16" s="13"/>
      <c r="E16" s="13"/>
      <c r="F16" s="13"/>
      <c r="G16" s="13"/>
      <c r="H16" s="13"/>
    </row>
    <row r="17" spans="1:8">
      <c r="A17" s="7"/>
      <c r="B17" s="7"/>
      <c r="C17" s="7"/>
      <c r="D17" s="7"/>
      <c r="E17" s="7"/>
      <c r="F17" s="7"/>
      <c r="G17" s="7"/>
      <c r="H17" s="7"/>
    </row>
    <row r="18" spans="1:8">
      <c r="A18" s="7"/>
      <c r="B18" s="7"/>
      <c r="C18" s="7"/>
      <c r="D18" s="7"/>
      <c r="E18" s="7"/>
      <c r="F18" s="7"/>
      <c r="G18" s="7"/>
      <c r="H18" s="7"/>
    </row>
    <row r="19" spans="1:8">
      <c r="A19" s="7"/>
      <c r="B19" s="7"/>
      <c r="C19" s="7"/>
      <c r="D19" s="7"/>
      <c r="E19" s="7"/>
      <c r="F19" s="7"/>
      <c r="G19" s="7"/>
      <c r="H19" s="7"/>
    </row>
    <row r="20" spans="1:8">
      <c r="A20" s="7"/>
      <c r="B20" s="7"/>
      <c r="C20" s="7"/>
      <c r="D20" s="7"/>
      <c r="E20" s="7"/>
      <c r="F20" s="7"/>
      <c r="G20" s="7"/>
      <c r="H20" s="7"/>
    </row>
    <row r="21" spans="1:8">
      <c r="A21" s="7"/>
      <c r="B21" s="7"/>
      <c r="C21" s="7"/>
      <c r="D21" s="7"/>
      <c r="E21" s="7"/>
      <c r="F21" s="7"/>
      <c r="G21" s="7"/>
      <c r="H21" s="7"/>
    </row>
    <row r="22" spans="1:8">
      <c r="A22" s="7"/>
      <c r="B22" s="7"/>
      <c r="C22" s="7"/>
      <c r="D22" s="7"/>
      <c r="E22" s="7"/>
      <c r="F22" s="7"/>
      <c r="G22" s="7"/>
      <c r="H22" s="7"/>
    </row>
    <row r="23" spans="1:8">
      <c r="A23" s="7"/>
      <c r="B23" s="7"/>
      <c r="C23" s="7"/>
      <c r="D23" s="7"/>
      <c r="E23" s="7"/>
      <c r="F23" s="7"/>
      <c r="G23" s="7"/>
      <c r="H23" s="7"/>
    </row>
    <row r="24" spans="1:8">
      <c r="A24" s="7"/>
      <c r="B24" s="7"/>
      <c r="C24" s="7"/>
      <c r="D24" s="7"/>
      <c r="E24" s="7"/>
      <c r="F24" s="7"/>
      <c r="G24" s="7"/>
      <c r="H24" s="7"/>
    </row>
    <row r="25" spans="1:8">
      <c r="A25" s="7"/>
      <c r="B25" s="7"/>
      <c r="C25" s="7"/>
      <c r="D25" s="7"/>
      <c r="E25" s="7"/>
      <c r="F25" s="7"/>
      <c r="G25" s="7"/>
      <c r="H25" s="7"/>
    </row>
    <row r="26" spans="1:8">
      <c r="A26" s="7"/>
      <c r="B26" s="7"/>
      <c r="C26" s="7"/>
      <c r="D26" s="7"/>
      <c r="E26" s="7"/>
      <c r="F26" s="7"/>
      <c r="G26" s="7"/>
      <c r="H26" s="7"/>
    </row>
    <row r="27" spans="1:8">
      <c r="A27" s="7"/>
      <c r="B27" s="7"/>
      <c r="C27" s="7"/>
      <c r="D27" s="7"/>
      <c r="E27" s="7"/>
      <c r="F27" s="7"/>
      <c r="G27" s="7"/>
      <c r="H27" s="7"/>
    </row>
    <row r="28" spans="1:8">
      <c r="A28" s="7"/>
      <c r="B28" s="7"/>
      <c r="C28" s="7"/>
      <c r="D28" s="7"/>
      <c r="E28" s="7"/>
      <c r="F28" s="7"/>
      <c r="G28" s="7"/>
      <c r="H28" s="7"/>
    </row>
    <row r="29" spans="1:8">
      <c r="A29" s="7"/>
      <c r="B29" s="7"/>
      <c r="C29" s="7"/>
      <c r="D29" s="7"/>
      <c r="E29" s="7"/>
      <c r="F29" s="7"/>
      <c r="G29" s="7"/>
      <c r="H29" s="7"/>
    </row>
    <row r="30" spans="1:8">
      <c r="A30" s="7"/>
      <c r="B30" s="7"/>
      <c r="C30" s="7"/>
      <c r="D30" s="7"/>
      <c r="E30" s="7"/>
      <c r="F30" s="7"/>
      <c r="G30" s="7"/>
      <c r="H30" s="7"/>
    </row>
    <row r="31" spans="1:8">
      <c r="A31" s="7"/>
      <c r="B31" s="7"/>
      <c r="C31" s="7"/>
      <c r="D31" s="7"/>
      <c r="E31" s="7"/>
      <c r="F31" s="7"/>
      <c r="G31" s="7"/>
      <c r="H31" s="7"/>
    </row>
    <row r="32" spans="1:8">
      <c r="A32" s="7"/>
      <c r="B32" s="7"/>
      <c r="C32" s="7"/>
      <c r="D32" s="7"/>
      <c r="E32" s="7"/>
      <c r="F32" s="7"/>
      <c r="G32" s="7"/>
      <c r="H32" s="7"/>
    </row>
    <row r="33" spans="1:8">
      <c r="A33" s="7"/>
      <c r="B33" s="7"/>
      <c r="C33" s="7"/>
      <c r="D33" s="7"/>
      <c r="E33" s="7"/>
      <c r="F33" s="7"/>
      <c r="G33" s="7"/>
      <c r="H33" s="7"/>
    </row>
    <row r="34" spans="1:8">
      <c r="A34" s="7"/>
      <c r="B34" s="7"/>
      <c r="C34" s="7"/>
      <c r="D34" s="7"/>
      <c r="E34" s="7"/>
      <c r="F34" s="7"/>
      <c r="G34" s="7"/>
      <c r="H34" s="7"/>
    </row>
    <row r="35" spans="1:8">
      <c r="A35" s="7"/>
      <c r="B35" s="7"/>
      <c r="C35" s="7"/>
      <c r="D35" s="7"/>
      <c r="E35" s="7"/>
      <c r="F35" s="7"/>
      <c r="G35" s="7"/>
      <c r="H35" s="7"/>
    </row>
    <row r="36" spans="1:8">
      <c r="A36" s="7"/>
      <c r="B36" s="7"/>
      <c r="C36" s="7"/>
      <c r="D36" s="7"/>
      <c r="E36" s="7"/>
      <c r="F36" s="7"/>
      <c r="G36" s="7"/>
      <c r="H36" s="7"/>
    </row>
    <row r="37" spans="1:8">
      <c r="A37" s="7"/>
      <c r="B37" s="7"/>
      <c r="C37" s="7"/>
      <c r="D37" s="7"/>
      <c r="E37" s="7"/>
      <c r="F37" s="7"/>
      <c r="G37" s="7"/>
      <c r="H37" s="7"/>
    </row>
    <row r="38" spans="1:8">
      <c r="A38" s="7"/>
      <c r="B38" s="7"/>
      <c r="C38" s="7"/>
      <c r="D38" s="7"/>
      <c r="E38" s="7"/>
      <c r="F38" s="7"/>
      <c r="G38" s="7"/>
      <c r="H38" s="7"/>
    </row>
    <row r="39" spans="1:8">
      <c r="A39" s="7"/>
      <c r="B39" s="7"/>
      <c r="C39" s="7"/>
      <c r="D39" s="7"/>
      <c r="E39" s="7"/>
      <c r="F39" s="7"/>
      <c r="G39" s="7"/>
      <c r="H39" s="7"/>
    </row>
    <row r="40" spans="1:8">
      <c r="A40" s="7"/>
      <c r="B40" s="7"/>
      <c r="C40" s="7"/>
      <c r="D40" s="7"/>
      <c r="E40" s="7"/>
      <c r="F40" s="7"/>
      <c r="G40" s="7"/>
      <c r="H40" s="7"/>
    </row>
  </sheetData>
  <mergeCells count="8">
    <mergeCell ref="A14:H14"/>
    <mergeCell ref="A15:H15"/>
    <mergeCell ref="A16:H16"/>
    <mergeCell ref="A1:H1"/>
    <mergeCell ref="D3:H3"/>
    <mergeCell ref="A11:H11"/>
    <mergeCell ref="A12:H12"/>
    <mergeCell ref="A13:H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workbookViewId="0">
      <selection sqref="A1:H1"/>
    </sheetView>
  </sheetViews>
  <sheetFormatPr defaultRowHeight="13.8"/>
  <cols>
    <col min="1" max="1" width="18" customWidth="1"/>
    <col min="2" max="2" width="20" customWidth="1"/>
    <col min="3" max="3" width="22" customWidth="1"/>
    <col min="4" max="4" width="18" customWidth="1"/>
    <col min="5" max="6" width="28" customWidth="1"/>
    <col min="7" max="7" width="30" customWidth="1"/>
    <col min="8" max="8" width="42" customWidth="1"/>
  </cols>
  <sheetData>
    <row r="1" spans="1:8" ht="22.35" customHeight="1">
      <c r="A1" s="11" t="s">
        <v>45</v>
      </c>
      <c r="B1" s="11" t="s">
        <v>45</v>
      </c>
      <c r="C1" s="11" t="s">
        <v>45</v>
      </c>
      <c r="D1" s="11" t="s">
        <v>45</v>
      </c>
      <c r="E1" s="11" t="s">
        <v>45</v>
      </c>
      <c r="F1" s="11" t="s">
        <v>45</v>
      </c>
      <c r="G1" s="11" t="s">
        <v>45</v>
      </c>
      <c r="H1" s="11" t="s">
        <v>45</v>
      </c>
    </row>
    <row r="2" spans="1:8">
      <c r="A2" s="7"/>
      <c r="B2" s="7"/>
      <c r="C2" s="7"/>
      <c r="D2" s="7"/>
      <c r="E2" s="7"/>
      <c r="F2" s="7"/>
      <c r="G2" s="7"/>
      <c r="H2" s="7"/>
    </row>
    <row r="3" spans="1:8" ht="27.6">
      <c r="A3" s="9" t="s">
        <v>46</v>
      </c>
      <c r="B3" s="9" t="s">
        <v>47</v>
      </c>
      <c r="C3" s="9" t="s">
        <v>48</v>
      </c>
      <c r="D3" s="9" t="s">
        <v>49</v>
      </c>
      <c r="E3" s="9" t="s">
        <v>50</v>
      </c>
      <c r="F3" s="9" t="s">
        <v>51</v>
      </c>
      <c r="G3" s="9" t="s">
        <v>52</v>
      </c>
      <c r="H3" s="9" t="s">
        <v>53</v>
      </c>
    </row>
    <row r="4" spans="1:8" ht="27.6">
      <c r="A4" s="2" t="s">
        <v>54</v>
      </c>
      <c r="B4" s="2" t="s">
        <v>8</v>
      </c>
      <c r="C4" s="2" t="s">
        <v>55</v>
      </c>
      <c r="D4" s="2" t="s">
        <v>56</v>
      </c>
      <c r="E4" s="2" t="s">
        <v>57</v>
      </c>
      <c r="F4" s="2" t="s">
        <v>58</v>
      </c>
      <c r="G4" s="2" t="s">
        <v>59</v>
      </c>
      <c r="H4" s="2" t="s">
        <v>60</v>
      </c>
    </row>
    <row r="5" spans="1:8" ht="27.6">
      <c r="A5" s="3" t="s">
        <v>61</v>
      </c>
      <c r="B5" s="3" t="s">
        <v>14</v>
      </c>
      <c r="C5" s="3" t="s">
        <v>62</v>
      </c>
      <c r="D5" s="3" t="s">
        <v>63</v>
      </c>
      <c r="E5" s="3" t="s">
        <v>64</v>
      </c>
      <c r="F5" s="3" t="s">
        <v>65</v>
      </c>
      <c r="G5" s="3" t="s">
        <v>66</v>
      </c>
      <c r="H5" s="3" t="s">
        <v>67</v>
      </c>
    </row>
    <row r="6" spans="1:8" ht="41.4">
      <c r="A6" s="4" t="s">
        <v>68</v>
      </c>
      <c r="B6" s="4" t="s">
        <v>20</v>
      </c>
      <c r="C6" s="4" t="s">
        <v>69</v>
      </c>
      <c r="D6" s="4" t="s">
        <v>70</v>
      </c>
      <c r="E6" s="4" t="s">
        <v>71</v>
      </c>
      <c r="F6" s="4" t="s">
        <v>72</v>
      </c>
      <c r="G6" s="4" t="s">
        <v>73</v>
      </c>
      <c r="H6" s="4" t="s">
        <v>74</v>
      </c>
    </row>
    <row r="7" spans="1:8" ht="55.2">
      <c r="A7" s="5" t="s">
        <v>75</v>
      </c>
      <c r="B7" s="5" t="s">
        <v>76</v>
      </c>
      <c r="C7" s="5" t="s">
        <v>77</v>
      </c>
      <c r="D7" s="5" t="s">
        <v>78</v>
      </c>
      <c r="E7" s="5" t="s">
        <v>79</v>
      </c>
      <c r="F7" s="5" t="s">
        <v>80</v>
      </c>
      <c r="G7" s="5" t="s">
        <v>81</v>
      </c>
      <c r="H7" s="5" t="s">
        <v>82</v>
      </c>
    </row>
    <row r="8" spans="1:8">
      <c r="A8" s="7"/>
      <c r="B8" s="7"/>
      <c r="C8" s="7"/>
      <c r="D8" s="7"/>
      <c r="E8" s="7"/>
      <c r="F8" s="7"/>
      <c r="G8" s="7"/>
      <c r="H8" s="7"/>
    </row>
    <row r="9" spans="1:8">
      <c r="A9" s="7"/>
      <c r="B9" s="7"/>
      <c r="C9" s="7"/>
      <c r="D9" s="7"/>
      <c r="E9" s="7"/>
      <c r="F9" s="7"/>
      <c r="G9" s="7"/>
      <c r="H9" s="7"/>
    </row>
    <row r="10" spans="1:8">
      <c r="A10" s="7"/>
      <c r="B10" s="7"/>
      <c r="C10" s="7"/>
      <c r="D10" s="7"/>
      <c r="E10" s="7"/>
      <c r="F10" s="7"/>
      <c r="G10" s="7"/>
      <c r="H10" s="7"/>
    </row>
    <row r="11" spans="1:8">
      <c r="A11" s="7"/>
      <c r="B11" s="7"/>
      <c r="C11" s="7"/>
      <c r="D11" s="7"/>
      <c r="E11" s="7"/>
      <c r="F11" s="7"/>
      <c r="G11" s="7"/>
      <c r="H11" s="7"/>
    </row>
    <row r="12" spans="1:8">
      <c r="A12" s="7"/>
      <c r="B12" s="7"/>
      <c r="C12" s="7"/>
      <c r="D12" s="7"/>
      <c r="E12" s="7"/>
      <c r="F12" s="7"/>
      <c r="G12" s="7"/>
      <c r="H12" s="7"/>
    </row>
    <row r="13" spans="1:8">
      <c r="A13" s="7"/>
      <c r="B13" s="7"/>
      <c r="C13" s="7"/>
      <c r="D13" s="7"/>
      <c r="E13" s="7"/>
      <c r="F13" s="7"/>
      <c r="G13" s="7"/>
      <c r="H13" s="7"/>
    </row>
    <row r="14" spans="1:8">
      <c r="A14" s="7"/>
      <c r="B14" s="7"/>
      <c r="C14" s="7"/>
      <c r="D14" s="7"/>
      <c r="E14" s="7"/>
      <c r="F14" s="7"/>
      <c r="G14" s="7"/>
      <c r="H14" s="7"/>
    </row>
    <row r="15" spans="1:8">
      <c r="A15" s="7"/>
      <c r="B15" s="7"/>
      <c r="C15" s="7"/>
      <c r="D15" s="7"/>
      <c r="E15" s="7"/>
      <c r="F15" s="7"/>
      <c r="G15" s="7"/>
      <c r="H15" s="7"/>
    </row>
    <row r="16" spans="1:8">
      <c r="A16" s="7"/>
      <c r="B16" s="7"/>
      <c r="C16" s="7"/>
      <c r="D16" s="7"/>
      <c r="E16" s="7"/>
      <c r="F16" s="7"/>
      <c r="G16" s="7"/>
      <c r="H16" s="7"/>
    </row>
    <row r="17" spans="1:8">
      <c r="A17" s="7"/>
      <c r="B17" s="7"/>
      <c r="C17" s="7"/>
      <c r="D17" s="7"/>
      <c r="E17" s="7"/>
      <c r="F17" s="7"/>
      <c r="G17" s="7"/>
      <c r="H17" s="7"/>
    </row>
    <row r="18" spans="1:8">
      <c r="A18" s="7"/>
      <c r="B18" s="7"/>
      <c r="C18" s="7"/>
      <c r="D18" s="7"/>
      <c r="E18" s="7"/>
      <c r="F18" s="7"/>
      <c r="G18" s="7"/>
      <c r="H18" s="7"/>
    </row>
    <row r="19" spans="1:8">
      <c r="A19" s="7"/>
      <c r="B19" s="7"/>
      <c r="C19" s="7"/>
      <c r="D19" s="7"/>
      <c r="E19" s="7"/>
      <c r="F19" s="7"/>
      <c r="G19" s="7"/>
      <c r="H19" s="7"/>
    </row>
    <row r="20" spans="1:8">
      <c r="A20" s="7"/>
      <c r="B20" s="7"/>
      <c r="C20" s="7"/>
      <c r="D20" s="7"/>
      <c r="E20" s="7"/>
      <c r="F20" s="7"/>
      <c r="G20" s="7"/>
      <c r="H20" s="7"/>
    </row>
    <row r="21" spans="1:8">
      <c r="A21" s="7"/>
      <c r="B21" s="7"/>
      <c r="C21" s="7"/>
      <c r="D21" s="7"/>
      <c r="E21" s="7"/>
      <c r="F21" s="7"/>
      <c r="G21" s="7"/>
      <c r="H21" s="7"/>
    </row>
    <row r="22" spans="1:8">
      <c r="A22" s="7"/>
      <c r="B22" s="7"/>
      <c r="C22" s="7"/>
      <c r="D22" s="7"/>
      <c r="E22" s="7"/>
      <c r="F22" s="7"/>
      <c r="G22" s="7"/>
      <c r="H22" s="7"/>
    </row>
    <row r="23" spans="1:8">
      <c r="A23" s="7"/>
      <c r="B23" s="7"/>
      <c r="C23" s="7"/>
      <c r="D23" s="7"/>
      <c r="E23" s="7"/>
      <c r="F23" s="7"/>
      <c r="G23" s="7"/>
      <c r="H23" s="7"/>
    </row>
    <row r="24" spans="1:8">
      <c r="A24" s="7"/>
      <c r="B24" s="7"/>
      <c r="C24" s="7"/>
      <c r="D24" s="7"/>
      <c r="E24" s="7"/>
      <c r="F24" s="7"/>
      <c r="G24" s="7"/>
      <c r="H24" s="7"/>
    </row>
    <row r="25" spans="1:8">
      <c r="A25" s="7"/>
      <c r="B25" s="7"/>
      <c r="C25" s="7"/>
      <c r="D25" s="7"/>
      <c r="E25" s="7"/>
      <c r="F25" s="7"/>
      <c r="G25" s="7"/>
      <c r="H25" s="7"/>
    </row>
    <row r="26" spans="1:8">
      <c r="A26" s="7"/>
      <c r="B26" s="7"/>
      <c r="C26" s="7"/>
      <c r="D26" s="7"/>
      <c r="E26" s="7"/>
      <c r="F26" s="7"/>
      <c r="G26" s="7"/>
      <c r="H26" s="7"/>
    </row>
    <row r="27" spans="1:8">
      <c r="A27" s="7"/>
      <c r="B27" s="7"/>
      <c r="C27" s="7"/>
      <c r="D27" s="7"/>
      <c r="E27" s="7"/>
      <c r="F27" s="7"/>
      <c r="G27" s="7"/>
      <c r="H27" s="7"/>
    </row>
    <row r="28" spans="1:8">
      <c r="A28" s="7"/>
      <c r="B28" s="7"/>
      <c r="C28" s="7"/>
      <c r="D28" s="7"/>
      <c r="E28" s="7"/>
      <c r="F28" s="7"/>
      <c r="G28" s="7"/>
      <c r="H28" s="7"/>
    </row>
    <row r="29" spans="1:8">
      <c r="A29" s="7"/>
      <c r="B29" s="7"/>
      <c r="C29" s="7"/>
      <c r="D29" s="7"/>
      <c r="E29" s="7"/>
      <c r="F29" s="7"/>
      <c r="G29" s="7"/>
      <c r="H29" s="7"/>
    </row>
    <row r="30" spans="1:8">
      <c r="A30" s="7"/>
      <c r="B30" s="7"/>
      <c r="C30" s="7"/>
      <c r="D30" s="7"/>
      <c r="E30" s="7"/>
      <c r="F30" s="7"/>
      <c r="G30" s="7"/>
      <c r="H30" s="7"/>
    </row>
    <row r="31" spans="1:8">
      <c r="A31" s="7"/>
      <c r="B31" s="7"/>
      <c r="C31" s="7"/>
      <c r="D31" s="7"/>
      <c r="E31" s="7"/>
      <c r="F31" s="7"/>
      <c r="G31" s="7"/>
      <c r="H31" s="7"/>
    </row>
    <row r="32" spans="1:8">
      <c r="A32" s="7"/>
      <c r="B32" s="7"/>
      <c r="C32" s="7"/>
      <c r="D32" s="7"/>
      <c r="E32" s="7"/>
      <c r="F32" s="7"/>
      <c r="G32" s="7"/>
      <c r="H32" s="7"/>
    </row>
    <row r="33" spans="1:8">
      <c r="A33" s="7"/>
      <c r="B33" s="7"/>
      <c r="C33" s="7"/>
      <c r="D33" s="7"/>
      <c r="E33" s="7"/>
      <c r="F33" s="7"/>
      <c r="G33" s="7"/>
      <c r="H33" s="7"/>
    </row>
    <row r="34" spans="1:8">
      <c r="A34" s="7"/>
      <c r="B34" s="7"/>
      <c r="C34" s="7"/>
      <c r="D34" s="7"/>
      <c r="E34" s="7"/>
      <c r="F34" s="7"/>
      <c r="G34" s="7"/>
      <c r="H34" s="7"/>
    </row>
    <row r="35" spans="1:8">
      <c r="A35" s="7"/>
      <c r="B35" s="7"/>
      <c r="C35" s="7"/>
      <c r="D35" s="7"/>
      <c r="E35" s="7"/>
      <c r="F35" s="7"/>
      <c r="G35" s="7"/>
      <c r="H35" s="7"/>
    </row>
    <row r="36" spans="1:8">
      <c r="A36" s="7"/>
      <c r="B36" s="7"/>
      <c r="C36" s="7"/>
      <c r="D36" s="7"/>
      <c r="E36" s="7"/>
      <c r="F36" s="7"/>
      <c r="G36" s="7"/>
      <c r="H36" s="7"/>
    </row>
    <row r="37" spans="1:8">
      <c r="A37" s="7"/>
      <c r="B37" s="7"/>
      <c r="C37" s="7"/>
      <c r="D37" s="7"/>
      <c r="E37" s="7"/>
      <c r="F37" s="7"/>
      <c r="G37" s="7"/>
      <c r="H37" s="7"/>
    </row>
    <row r="38" spans="1:8">
      <c r="A38" s="7"/>
      <c r="B38" s="7"/>
      <c r="C38" s="7"/>
      <c r="D38" s="7"/>
      <c r="E38" s="7"/>
      <c r="F38" s="7"/>
      <c r="G38" s="7"/>
      <c r="H38" s="7"/>
    </row>
    <row r="39" spans="1:8">
      <c r="A39" s="7"/>
      <c r="B39" s="7"/>
      <c r="C39" s="7"/>
      <c r="D39" s="7"/>
      <c r="E39" s="7"/>
      <c r="F39" s="7"/>
      <c r="G39" s="7"/>
      <c r="H39" s="7"/>
    </row>
    <row r="40" spans="1:8">
      <c r="A40" s="7"/>
      <c r="B40" s="7"/>
      <c r="C40" s="7"/>
      <c r="D40" s="7"/>
      <c r="E40" s="7"/>
      <c r="F40" s="7"/>
      <c r="G40" s="7"/>
      <c r="H40" s="7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0"/>
  <sheetViews>
    <sheetView tabSelected="1" workbookViewId="0">
      <selection activeCell="C8" sqref="C8"/>
    </sheetView>
  </sheetViews>
  <sheetFormatPr defaultRowHeight="13.8"/>
  <cols>
    <col min="1" max="1" width="24" customWidth="1"/>
    <col min="2" max="2" width="18" customWidth="1"/>
    <col min="3" max="3" width="22" customWidth="1"/>
    <col min="4" max="4" width="10" customWidth="1"/>
    <col min="5" max="5" width="18" customWidth="1"/>
    <col min="6" max="7" width="24" customWidth="1"/>
    <col min="8" max="8" width="28" customWidth="1"/>
    <col min="9" max="9" width="44" customWidth="1"/>
    <col min="10" max="10" width="38" customWidth="1"/>
  </cols>
  <sheetData>
    <row r="1" spans="1:10" ht="22.35" customHeight="1">
      <c r="A1" s="11" t="s">
        <v>83</v>
      </c>
      <c r="B1" s="11" t="s">
        <v>83</v>
      </c>
      <c r="C1" s="11" t="s">
        <v>83</v>
      </c>
      <c r="D1" s="11" t="s">
        <v>83</v>
      </c>
      <c r="E1" s="11" t="s">
        <v>83</v>
      </c>
      <c r="F1" s="11" t="s">
        <v>83</v>
      </c>
      <c r="G1" s="11" t="s">
        <v>83</v>
      </c>
      <c r="H1" s="11" t="s">
        <v>83</v>
      </c>
      <c r="I1" s="11" t="s">
        <v>83</v>
      </c>
      <c r="J1" s="11" t="s">
        <v>83</v>
      </c>
    </row>
    <row r="2" spans="1:10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>
      <c r="A3" s="9" t="s">
        <v>84</v>
      </c>
      <c r="B3" s="9" t="s">
        <v>85</v>
      </c>
      <c r="C3" s="9" t="s">
        <v>86</v>
      </c>
      <c r="D3" s="9" t="s">
        <v>87</v>
      </c>
      <c r="E3" s="9" t="s">
        <v>88</v>
      </c>
      <c r="F3" s="9" t="s">
        <v>89</v>
      </c>
      <c r="G3" s="9" t="s">
        <v>90</v>
      </c>
      <c r="H3" s="9" t="s">
        <v>91</v>
      </c>
      <c r="I3" s="9" t="s">
        <v>92</v>
      </c>
      <c r="J3" s="9" t="s">
        <v>93</v>
      </c>
    </row>
    <row r="4" spans="1:10" ht="27.6">
      <c r="A4" s="2" t="s">
        <v>55</v>
      </c>
      <c r="B4" s="2" t="s">
        <v>7</v>
      </c>
      <c r="C4" s="2" t="s">
        <v>8</v>
      </c>
      <c r="D4" s="2">
        <v>1</v>
      </c>
      <c r="E4" s="2" t="s">
        <v>94</v>
      </c>
      <c r="F4" s="2" t="s">
        <v>95</v>
      </c>
      <c r="G4" s="2" t="s">
        <v>95</v>
      </c>
      <c r="H4" s="2" t="s">
        <v>96</v>
      </c>
      <c r="I4" s="2" t="s">
        <v>97</v>
      </c>
      <c r="J4" s="2" t="s">
        <v>98</v>
      </c>
    </row>
    <row r="5" spans="1:10" ht="27.6">
      <c r="A5" s="3" t="s">
        <v>62</v>
      </c>
      <c r="B5" s="3" t="s">
        <v>13</v>
      </c>
      <c r="C5" s="3" t="s">
        <v>14</v>
      </c>
      <c r="D5" s="3">
        <v>2</v>
      </c>
      <c r="E5" s="3" t="s">
        <v>99</v>
      </c>
      <c r="F5" s="3" t="s">
        <v>100</v>
      </c>
      <c r="G5" s="3" t="s">
        <v>101</v>
      </c>
      <c r="H5" s="3" t="s">
        <v>95</v>
      </c>
      <c r="I5" s="3" t="s">
        <v>102</v>
      </c>
      <c r="J5" s="3" t="s">
        <v>103</v>
      </c>
    </row>
    <row r="6" spans="1:10" ht="27.6">
      <c r="A6" s="3" t="s">
        <v>104</v>
      </c>
      <c r="B6" s="3" t="s">
        <v>105</v>
      </c>
      <c r="C6" s="3" t="s">
        <v>106</v>
      </c>
      <c r="D6" s="3">
        <v>1</v>
      </c>
      <c r="E6" s="3" t="s">
        <v>94</v>
      </c>
      <c r="F6" s="3" t="s">
        <v>95</v>
      </c>
      <c r="G6" s="3" t="s">
        <v>95</v>
      </c>
      <c r="H6" s="3" t="s">
        <v>107</v>
      </c>
      <c r="I6" s="3" t="s">
        <v>108</v>
      </c>
      <c r="J6" s="3" t="s">
        <v>109</v>
      </c>
    </row>
    <row r="7" spans="1:10" ht="27.6">
      <c r="A7" s="4" t="s">
        <v>69</v>
      </c>
      <c r="B7" s="4" t="s">
        <v>19</v>
      </c>
      <c r="C7" s="4" t="s">
        <v>20</v>
      </c>
      <c r="D7" s="4">
        <v>3</v>
      </c>
      <c r="E7" s="4" t="s">
        <v>110</v>
      </c>
      <c r="F7" s="4" t="s">
        <v>111</v>
      </c>
      <c r="G7" s="4" t="s">
        <v>112</v>
      </c>
      <c r="H7" s="4" t="s">
        <v>113</v>
      </c>
      <c r="I7" s="4" t="s">
        <v>114</v>
      </c>
      <c r="J7" s="4" t="s">
        <v>115</v>
      </c>
    </row>
    <row r="8" spans="1:10" ht="27.6">
      <c r="A8" s="4" t="s">
        <v>116</v>
      </c>
      <c r="B8" s="4" t="s">
        <v>117</v>
      </c>
      <c r="C8" s="4" t="s">
        <v>118</v>
      </c>
      <c r="D8" s="4">
        <v>4</v>
      </c>
      <c r="E8" s="4" t="s">
        <v>119</v>
      </c>
      <c r="F8" s="4" t="s">
        <v>120</v>
      </c>
      <c r="G8" s="4" t="s">
        <v>121</v>
      </c>
      <c r="H8" s="4" t="s">
        <v>122</v>
      </c>
      <c r="I8" s="4" t="s">
        <v>123</v>
      </c>
      <c r="J8" s="4" t="s">
        <v>124</v>
      </c>
    </row>
    <row r="9" spans="1:10" ht="27.6">
      <c r="A9" s="4" t="s">
        <v>125</v>
      </c>
      <c r="B9" s="4" t="s">
        <v>126</v>
      </c>
      <c r="C9" s="4" t="s">
        <v>127</v>
      </c>
      <c r="D9" s="4" t="s">
        <v>128</v>
      </c>
      <c r="E9" s="4" t="s">
        <v>129</v>
      </c>
      <c r="F9" s="4" t="s">
        <v>95</v>
      </c>
      <c r="G9" s="4" t="s">
        <v>95</v>
      </c>
      <c r="H9" s="4" t="s">
        <v>130</v>
      </c>
      <c r="I9" s="4" t="s">
        <v>131</v>
      </c>
      <c r="J9" s="4" t="s">
        <v>132</v>
      </c>
    </row>
    <row r="10" spans="1:10" ht="27.6">
      <c r="A10" s="5" t="s">
        <v>133</v>
      </c>
      <c r="B10" s="5" t="s">
        <v>134</v>
      </c>
      <c r="C10" s="5" t="s">
        <v>135</v>
      </c>
      <c r="D10" s="5">
        <v>1</v>
      </c>
      <c r="E10" s="5" t="s">
        <v>94</v>
      </c>
      <c r="F10" s="5" t="s">
        <v>95</v>
      </c>
      <c r="G10" s="5" t="s">
        <v>95</v>
      </c>
      <c r="H10" s="5" t="s">
        <v>136</v>
      </c>
      <c r="I10" s="5" t="s">
        <v>137</v>
      </c>
      <c r="J10" s="5" t="s">
        <v>138</v>
      </c>
    </row>
    <row r="11" spans="1:10" ht="41.4">
      <c r="A11" s="2" t="s">
        <v>139</v>
      </c>
      <c r="B11" s="2" t="s">
        <v>140</v>
      </c>
      <c r="C11" s="2" t="s">
        <v>141</v>
      </c>
      <c r="D11" s="2">
        <v>1</v>
      </c>
      <c r="E11" s="2" t="s">
        <v>94</v>
      </c>
      <c r="F11" s="2" t="s">
        <v>95</v>
      </c>
      <c r="G11" s="2" t="s">
        <v>95</v>
      </c>
      <c r="H11" s="2" t="s">
        <v>142</v>
      </c>
      <c r="I11" s="2" t="s">
        <v>143</v>
      </c>
      <c r="J11" s="2" t="s">
        <v>144</v>
      </c>
    </row>
    <row r="12" spans="1:10" ht="27.6">
      <c r="A12" s="2" t="s">
        <v>145</v>
      </c>
      <c r="B12" s="2" t="s">
        <v>146</v>
      </c>
      <c r="C12" s="2" t="s">
        <v>147</v>
      </c>
      <c r="D12" s="2">
        <v>1</v>
      </c>
      <c r="E12" s="2" t="s">
        <v>148</v>
      </c>
      <c r="F12" s="2" t="s">
        <v>95</v>
      </c>
      <c r="G12" s="2" t="s">
        <v>95</v>
      </c>
      <c r="H12" s="2" t="s">
        <v>149</v>
      </c>
      <c r="I12" s="2" t="s">
        <v>150</v>
      </c>
      <c r="J12" s="2" t="s">
        <v>151</v>
      </c>
    </row>
    <row r="13" spans="1:10" ht="27.6">
      <c r="A13" s="2" t="s">
        <v>152</v>
      </c>
      <c r="B13" s="2" t="s">
        <v>153</v>
      </c>
      <c r="C13" s="2" t="s">
        <v>154</v>
      </c>
      <c r="D13" s="2">
        <v>1</v>
      </c>
      <c r="E13" s="2" t="s">
        <v>155</v>
      </c>
      <c r="F13" s="2" t="s">
        <v>95</v>
      </c>
      <c r="G13" s="2" t="s">
        <v>95</v>
      </c>
      <c r="H13" s="2" t="s">
        <v>156</v>
      </c>
      <c r="I13" s="2" t="s">
        <v>157</v>
      </c>
      <c r="J13" s="2" t="s">
        <v>158</v>
      </c>
    </row>
    <row r="14" spans="1:10" ht="27.6">
      <c r="A14" s="3" t="s">
        <v>159</v>
      </c>
      <c r="B14" s="3" t="s">
        <v>160</v>
      </c>
      <c r="C14" s="3" t="s">
        <v>161</v>
      </c>
      <c r="D14" s="3">
        <v>1</v>
      </c>
      <c r="E14" s="3" t="s">
        <v>94</v>
      </c>
      <c r="F14" s="3" t="s">
        <v>95</v>
      </c>
      <c r="G14" s="3" t="s">
        <v>95</v>
      </c>
      <c r="H14" s="3" t="s">
        <v>162</v>
      </c>
      <c r="I14" s="3" t="s">
        <v>163</v>
      </c>
      <c r="J14" s="3" t="s">
        <v>164</v>
      </c>
    </row>
    <row r="15" spans="1:10" ht="27.6">
      <c r="A15" s="5" t="s">
        <v>165</v>
      </c>
      <c r="B15" s="5" t="s">
        <v>166</v>
      </c>
      <c r="C15" s="5" t="s">
        <v>167</v>
      </c>
      <c r="D15" s="5">
        <v>0</v>
      </c>
      <c r="E15" s="5" t="s">
        <v>168</v>
      </c>
      <c r="F15" s="5" t="s">
        <v>169</v>
      </c>
      <c r="G15" s="5" t="s">
        <v>170</v>
      </c>
      <c r="H15" s="5" t="s">
        <v>171</v>
      </c>
      <c r="I15" s="5" t="s">
        <v>172</v>
      </c>
      <c r="J15" s="5" t="s">
        <v>173</v>
      </c>
    </row>
    <row r="16" spans="1:10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0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0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0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0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0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0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0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spans="1:10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spans="1:10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spans="1:10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spans="1:10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spans="1:10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spans="1:10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spans="1:10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spans="1:10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spans="1:10">
      <c r="A40" s="7"/>
      <c r="B40" s="7"/>
      <c r="C40" s="7"/>
      <c r="D40" s="7"/>
      <c r="E40" s="7"/>
      <c r="F40" s="7"/>
      <c r="G40" s="7"/>
      <c r="H40" s="7"/>
      <c r="I40" s="7"/>
      <c r="J40" s="7"/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workbookViewId="0"/>
  </sheetViews>
  <sheetFormatPr defaultRowHeight="13.8"/>
  <cols>
    <col min="1" max="2" width="20" customWidth="1"/>
    <col min="3" max="5" width="38" customWidth="1"/>
    <col min="6" max="6" width="28" customWidth="1"/>
  </cols>
  <sheetData>
    <row r="1" spans="1:6" ht="22.35" customHeight="1">
      <c r="A1" s="11" t="s">
        <v>174</v>
      </c>
      <c r="B1" s="11" t="s">
        <v>174</v>
      </c>
      <c r="C1" s="11" t="s">
        <v>174</v>
      </c>
      <c r="D1" s="11" t="s">
        <v>174</v>
      </c>
      <c r="E1" s="11" t="s">
        <v>174</v>
      </c>
      <c r="F1" s="11" t="s">
        <v>174</v>
      </c>
    </row>
    <row r="2" spans="1:6">
      <c r="A2" s="7"/>
      <c r="B2" s="7"/>
      <c r="C2" s="7"/>
      <c r="D2" s="7"/>
      <c r="E2" s="7"/>
      <c r="F2" s="7"/>
    </row>
    <row r="3" spans="1:6">
      <c r="A3" s="9" t="s">
        <v>175</v>
      </c>
      <c r="B3" s="9" t="s">
        <v>176</v>
      </c>
      <c r="C3" s="9" t="s">
        <v>177</v>
      </c>
      <c r="D3" s="9" t="s">
        <v>178</v>
      </c>
      <c r="E3" s="9" t="s">
        <v>179</v>
      </c>
      <c r="F3" s="9" t="s">
        <v>180</v>
      </c>
    </row>
    <row r="4" spans="1:6" ht="27.6">
      <c r="A4" s="8" t="s">
        <v>181</v>
      </c>
      <c r="B4" s="8" t="s">
        <v>182</v>
      </c>
      <c r="C4" s="8" t="s">
        <v>183</v>
      </c>
      <c r="D4" s="8" t="s">
        <v>184</v>
      </c>
      <c r="E4" s="8" t="s">
        <v>185</v>
      </c>
      <c r="F4" s="8" t="s">
        <v>186</v>
      </c>
    </row>
    <row r="5" spans="1:6" ht="27.6">
      <c r="A5" s="8" t="s">
        <v>187</v>
      </c>
      <c r="B5" s="8" t="s">
        <v>188</v>
      </c>
      <c r="C5" s="8" t="s">
        <v>189</v>
      </c>
      <c r="D5" s="8" t="s">
        <v>190</v>
      </c>
      <c r="E5" s="8" t="s">
        <v>191</v>
      </c>
      <c r="F5" s="8" t="s">
        <v>192</v>
      </c>
    </row>
    <row r="6" spans="1:6" ht="27.6">
      <c r="A6" s="8" t="s">
        <v>193</v>
      </c>
      <c r="B6" s="8" t="s">
        <v>194</v>
      </c>
      <c r="C6" s="8" t="s">
        <v>195</v>
      </c>
      <c r="D6" s="8" t="s">
        <v>196</v>
      </c>
      <c r="E6" s="8" t="s">
        <v>197</v>
      </c>
      <c r="F6" s="8" t="s">
        <v>198</v>
      </c>
    </row>
    <row r="7" spans="1:6" ht="27.6">
      <c r="A7" s="8" t="s">
        <v>199</v>
      </c>
      <c r="B7" s="8" t="s">
        <v>200</v>
      </c>
      <c r="C7" s="8" t="s">
        <v>201</v>
      </c>
      <c r="D7" s="8" t="s">
        <v>202</v>
      </c>
      <c r="E7" s="8" t="s">
        <v>203</v>
      </c>
      <c r="F7" s="8" t="s">
        <v>204</v>
      </c>
    </row>
    <row r="8" spans="1:6" ht="27.6">
      <c r="A8" s="8" t="s">
        <v>205</v>
      </c>
      <c r="B8" s="8" t="s">
        <v>206</v>
      </c>
      <c r="C8" s="8" t="s">
        <v>207</v>
      </c>
      <c r="D8" s="8" t="s">
        <v>208</v>
      </c>
      <c r="E8" s="8" t="s">
        <v>209</v>
      </c>
      <c r="F8" s="8" t="s">
        <v>210</v>
      </c>
    </row>
    <row r="9" spans="1:6">
      <c r="A9" s="8" t="s">
        <v>211</v>
      </c>
      <c r="B9" s="8" t="s">
        <v>206</v>
      </c>
      <c r="C9" s="8" t="s">
        <v>212</v>
      </c>
      <c r="D9" s="8" t="s">
        <v>213</v>
      </c>
      <c r="E9" s="8" t="s">
        <v>214</v>
      </c>
      <c r="F9" s="8" t="s">
        <v>215</v>
      </c>
    </row>
    <row r="10" spans="1:6">
      <c r="A10" s="7"/>
      <c r="B10" s="7"/>
      <c r="C10" s="7"/>
      <c r="D10" s="7"/>
      <c r="E10" s="7"/>
      <c r="F10" s="7"/>
    </row>
    <row r="11" spans="1:6">
      <c r="A11" s="7"/>
      <c r="B11" s="7"/>
      <c r="C11" s="7"/>
      <c r="D11" s="7"/>
      <c r="E11" s="7"/>
      <c r="F11" s="7"/>
    </row>
    <row r="12" spans="1:6">
      <c r="A12" s="7"/>
      <c r="B12" s="7"/>
      <c r="C12" s="7"/>
      <c r="D12" s="7"/>
      <c r="E12" s="7"/>
      <c r="F12" s="7"/>
    </row>
    <row r="13" spans="1:6">
      <c r="A13" s="7"/>
      <c r="B13" s="7"/>
      <c r="C13" s="7"/>
      <c r="D13" s="7"/>
      <c r="E13" s="7"/>
      <c r="F13" s="7"/>
    </row>
    <row r="14" spans="1:6">
      <c r="A14" s="7"/>
      <c r="B14" s="7"/>
      <c r="C14" s="7"/>
      <c r="D14" s="7"/>
      <c r="E14" s="7"/>
      <c r="F14" s="7"/>
    </row>
    <row r="15" spans="1:6">
      <c r="A15" s="7"/>
      <c r="B15" s="7"/>
      <c r="C15" s="7"/>
      <c r="D15" s="7"/>
      <c r="E15" s="7"/>
      <c r="F15" s="7"/>
    </row>
    <row r="16" spans="1:6">
      <c r="A16" s="7"/>
      <c r="B16" s="7"/>
      <c r="C16" s="7"/>
      <c r="D16" s="7"/>
      <c r="E16" s="7"/>
      <c r="F16" s="7"/>
    </row>
    <row r="17" spans="1:6">
      <c r="A17" s="7"/>
      <c r="B17" s="7"/>
      <c r="C17" s="7"/>
      <c r="D17" s="7"/>
      <c r="E17" s="7"/>
      <c r="F17" s="7"/>
    </row>
    <row r="18" spans="1:6">
      <c r="A18" s="7"/>
      <c r="B18" s="7"/>
      <c r="C18" s="7"/>
      <c r="D18" s="7"/>
      <c r="E18" s="7"/>
      <c r="F18" s="7"/>
    </row>
    <row r="19" spans="1:6">
      <c r="A19" s="7"/>
      <c r="B19" s="7"/>
      <c r="C19" s="7"/>
      <c r="D19" s="7"/>
      <c r="E19" s="7"/>
      <c r="F19" s="7"/>
    </row>
    <row r="20" spans="1:6">
      <c r="A20" s="7"/>
      <c r="B20" s="7"/>
      <c r="C20" s="7"/>
      <c r="D20" s="7"/>
      <c r="E20" s="7"/>
      <c r="F20" s="7"/>
    </row>
    <row r="21" spans="1:6">
      <c r="A21" s="7"/>
      <c r="B21" s="7"/>
      <c r="C21" s="7"/>
      <c r="D21" s="7"/>
      <c r="E21" s="7"/>
      <c r="F21" s="7"/>
    </row>
    <row r="22" spans="1:6">
      <c r="A22" s="7"/>
      <c r="B22" s="7"/>
      <c r="C22" s="7"/>
      <c r="D22" s="7"/>
      <c r="E22" s="7"/>
      <c r="F22" s="7"/>
    </row>
    <row r="23" spans="1:6">
      <c r="A23" s="7"/>
      <c r="B23" s="7"/>
      <c r="C23" s="7"/>
      <c r="D23" s="7"/>
      <c r="E23" s="7"/>
      <c r="F23" s="7"/>
    </row>
    <row r="24" spans="1:6">
      <c r="A24" s="7"/>
      <c r="B24" s="7"/>
      <c r="C24" s="7"/>
      <c r="D24" s="7"/>
      <c r="E24" s="7"/>
      <c r="F24" s="7"/>
    </row>
    <row r="25" spans="1:6">
      <c r="A25" s="7"/>
      <c r="B25" s="7"/>
      <c r="C25" s="7"/>
      <c r="D25" s="7"/>
      <c r="E25" s="7"/>
      <c r="F25" s="7"/>
    </row>
    <row r="26" spans="1:6">
      <c r="A26" s="7"/>
      <c r="B26" s="7"/>
      <c r="C26" s="7"/>
      <c r="D26" s="7"/>
      <c r="E26" s="7"/>
      <c r="F26" s="7"/>
    </row>
    <row r="27" spans="1:6">
      <c r="A27" s="7"/>
      <c r="B27" s="7"/>
      <c r="C27" s="7"/>
      <c r="D27" s="7"/>
      <c r="E27" s="7"/>
      <c r="F27" s="7"/>
    </row>
    <row r="28" spans="1:6">
      <c r="A28" s="7"/>
      <c r="B28" s="7"/>
      <c r="C28" s="7"/>
      <c r="D28" s="7"/>
      <c r="E28" s="7"/>
      <c r="F28" s="7"/>
    </row>
    <row r="29" spans="1:6">
      <c r="A29" s="7"/>
      <c r="B29" s="7"/>
      <c r="C29" s="7"/>
      <c r="D29" s="7"/>
      <c r="E29" s="7"/>
      <c r="F29" s="7"/>
    </row>
    <row r="30" spans="1:6">
      <c r="A30" s="7"/>
      <c r="B30" s="7"/>
      <c r="C30" s="7"/>
      <c r="D30" s="7"/>
      <c r="E30" s="7"/>
      <c r="F30" s="7"/>
    </row>
    <row r="31" spans="1:6">
      <c r="A31" s="7"/>
      <c r="B31" s="7"/>
      <c r="C31" s="7"/>
      <c r="D31" s="7"/>
      <c r="E31" s="7"/>
      <c r="F31" s="7"/>
    </row>
    <row r="32" spans="1:6">
      <c r="A32" s="7"/>
      <c r="B32" s="7"/>
      <c r="C32" s="7"/>
      <c r="D32" s="7"/>
      <c r="E32" s="7"/>
      <c r="F32" s="7"/>
    </row>
    <row r="33" spans="1:6">
      <c r="A33" s="7"/>
      <c r="B33" s="7"/>
      <c r="C33" s="7"/>
      <c r="D33" s="7"/>
      <c r="E33" s="7"/>
      <c r="F33" s="7"/>
    </row>
    <row r="34" spans="1:6">
      <c r="A34" s="7"/>
      <c r="B34" s="7"/>
      <c r="C34" s="7"/>
      <c r="D34" s="7"/>
      <c r="E34" s="7"/>
      <c r="F34" s="7"/>
    </row>
    <row r="35" spans="1:6">
      <c r="A35" s="7"/>
      <c r="B35" s="7"/>
      <c r="C35" s="7"/>
      <c r="D35" s="7"/>
      <c r="E35" s="7"/>
      <c r="F35" s="7"/>
    </row>
    <row r="36" spans="1:6">
      <c r="A36" s="7"/>
      <c r="B36" s="7"/>
      <c r="C36" s="7"/>
      <c r="D36" s="7"/>
      <c r="E36" s="7"/>
      <c r="F36" s="7"/>
    </row>
    <row r="37" spans="1:6">
      <c r="A37" s="7"/>
      <c r="B37" s="7"/>
      <c r="C37" s="7"/>
      <c r="D37" s="7"/>
      <c r="E37" s="7"/>
      <c r="F37" s="7"/>
    </row>
    <row r="38" spans="1:6">
      <c r="A38" s="7"/>
      <c r="B38" s="7"/>
      <c r="C38" s="7"/>
      <c r="D38" s="7"/>
      <c r="E38" s="7"/>
      <c r="F38" s="7"/>
    </row>
    <row r="39" spans="1:6">
      <c r="A39" s="7"/>
      <c r="B39" s="7"/>
      <c r="C39" s="7"/>
      <c r="D39" s="7"/>
      <c r="E39" s="7"/>
      <c r="F39" s="7"/>
    </row>
    <row r="40" spans="1:6">
      <c r="A40" s="7"/>
      <c r="B40" s="7"/>
      <c r="C40" s="7"/>
      <c r="D40" s="7"/>
      <c r="E40" s="7"/>
      <c r="F40" s="7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0"/>
  <sheetViews>
    <sheetView workbookViewId="0">
      <selection activeCell="A4" sqref="A4"/>
    </sheetView>
  </sheetViews>
  <sheetFormatPr defaultRowHeight="13.8"/>
  <cols>
    <col min="1" max="1" width="18" customWidth="1"/>
    <col min="2" max="2" width="16" customWidth="1"/>
    <col min="3" max="3" width="22" customWidth="1"/>
    <col min="4" max="4" width="18" customWidth="1"/>
    <col min="5" max="5" width="24" customWidth="1"/>
    <col min="6" max="6" width="12" customWidth="1"/>
    <col min="7" max="7" width="20" customWidth="1"/>
    <col min="8" max="8" width="42" customWidth="1"/>
  </cols>
  <sheetData>
    <row r="1" spans="1:8" ht="22.35" customHeight="1">
      <c r="A1" s="11" t="s">
        <v>216</v>
      </c>
      <c r="B1" s="11" t="s">
        <v>216</v>
      </c>
      <c r="C1" s="11" t="s">
        <v>216</v>
      </c>
      <c r="D1" s="11" t="s">
        <v>216</v>
      </c>
      <c r="E1" s="11" t="s">
        <v>216</v>
      </c>
      <c r="F1" s="11" t="s">
        <v>216</v>
      </c>
      <c r="G1" s="11" t="s">
        <v>216</v>
      </c>
      <c r="H1" s="11" t="s">
        <v>216</v>
      </c>
    </row>
    <row r="2" spans="1:8">
      <c r="A2" s="7"/>
      <c r="B2" s="7"/>
      <c r="C2" s="7"/>
      <c r="D2" s="7"/>
      <c r="E2" s="7"/>
      <c r="F2" s="7"/>
      <c r="G2" s="7"/>
      <c r="H2" s="7"/>
    </row>
    <row r="3" spans="1:8">
      <c r="A3" s="9" t="s">
        <v>217</v>
      </c>
      <c r="B3" s="9" t="s">
        <v>85</v>
      </c>
      <c r="C3" s="9" t="s">
        <v>218</v>
      </c>
      <c r="D3" s="9" t="s">
        <v>219</v>
      </c>
      <c r="E3" s="9" t="s">
        <v>220</v>
      </c>
      <c r="F3" s="9" t="s">
        <v>87</v>
      </c>
      <c r="G3" s="9" t="s">
        <v>88</v>
      </c>
      <c r="H3" s="9" t="s">
        <v>221</v>
      </c>
    </row>
    <row r="4" spans="1:8" ht="27.6">
      <c r="A4" s="10">
        <v>1000</v>
      </c>
      <c r="B4" s="7" t="s">
        <v>222</v>
      </c>
      <c r="C4" s="7" t="s">
        <v>223</v>
      </c>
      <c r="D4" s="7" t="str">
        <f>IF(A4&lt;=1500,"Pequena",IF(A4&lt;=5000,"Média",IF(A4&lt;=8000,"Maior","Crítica / exceção")))</f>
        <v>Pequena</v>
      </c>
      <c r="E4" s="7" t="str">
        <f>IF(A4&lt;=1500,"OBRA_PEQUENA_UNICA_D7",IF(A4&lt;=5000,"OBRA_MEDIA_50_50",IF(A4&lt;=8000,"OBRA_MAIOR_30_30_40","OBRA_RETENCAO_10")))</f>
        <v>OBRA_PEQUENA_UNICA_D7</v>
      </c>
      <c r="F4" s="7">
        <f>IF(E4="OBRA_PEQUENA_UNICA_D7",1,IF(E4="OBRA_MEDIA_50_50",2,IF(E4="OBRA_MAIOR_30_30_40",3,4)))</f>
        <v>1</v>
      </c>
      <c r="G4" s="7" t="str">
        <f>IF(E4="OBRA_PEQUENA_UNICA_D7","100%",IF(E4="OBRA_MEDIA_50_50","50% / 50%",IF(E4="OBRA_MAIOR_30_30_40","30% / 30% / 40%","30% / 30% / 30% / 10%")))</f>
        <v>100%</v>
      </c>
      <c r="H4" s="7" t="str">
        <f>IF(D4="Pequena","Pagar após execução aprovada",IF(D4="Média","Pode ter 50% início e 50% final",IF(D4="Maior","Usar medição parcial e saldo contratual","Exigir aprovação reforçada/retenção")))</f>
        <v>Pagar após execução aprovada</v>
      </c>
    </row>
    <row r="5" spans="1:8">
      <c r="A5" s="10">
        <v>3500</v>
      </c>
      <c r="B5" s="7" t="s">
        <v>222</v>
      </c>
      <c r="C5" s="7" t="s">
        <v>224</v>
      </c>
      <c r="D5" s="7" t="str">
        <f>IF(A5&lt;=1500,"Pequena",IF(A5&lt;=5000,"Média",IF(A5&lt;=8000,"Maior","Crítica / exceção")))</f>
        <v>Média</v>
      </c>
      <c r="E5" s="7" t="str">
        <f>IF(A5&lt;=1500,"OBRA_PEQUENA_UNICA_D7",IF(A5&lt;=5000,"OBRA_MEDIA_50_50",IF(A5&lt;=8000,"OBRA_MAIOR_30_30_40","OBRA_RETENCAO_10")))</f>
        <v>OBRA_MEDIA_50_50</v>
      </c>
      <c r="F5" s="7">
        <f>IF(E5="OBRA_PEQUENA_UNICA_D7",1,IF(E5="OBRA_MEDIA_50_50",2,IF(E5="OBRA_MAIOR_30_30_40",3,4)))</f>
        <v>2</v>
      </c>
      <c r="G5" s="7" t="str">
        <f>IF(E5="OBRA_PEQUENA_UNICA_D7","100%",IF(E5="OBRA_MEDIA_50_50","50% / 50%",IF(E5="OBRA_MAIOR_30_30_40","30% / 30% / 40%","30% / 30% / 30% / 10%")))</f>
        <v>50% / 50%</v>
      </c>
      <c r="H5" s="7" t="str">
        <f>IF(D5="Pequena","Pagar após execução aprovada",IF(D5="Média","Pode ter 50% início e 50% final",IF(D5="Maior","Usar medição parcial e saldo contratual","Exigir aprovação reforçada/retenção")))</f>
        <v>Pode ter 50% início e 50% final</v>
      </c>
    </row>
    <row r="6" spans="1:8">
      <c r="A6" s="10">
        <v>6500</v>
      </c>
      <c r="B6" s="7" t="s">
        <v>222</v>
      </c>
      <c r="C6" s="7" t="s">
        <v>225</v>
      </c>
      <c r="D6" s="7" t="str">
        <f>IF(A6&lt;=1500,"Pequena",IF(A6&lt;=5000,"Média",IF(A6&lt;=8000,"Maior","Crítica / exceção")))</f>
        <v>Maior</v>
      </c>
      <c r="E6" s="7" t="str">
        <f>IF(A6&lt;=1500,"OBRA_PEQUENA_UNICA_D7",IF(A6&lt;=5000,"OBRA_MEDIA_50_50",IF(A6&lt;=8000,"OBRA_MAIOR_30_30_40","OBRA_RETENCAO_10")))</f>
        <v>OBRA_MAIOR_30_30_40</v>
      </c>
      <c r="F6" s="7">
        <f>IF(E6="OBRA_PEQUENA_UNICA_D7",1,IF(E6="OBRA_MEDIA_50_50",2,IF(E6="OBRA_MAIOR_30_30_40",3,4)))</f>
        <v>3</v>
      </c>
      <c r="G6" s="7" t="str">
        <f>IF(E6="OBRA_PEQUENA_UNICA_D7","100%",IF(E6="OBRA_MEDIA_50_50","50% / 50%",IF(E6="OBRA_MAIOR_30_30_40","30% / 30% / 40%","30% / 30% / 30% / 10%")))</f>
        <v>30% / 30% / 40%</v>
      </c>
      <c r="H6" s="7" t="str">
        <f>IF(D6="Pequena","Pagar após execução aprovada",IF(D6="Média","Pode ter 50% início e 50% final",IF(D6="Maior","Usar medição parcial e saldo contratual","Exigir aprovação reforçada/retenção")))</f>
        <v>Usar medição parcial e saldo contratual</v>
      </c>
    </row>
    <row r="7" spans="1:8">
      <c r="A7" s="10">
        <v>12000</v>
      </c>
      <c r="B7" s="7" t="s">
        <v>222</v>
      </c>
      <c r="C7" s="7" t="s">
        <v>226</v>
      </c>
      <c r="D7" s="7" t="str">
        <f>IF(A7&lt;=1500,"Pequena",IF(A7&lt;=5000,"Média",IF(A7&lt;=8000,"Maior","Crítica / exceção")))</f>
        <v>Crítica / exceção</v>
      </c>
      <c r="E7" s="7" t="str">
        <f>IF(A7&lt;=1500,"OBRA_PEQUENA_UNICA_D7",IF(A7&lt;=5000,"OBRA_MEDIA_50_50",IF(A7&lt;=8000,"OBRA_MAIOR_30_30_40","OBRA_RETENCAO_10")))</f>
        <v>OBRA_RETENCAO_10</v>
      </c>
      <c r="F7" s="7">
        <f>IF(E7="OBRA_PEQUENA_UNICA_D7",1,IF(E7="OBRA_MEDIA_50_50",2,IF(E7="OBRA_MAIOR_30_30_40",3,4)))</f>
        <v>4</v>
      </c>
      <c r="G7" s="7" t="str">
        <f>IF(E7="OBRA_PEQUENA_UNICA_D7","100%",IF(E7="OBRA_MEDIA_50_50","50% / 50%",IF(E7="OBRA_MAIOR_30_30_40","30% / 30% / 40%","30% / 30% / 30% / 10%")))</f>
        <v>30% / 30% / 30% / 10%</v>
      </c>
      <c r="H7" s="7" t="str">
        <f>IF(D7="Pequena","Pagar após execução aprovada",IF(D7="Média","Pode ter 50% início e 50% final",IF(D7="Maior","Usar medição parcial e saldo contratual","Exigir aprovação reforçada/retenção")))</f>
        <v>Exigir aprovação reforçada/retenção</v>
      </c>
    </row>
    <row r="8" spans="1:8">
      <c r="A8" s="7"/>
      <c r="B8" s="7"/>
      <c r="C8" s="7"/>
      <c r="D8" s="7"/>
      <c r="E8" s="7"/>
      <c r="F8" s="7"/>
      <c r="G8" s="7"/>
      <c r="H8" s="7"/>
    </row>
    <row r="9" spans="1:8">
      <c r="A9" s="14" t="s">
        <v>227</v>
      </c>
      <c r="B9" s="14"/>
      <c r="C9" s="14"/>
      <c r="D9" s="14"/>
      <c r="E9" s="14"/>
      <c r="F9" s="14"/>
      <c r="G9" s="14"/>
      <c r="H9" s="14"/>
    </row>
    <row r="10" spans="1:8">
      <c r="A10" s="7"/>
      <c r="B10" s="7"/>
      <c r="C10" s="7"/>
      <c r="D10" s="7"/>
      <c r="E10" s="7"/>
      <c r="F10" s="7"/>
      <c r="G10" s="7"/>
      <c r="H10" s="7"/>
    </row>
    <row r="11" spans="1:8">
      <c r="A11" s="7"/>
      <c r="B11" s="7"/>
      <c r="C11" s="7"/>
      <c r="D11" s="7"/>
      <c r="E11" s="7"/>
      <c r="F11" s="7"/>
      <c r="G11" s="7"/>
      <c r="H11" s="7"/>
    </row>
    <row r="12" spans="1:8">
      <c r="A12" s="7"/>
      <c r="B12" s="7"/>
      <c r="C12" s="7"/>
      <c r="D12" s="7"/>
      <c r="E12" s="7"/>
      <c r="F12" s="7"/>
      <c r="G12" s="7"/>
      <c r="H12" s="7"/>
    </row>
    <row r="13" spans="1:8">
      <c r="A13" s="7"/>
      <c r="B13" s="7"/>
      <c r="C13" s="7"/>
      <c r="D13" s="7"/>
      <c r="E13" s="7"/>
      <c r="F13" s="7"/>
      <c r="G13" s="7"/>
      <c r="H13" s="7"/>
    </row>
    <row r="14" spans="1:8">
      <c r="A14" s="7"/>
      <c r="B14" s="7"/>
      <c r="C14" s="7"/>
      <c r="D14" s="7"/>
      <c r="E14" s="7"/>
      <c r="F14" s="7"/>
      <c r="G14" s="7"/>
      <c r="H14" s="7"/>
    </row>
    <row r="15" spans="1:8">
      <c r="A15" s="7"/>
      <c r="B15" s="7"/>
      <c r="C15" s="7"/>
      <c r="D15" s="7"/>
      <c r="E15" s="7"/>
      <c r="F15" s="7"/>
      <c r="G15" s="7"/>
      <c r="H15" s="7"/>
    </row>
    <row r="16" spans="1:8">
      <c r="A16" s="7"/>
      <c r="B16" s="7"/>
      <c r="C16" s="7"/>
      <c r="D16" s="7"/>
      <c r="E16" s="7"/>
      <c r="F16" s="7"/>
      <c r="G16" s="7"/>
      <c r="H16" s="7"/>
    </row>
    <row r="17" spans="1:8">
      <c r="A17" s="7"/>
      <c r="B17" s="7"/>
      <c r="C17" s="7"/>
      <c r="D17" s="7"/>
      <c r="E17" s="7"/>
      <c r="F17" s="7"/>
      <c r="G17" s="7"/>
      <c r="H17" s="7"/>
    </row>
    <row r="18" spans="1:8">
      <c r="A18" s="7"/>
      <c r="B18" s="7"/>
      <c r="C18" s="7"/>
      <c r="D18" s="7"/>
      <c r="E18" s="7"/>
      <c r="F18" s="7"/>
      <c r="G18" s="7"/>
      <c r="H18" s="7"/>
    </row>
    <row r="19" spans="1:8">
      <c r="A19" s="7"/>
      <c r="B19" s="7"/>
      <c r="C19" s="7"/>
      <c r="D19" s="7"/>
      <c r="E19" s="7"/>
      <c r="F19" s="7"/>
      <c r="G19" s="7"/>
      <c r="H19" s="7"/>
    </row>
    <row r="20" spans="1:8">
      <c r="A20" s="7"/>
      <c r="B20" s="7"/>
      <c r="C20" s="7"/>
      <c r="D20" s="7"/>
      <c r="E20" s="7"/>
      <c r="F20" s="7"/>
      <c r="G20" s="7"/>
      <c r="H20" s="7"/>
    </row>
    <row r="21" spans="1:8">
      <c r="A21" s="7"/>
      <c r="B21" s="7"/>
      <c r="C21" s="7"/>
      <c r="D21" s="7"/>
      <c r="E21" s="7"/>
      <c r="F21" s="7"/>
      <c r="G21" s="7"/>
      <c r="H21" s="7"/>
    </row>
    <row r="22" spans="1:8">
      <c r="A22" s="7"/>
      <c r="B22" s="7"/>
      <c r="C22" s="7"/>
      <c r="D22" s="7"/>
      <c r="E22" s="7"/>
      <c r="F22" s="7"/>
      <c r="G22" s="7"/>
      <c r="H22" s="7"/>
    </row>
    <row r="23" spans="1:8">
      <c r="A23" s="7"/>
      <c r="B23" s="7"/>
      <c r="C23" s="7"/>
      <c r="D23" s="7"/>
      <c r="E23" s="7"/>
      <c r="F23" s="7"/>
      <c r="G23" s="7"/>
      <c r="H23" s="7"/>
    </row>
    <row r="24" spans="1:8">
      <c r="A24" s="7"/>
      <c r="B24" s="7"/>
      <c r="C24" s="7"/>
      <c r="D24" s="7"/>
      <c r="E24" s="7"/>
      <c r="F24" s="7"/>
      <c r="G24" s="7"/>
      <c r="H24" s="7"/>
    </row>
    <row r="25" spans="1:8">
      <c r="A25" s="7"/>
      <c r="B25" s="7"/>
      <c r="C25" s="7"/>
      <c r="D25" s="7"/>
      <c r="E25" s="7"/>
      <c r="F25" s="7"/>
      <c r="G25" s="7"/>
      <c r="H25" s="7"/>
    </row>
    <row r="26" spans="1:8">
      <c r="A26" s="7"/>
      <c r="B26" s="7"/>
      <c r="C26" s="7"/>
      <c r="D26" s="7"/>
      <c r="E26" s="7"/>
      <c r="F26" s="7"/>
      <c r="G26" s="7"/>
      <c r="H26" s="7"/>
    </row>
    <row r="27" spans="1:8">
      <c r="A27" s="7"/>
      <c r="B27" s="7"/>
      <c r="C27" s="7"/>
      <c r="D27" s="7"/>
      <c r="E27" s="7"/>
      <c r="F27" s="7"/>
      <c r="G27" s="7"/>
      <c r="H27" s="7"/>
    </row>
    <row r="28" spans="1:8">
      <c r="A28" s="7"/>
      <c r="B28" s="7"/>
      <c r="C28" s="7"/>
      <c r="D28" s="7"/>
      <c r="E28" s="7"/>
      <c r="F28" s="7"/>
      <c r="G28" s="7"/>
      <c r="H28" s="7"/>
    </row>
    <row r="29" spans="1:8">
      <c r="A29" s="7"/>
      <c r="B29" s="7"/>
      <c r="C29" s="7"/>
      <c r="D29" s="7"/>
      <c r="E29" s="7"/>
      <c r="F29" s="7"/>
      <c r="G29" s="7"/>
      <c r="H29" s="7"/>
    </row>
    <row r="30" spans="1:8">
      <c r="A30" s="7"/>
      <c r="B30" s="7"/>
      <c r="C30" s="7"/>
      <c r="D30" s="7"/>
      <c r="E30" s="7"/>
      <c r="F30" s="7"/>
      <c r="G30" s="7"/>
      <c r="H30" s="7"/>
    </row>
    <row r="31" spans="1:8">
      <c r="A31" s="7"/>
      <c r="B31" s="7"/>
      <c r="C31" s="7"/>
      <c r="D31" s="7"/>
      <c r="E31" s="7"/>
      <c r="F31" s="7"/>
      <c r="G31" s="7"/>
      <c r="H31" s="7"/>
    </row>
    <row r="32" spans="1:8">
      <c r="A32" s="7"/>
      <c r="B32" s="7"/>
      <c r="C32" s="7"/>
      <c r="D32" s="7"/>
      <c r="E32" s="7"/>
      <c r="F32" s="7"/>
      <c r="G32" s="7"/>
      <c r="H32" s="7"/>
    </row>
    <row r="33" spans="1:8">
      <c r="A33" s="7"/>
      <c r="B33" s="7"/>
      <c r="C33" s="7"/>
      <c r="D33" s="7"/>
      <c r="E33" s="7"/>
      <c r="F33" s="7"/>
      <c r="G33" s="7"/>
      <c r="H33" s="7"/>
    </row>
    <row r="34" spans="1:8">
      <c r="A34" s="7"/>
      <c r="B34" s="7"/>
      <c r="C34" s="7"/>
      <c r="D34" s="7"/>
      <c r="E34" s="7"/>
      <c r="F34" s="7"/>
      <c r="G34" s="7"/>
      <c r="H34" s="7"/>
    </row>
    <row r="35" spans="1:8">
      <c r="A35" s="7"/>
      <c r="B35" s="7"/>
      <c r="C35" s="7"/>
      <c r="D35" s="7"/>
      <c r="E35" s="7"/>
      <c r="F35" s="7"/>
      <c r="G35" s="7"/>
      <c r="H35" s="7"/>
    </row>
    <row r="36" spans="1:8">
      <c r="A36" s="7"/>
      <c r="B36" s="7"/>
      <c r="C36" s="7"/>
      <c r="D36" s="7"/>
      <c r="E36" s="7"/>
      <c r="F36" s="7"/>
      <c r="G36" s="7"/>
      <c r="H36" s="7"/>
    </row>
    <row r="37" spans="1:8">
      <c r="A37" s="7"/>
      <c r="B37" s="7"/>
      <c r="C37" s="7"/>
      <c r="D37" s="7"/>
      <c r="E37" s="7"/>
      <c r="F37" s="7"/>
      <c r="G37" s="7"/>
      <c r="H37" s="7"/>
    </row>
    <row r="38" spans="1:8">
      <c r="A38" s="7"/>
      <c r="B38" s="7"/>
      <c r="C38" s="7"/>
      <c r="D38" s="7"/>
      <c r="E38" s="7"/>
      <c r="F38" s="7"/>
      <c r="G38" s="7"/>
      <c r="H38" s="7"/>
    </row>
    <row r="39" spans="1:8">
      <c r="A39" s="7"/>
      <c r="B39" s="7"/>
      <c r="C39" s="7"/>
      <c r="D39" s="7"/>
      <c r="E39" s="7"/>
      <c r="F39" s="7"/>
      <c r="G39" s="7"/>
      <c r="H39" s="7"/>
    </row>
    <row r="40" spans="1:8">
      <c r="A40" s="7"/>
      <c r="B40" s="7"/>
      <c r="C40" s="7"/>
      <c r="D40" s="7"/>
      <c r="E40" s="7"/>
      <c r="F40" s="7"/>
      <c r="G40" s="7"/>
      <c r="H40" s="7"/>
    </row>
  </sheetData>
  <mergeCells count="2">
    <mergeCell ref="A1:H1"/>
    <mergeCell ref="A9:H9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</vt:lpstr>
      <vt:lpstr>Alcadas de Valor</vt:lpstr>
      <vt:lpstr>Condicoes de Pagamento</vt:lpstr>
      <vt:lpstr>Fluxo Zeev</vt:lpstr>
      <vt:lpstr>Simulador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Guilherme Oliveira</cp:lastModifiedBy>
  <dcterms:modified xsi:type="dcterms:W3CDTF">2026-06-09T17:36:28Z</dcterms:modified>
</cp:coreProperties>
</file>