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6F394E-560C-4AA1-8F05-79E41B4CD6A2}" xr6:coauthVersionLast="47" xr6:coauthVersionMax="47" xr10:uidLastSave="{00000000-0000-0000-0000-000000000000}"/>
  <bookViews>
    <workbookView xWindow="22932" yWindow="-108" windowWidth="20376" windowHeight="12096" firstSheet="1" activeTab="5" xr2:uid="{00000000-000D-0000-FFFF-FFFF00000000}"/>
  </bookViews>
  <sheets>
    <sheet name="Resumo" sheetId="1" r:id="rId1"/>
    <sheet name="Alcadas de Valor" sheetId="2" r:id="rId2"/>
    <sheet name="Condicoes de Pagamento" sheetId="3" r:id="rId3"/>
    <sheet name="Fluxo Zeev" sheetId="4" r:id="rId4"/>
    <sheet name="Simulador" sheetId="5" r:id="rId5"/>
    <sheet name="Governança" sheetId="6" r:id="rId6"/>
    <sheet name="Alçadas Aprovaçã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G7" i="5" s="1"/>
  <c r="D7" i="5"/>
  <c r="H7" i="5" s="1"/>
  <c r="E6" i="5"/>
  <c r="G6" i="5" s="1"/>
  <c r="D6" i="5"/>
  <c r="H6" i="5" s="1"/>
  <c r="E5" i="5"/>
  <c r="F5" i="5" s="1"/>
  <c r="D5" i="5"/>
  <c r="H5" i="5" s="1"/>
  <c r="E4" i="5"/>
  <c r="F4" i="5" s="1"/>
  <c r="D4" i="5"/>
  <c r="H4" i="5" s="1"/>
  <c r="G5" i="5" l="1"/>
  <c r="F6" i="5"/>
  <c r="G4" i="5"/>
  <c r="F7" i="5"/>
</calcChain>
</file>

<file path=xl/sharedStrings.xml><?xml version="1.0" encoding="utf-8"?>
<sst xmlns="http://schemas.openxmlformats.org/spreadsheetml/2006/main" count="297" uniqueCount="257">
  <si>
    <t>Simulador simples de classificação e condição sugerida</t>
  </si>
  <si>
    <t>Valor Mão de Obra</t>
  </si>
  <si>
    <t>Tipo</t>
  </si>
  <si>
    <t>Risco/Observação</t>
  </si>
  <si>
    <t>Alçada sugerida</t>
  </si>
  <si>
    <t>Condição Zeev</t>
  </si>
  <si>
    <t>Parcelas</t>
  </si>
  <si>
    <t>Percentuais</t>
  </si>
  <si>
    <t>Observação prática</t>
  </si>
  <si>
    <t>Obra</t>
  </si>
  <si>
    <t>Baixo risco</t>
  </si>
  <si>
    <t>Médio risco</t>
  </si>
  <si>
    <t>Maior controle</t>
  </si>
  <si>
    <t>Crítico</t>
  </si>
  <si>
    <t>Como usar: altere os valores da coluna A e veja a alçada e a condição sugerida. Para serviços Spot, prefira as condições SPOT_UNICO_D7, SPOT_UNICO_D15, SPOT_MENSAL_CONSOLIDADO ou SPOT_TABELA_FIXA conforme recorrência e contrato guarda-chuva.</t>
  </si>
  <si>
    <t>Padronização de Condições de Pagamento - Parceiros / Obras / Serviços Spot</t>
  </si>
  <si>
    <t>Base analisada</t>
  </si>
  <si>
    <t>Controle de obras.xlsx</t>
  </si>
  <si>
    <t>Resumo da recomendação</t>
  </si>
  <si>
    <t>Critério principal</t>
  </si>
  <si>
    <t>Valor de mão de obra / contratação do parceiro</t>
  </si>
  <si>
    <t>1</t>
  </si>
  <si>
    <t>Obra pequena</t>
  </si>
  <si>
    <t>Até R$ 1.500</t>
  </si>
  <si>
    <t>Pagamento único após execução aprovada</t>
  </si>
  <si>
    <t>Baixo risco e maioria da base concentrada nessa faixa</t>
  </si>
  <si>
    <t>Registros com valor de mão de obra</t>
  </si>
  <si>
    <t>2</t>
  </si>
  <si>
    <t>Obra média</t>
  </si>
  <si>
    <t>&gt; R$ 1.500 até R$ 5.000</t>
  </si>
  <si>
    <t>50/50 ou 100% pós execução, conforme risco</t>
  </si>
  <si>
    <t>Faixa intermediária até o P75 da base</t>
  </si>
  <si>
    <t>Registros de obras/serviços não Spot</t>
  </si>
  <si>
    <t>3</t>
  </si>
  <si>
    <t>Obra maior</t>
  </si>
  <si>
    <t>&gt; R$ 5.000</t>
  </si>
  <si>
    <t>30/30/40 por medição/etapa</t>
  </si>
  <si>
    <t>Top 25% da base; exige maior controle</t>
  </si>
  <si>
    <t>Mediana não Spot</t>
  </si>
  <si>
    <t>R$ 1.825</t>
  </si>
  <si>
    <t>4</t>
  </si>
  <si>
    <t>Obra crítica / exceção</t>
  </si>
  <si>
    <t>&gt; R$ 8.000 ou escopo sensível</t>
  </si>
  <si>
    <t>30/30/30/10 ou aprovação especial</t>
  </si>
  <si>
    <t>Acima do P90 aproximado; reforçar aceite final</t>
  </si>
  <si>
    <t>Percentil 75 não Spot</t>
  </si>
  <si>
    <t>R$ 5.000</t>
  </si>
  <si>
    <t>5</t>
  </si>
  <si>
    <t>Serviços Spot recorrentes</t>
  </si>
  <si>
    <t>Contrato guarda-chuva</t>
  </si>
  <si>
    <t>Mensal consolidado ou tabela fixa</t>
  </si>
  <si>
    <t>Evita renegociação e retrabalho por atendimento</t>
  </si>
  <si>
    <t>Percentil 90 não Spot</t>
  </si>
  <si>
    <t>R$ 7.900</t>
  </si>
  <si>
    <t>Leitura executiva</t>
  </si>
  <si>
    <t>A alçada de pequena obra foi fixada em até R$ 1.500 porque esse valor cobre aproximadamente metade dos registros de obras/serviços não Spot e representa serviços curtos de baixo risco.</t>
  </si>
  <si>
    <t>A alçada média foi definida até R$ 5.000 porque esse valor coincide com o percentil 75 da base; até esse limite ainda estamos dentro do comportamento mais comum da planilha.</t>
  </si>
  <si>
    <t>A alçada de obra maior começa acima de R$ 5.000 porque, a partir daí, o contrato entra no grupo de maior exposição financeira e deve ter pagamento por etapas ou medição.</t>
  </si>
  <si>
    <t>A faixa crítica acima de R$ 8.000 é opcional, mas recomendada, pois fica próxima ao percentil 90 e concentra obras com risco relevante de escopo, retrabalho ou saldo contratual.</t>
  </si>
  <si>
    <t>No Zeev, a condição deve nascer na contratação/contrato e a medição deve apenas comprovar execução; o Financeiro programa a data efetiva de pagamento depois da aprovação.</t>
  </si>
  <si>
    <t>Alçadas sugeridas por valor de obra / contratação</t>
  </si>
  <si>
    <t>Alçada</t>
  </si>
  <si>
    <t>Faixa de valor de Mão de Obra</t>
  </si>
  <si>
    <t>Condição padrão Zeev</t>
  </si>
  <si>
    <t>Aprovação sugerida</t>
  </si>
  <si>
    <t>Documentos mínimos</t>
  </si>
  <si>
    <t>Controle Zeev</t>
  </si>
  <si>
    <t>Quando usar</t>
  </si>
  <si>
    <t>Justificativa</t>
  </si>
  <si>
    <t>Pequena</t>
  </si>
  <si>
    <t>OBRA_PEQUENA_UNICA_D7</t>
  </si>
  <si>
    <t>Gestor responsável</t>
  </si>
  <si>
    <t>NF/recibo válido + evidência simples</t>
  </si>
  <si>
    <t>Contrato simplificado + medição única</t>
  </si>
  <si>
    <t>Serviços curtos, reparos simples, apoio pontual</t>
  </si>
  <si>
    <t>Faixa cobre cerca de metade dos registros não Spot; baixo risco financeiro</t>
  </si>
  <si>
    <t>Média</t>
  </si>
  <si>
    <t>OBRA_MEDIA_50_50</t>
  </si>
  <si>
    <t>Gestor + Financeiro</t>
  </si>
  <si>
    <t>NF + fotos/evidências + aceite do gestor</t>
  </si>
  <si>
    <t>Contrato específico + medição final</t>
  </si>
  <si>
    <t>Serviços com alguma mobilização, mas escopo controlado</t>
  </si>
  <si>
    <t>Até o P75 da base; parcela final reduz risco de pagar sem aceite</t>
  </si>
  <si>
    <t>Maior</t>
  </si>
  <si>
    <t>OBRA_MAIOR_30_30_40</t>
  </si>
  <si>
    <t>Gestor + Financeiro + responsável da área</t>
  </si>
  <si>
    <t>NF + relatório/fotos + medição parcial/final</t>
  </si>
  <si>
    <t>Contrato específico + saldo contratual + múltiplas medições</t>
  </si>
  <si>
    <t>Obras, reformas, telhado, AR, elétrica, civil ou escopos relevantes</t>
  </si>
  <si>
    <t>Acima do P75; top 25% da base merece controle por etapa</t>
  </si>
  <si>
    <t>Crítica / exceção</t>
  </si>
  <si>
    <t>&gt; R$ 8.000 ou alto risco</t>
  </si>
  <si>
    <t>OBRA_RETENCAO_10 ou EXCECAO_APROVACAO</t>
  </si>
  <si>
    <t>Gestor + Financeiro + Diretoria/Coordenação</t>
  </si>
  <si>
    <t>Documentação completa + aceite formal final</t>
  </si>
  <si>
    <t>Contrato + saldo + bloqueio de excesso + aditivo</t>
  </si>
  <si>
    <t>Obras complexas, novo parceiro, risco técnico, garantia, retrabalho</t>
  </si>
  <si>
    <t>Próximo ao P90; recomendável segurar retenção/aceite final</t>
  </si>
  <si>
    <t>Condições de pagamento padronizadas para cadastro no Zeev</t>
  </si>
  <si>
    <t>Código Zeev</t>
  </si>
  <si>
    <t>Faixa / Critério</t>
  </si>
  <si>
    <t>Gatilho da Parcela 1</t>
  </si>
  <si>
    <t>Gatilho da Parcela 2</t>
  </si>
  <si>
    <t>Gatilho da Parcela 3 / Final</t>
  </si>
  <si>
    <t>Como será na prática</t>
  </si>
  <si>
    <t>Observações</t>
  </si>
  <si>
    <t>100%</t>
  </si>
  <si>
    <t>Não aplicável</t>
  </si>
  <si>
    <t>Após execução aprovada + documentação mínima</t>
  </si>
  <si>
    <t>Solicitante abre contrato simplificado; mede uma vez; Financeiro programa D+7 ou calendário financeiro</t>
  </si>
  <si>
    <t>Não permitir pagamento antes da execução, salvo exceção</t>
  </si>
  <si>
    <t>50% / 50%</t>
  </si>
  <si>
    <t>Contrato aprovado + início/mobilização autorizada</t>
  </si>
  <si>
    <t>Conclusão aprovada + NF + evidências</t>
  </si>
  <si>
    <t>Contrato nasce com 2 parcelas; medição final libera a segunda parcela</t>
  </si>
  <si>
    <t>Usar quando há custo de mobilização, mas escopo é controlado</t>
  </si>
  <si>
    <t>OBRA_MEDIA_UNICA_D15</t>
  </si>
  <si>
    <t>Obra média baixo risco</t>
  </si>
  <si>
    <t>&gt; R$ 1.500 até R$ 5.000 e baixo risco</t>
  </si>
  <si>
    <t>Após conclusão aprovada + NF</t>
  </si>
  <si>
    <t>Contrato com medição única; Financeiro programa D+15</t>
  </si>
  <si>
    <t>Alternativa ao 50/50 para parceiros confiáveis e serviços rápidos</t>
  </si>
  <si>
    <t>30% / 30% / 40%</t>
  </si>
  <si>
    <t>Contrato aprovado + início/mobilização</t>
  </si>
  <si>
    <t>Medição parcial aprovada</t>
  </si>
  <si>
    <t>Conclusão + aceite final + NF</t>
  </si>
  <si>
    <t>Zeev controla saldo; cada medição fica vinculada ao contrato</t>
  </si>
  <si>
    <t>Condição principal para obras maiores</t>
  </si>
  <si>
    <t>OBRA_RETENCAO_10</t>
  </si>
  <si>
    <t>Obra crítica / garantia</t>
  </si>
  <si>
    <t>&gt; R$ 8.000 ou risco técnico</t>
  </si>
  <si>
    <t>30% / 30% / 30% / 10%</t>
  </si>
  <si>
    <t>Início/mobilização</t>
  </si>
  <si>
    <t>Medição parcial</t>
  </si>
  <si>
    <t>Conclusão aprovada; retenção após aceite/garantia</t>
  </si>
  <si>
    <t>Últimos 10% só após aceite final ou prazo acordado</t>
  </si>
  <si>
    <t>Usar com cautela para não gerar excesso de controle em serviços simples</t>
  </si>
  <si>
    <t>OBRA_MEDICAO_MENSAL</t>
  </si>
  <si>
    <t>Obra contínua</t>
  </si>
  <si>
    <t>Contrato com medições recorrentes</t>
  </si>
  <si>
    <t>Mensal</t>
  </si>
  <si>
    <t>100% do valor medido</t>
  </si>
  <si>
    <t>Medição mensal aprovada + NF</t>
  </si>
  <si>
    <t>Contrato tem valor total/estimado; medição mensal gera pagamento</t>
  </si>
  <si>
    <t>Ideal para contratos contínuos ou guarda-chuva de manutenção</t>
  </si>
  <si>
    <t>SPOT_UNICO_D7</t>
  </si>
  <si>
    <t>Serviço Spot simples</t>
  </si>
  <si>
    <t>Atendimento avulso até R$ 1.500</t>
  </si>
  <si>
    <t>Atendimento concluído + evidência + NF</t>
  </si>
  <si>
    <t>Solicitante vincula ao contrato spot; Financeiro programa D+7</t>
  </si>
  <si>
    <t>Caminhão pipa avulso, desentupidora, dedetização simples</t>
  </si>
  <si>
    <t>SPOT_UNICO_D15</t>
  </si>
  <si>
    <t>Serviço Spot padrão</t>
  </si>
  <si>
    <t>Atendimento avulso acima de R$ 1.500 ou fornecedor com prazo</t>
  </si>
  <si>
    <t>Atendimento concluído + NF aprovada</t>
  </si>
  <si>
    <t>Financeiro programa D+15 ou calendário financeiro</t>
  </si>
  <si>
    <t>Melhor para melhorar prazo de caixa</t>
  </si>
  <si>
    <t>SPOT_MENSAL_CONSOLIDADO</t>
  </si>
  <si>
    <t>Spot recorrente</t>
  </si>
  <si>
    <t>Múltiplos atendimentos no mês</t>
  </si>
  <si>
    <t>100% do consolidado</t>
  </si>
  <si>
    <t>Fechamento mensal aprovado + NF consolidada</t>
  </si>
  <si>
    <t>Atendimentos são acumulados; fechamento mensal gera pagamento</t>
  </si>
  <si>
    <t>Reduz retrabalho e volume de solicitações de pagamento</t>
  </si>
  <si>
    <t>SPOT_TABELA_FIXA</t>
  </si>
  <si>
    <t>Spot recorrente com preço fixo</t>
  </si>
  <si>
    <t>Contrato guarda-chuva com tabela</t>
  </si>
  <si>
    <t>100% conforme tabela</t>
  </si>
  <si>
    <t>Serviço selecionado + evidência + NF</t>
  </si>
  <si>
    <t>Solicitante escolhe serviço da tabela; Zeev puxa valor e condição</t>
  </si>
  <si>
    <t>Recomendado para caminhão pipa, dedetização, desentupidoras</t>
  </si>
  <si>
    <t>MATERIAL_MEDIANTE_NF</t>
  </si>
  <si>
    <t>Material</t>
  </si>
  <si>
    <t>Compra/entrega de material</t>
  </si>
  <si>
    <t>Entrega comprovada + NF aprovada</t>
  </si>
  <si>
    <t>Separar material da mão de obra no contrato/medição</t>
  </si>
  <si>
    <t>Evita misturar lógica de empreiteiro com compra de material</t>
  </si>
  <si>
    <t>EXCECAO_APROVACAO</t>
  </si>
  <si>
    <t>Exceção comercial</t>
  </si>
  <si>
    <t>Fora do padrão</t>
  </si>
  <si>
    <t>A definir</t>
  </si>
  <si>
    <t>Justificativa obrigatória</t>
  </si>
  <si>
    <t>Aprovação adicional</t>
  </si>
  <si>
    <t>Conforme aprovação</t>
  </si>
  <si>
    <t>Fluxo exige justificativa e aprovação superior antes de liberar</t>
  </si>
  <si>
    <t>Usar para antecipação, condição especial, aditivo ou urgência</t>
  </si>
  <si>
    <t>Fluxo prático no Zeev</t>
  </si>
  <si>
    <t>Etapa</t>
  </si>
  <si>
    <t>Responsável</t>
  </si>
  <si>
    <t>O que acontece</t>
  </si>
  <si>
    <t>Campos/controles necessários</t>
  </si>
  <si>
    <t>Regra de negócio</t>
  </si>
  <si>
    <t>Saída esperada</t>
  </si>
  <si>
    <t>1. Cadastro da contratação</t>
  </si>
  <si>
    <t>Solicitante</t>
  </si>
  <si>
    <t>Abre a contratação/contrato no Zeev</t>
  </si>
  <si>
    <t>Fornecedor, escopo, local, valor, condição padrão, documentos, centro de custo</t>
  </si>
  <si>
    <t>Condição de pagamento nasce aqui e não na medição</t>
  </si>
  <si>
    <t>Contrato CT aprovado ou devolvido</t>
  </si>
  <si>
    <t>2. Aprovação da contratação</t>
  </si>
  <si>
    <t>Gestor / Financeiro</t>
  </si>
  <si>
    <t>Valida escopo, valor e condição comercial</t>
  </si>
  <si>
    <t>Alçada de valor, orçamento, documentos obrigatórios</t>
  </si>
  <si>
    <t>Condição fora do padrão exige exceção/aditivo</t>
  </si>
  <si>
    <t>Contrato aprovado e ativo</t>
  </si>
  <si>
    <t>3. Execução do serviço</t>
  </si>
  <si>
    <t>Parceiro</t>
  </si>
  <si>
    <t>Executa conforme escopo contratado</t>
  </si>
  <si>
    <t>Contrato ativo e escopo aprovado</t>
  </si>
  <si>
    <t>Não deve haver pagamento sem evidência de execução, salvo exceção</t>
  </si>
  <si>
    <t>Serviço pronto para medição</t>
  </si>
  <si>
    <t>4. Medição</t>
  </si>
  <si>
    <t>Solicitante / Gestor</t>
  </si>
  <si>
    <t>Registra valor medido e evidências</t>
  </si>
  <si>
    <t>Contrato vinculado, NF, fotos, relatório, saldo disponível</t>
  </si>
  <si>
    <t>Medição não pode alterar condição comercial</t>
  </si>
  <si>
    <t>Medição aprovada ou pendente de correção</t>
  </si>
  <si>
    <t>5. Programação financeira</t>
  </si>
  <si>
    <t>Financeiro</t>
  </si>
  <si>
    <t>Programa parcelas/datas efetivas</t>
  </si>
  <si>
    <t>Dados puxados do contrato e da medição</t>
  </si>
  <si>
    <t>Financeiro define datas, mas não muda condição aprovada sem aditivo</t>
  </si>
  <si>
    <t>Solicitação de pagamento criada</t>
  </si>
  <si>
    <t>6. Pagamento e baixa</t>
  </si>
  <si>
    <t>Executa pagamento e baixa status</t>
  </si>
  <si>
    <t>Data de pagamento, valor pago, comprovante</t>
  </si>
  <si>
    <t>Controlar pago x aprovado x saldo</t>
  </si>
  <si>
    <t>Contrato/medição atualizados</t>
  </si>
  <si>
    <t>Governança e Regras Complementares</t>
  </si>
  <si>
    <t>Tema</t>
  </si>
  <si>
    <t>Regra</t>
  </si>
  <si>
    <t>Classificação</t>
  </si>
  <si>
    <t>Spot, Manutenção, Obra, Material ou Emergencial</t>
  </si>
  <si>
    <t>Prazo Padrão</t>
  </si>
  <si>
    <t>Spot D+15 | Recorrente D+28 | Emergencial por exceção</t>
  </si>
  <si>
    <t>Emergencial</t>
  </si>
  <si>
    <t>Justificativa obrigatória e aprovação adicional</t>
  </si>
  <si>
    <t>Documentação</t>
  </si>
  <si>
    <t>CNPJ, dados bancários, proposta, NF, evidência e certidões quando aplicável</t>
  </si>
  <si>
    <t>Homologação</t>
  </si>
  <si>
    <t>Fornecedor novo exige validação cadastral</t>
  </si>
  <si>
    <t>Centro de Custo</t>
  </si>
  <si>
    <t>Obrigatório em toda contratação</t>
  </si>
  <si>
    <t>Aceite</t>
  </si>
  <si>
    <t>Nenhum pagamento final sem aceite operacional</t>
  </si>
  <si>
    <t>Retenção</t>
  </si>
  <si>
    <t>5% a 10% para obras críticas quando aplicável</t>
  </si>
  <si>
    <t>Alçadas de Aprovação</t>
  </si>
  <si>
    <t>Valor</t>
  </si>
  <si>
    <t>Aprovador</t>
  </si>
  <si>
    <t>Coordenador/Gestor</t>
  </si>
  <si>
    <t>Até R$ 5.000</t>
  </si>
  <si>
    <t>Gerente</t>
  </si>
  <si>
    <t>Acima de R$ 5.000</t>
  </si>
  <si>
    <t>Diretor</t>
  </si>
  <si>
    <t>Acima de R$ 10.000</t>
  </si>
  <si>
    <t>Diretor +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</si>
</sst>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b/>
      <sz val="14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5" fillId="0" borderId="0" xfId="0" applyFont="1"/>
    <xf numFmtId="0" fontId="0" fillId="4" borderId="0" xfId="0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Alcadas" displayName="TabelaAlcadas" ref="A3:H7">
  <tableColumns count="8">
    <tableColumn id="1" xr3:uid="{00000000-0010-0000-0000-000001000000}" name="Alçada"/>
    <tableColumn id="2" xr3:uid="{00000000-0010-0000-0000-000002000000}" name="Faixa de valor de Mão de Obra"/>
    <tableColumn id="3" xr3:uid="{00000000-0010-0000-0000-000003000000}" name="Condição padrão Zeev"/>
    <tableColumn id="4" xr3:uid="{00000000-0010-0000-0000-000004000000}" name="Aprovação sugerida"/>
    <tableColumn id="5" xr3:uid="{00000000-0010-0000-0000-000005000000}" name="Documentos mínimos"/>
    <tableColumn id="6" xr3:uid="{00000000-0010-0000-0000-000006000000}" name="Controle Zeev"/>
    <tableColumn id="7" xr3:uid="{00000000-0010-0000-0000-000007000000}" name="Quando usar"/>
    <tableColumn id="8" xr3:uid="{00000000-0010-0000-0000-000008000000}" name="Justific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ondicoes" displayName="TabelaCondicoes" ref="A3:J15">
  <tableColumns count="10">
    <tableColumn id="1" xr3:uid="{00000000-0010-0000-0100-000001000000}" name="Código Zeev"/>
    <tableColumn id="2" xr3:uid="{00000000-0010-0000-0100-000002000000}" name="Tipo"/>
    <tableColumn id="3" xr3:uid="{00000000-0010-0000-0100-000003000000}" name="Faixa / Critério"/>
    <tableColumn id="4" xr3:uid="{00000000-0010-0000-0100-000004000000}" name="Parcelas"/>
    <tableColumn id="5" xr3:uid="{00000000-0010-0000-0100-000005000000}" name="Percentuais"/>
    <tableColumn id="6" xr3:uid="{00000000-0010-0000-0100-000006000000}" name="Gatilho da Parcela 1"/>
    <tableColumn id="7" xr3:uid="{00000000-0010-0000-0100-000007000000}" name="Gatilho da Parcela 2"/>
    <tableColumn id="8" xr3:uid="{00000000-0010-0000-0100-000008000000}" name="Gatilho da Parcela 3 / Final"/>
    <tableColumn id="9" xr3:uid="{00000000-0010-0000-0100-000009000000}" name="Como será na prática"/>
    <tableColumn id="10" xr3:uid="{00000000-0010-0000-0100-00000A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FluxoZeev" displayName="TabelaFluxoZeev" ref="A3:F9">
  <tableColumns count="6">
    <tableColumn id="1" xr3:uid="{00000000-0010-0000-0200-000001000000}" name="Etapa"/>
    <tableColumn id="2" xr3:uid="{00000000-0010-0000-0200-000002000000}" name="Responsável"/>
    <tableColumn id="3" xr3:uid="{00000000-0010-0000-0200-000003000000}" name="O que acontece"/>
    <tableColumn id="4" xr3:uid="{00000000-0010-0000-0200-000004000000}" name="Campos/controles necessários"/>
    <tableColumn id="5" xr3:uid="{00000000-0010-0000-0200-000005000000}" name="Regra de negócio"/>
    <tableColumn id="6" xr3:uid="{00000000-0010-0000-0200-000006000000}" name="Saída esper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Simulador" displayName="TabelaSimulador" ref="A3:H7">
  <tableColumns count="8">
    <tableColumn id="1" xr3:uid="{00000000-0010-0000-0300-000001000000}" name="Valor Mão de Obra"/>
    <tableColumn id="2" xr3:uid="{00000000-0010-0000-0300-000002000000}" name="Tipo"/>
    <tableColumn id="3" xr3:uid="{00000000-0010-0000-0300-000003000000}" name="Risco/Observação"/>
    <tableColumn id="4" xr3:uid="{00000000-0010-0000-0300-000004000000}" name="Alçada sugerida"/>
    <tableColumn id="5" xr3:uid="{00000000-0010-0000-0300-000005000000}" name="Condição Zeev"/>
    <tableColumn id="6" xr3:uid="{00000000-0010-0000-0300-000006000000}" name="Parcelas"/>
    <tableColumn id="7" xr3:uid="{00000000-0010-0000-0300-000007000000}" name="Percentuais"/>
    <tableColumn id="8" xr3:uid="{00000000-0010-0000-0300-000008000000}" name="Observação prá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sqref="A1:H1"/>
    </sheetView>
  </sheetViews>
  <sheetFormatPr defaultRowHeight="14"/>
  <cols>
    <col min="1" max="1" width="18" customWidth="1"/>
    <col min="2" max="2" width="24" customWidth="1"/>
    <col min="3" max="3" width="4" customWidth="1"/>
    <col min="4" max="4" width="10" customWidth="1"/>
    <col min="5" max="5" width="18" customWidth="1"/>
    <col min="6" max="6" width="20" customWidth="1"/>
    <col min="7" max="7" width="22" customWidth="1"/>
    <col min="8" max="8" width="38" customWidth="1"/>
  </cols>
  <sheetData>
    <row r="1" spans="1:8" ht="22.4" customHeight="1">
      <c r="A1" s="14" t="s">
        <v>15</v>
      </c>
      <c r="B1" s="13"/>
      <c r="C1" s="13"/>
      <c r="D1" s="13"/>
      <c r="E1" s="13"/>
      <c r="F1" s="13"/>
      <c r="G1" s="13"/>
      <c r="H1" s="13"/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1" t="s">
        <v>16</v>
      </c>
      <c r="B3" s="7" t="s">
        <v>17</v>
      </c>
      <c r="C3" s="7"/>
      <c r="D3" s="16" t="s">
        <v>18</v>
      </c>
      <c r="E3" s="13"/>
      <c r="F3" s="13"/>
      <c r="G3" s="13"/>
      <c r="H3" s="13"/>
    </row>
    <row r="4" spans="1:8" ht="28" customHeight="1">
      <c r="A4" s="1" t="s">
        <v>19</v>
      </c>
      <c r="B4" s="7" t="s">
        <v>20</v>
      </c>
      <c r="C4" s="7"/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28" customHeight="1">
      <c r="A5" s="1" t="s">
        <v>26</v>
      </c>
      <c r="B5" s="7">
        <v>127</v>
      </c>
      <c r="C5" s="7"/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ht="42" customHeight="1">
      <c r="A6" s="1" t="s">
        <v>32</v>
      </c>
      <c r="B6" s="7">
        <v>102</v>
      </c>
      <c r="C6" s="7"/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</row>
    <row r="7" spans="1:8" ht="28" customHeight="1">
      <c r="A7" s="1" t="s">
        <v>38</v>
      </c>
      <c r="B7" s="7" t="s">
        <v>39</v>
      </c>
      <c r="C7" s="7"/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</row>
    <row r="8" spans="1:8" ht="28" customHeight="1">
      <c r="A8" s="1" t="s">
        <v>45</v>
      </c>
      <c r="B8" s="7" t="s">
        <v>46</v>
      </c>
      <c r="C8" s="7"/>
      <c r="D8" s="6" t="s">
        <v>47</v>
      </c>
      <c r="E8" s="6" t="s">
        <v>48</v>
      </c>
      <c r="F8" s="6" t="s">
        <v>49</v>
      </c>
      <c r="G8" s="6" t="s">
        <v>50</v>
      </c>
      <c r="H8" s="6" t="s">
        <v>51</v>
      </c>
    </row>
    <row r="9" spans="1:8" ht="28" customHeight="1">
      <c r="A9" s="1" t="s">
        <v>52</v>
      </c>
      <c r="B9" s="7" t="s">
        <v>53</v>
      </c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16" t="s">
        <v>54</v>
      </c>
      <c r="B11" s="13"/>
      <c r="C11" s="13"/>
      <c r="D11" s="13"/>
      <c r="E11" s="13"/>
      <c r="F11" s="13"/>
      <c r="G11" s="13"/>
      <c r="H11" s="13"/>
    </row>
    <row r="12" spans="1:8">
      <c r="A12" s="15" t="s">
        <v>55</v>
      </c>
      <c r="B12" s="13"/>
      <c r="C12" s="13"/>
      <c r="D12" s="13"/>
      <c r="E12" s="13"/>
      <c r="F12" s="13"/>
      <c r="G12" s="13"/>
      <c r="H12" s="13"/>
    </row>
    <row r="13" spans="1:8">
      <c r="A13" s="15" t="s">
        <v>56</v>
      </c>
      <c r="B13" s="13"/>
      <c r="C13" s="13"/>
      <c r="D13" s="13"/>
      <c r="E13" s="13"/>
      <c r="F13" s="13"/>
      <c r="G13" s="13"/>
      <c r="H13" s="13"/>
    </row>
    <row r="14" spans="1:8">
      <c r="A14" s="15" t="s">
        <v>57</v>
      </c>
      <c r="B14" s="13"/>
      <c r="C14" s="13"/>
      <c r="D14" s="13"/>
      <c r="E14" s="13"/>
      <c r="F14" s="13"/>
      <c r="G14" s="13"/>
      <c r="H14" s="13"/>
    </row>
    <row r="15" spans="1:8">
      <c r="A15" s="15" t="s">
        <v>58</v>
      </c>
      <c r="B15" s="13"/>
      <c r="C15" s="13"/>
      <c r="D15" s="13"/>
      <c r="E15" s="13"/>
      <c r="F15" s="13"/>
      <c r="G15" s="13"/>
      <c r="H15" s="13"/>
    </row>
    <row r="16" spans="1:8">
      <c r="A16" s="15" t="s">
        <v>59</v>
      </c>
      <c r="B16" s="13"/>
      <c r="C16" s="13"/>
      <c r="D16" s="13"/>
      <c r="E16" s="13"/>
      <c r="F16" s="13"/>
      <c r="G16" s="13"/>
      <c r="H16" s="13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8">
    <mergeCell ref="A11:H11"/>
    <mergeCell ref="A1:H1"/>
    <mergeCell ref="D3:H3"/>
    <mergeCell ref="A12:H12"/>
    <mergeCell ref="A15:H15"/>
    <mergeCell ref="A16:H16"/>
    <mergeCell ref="A13:H13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sqref="A1:H1"/>
    </sheetView>
  </sheetViews>
  <sheetFormatPr defaultRowHeight="14"/>
  <cols>
    <col min="1" max="1" width="18" customWidth="1"/>
    <col min="2" max="2" width="20" customWidth="1"/>
    <col min="3" max="3" width="22" customWidth="1"/>
    <col min="4" max="4" width="18" customWidth="1"/>
    <col min="5" max="6" width="28" customWidth="1"/>
    <col min="7" max="7" width="30" customWidth="1"/>
    <col min="8" max="8" width="42" customWidth="1"/>
  </cols>
  <sheetData>
    <row r="1" spans="1:8" ht="22.4" customHeight="1">
      <c r="A1" s="14" t="s">
        <v>60</v>
      </c>
      <c r="B1" s="13"/>
      <c r="C1" s="13"/>
      <c r="D1" s="13"/>
      <c r="E1" s="13"/>
      <c r="F1" s="13"/>
      <c r="G1" s="13"/>
      <c r="H1" s="13"/>
    </row>
    <row r="2" spans="1:8">
      <c r="A2" s="7"/>
      <c r="B2" s="7"/>
      <c r="C2" s="7"/>
      <c r="D2" s="7"/>
      <c r="E2" s="7"/>
      <c r="F2" s="7"/>
      <c r="G2" s="7"/>
      <c r="H2" s="7"/>
    </row>
    <row r="3" spans="1:8" ht="28" customHeight="1">
      <c r="A3" s="9" t="s">
        <v>61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</row>
    <row r="4" spans="1:8" ht="28" customHeight="1">
      <c r="A4" s="2" t="s">
        <v>69</v>
      </c>
      <c r="B4" s="2" t="s">
        <v>23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</row>
    <row r="5" spans="1:8" ht="28" customHeight="1">
      <c r="A5" s="3" t="s">
        <v>76</v>
      </c>
      <c r="B5" s="3" t="s">
        <v>29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</row>
    <row r="6" spans="1:8" ht="42" customHeight="1">
      <c r="A6" s="4" t="s">
        <v>83</v>
      </c>
      <c r="B6" s="4" t="s">
        <v>35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</row>
    <row r="7" spans="1:8" ht="56" customHeight="1">
      <c r="A7" s="5" t="s">
        <v>90</v>
      </c>
      <c r="B7" s="5" t="s">
        <v>91</v>
      </c>
      <c r="C7" s="5" t="s">
        <v>92</v>
      </c>
      <c r="D7" s="5" t="s">
        <v>93</v>
      </c>
      <c r="E7" s="5" t="s">
        <v>94</v>
      </c>
      <c r="F7" s="5" t="s">
        <v>95</v>
      </c>
      <c r="G7" s="5" t="s">
        <v>96</v>
      </c>
      <c r="H7" s="5" t="s">
        <v>97</v>
      </c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5" workbookViewId="0">
      <selection activeCell="C8" sqref="C8"/>
    </sheetView>
  </sheetViews>
  <sheetFormatPr defaultRowHeight="14"/>
  <cols>
    <col min="1" max="1" width="24" customWidth="1"/>
    <col min="2" max="2" width="18" customWidth="1"/>
    <col min="3" max="3" width="22" customWidth="1"/>
    <col min="4" max="4" width="10" customWidth="1"/>
    <col min="5" max="5" width="18" customWidth="1"/>
    <col min="6" max="7" width="24" customWidth="1"/>
    <col min="8" max="8" width="28" customWidth="1"/>
    <col min="9" max="9" width="44" customWidth="1"/>
    <col min="10" max="10" width="38" customWidth="1"/>
  </cols>
  <sheetData>
    <row r="1" spans="1:10" ht="22.4" customHeight="1">
      <c r="A1" s="14" t="s">
        <v>98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9" t="s">
        <v>99</v>
      </c>
      <c r="B3" s="9" t="s">
        <v>2</v>
      </c>
      <c r="C3" s="9" t="s">
        <v>100</v>
      </c>
      <c r="D3" s="9" t="s">
        <v>6</v>
      </c>
      <c r="E3" s="9" t="s">
        <v>7</v>
      </c>
      <c r="F3" s="9" t="s">
        <v>101</v>
      </c>
      <c r="G3" s="9" t="s">
        <v>102</v>
      </c>
      <c r="H3" s="9" t="s">
        <v>103</v>
      </c>
      <c r="I3" s="9" t="s">
        <v>104</v>
      </c>
      <c r="J3" s="9" t="s">
        <v>105</v>
      </c>
    </row>
    <row r="4" spans="1:10" ht="42" customHeight="1">
      <c r="A4" s="2" t="s">
        <v>70</v>
      </c>
      <c r="B4" s="2" t="s">
        <v>22</v>
      </c>
      <c r="C4" s="2" t="s">
        <v>23</v>
      </c>
      <c r="D4" s="2">
        <v>1</v>
      </c>
      <c r="E4" s="2" t="s">
        <v>106</v>
      </c>
      <c r="F4" s="2" t="s">
        <v>107</v>
      </c>
      <c r="G4" s="2" t="s">
        <v>107</v>
      </c>
      <c r="H4" s="2" t="s">
        <v>108</v>
      </c>
      <c r="I4" s="2" t="s">
        <v>109</v>
      </c>
      <c r="J4" s="2" t="s">
        <v>110</v>
      </c>
    </row>
    <row r="5" spans="1:10" ht="42" customHeight="1">
      <c r="A5" s="3" t="s">
        <v>77</v>
      </c>
      <c r="B5" s="3" t="s">
        <v>28</v>
      </c>
      <c r="C5" s="3" t="s">
        <v>29</v>
      </c>
      <c r="D5" s="3">
        <v>2</v>
      </c>
      <c r="E5" s="3" t="s">
        <v>111</v>
      </c>
      <c r="F5" s="3" t="s">
        <v>112</v>
      </c>
      <c r="G5" s="3" t="s">
        <v>113</v>
      </c>
      <c r="H5" s="3" t="s">
        <v>107</v>
      </c>
      <c r="I5" s="3" t="s">
        <v>114</v>
      </c>
      <c r="J5" s="3" t="s">
        <v>115</v>
      </c>
    </row>
    <row r="6" spans="1:10" ht="28" customHeight="1">
      <c r="A6" s="3" t="s">
        <v>116</v>
      </c>
      <c r="B6" s="3" t="s">
        <v>117</v>
      </c>
      <c r="C6" s="3" t="s">
        <v>118</v>
      </c>
      <c r="D6" s="3">
        <v>1</v>
      </c>
      <c r="E6" s="3" t="s">
        <v>106</v>
      </c>
      <c r="F6" s="3" t="s">
        <v>107</v>
      </c>
      <c r="G6" s="3" t="s">
        <v>107</v>
      </c>
      <c r="H6" s="3" t="s">
        <v>119</v>
      </c>
      <c r="I6" s="3" t="s">
        <v>120</v>
      </c>
      <c r="J6" s="3" t="s">
        <v>121</v>
      </c>
    </row>
    <row r="7" spans="1:10" ht="28" customHeight="1">
      <c r="A7" s="4" t="s">
        <v>84</v>
      </c>
      <c r="B7" s="4" t="s">
        <v>34</v>
      </c>
      <c r="C7" s="4" t="s">
        <v>35</v>
      </c>
      <c r="D7" s="4">
        <v>3</v>
      </c>
      <c r="E7" s="4" t="s">
        <v>122</v>
      </c>
      <c r="F7" s="4" t="s">
        <v>123</v>
      </c>
      <c r="G7" s="4" t="s">
        <v>124</v>
      </c>
      <c r="H7" s="4" t="s">
        <v>125</v>
      </c>
      <c r="I7" s="4" t="s">
        <v>126</v>
      </c>
      <c r="J7" s="4" t="s">
        <v>127</v>
      </c>
    </row>
    <row r="8" spans="1:10" ht="28" customHeight="1">
      <c r="A8" s="4" t="s">
        <v>128</v>
      </c>
      <c r="B8" s="4" t="s">
        <v>129</v>
      </c>
      <c r="C8" s="4" t="s">
        <v>130</v>
      </c>
      <c r="D8" s="4">
        <v>4</v>
      </c>
      <c r="E8" s="4" t="s">
        <v>131</v>
      </c>
      <c r="F8" s="4" t="s">
        <v>132</v>
      </c>
      <c r="G8" s="4" t="s">
        <v>133</v>
      </c>
      <c r="H8" s="4" t="s">
        <v>134</v>
      </c>
      <c r="I8" s="4" t="s">
        <v>135</v>
      </c>
      <c r="J8" s="4" t="s">
        <v>136</v>
      </c>
    </row>
    <row r="9" spans="1:10" ht="28" customHeight="1">
      <c r="A9" s="4" t="s">
        <v>137</v>
      </c>
      <c r="B9" s="4" t="s">
        <v>138</v>
      </c>
      <c r="C9" s="4" t="s">
        <v>139</v>
      </c>
      <c r="D9" s="4" t="s">
        <v>140</v>
      </c>
      <c r="E9" s="4" t="s">
        <v>141</v>
      </c>
      <c r="F9" s="4" t="s">
        <v>107</v>
      </c>
      <c r="G9" s="4" t="s">
        <v>107</v>
      </c>
      <c r="H9" s="4" t="s">
        <v>142</v>
      </c>
      <c r="I9" s="4" t="s">
        <v>143</v>
      </c>
      <c r="J9" s="4" t="s">
        <v>144</v>
      </c>
    </row>
    <row r="10" spans="1:10" ht="28" customHeight="1">
      <c r="A10" s="5" t="s">
        <v>145</v>
      </c>
      <c r="B10" s="5" t="s">
        <v>146</v>
      </c>
      <c r="C10" s="5" t="s">
        <v>147</v>
      </c>
      <c r="D10" s="5">
        <v>1</v>
      </c>
      <c r="E10" s="5" t="s">
        <v>106</v>
      </c>
      <c r="F10" s="5" t="s">
        <v>107</v>
      </c>
      <c r="G10" s="5" t="s">
        <v>107</v>
      </c>
      <c r="H10" s="5" t="s">
        <v>148</v>
      </c>
      <c r="I10" s="5" t="s">
        <v>149</v>
      </c>
      <c r="J10" s="5" t="s">
        <v>150</v>
      </c>
    </row>
    <row r="11" spans="1:10" ht="42" customHeight="1">
      <c r="A11" s="2" t="s">
        <v>151</v>
      </c>
      <c r="B11" s="2" t="s">
        <v>152</v>
      </c>
      <c r="C11" s="2" t="s">
        <v>153</v>
      </c>
      <c r="D11" s="2">
        <v>1</v>
      </c>
      <c r="E11" s="2" t="s">
        <v>106</v>
      </c>
      <c r="F11" s="2" t="s">
        <v>107</v>
      </c>
      <c r="G11" s="2" t="s">
        <v>107</v>
      </c>
      <c r="H11" s="2" t="s">
        <v>154</v>
      </c>
      <c r="I11" s="2" t="s">
        <v>155</v>
      </c>
      <c r="J11" s="2" t="s">
        <v>156</v>
      </c>
    </row>
    <row r="12" spans="1:10" ht="28" customHeight="1">
      <c r="A12" s="2" t="s">
        <v>157</v>
      </c>
      <c r="B12" s="2" t="s">
        <v>158</v>
      </c>
      <c r="C12" s="2" t="s">
        <v>159</v>
      </c>
      <c r="D12" s="2">
        <v>1</v>
      </c>
      <c r="E12" s="2" t="s">
        <v>160</v>
      </c>
      <c r="F12" s="2" t="s">
        <v>107</v>
      </c>
      <c r="G12" s="2" t="s">
        <v>107</v>
      </c>
      <c r="H12" s="2" t="s">
        <v>161</v>
      </c>
      <c r="I12" s="2" t="s">
        <v>162</v>
      </c>
      <c r="J12" s="2" t="s">
        <v>163</v>
      </c>
    </row>
    <row r="13" spans="1:10" ht="28" customHeight="1">
      <c r="A13" s="2" t="s">
        <v>164</v>
      </c>
      <c r="B13" s="2" t="s">
        <v>165</v>
      </c>
      <c r="C13" s="2" t="s">
        <v>166</v>
      </c>
      <c r="D13" s="2">
        <v>1</v>
      </c>
      <c r="E13" s="2" t="s">
        <v>167</v>
      </c>
      <c r="F13" s="2" t="s">
        <v>107</v>
      </c>
      <c r="G13" s="2" t="s">
        <v>107</v>
      </c>
      <c r="H13" s="2" t="s">
        <v>168</v>
      </c>
      <c r="I13" s="2" t="s">
        <v>169</v>
      </c>
      <c r="J13" s="2" t="s">
        <v>170</v>
      </c>
    </row>
    <row r="14" spans="1:10" ht="28" customHeight="1">
      <c r="A14" s="3" t="s">
        <v>171</v>
      </c>
      <c r="B14" s="3" t="s">
        <v>172</v>
      </c>
      <c r="C14" s="3" t="s">
        <v>173</v>
      </c>
      <c r="D14" s="3">
        <v>1</v>
      </c>
      <c r="E14" s="3" t="s">
        <v>106</v>
      </c>
      <c r="F14" s="3" t="s">
        <v>107</v>
      </c>
      <c r="G14" s="3" t="s">
        <v>107</v>
      </c>
      <c r="H14" s="3" t="s">
        <v>174</v>
      </c>
      <c r="I14" s="3" t="s">
        <v>175</v>
      </c>
      <c r="J14" s="3" t="s">
        <v>176</v>
      </c>
    </row>
    <row r="15" spans="1:10" ht="28" customHeight="1">
      <c r="A15" s="5" t="s">
        <v>177</v>
      </c>
      <c r="B15" s="5" t="s">
        <v>178</v>
      </c>
      <c r="C15" s="5" t="s">
        <v>179</v>
      </c>
      <c r="D15" s="5">
        <v>0</v>
      </c>
      <c r="E15" s="5" t="s">
        <v>180</v>
      </c>
      <c r="F15" s="5" t="s">
        <v>181</v>
      </c>
      <c r="G15" s="5" t="s">
        <v>182</v>
      </c>
      <c r="H15" s="5" t="s">
        <v>183</v>
      </c>
      <c r="I15" s="5" t="s">
        <v>184</v>
      </c>
      <c r="J15" s="5" t="s">
        <v>185</v>
      </c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>
      <selection sqref="A1:F1"/>
    </sheetView>
  </sheetViews>
  <sheetFormatPr defaultRowHeight="14"/>
  <cols>
    <col min="1" max="2" width="20" customWidth="1"/>
    <col min="3" max="5" width="38" customWidth="1"/>
    <col min="6" max="6" width="28" customWidth="1"/>
  </cols>
  <sheetData>
    <row r="1" spans="1:6" ht="22.4" customHeight="1">
      <c r="A1" s="14" t="s">
        <v>186</v>
      </c>
      <c r="B1" s="13"/>
      <c r="C1" s="13"/>
      <c r="D1" s="13"/>
      <c r="E1" s="13"/>
      <c r="F1" s="13"/>
    </row>
    <row r="2" spans="1:6">
      <c r="A2" s="7"/>
      <c r="B2" s="7"/>
      <c r="C2" s="7"/>
      <c r="D2" s="7"/>
      <c r="E2" s="7"/>
      <c r="F2" s="7"/>
    </row>
    <row r="3" spans="1:6">
      <c r="A3" s="9" t="s">
        <v>187</v>
      </c>
      <c r="B3" s="9" t="s">
        <v>188</v>
      </c>
      <c r="C3" s="9" t="s">
        <v>189</v>
      </c>
      <c r="D3" s="9" t="s">
        <v>190</v>
      </c>
      <c r="E3" s="9" t="s">
        <v>191</v>
      </c>
      <c r="F3" s="9" t="s">
        <v>192</v>
      </c>
    </row>
    <row r="4" spans="1:6" ht="28" customHeight="1">
      <c r="A4" s="8" t="s">
        <v>193</v>
      </c>
      <c r="B4" s="8" t="s">
        <v>194</v>
      </c>
      <c r="C4" s="8" t="s">
        <v>195</v>
      </c>
      <c r="D4" s="8" t="s">
        <v>196</v>
      </c>
      <c r="E4" s="8" t="s">
        <v>197</v>
      </c>
      <c r="F4" s="8" t="s">
        <v>198</v>
      </c>
    </row>
    <row r="5" spans="1:6" ht="28" customHeight="1">
      <c r="A5" s="8" t="s">
        <v>199</v>
      </c>
      <c r="B5" s="8" t="s">
        <v>200</v>
      </c>
      <c r="C5" s="8" t="s">
        <v>201</v>
      </c>
      <c r="D5" s="8" t="s">
        <v>202</v>
      </c>
      <c r="E5" s="8" t="s">
        <v>203</v>
      </c>
      <c r="F5" s="8" t="s">
        <v>204</v>
      </c>
    </row>
    <row r="6" spans="1:6" ht="28" customHeight="1">
      <c r="A6" s="8" t="s">
        <v>205</v>
      </c>
      <c r="B6" s="8" t="s">
        <v>206</v>
      </c>
      <c r="C6" s="8" t="s">
        <v>207</v>
      </c>
      <c r="D6" s="8" t="s">
        <v>208</v>
      </c>
      <c r="E6" s="8" t="s">
        <v>209</v>
      </c>
      <c r="F6" s="8" t="s">
        <v>210</v>
      </c>
    </row>
    <row r="7" spans="1:6" ht="28" customHeight="1">
      <c r="A7" s="8" t="s">
        <v>211</v>
      </c>
      <c r="B7" s="8" t="s">
        <v>212</v>
      </c>
      <c r="C7" s="8" t="s">
        <v>213</v>
      </c>
      <c r="D7" s="8" t="s">
        <v>214</v>
      </c>
      <c r="E7" s="8" t="s">
        <v>215</v>
      </c>
      <c r="F7" s="8" t="s">
        <v>216</v>
      </c>
    </row>
    <row r="8" spans="1:6" ht="28" customHeight="1">
      <c r="A8" s="8" t="s">
        <v>217</v>
      </c>
      <c r="B8" s="8" t="s">
        <v>218</v>
      </c>
      <c r="C8" s="8" t="s">
        <v>219</v>
      </c>
      <c r="D8" s="8" t="s">
        <v>220</v>
      </c>
      <c r="E8" s="8" t="s">
        <v>221</v>
      </c>
      <c r="F8" s="8" t="s">
        <v>222</v>
      </c>
    </row>
    <row r="9" spans="1:6" ht="28" customHeight="1">
      <c r="A9" s="8" t="s">
        <v>223</v>
      </c>
      <c r="B9" s="8" t="s">
        <v>218</v>
      </c>
      <c r="C9" s="8" t="s">
        <v>224</v>
      </c>
      <c r="D9" s="8" t="s">
        <v>225</v>
      </c>
      <c r="E9" s="8" t="s">
        <v>226</v>
      </c>
      <c r="F9" s="8" t="s">
        <v>227</v>
      </c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C23" sqref="C23"/>
    </sheetView>
  </sheetViews>
  <sheetFormatPr defaultRowHeight="14"/>
  <cols>
    <col min="1" max="1" width="18" customWidth="1"/>
    <col min="2" max="2" width="16" customWidth="1"/>
    <col min="3" max="3" width="22" customWidth="1"/>
    <col min="4" max="4" width="18" customWidth="1"/>
    <col min="5" max="5" width="24" customWidth="1"/>
    <col min="6" max="6" width="12" customWidth="1"/>
    <col min="7" max="7" width="20" customWidth="1"/>
    <col min="8" max="8" width="42" customWidth="1"/>
  </cols>
  <sheetData>
    <row r="1" spans="1:8" ht="22.4" customHeight="1">
      <c r="A1" s="14" t="s">
        <v>0</v>
      </c>
      <c r="B1" s="13"/>
      <c r="C1" s="13"/>
      <c r="D1" s="13"/>
      <c r="E1" s="13"/>
      <c r="F1" s="13"/>
      <c r="G1" s="13"/>
      <c r="H1" s="13"/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28" customHeight="1">
      <c r="A4" s="10">
        <v>1000</v>
      </c>
      <c r="B4" s="7" t="s">
        <v>9</v>
      </c>
      <c r="C4" s="7" t="s">
        <v>10</v>
      </c>
      <c r="D4" s="7" t="str">
        <f>IF(A4&lt;=1500,"Pequena",IF(A4&lt;=5000,"Média",IF(A4&lt;=8000,"Maior","Crítica / exceção")))</f>
        <v>Pequena</v>
      </c>
      <c r="E4" s="7" t="str">
        <f>IF(A4&lt;=1500,"OBRA_PEQUENA_UNICA_D7",IF(A4&lt;=5000,"OBRA_MEDIA_50_50",IF(A4&lt;=8000,"OBRA_MAIOR_30_30_40","OBRA_RETENCAO_10")))</f>
        <v>OBRA_PEQUENA_UNICA_D7</v>
      </c>
      <c r="F4" s="7">
        <f>IF(E4="OBRA_PEQUENA_UNICA_D7",1,IF(E4="OBRA_MEDIA_50_50",2,IF(E4="OBRA_MAIOR_30_30_40",3,4)))</f>
        <v>1</v>
      </c>
      <c r="G4" s="7" t="str">
        <f>IF(E4="OBRA_PEQUENA_UNICA_D7","100%",IF(E4="OBRA_MEDIA_50_50","50% / 50%",IF(E4="OBRA_MAIOR_30_30_40","30% / 30% / 40%","30% / 30% / 30% / 10%")))</f>
        <v>100%</v>
      </c>
      <c r="H4" s="7" t="str">
        <f>IF(D4="Pequena","Pagar após execução aprovada",IF(D4="Média","Pode ter 50% início e 50% final",IF(D4="Maior","Usar medição parcial e saldo contratual","Exigir aprovação reforçada/retenção")))</f>
        <v>Pagar após execução aprovada</v>
      </c>
    </row>
    <row r="5" spans="1:8">
      <c r="A5" s="10">
        <v>3500</v>
      </c>
      <c r="B5" s="7" t="s">
        <v>9</v>
      </c>
      <c r="C5" s="7" t="s">
        <v>11</v>
      </c>
      <c r="D5" s="7" t="str">
        <f>IF(A5&lt;=1500,"Pequena",IF(A5&lt;=5000,"Média",IF(A5&lt;=8000,"Maior","Crítica / exceção")))</f>
        <v>Média</v>
      </c>
      <c r="E5" s="7" t="str">
        <f>IF(A5&lt;=1500,"OBRA_PEQUENA_UNICA_D7",IF(A5&lt;=5000,"OBRA_MEDIA_50_50",IF(A5&lt;=8000,"OBRA_MAIOR_30_30_40","OBRA_RETENCAO_10")))</f>
        <v>OBRA_MEDIA_50_50</v>
      </c>
      <c r="F5" s="7">
        <f>IF(E5="OBRA_PEQUENA_UNICA_D7",1,IF(E5="OBRA_MEDIA_50_50",2,IF(E5="OBRA_MAIOR_30_30_40",3,4)))</f>
        <v>2</v>
      </c>
      <c r="G5" s="7" t="str">
        <f>IF(E5="OBRA_PEQUENA_UNICA_D7","100%",IF(E5="OBRA_MEDIA_50_50","50% / 50%",IF(E5="OBRA_MAIOR_30_30_40","30% / 30% / 40%","30% / 30% / 30% / 10%")))</f>
        <v>50% / 50%</v>
      </c>
      <c r="H5" s="7" t="str">
        <f>IF(D5="Pequena","Pagar após execução aprovada",IF(D5="Média","Pode ter 50% início e 50% final",IF(D5="Maior","Usar medição parcial e saldo contratual","Exigir aprovação reforçada/retenção")))</f>
        <v>Pode ter 50% início e 50% final</v>
      </c>
    </row>
    <row r="6" spans="1:8">
      <c r="A6" s="10">
        <v>6500</v>
      </c>
      <c r="B6" s="7" t="s">
        <v>9</v>
      </c>
      <c r="C6" s="7" t="s">
        <v>12</v>
      </c>
      <c r="D6" s="7" t="str">
        <f>IF(A6&lt;=1500,"Pequena",IF(A6&lt;=5000,"Média",IF(A6&lt;=8000,"Maior","Crítica / exceção")))</f>
        <v>Maior</v>
      </c>
      <c r="E6" s="7" t="str">
        <f>IF(A6&lt;=1500,"OBRA_PEQUENA_UNICA_D7",IF(A6&lt;=5000,"OBRA_MEDIA_50_50",IF(A6&lt;=8000,"OBRA_MAIOR_30_30_40","OBRA_RETENCAO_10")))</f>
        <v>OBRA_MAIOR_30_30_40</v>
      </c>
      <c r="F6" s="7">
        <f>IF(E6="OBRA_PEQUENA_UNICA_D7",1,IF(E6="OBRA_MEDIA_50_50",2,IF(E6="OBRA_MAIOR_30_30_40",3,4)))</f>
        <v>3</v>
      </c>
      <c r="G6" s="7" t="str">
        <f>IF(E6="OBRA_PEQUENA_UNICA_D7","100%",IF(E6="OBRA_MEDIA_50_50","50% / 50%",IF(E6="OBRA_MAIOR_30_30_40","30% / 30% / 40%","30% / 30% / 30% / 10%")))</f>
        <v>30% / 30% / 40%</v>
      </c>
      <c r="H6" s="7" t="str">
        <f>IF(D6="Pequena","Pagar após execução aprovada",IF(D6="Média","Pode ter 50% início e 50% final",IF(D6="Maior","Usar medição parcial e saldo contratual","Exigir aprovação reforçada/retenção")))</f>
        <v>Usar medição parcial e saldo contratual</v>
      </c>
    </row>
    <row r="7" spans="1:8" ht="28" customHeight="1">
      <c r="A7" s="10">
        <v>12000</v>
      </c>
      <c r="B7" s="7" t="s">
        <v>9</v>
      </c>
      <c r="C7" s="7" t="s">
        <v>13</v>
      </c>
      <c r="D7" s="7" t="str">
        <f>IF(A7&lt;=1500,"Pequena",IF(A7&lt;=5000,"Média",IF(A7&lt;=8000,"Maior","Crítica / exceção")))</f>
        <v>Crítica / exceção</v>
      </c>
      <c r="E7" s="7" t="str">
        <f>IF(A7&lt;=1500,"OBRA_PEQUENA_UNICA_D7",IF(A7&lt;=5000,"OBRA_MEDIA_50_50",IF(A7&lt;=8000,"OBRA_MAIOR_30_30_40","OBRA_RETENCAO_10")))</f>
        <v>OBRA_RETENCAO_10</v>
      </c>
      <c r="F7" s="7">
        <f>IF(E7="OBRA_PEQUENA_UNICA_D7",1,IF(E7="OBRA_MEDIA_50_50",2,IF(E7="OBRA_MAIOR_30_30_40",3,4)))</f>
        <v>4</v>
      </c>
      <c r="G7" s="7" t="str">
        <f>IF(E7="OBRA_PEQUENA_UNICA_D7","100%",IF(E7="OBRA_MEDIA_50_50","50% / 50%",IF(E7="OBRA_MAIOR_30_30_40","30% / 30% / 40%","30% / 30% / 30% / 10%")))</f>
        <v>30% / 30% / 30% / 10%</v>
      </c>
      <c r="H7" s="7" t="str">
        <f>IF(D7="Pequena","Pagar após execução aprovada",IF(D7="Média","Pode ter 50% início e 50% final",IF(D7="Maior","Usar medição parcial e saldo contratual","Exigir aprovação reforçada/retenção")))</f>
        <v>Exigir aprovação reforçada/retenção</v>
      </c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12" t="s">
        <v>14</v>
      </c>
      <c r="B9" s="13"/>
      <c r="C9" s="13"/>
      <c r="D9" s="13"/>
      <c r="E9" s="13"/>
      <c r="F9" s="13"/>
      <c r="G9" s="13"/>
      <c r="H9" s="13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2">
    <mergeCell ref="A9:H9"/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tabSelected="1" workbookViewId="0">
      <selection activeCell="D11" sqref="D11"/>
    </sheetView>
  </sheetViews>
  <sheetFormatPr defaultRowHeight="14"/>
  <cols>
    <col min="1" max="1" width="16.5" customWidth="1"/>
  </cols>
  <sheetData>
    <row r="1" spans="1:2" ht="18">
      <c r="A1" s="11" t="s">
        <v>228</v>
      </c>
    </row>
    <row r="3" spans="1:2">
      <c r="A3" t="s">
        <v>229</v>
      </c>
      <c r="B3" t="s">
        <v>230</v>
      </c>
    </row>
    <row r="4" spans="1:2">
      <c r="A4" t="s">
        <v>231</v>
      </c>
      <c r="B4" t="s">
        <v>232</v>
      </c>
    </row>
    <row r="5" spans="1:2">
      <c r="A5" t="s">
        <v>233</v>
      </c>
      <c r="B5" t="s">
        <v>234</v>
      </c>
    </row>
    <row r="6" spans="1:2">
      <c r="A6" t="s">
        <v>235</v>
      </c>
      <c r="B6" t="s">
        <v>236</v>
      </c>
    </row>
    <row r="7" spans="1:2">
      <c r="A7" t="s">
        <v>237</v>
      </c>
      <c r="B7" t="s">
        <v>238</v>
      </c>
    </row>
    <row r="8" spans="1:2">
      <c r="A8" t="s">
        <v>239</v>
      </c>
      <c r="B8" t="s">
        <v>240</v>
      </c>
    </row>
    <row r="9" spans="1:2">
      <c r="A9" t="s">
        <v>241</v>
      </c>
      <c r="B9" t="s">
        <v>242</v>
      </c>
    </row>
    <row r="10" spans="1:2">
      <c r="A10" t="s">
        <v>243</v>
      </c>
      <c r="B10" t="s">
        <v>244</v>
      </c>
    </row>
    <row r="11" spans="1:2">
      <c r="A11" t="s">
        <v>245</v>
      </c>
      <c r="B11" t="s">
        <v>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"/>
  <sheetData>
    <row r="1" spans="1:2" ht="18">
      <c r="A1" s="11" t="s">
        <v>247</v>
      </c>
    </row>
    <row r="3" spans="1:2">
      <c r="A3" t="s">
        <v>248</v>
      </c>
      <c r="B3" t="s">
        <v>249</v>
      </c>
    </row>
    <row r="4" spans="1:2">
      <c r="A4" t="s">
        <v>23</v>
      </c>
      <c r="B4" t="s">
        <v>250</v>
      </c>
    </row>
    <row r="5" spans="1:2">
      <c r="A5" t="s">
        <v>251</v>
      </c>
      <c r="B5" t="s">
        <v>252</v>
      </c>
    </row>
    <row r="6" spans="1:2">
      <c r="A6" t="s">
        <v>253</v>
      </c>
      <c r="B6" t="s">
        <v>254</v>
      </c>
    </row>
    <row r="7" spans="1:2">
      <c r="A7" t="s">
        <v>255</v>
      </c>
      <c r="B7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Alcadas de Valor</vt:lpstr>
      <vt:lpstr>Condicoes de Pagamento</vt:lpstr>
      <vt:lpstr>Fluxo Zeev</vt:lpstr>
      <vt:lpstr>Simulador</vt:lpstr>
      <vt:lpstr>Governança</vt:lpstr>
      <vt:lpstr>Alçadas Aprovação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user01</cp:lastModifiedBy>
  <dcterms:created xsi:type="dcterms:W3CDTF">2026-06-09T17:43:01Z</dcterms:created>
  <dcterms:modified xsi:type="dcterms:W3CDTF">2026-06-09T18:01:49Z</dcterms:modified>
</cp:coreProperties>
</file>