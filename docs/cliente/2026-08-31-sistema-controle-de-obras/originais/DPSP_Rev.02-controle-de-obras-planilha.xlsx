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guil\Desktop\"/>
    </mc:Choice>
  </mc:AlternateContent>
  <xr:revisionPtr revIDLastSave="0" documentId="8_{15ECEEF4-5BD9-4697-8435-79878D37B86F}" xr6:coauthVersionLast="47" xr6:coauthVersionMax="47" xr10:uidLastSave="{00000000-0000-0000-0000-000000000000}"/>
  <bookViews>
    <workbookView xWindow="28680" yWindow="-120" windowWidth="29040" windowHeight="15720" xr2:uid="{15AD9A5B-D554-4E74-B287-870F0DB76DA6}"/>
  </bookViews>
  <sheets>
    <sheet name="Planejamento DPSP" sheetId="2" r:id="rId1"/>
    <sheet name="Pipeline DPSP" sheetId="1" r:id="rId2"/>
  </sheets>
  <externalReferences>
    <externalReference r:id="rId3"/>
  </externalReferences>
  <definedNames>
    <definedName name="_xlnm._FilterDatabase" localSheetId="1" hidden="1">'Pipeline DPSP'!$A$3:$H$189</definedName>
    <definedName name="_xlnm._FilterDatabase" localSheetId="0" hidden="1">'Planejamento DPSP'!$A$4:$AD$24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24" i="2" l="1"/>
  <c r="U24" i="2"/>
  <c r="V24" i="2" s="1"/>
  <c r="R24" i="2"/>
  <c r="Q24" i="2"/>
  <c r="AD23" i="2"/>
  <c r="U23" i="2" s="1"/>
  <c r="W23" i="2" s="1"/>
  <c r="R23" i="2"/>
  <c r="Q23" i="2"/>
  <c r="AD22" i="2"/>
  <c r="U22" i="2" s="1"/>
  <c r="W22" i="2" s="1"/>
  <c r="R22" i="2"/>
  <c r="Q22" i="2"/>
  <c r="AD21" i="2"/>
  <c r="U21" i="2" s="1"/>
  <c r="W21" i="2" s="1"/>
  <c r="R21" i="2"/>
  <c r="Q21" i="2"/>
  <c r="AD20" i="2"/>
  <c r="U20" i="2" s="1"/>
  <c r="W20" i="2" s="1"/>
  <c r="R20" i="2"/>
  <c r="Q20" i="2"/>
  <c r="AD19" i="2"/>
  <c r="R19" i="2" s="1" a="1"/>
  <c r="AD18" i="2"/>
  <c r="R18" i="2" s="1" a="1"/>
  <c r="AD17" i="2"/>
  <c r="R17" i="2" s="1" a="1"/>
  <c r="AD16" i="2"/>
  <c r="U16" i="2" s="1"/>
  <c r="V16" i="2" s="1"/>
  <c r="R16" i="2"/>
  <c r="Q16" i="2"/>
  <c r="AD15" i="2"/>
  <c r="U15" i="2" s="1"/>
  <c r="W15" i="2" s="1"/>
  <c r="R15" i="2"/>
  <c r="Q15" i="2"/>
  <c r="AD14" i="2"/>
  <c r="U14" i="2" s="1"/>
  <c r="V14" i="2" s="1"/>
  <c r="R14" i="2"/>
  <c r="Q14" i="2"/>
  <c r="AD13" i="2"/>
  <c r="U13" i="2" s="1"/>
  <c r="R13" i="2"/>
  <c r="Q13" i="2"/>
  <c r="AD12" i="2"/>
  <c r="U12" i="2" s="1"/>
  <c r="W12" i="2" s="1"/>
  <c r="AD11" i="2"/>
  <c r="R11" i="2" s="1" a="1"/>
  <c r="U11" i="2"/>
  <c r="AD10" i="2"/>
  <c r="U10" i="2" s="1"/>
  <c r="W10" i="2" s="1"/>
  <c r="AD9" i="2"/>
  <c r="U9" i="2"/>
  <c r="W9" i="2" s="1"/>
  <c r="R9" i="2"/>
  <c r="Q9" i="2"/>
  <c r="AD8" i="2"/>
  <c r="R8" i="2" s="1" a="1"/>
  <c r="U8" i="2"/>
  <c r="AD7" i="2"/>
  <c r="U7" i="2" s="1"/>
  <c r="V7" i="2" s="1"/>
  <c r="AD6" i="2"/>
  <c r="U6" i="2" s="1"/>
  <c r="V6" i="2" s="1"/>
  <c r="R6" i="2" a="1"/>
  <c r="Q6" i="2" a="1"/>
  <c r="AD5" i="2"/>
  <c r="R5" i="2" s="1" a="1"/>
  <c r="R7" i="2" l="1" a="1"/>
  <c r="Q5" i="2" a="1"/>
  <c r="U5" i="2"/>
  <c r="W5" i="2" s="1"/>
  <c r="Q18" i="2" a="1"/>
  <c r="Q8" i="2" a="1"/>
  <c r="Q11" i="2" a="1"/>
  <c r="U18" i="2"/>
  <c r="V18" i="2" s="1"/>
  <c r="W6" i="2"/>
  <c r="Q10" i="2" a="1"/>
  <c r="R10" i="2" a="1"/>
  <c r="R12" i="2" a="1"/>
  <c r="Q12" i="2" a="1"/>
  <c r="W14" i="2"/>
  <c r="U19" i="2"/>
  <c r="W19" i="2" s="1"/>
  <c r="W24" i="2"/>
  <c r="W7" i="2"/>
  <c r="V21" i="2"/>
  <c r="W16" i="2"/>
  <c r="V23" i="2"/>
  <c r="V13" i="2"/>
  <c r="W13" i="2"/>
  <c r="V20" i="2"/>
  <c r="V9" i="2"/>
  <c r="W8" i="2"/>
  <c r="V8" i="2"/>
  <c r="V5" i="2"/>
  <c r="V12" i="2"/>
  <c r="V15" i="2"/>
  <c r="Q17" i="2" a="1"/>
  <c r="U17" i="2"/>
  <c r="Q19" i="2" a="1"/>
  <c r="V10" i="2"/>
  <c r="V22" i="2"/>
  <c r="Q7" i="2" a="1"/>
  <c r="W11" i="2"/>
  <c r="V11" i="2"/>
  <c r="W18" i="2" l="1"/>
  <c r="V19" i="2"/>
  <c r="W17" i="2"/>
  <c r="V1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<sst xmlns="http://schemas.openxmlformats.org/spreadsheetml/2006/main" count="1805" uniqueCount="599">
  <si>
    <t>PIPELINE OPERACIONAL — DPSP</t>
  </si>
  <si>
    <t>NUM OS</t>
  </si>
  <si>
    <t>LOJA</t>
  </si>
  <si>
    <t>DESCRIÇÃO</t>
  </si>
  <si>
    <t>TIPO</t>
  </si>
  <si>
    <t>VALOR TOTAL</t>
  </si>
  <si>
    <t>ANALISTA</t>
  </si>
  <si>
    <t>STATUS MANFAC</t>
  </si>
  <si>
    <t>STATUS OBRA</t>
  </si>
  <si>
    <t>STATUS DESK</t>
  </si>
  <si>
    <t>AUTORIZAÇÃO</t>
  </si>
  <si>
    <t>FAROL</t>
  </si>
  <si>
    <t>0226-004162</t>
  </si>
  <si>
    <t>DP ALCANTARA 5</t>
  </si>
  <si>
    <t>Rolllout do Telhado Geral da loja e marquise</t>
  </si>
  <si>
    <t>CAPEX</t>
  </si>
  <si>
    <t>AMANDA</t>
  </si>
  <si>
    <t>LUANA</t>
  </si>
  <si>
    <t>FATURADO</t>
  </si>
  <si>
    <t>FINALIZADO</t>
  </si>
  <si>
    <t>Resolvido</t>
  </si>
  <si>
    <t/>
  </si>
  <si>
    <t>0426-008819</t>
  </si>
  <si>
    <t>DP BARRA MANSA</t>
  </si>
  <si>
    <t>ROLLOUT AC</t>
  </si>
  <si>
    <t>AR CONDICIONADO</t>
  </si>
  <si>
    <t>JUAN</t>
  </si>
  <si>
    <t>0726-015753</t>
  </si>
  <si>
    <t>DP COPACABANA 6</t>
  </si>
  <si>
    <t>Bom dia.
Informo que na parte do subsolo da loja tem um vazamento acontecendo, que está afetando a loja do lado.
Solicito apoio da equipe para verificar o que está acontecendo.</t>
  </si>
  <si>
    <t>HIDRAULICA</t>
  </si>
  <si>
    <t>LEANDRO</t>
  </si>
  <si>
    <t>EXECUTADO - APROVAR OS</t>
  </si>
  <si>
    <t>Aguardando Aprovação</t>
  </si>
  <si>
    <t>0226-014387</t>
  </si>
  <si>
    <t>DP BARRA DE SAO JOAO</t>
  </si>
  <si>
    <t>Boa tarde ,solicito a manutenção do teto balcão , pois está com goteiras em cima dos medicamentos .</t>
  </si>
  <si>
    <t>TELHADO</t>
  </si>
  <si>
    <t>EM ANDAMENTO</t>
  </si>
  <si>
    <t>0426-014237</t>
  </si>
  <si>
    <t>DP RECREIO 8</t>
  </si>
  <si>
    <t>Loja com muitos danos estruturais causados por vazamento de água, conforme pode ser visto nas imagens anexadas no chamado.</t>
  </si>
  <si>
    <t>CIVIL</t>
  </si>
  <si>
    <t>YURI</t>
  </si>
  <si>
    <t>0626-005880</t>
  </si>
  <si>
    <t>DP BARRA DA TIJUCA 10</t>
  </si>
  <si>
    <t>Mão de obra para pintura da fachada.</t>
  </si>
  <si>
    <t>PENDENTE FATURAMENTO</t>
  </si>
  <si>
    <t>0526-013742</t>
  </si>
  <si>
    <t>DP SANTA CRUZ 4</t>
  </si>
  <si>
    <t>Caminho Cliente - Pintura Fachada e benfeitorias externas</t>
  </si>
  <si>
    <t>0626-005068</t>
  </si>
  <si>
    <t>DP PADRE MIGUEL</t>
  </si>
  <si>
    <t>CAMINHO DO CLIENTE</t>
  </si>
  <si>
    <t>EXECUTAR</t>
  </si>
  <si>
    <t>Orçamento Aprovado</t>
  </si>
  <si>
    <t>0826-004733</t>
  </si>
  <si>
    <t>DP CATETE 2</t>
  </si>
  <si>
    <t>Solicito a pintura das fachadas laterais, o reparo das escadas e a pintura do piso</t>
  </si>
  <si>
    <t>0526-013745</t>
  </si>
  <si>
    <t>DP LUCIO COSTA</t>
  </si>
  <si>
    <t>NÃO INICIADO</t>
  </si>
  <si>
    <t>0726-011532</t>
  </si>
  <si>
    <t>DPA BARRA DA TIJUCA 6</t>
  </si>
  <si>
    <t>0326-018552</t>
  </si>
  <si>
    <t>DP LELBON 3</t>
  </si>
  <si>
    <t>Solicito o desvio da exaustão</t>
  </si>
  <si>
    <t>REFRIGERAÇÃO</t>
  </si>
  <si>
    <t>0226-014989</t>
  </si>
  <si>
    <t>DP BAIRRO DE FATIMA</t>
  </si>
  <si>
    <t>Boa tarde!
Forro do estoque caiu .</t>
  </si>
  <si>
    <t>0526-013743</t>
  </si>
  <si>
    <t>DP PEDRA DE GUARATIBA</t>
  </si>
  <si>
    <t>0426-012516</t>
  </si>
  <si>
    <t>DP MACAE 2</t>
  </si>
  <si>
    <t>Mão de obra para reforma Light</t>
  </si>
  <si>
    <t>0226-011320</t>
  </si>
  <si>
    <t>DP PRACA DO O</t>
  </si>
  <si>
    <t>Boa noite, loja com infiltração. Solicitamos o reparo a pedido de Ludmila Leonardo.</t>
  </si>
  <si>
    <t>0426-014763</t>
  </si>
  <si>
    <t>DP SANTA LUZIA</t>
  </si>
  <si>
    <t>Ola bom dia
solicitourgenteconsertodo forro pois esta caindo dejetos de pombos dentro do psicotrópicos aonde fica medicamentos controlados e antibióticos, a colaborado foi pegar um medicamento caiu dejetos de bombom na cabeça e olhos dela.
Peço ajuda de vocês.
solicitante Eduardo pereira ADM</t>
  </si>
  <si>
    <t>0126-018429</t>
  </si>
  <si>
    <t>DP RECREIO 7</t>
  </si>
  <si>
    <t>Temos água minando das paredes nos corredores na retaguarda, no estoque de fraldas principalmente, peço urgência pois estamos realocandos as fraldas por conta das avarias causadas pela água, porém a retaguarda é pequena, não temos espaço</t>
  </si>
  <si>
    <t>0826-007420</t>
  </si>
  <si>
    <t>DP PIABETA</t>
  </si>
  <si>
    <t>FINALIZAÇÃO DE OBRA</t>
  </si>
  <si>
    <t>Aguardando Atendimento</t>
  </si>
  <si>
    <t>0826-007423</t>
  </si>
  <si>
    <t>DP MAGE 1</t>
  </si>
  <si>
    <t>0326-018578</t>
  </si>
  <si>
    <t>DP IPANEMA 8</t>
  </si>
  <si>
    <t>0826-006388</t>
  </si>
  <si>
    <t>DP LEME</t>
  </si>
  <si>
    <t>Solicito bandejamento em vários pontos da área de vendas</t>
  </si>
  <si>
    <t>FECHAR OS</t>
  </si>
  <si>
    <t>0426-006754</t>
  </si>
  <si>
    <t>DP SHOPPING ITAIPU</t>
  </si>
  <si>
    <t>MO Escopo Civil - Reforma light</t>
  </si>
  <si>
    <t>0426-008820</t>
  </si>
  <si>
    <t>DP NILOPOLIS</t>
  </si>
  <si>
    <t>INSTALAÇÃO AR CONDICIONADO 60.000 BTUS</t>
  </si>
  <si>
    <t>1125-016236</t>
  </si>
  <si>
    <t>DP MACAE 3</t>
  </si>
  <si>
    <t>Escopo Base - Adequação Elétrica para Nobreak 6kva-Itens que serão alimentados pelo quadro de emergência: 100% dos computadores da loja e dispositivos de TI (impressoras, tira teima, ponto eletrônico e servidor), geladeira de medicamento, câmeras + rack/servidor de CFTV e Parte da iluminação (definir com analista a quantidade de luminárias)-Remanejamento de circuitos para quadro de emergência com chave reversora que será alimentado pelo nobreak-Instalação de quadro bypass -Instalação e Balanceamento de cargas no quadro bypass e emergência-Verificar se as geladeiras, Kibon, Redbull estão no mesmo circuito do caixa.. caso contrário, criar um circuito independente</t>
  </si>
  <si>
    <t>NOBREAK</t>
  </si>
  <si>
    <t>1125-016234</t>
  </si>
  <si>
    <t>DP CAMPOS 7</t>
  </si>
  <si>
    <t>0526-008209</t>
  </si>
  <si>
    <t>DP GLORIA</t>
  </si>
  <si>
    <t>JATEAMENTO - PLANTÃO PEDRO</t>
  </si>
  <si>
    <t>0726-016096</t>
  </si>
  <si>
    <t>BOM DIA! SOLICITO SUPORTE POIS A PORTA PRINCIPAL ESTA TRAVANDO NO MOMENTO DE LEVANTAR</t>
  </si>
  <si>
    <t>SERRALHERIA</t>
  </si>
  <si>
    <t>0526-015793</t>
  </si>
  <si>
    <t>boa tarde solicito reparo pois esta enferrujada</t>
  </si>
  <si>
    <t>1125-015968</t>
  </si>
  <si>
    <t>DP CABO FRIO 2</t>
  </si>
  <si>
    <t>Toldo da loja se encontra enferrujado e soltando.</t>
  </si>
  <si>
    <t>0326-010522</t>
  </si>
  <si>
    <t>DP ICARAI 5</t>
  </si>
  <si>
    <t>Solicito reparo da porta principal, filial foi invadida e danificou a porta impossibilitando a abertura.</t>
  </si>
  <si>
    <t>0526-016397</t>
  </si>
  <si>
    <t>Troca do forro da marquise. ( Aditivo)</t>
  </si>
  <si>
    <t>0426-016931</t>
  </si>
  <si>
    <t>DP SHOPPING BARRA SHOPPING</t>
  </si>
  <si>
    <t>Mão de obra para troca do mobiliário do Dermo.</t>
  </si>
  <si>
    <t>0526-016495</t>
  </si>
  <si>
    <t>DP SAO PEDRO DA ALDEIA</t>
  </si>
  <si>
    <t>Aditivo de obra ( Reforma Light)</t>
  </si>
  <si>
    <t>0226-013174</t>
  </si>
  <si>
    <t>DP COPACABANA 8</t>
  </si>
  <si>
    <t>Solicito reparo de vazamento na área de vendas, vazamento do teto para parede, solicito com urgência, medicamentos sendo danificados pelo mesmo.</t>
  </si>
  <si>
    <t>0426-016925</t>
  </si>
  <si>
    <t>DP JARDIM OCEANICO 2</t>
  </si>
  <si>
    <t>Mão de obra para troca do mobiliário do dermo.</t>
  </si>
  <si>
    <t>0826-007940</t>
  </si>
  <si>
    <t>DP SÃO JOSE RJ</t>
  </si>
  <si>
    <t>CONFORME ORIENTADO E SOLICITADO PELO LEANDRO SOLICITO VISITAS EM DIAS ALTERNADOS PARA TENTARMOS MITIGAR A INVASÃO DE ROEDORES</t>
  </si>
  <si>
    <t>DEDETIZAÇÃO</t>
  </si>
  <si>
    <t>0226-011338</t>
  </si>
  <si>
    <t>DP MARICA 1</t>
  </si>
  <si>
    <t>Solicito a tapagem,de um buraco que temos no segundo estoque e atrás do paredao de Dermo.
Buraco do palco,pois estamos enfrentando problemas com ratazanas..
Loja precisando de desratização, além dessa tapagem.</t>
  </si>
  <si>
    <t>0626-013801</t>
  </si>
  <si>
    <t>DP RECREIO 1</t>
  </si>
  <si>
    <t>instalação de ar na copa</t>
  </si>
  <si>
    <t>0326-012374</t>
  </si>
  <si>
    <t>DP CAMORIM</t>
  </si>
  <si>
    <t>0626-014568</t>
  </si>
  <si>
    <t>DP GILKA MACHADO</t>
  </si>
  <si>
    <t>descaracterizacao de fachada - encerramento de loja</t>
  </si>
  <si>
    <t>0726-010993</t>
  </si>
  <si>
    <t>DP BUZIOS</t>
  </si>
  <si>
    <t>FRETE</t>
  </si>
  <si>
    <t>TRANSPORTE</t>
  </si>
  <si>
    <t>0526-019295</t>
  </si>
  <si>
    <t>DP BARRA DA TIJUCA 5</t>
  </si>
  <si>
    <t>Solicito desentupimento do esgoto e caixas de gordura, água retornando pra loja</t>
  </si>
  <si>
    <t>0626-005488</t>
  </si>
  <si>
    <t>DP BARRA DA TIJUCA 9</t>
  </si>
  <si>
    <t>Bom dia, durante a operação da porta automática, foi iniciado o fechamento sem que fosse realizada a verificação completa da área de passagem. Havia um obstáculo na trajetória da porta, ocasionando o travamento do equipamento durante a descida. Como consequência o funcionamento da porta foi interrompido.</t>
  </si>
  <si>
    <t>0226-009618</t>
  </si>
  <si>
    <t>DP MANILHA</t>
  </si>
  <si>
    <t>Solicito reparo da porta lateral, problemas na hora de abrir e fechar.</t>
  </si>
  <si>
    <t>0726-011512</t>
  </si>
  <si>
    <t>Esgotamento e limpeza de cisterna e 2 caixas de água</t>
  </si>
  <si>
    <t>0526-016632</t>
  </si>
  <si>
    <t>Estamos com vazamento na copa, mesmo após o reparo feito na calha no dia 18/5, por cinta do reparo o chamado foi fechado. 
Solicito urgência pois é um problema recorrente da filial, e nao estamos conseguindo utilizar a copa em dias de chuva</t>
  </si>
  <si>
    <t>0726-015601</t>
  </si>
  <si>
    <t>DP CASCADURA 2</t>
  </si>
  <si>
    <t>Solicitação de compra de geladeira para atendimento à demanda da Diretoria</t>
  </si>
  <si>
    <t>ALINE</t>
  </si>
  <si>
    <t>0726-015605</t>
  </si>
  <si>
    <t>DP PENHA 5</t>
  </si>
  <si>
    <t>EQUIPAMENTO</t>
  </si>
  <si>
    <t>0726-015603</t>
  </si>
  <si>
    <t>DP PENHA 4</t>
  </si>
  <si>
    <t>0726-015606</t>
  </si>
  <si>
    <t>DP ABOLIÇÃO</t>
  </si>
  <si>
    <t>0526-017548</t>
  </si>
  <si>
    <t>cisterna sem agua.</t>
  </si>
  <si>
    <t>0726-009307</t>
  </si>
  <si>
    <t>Solicito caminhão pipa para abastecimentzo em loja</t>
  </si>
  <si>
    <t>0726-012314</t>
  </si>
  <si>
    <t>Solicito caminhão pipa para abastecimento</t>
  </si>
  <si>
    <t>0726-017469</t>
  </si>
  <si>
    <t>Solicito caminhão pipa para abastecimento da loja</t>
  </si>
  <si>
    <t>1225-004482</t>
  </si>
  <si>
    <t>reforço de iluminação para atender notificação ministério do trabalho</t>
  </si>
  <si>
    <t>VISA</t>
  </si>
  <si>
    <t>0626-008725</t>
  </si>
  <si>
    <t>DP ITABORAI</t>
  </si>
  <si>
    <t>Reparo da parede do vestiário feminino, com posterior pintura, exigência da fiscalização da vigilância sanitária</t>
  </si>
  <si>
    <t>0126-015288</t>
  </si>
  <si>
    <t>DP CABO FRIO 4</t>
  </si>
  <si>
    <t>Remoção de raiz de arvore na fachada da loja</t>
  </si>
  <si>
    <t>0226-011821</t>
  </si>
  <si>
    <t>DP RIO DAS OSTRAS 2</t>
  </si>
  <si>
    <t>Estoque da loja é irregular.
Há 2 caixa d'água que funcionam como cisterna dentro do estoque. A umidade do local é constantemente alta e as paredes do local sempre com mofo, totalmente em desacordo com as normas da ANVISA. Já solicitei anteriormente, varias vezes, a adequação desse estoque, sem resultado.
Att, Gabriela Rios</t>
  </si>
  <si>
    <t>0526-013810</t>
  </si>
  <si>
    <t>DP PIRATININGA</t>
  </si>
  <si>
    <t>ESTOGO DA LOJA ENTUPIDO CAUSANDO TRANSTORNOS PARA CLIENTES E PESSOAS QUE PASSAM NA RUA.</t>
  </si>
  <si>
    <t>0726-015135</t>
  </si>
  <si>
    <t>DP IPANEMA 1</t>
  </si>
  <si>
    <t>Solicito instalação caixa d'água para cozinha.</t>
  </si>
  <si>
    <t>0526-017783</t>
  </si>
  <si>
    <t>DP BOTAFOGO 10</t>
  </si>
  <si>
    <t>Canteiro da arvores está destruído</t>
  </si>
  <si>
    <t>0626-014071</t>
  </si>
  <si>
    <t>solicito suporte para limpeza e vedação para fossa que fica localizada no salão de vendas, cheiro muito forte so ameniza com ar condicionado ligado.
necessário fazer no horario noturno para amenizar impacto com clientes devido ao cheiro.</t>
  </si>
  <si>
    <t>0626-008727</t>
  </si>
  <si>
    <t>Substituição das tela milimétricas da área infeior, grade da copa/área externa, exigência da fiscalização da vigilância sanitária</t>
  </si>
  <si>
    <t>0726-012477</t>
  </si>
  <si>
    <t>DP CATETE 5</t>
  </si>
  <si>
    <t>Remoção de adesivos das salas de serviços e pintura das paredes</t>
  </si>
  <si>
    <t>0726-018372</t>
  </si>
  <si>
    <t>DP RECREIO 10</t>
  </si>
  <si>
    <t>Forro medicamentos</t>
  </si>
  <si>
    <t>0626-011577</t>
  </si>
  <si>
    <t>DP IPANEMA 6</t>
  </si>
  <si>
    <t>Boa tarde!
lampada frente ao pdv caixa queimada devido a infliutração que esta pigando em cima na lâmpada solicito troca da lampada e colocação de bandeja para evitar queima a lâmpada por infiltração</t>
  </si>
  <si>
    <t>ELETRICA</t>
  </si>
  <si>
    <t>0626-013824</t>
  </si>
  <si>
    <t>substituicao de ar condicionado na sala de serviços</t>
  </si>
  <si>
    <t>0726-012909</t>
  </si>
  <si>
    <t>Troca de ar condicionado transferido de gilka machado</t>
  </si>
  <si>
    <t>0726-012908</t>
  </si>
  <si>
    <t>DP VARGEM GRANDE</t>
  </si>
  <si>
    <t>Instalação Ar Condicionado transferido de gilka machado</t>
  </si>
  <si>
    <t>0226-014139</t>
  </si>
  <si>
    <t>DP ICARAI 2</t>
  </si>
  <si>
    <t>Bom dia!
Solicitamos reparos na calçada em frente a loja pois na data de ontem 23/02/2026 recebemos uma intimação da secretaria de ordem publica de Niterói com 10 dias de tolerância para ser feito.</t>
  </si>
  <si>
    <t>0726-015006</t>
  </si>
  <si>
    <t>DP JARDIM BOTANICO</t>
  </si>
  <si>
    <t>Solicito troca do mobiliário e pia da sala se serviços</t>
  </si>
  <si>
    <t>0526-008721</t>
  </si>
  <si>
    <t>Bom dia!
Area do jardim quebrada, solicito reparo.</t>
  </si>
  <si>
    <t>0326-018507</t>
  </si>
  <si>
    <t>DP LEBLON 6</t>
  </si>
  <si>
    <t>ADICIONAL DE OBRA</t>
  </si>
  <si>
    <t>0726-011427</t>
  </si>
  <si>
    <t>Filial sem água</t>
  </si>
  <si>
    <t>0726-010965</t>
  </si>
  <si>
    <t>Filial sem agua, solicito abastecimento caminhao pipa</t>
  </si>
  <si>
    <t>0726-009264</t>
  </si>
  <si>
    <t>Filial sem agua</t>
  </si>
  <si>
    <t>0726-011944</t>
  </si>
  <si>
    <t>Caminhão Pipa</t>
  </si>
  <si>
    <t>0726-017769</t>
  </si>
  <si>
    <t>0726-019109</t>
  </si>
  <si>
    <t>DP RECREIO 4</t>
  </si>
  <si>
    <t>0626-010339</t>
  </si>
  <si>
    <t>NITEROI 15</t>
  </si>
  <si>
    <t>A LOJA ESTA SEM AGUA .</t>
  </si>
  <si>
    <t>0826-007417</t>
  </si>
  <si>
    <t>DP PIABETA 1</t>
  </si>
  <si>
    <t>ola bom dia solicito caminhao pipa pra loja</t>
  </si>
  <si>
    <t>0826-008784</t>
  </si>
  <si>
    <t>Estamos sem água , solicito caminhão pipa</t>
  </si>
  <si>
    <t>0726-014295</t>
  </si>
  <si>
    <t>Solicito reparo da maçaneta e da porta da sala FARMA que foi totalmente danificada durante o assalto SINISTRO que ocorreu nesta madrugada do dia 19/07, comprometendo assim as atividades laborais</t>
  </si>
  <si>
    <t>1125-010536</t>
  </si>
  <si>
    <t>DP BARRA DA TIJUCA 8</t>
  </si>
  <si>
    <t>Forro soltando com o vento causando danos na estrutura da loja</t>
  </si>
  <si>
    <t>0726-012456</t>
  </si>
  <si>
    <t>Pintura da fachada- Solicitação dona Helena</t>
  </si>
  <si>
    <t>0726-018381</t>
  </si>
  <si>
    <t>DP NITEROI 9</t>
  </si>
  <si>
    <t>Solicito instalaçao de 1 ponto de tomada de 110v para a nova geladeira</t>
  </si>
  <si>
    <t>Aguardando aprovação</t>
  </si>
  <si>
    <t>0426-009327</t>
  </si>
  <si>
    <t>PORTAIS DA LOJA COM PROBLEMA NÃO FECHAM OU ABREM COM DEFEITO</t>
  </si>
  <si>
    <t>0726-012462</t>
  </si>
  <si>
    <t>Fornecimento e instalação de uma cortina de ar</t>
  </si>
  <si>
    <t>1125-017864</t>
  </si>
  <si>
    <t>Limpeza cisterna</t>
  </si>
  <si>
    <t>0626-004570</t>
  </si>
  <si>
    <t>Solicito a verificação e o reparo na Sala de Serviços Farmacêuticos, pois o local apresenta um forte odor desagradável, causando desconforto durante o atendimento e a permanência no ambiente</t>
  </si>
  <si>
    <t>0626-004129</t>
  </si>
  <si>
    <t>DP RIO DAS OSTRAS</t>
  </si>
  <si>
    <t>solicito reparo urgente na bomba verde para a caixa d'agua, a mesma não esta puxando agua para a caixa, parece que deu ar.</t>
  </si>
  <si>
    <t>0626-004592</t>
  </si>
  <si>
    <t>Boa tarde!
Solicito a instalação de um novo ponto de tomada para a instalação da geladeira de medicamentos</t>
  </si>
  <si>
    <t>0726-013344</t>
  </si>
  <si>
    <t>Instalação de um novo ponte de rede para equipamento Wi-Fi.</t>
  </si>
  <si>
    <t>0526-018145</t>
  </si>
  <si>
    <t>DP PELINCA</t>
  </si>
  <si>
    <t>Substituição da pia da copa.</t>
  </si>
  <si>
    <t>0626-005012</t>
  </si>
  <si>
    <t>LEBLON ATAULFO 80</t>
  </si>
  <si>
    <t>Bom dia, solicito outra portinha para nosso hidrômetro, pois o da filial foi furtado.
segue a imagem abaixo.</t>
  </si>
  <si>
    <t>0726-012450</t>
  </si>
  <si>
    <t>Solicito pintura do salão de vendas- Visita diretoria</t>
  </si>
  <si>
    <t>0326-012395</t>
  </si>
  <si>
    <t>DP SENADOR DANTAS 2</t>
  </si>
  <si>
    <t>SOLICITO AJUDA COM FIXAÇÃO DE UM PROJETOR E TELA QUE TEMOS NO POLO SENAOR DANTAS O PROJETOR NO TETO E A TELA DE PROJEÇÃO TAMBEM NO TETO.</t>
  </si>
  <si>
    <t>0626-008826</t>
  </si>
  <si>
    <t>DP TIJUCA 8</t>
  </si>
  <si>
    <t>Tranferencia tinta Itaperuna</t>
  </si>
  <si>
    <t>0826-004183</t>
  </si>
  <si>
    <t>Forro marquise</t>
  </si>
  <si>
    <t>0726-009429</t>
  </si>
  <si>
    <t>DP COPACABANA BARATA RIBEIRO</t>
  </si>
  <si>
    <t>vazamento grande no salão da loja em frente ao infantil</t>
  </si>
  <si>
    <t>0626-004728</t>
  </si>
  <si>
    <t>Reparo mureta estacionamento (lateral)</t>
  </si>
  <si>
    <t>0626-010287</t>
  </si>
  <si>
    <t>PINTURA PARADE HUB</t>
  </si>
  <si>
    <t>0626-003845</t>
  </si>
  <si>
    <t>DP RIO BRANCO 2</t>
  </si>
  <si>
    <t>Prezados, bom dia!
A Porta 3 encontra-se desalinhada, apresentando grande dificuldade para fechamento, sendo necessário o auxílio de dois colaboradores para realizar essa operação, o que compromete a rotina e a segurança operacional da filial.
Ressalto que, em atendimento anterior, a equipe de manutenção informou que a porta não possui condições de reparo, sendo necessária a substituição completa por uma nova.
Dessa forma, solicito providências para a troca da Porta 3 com a maior brevidade possível, a fim de garantir a segurança e o correto funcionamento da unidade.
Atenciosamente,
Dayane Polito
Gerente de Loja</t>
  </si>
  <si>
    <t>MAU USO - APROVAR OS</t>
  </si>
  <si>
    <t>0626-004183</t>
  </si>
  <si>
    <t>Prezados, bom dia! Solicitamos a instalação de uma nova tomada para ligar o projetor na sala de reuniões da filial.</t>
  </si>
  <si>
    <t>0126-011045</t>
  </si>
  <si>
    <t>DP MEIER 9</t>
  </si>
  <si>
    <t>INSTALAÇÃO DE CORTINA DE AR</t>
  </si>
  <si>
    <t>CLIMATIZAÇÃO</t>
  </si>
  <si>
    <t>0726-010838</t>
  </si>
  <si>
    <t>Instalação de 3 novas cortinas de ar.</t>
  </si>
  <si>
    <t>0726-009420</t>
  </si>
  <si>
    <t>RETIRADA ENTULHO</t>
  </si>
  <si>
    <t>0626-010067</t>
  </si>
  <si>
    <t>DP MARICA 2</t>
  </si>
  <si>
    <t>Solicito detetizacao no armário da cozinha</t>
  </si>
  <si>
    <t>0526-016210</t>
  </si>
  <si>
    <t>Prezados, boa tarde!
Solicito a instalação de mais 2 espelhos convexos no salão de vendas, com o objetivo de melhorar a visualização do ambiente e auxiliar na prevenção de perdas.
Atenciosamente,
Dayane Polito
Gerente de Loja</t>
  </si>
  <si>
    <t>0726-010576</t>
  </si>
  <si>
    <t>Boa tarde!
Solicito suporte de desratização a filial pois já encontramos dois roedores no interior da loja.
Desde já agradeço.
João Carlos
ADM - Matr 105186</t>
  </si>
  <si>
    <t>0626-006804</t>
  </si>
  <si>
    <t>Boa tarde,
solicito uma nova dedetização, pois a rua foi dedetizada e a loja está infestada de baratas.</t>
  </si>
  <si>
    <t>0726-015564</t>
  </si>
  <si>
    <t>DP BARRA DA TIJUCA 4</t>
  </si>
  <si>
    <t>Solicito, com urgência, a realização de serviços de dedetização e desratização na loja, tendo em vista que o local se encontra com uma infestação de ratos e gambá, situação que representa um sério risco à saúde e à segurança dos colaboradores</t>
  </si>
  <si>
    <t>0726-009288</t>
  </si>
  <si>
    <t>PLAZA MACAE</t>
  </si>
  <si>
    <t>Solicito dedetização para a filial, pois foi identificado a presença de um rato no interior da loja</t>
  </si>
  <si>
    <t>0626-005882</t>
  </si>
  <si>
    <t>DP IGUABA</t>
  </si>
  <si>
    <t>Transporte de geladeira da SP Santa Rosa 1 para DP Iguaba.</t>
  </si>
  <si>
    <t>0726-013342</t>
  </si>
  <si>
    <t>Solicito instalação de um novo cabo de rede para impressora do balcão de atendimento</t>
  </si>
  <si>
    <t>0726-015741</t>
  </si>
  <si>
    <t xml:space="preserve"> DP CASCADURA 2</t>
  </si>
  <si>
    <t>Frete geladeira solicitação diretoria - chamado de aquisição  0726-015601</t>
  </si>
  <si>
    <t>0726-015769</t>
  </si>
  <si>
    <t>Frete geladeira solicitação diretoria - chamado de aquisição  0726-015605.</t>
  </si>
  <si>
    <t>0726-015768</t>
  </si>
  <si>
    <t>Frete geladeira solicitação diretoria - chamado de aquisição  0726-015603</t>
  </si>
  <si>
    <t>0726-015770</t>
  </si>
  <si>
    <t>Frete geladeira solicitação diretoria - chamado de aquisição  0726-015606</t>
  </si>
  <si>
    <t>0326-015760</t>
  </si>
  <si>
    <t>DP ROCINHA</t>
  </si>
  <si>
    <t>Solicito instalaçao de uma placa de sinalização para retirada de senha para farmacia popular! Segue em anexo a foto!</t>
  </si>
  <si>
    <t>0726-011513</t>
  </si>
  <si>
    <t>troca do armario da cozinha que está enferrujado</t>
  </si>
  <si>
    <t>0326-009215</t>
  </si>
  <si>
    <t>Solicito instalação de uma tomada 220:v na cozinha, pois estamos usando o microondas emprestado de outra filial na sala de treinamentos porque não tem tomada 220v na cozinha da filial.</t>
  </si>
  <si>
    <t>0626-008580</t>
  </si>
  <si>
    <t>solicito uma pintura da nossa vitrine</t>
  </si>
  <si>
    <t>0826-004406</t>
  </si>
  <si>
    <t>DP LEBLON 4</t>
  </si>
  <si>
    <t>Adequação de área da bomba de esgoto</t>
  </si>
  <si>
    <t>0426-013233</t>
  </si>
  <si>
    <t>Solicito a remoção deste material, pois a empresa irá substituí-lo por outro.</t>
  </si>
  <si>
    <t>0726-018751</t>
  </si>
  <si>
    <t>DP LARGO DA BATALHA</t>
  </si>
  <si>
    <t>Boa tarde, solicito reparo da parede de MDF. gerando um buraco para fora da loja</t>
  </si>
  <si>
    <t>0326-014135</t>
  </si>
  <si>
    <t>DP RIO BRANCO</t>
  </si>
  <si>
    <t>tomada da sala de treinamento nao funciona</t>
  </si>
  <si>
    <t>0326-008067</t>
  </si>
  <si>
    <t>solicito substituição do cadeado porta número 05</t>
  </si>
  <si>
    <t>0526-019340</t>
  </si>
  <si>
    <t>FIXAÇÃO DE 08 BRAÇO DE MONITOR DO CAIXA E BALCÃO DE MEDICAMENTO</t>
  </si>
  <si>
    <t>0726-012912</t>
  </si>
  <si>
    <t>retirada luminarias em grajau para lucio costa</t>
  </si>
  <si>
    <t>0726-012445</t>
  </si>
  <si>
    <t>Transporte de longarina da BP Botafogo 6 para Rocinha.</t>
  </si>
  <si>
    <t>0626-010405</t>
  </si>
  <si>
    <t>Solicito o reparo do bebedouro da copa. A água está saindo turva.</t>
  </si>
  <si>
    <t>0726-019313</t>
  </si>
  <si>
    <t>Frete geladeira recreio 6</t>
  </si>
  <si>
    <t>0626-012206</t>
  </si>
  <si>
    <t>DP SENADOR DANTAS 1</t>
  </si>
  <si>
    <t>Solicito substituição da fechadura de 05 armários do PC pois as mesmas estão com defeito.</t>
  </si>
  <si>
    <t>0626-010686</t>
  </si>
  <si>
    <t>DP ARARUAMA 2</t>
  </si>
  <si>
    <t>A chave da porta quebrou impossibilitando a abertura</t>
  </si>
  <si>
    <t>0326-009444</t>
  </si>
  <si>
    <t>DP PETROPOLIS 2</t>
  </si>
  <si>
    <t>Bom dia! Solicito troca do do tambor da porta de vidro.</t>
  </si>
  <si>
    <t>0226-015820</t>
  </si>
  <si>
    <t>DP IPANEMA 3</t>
  </si>
  <si>
    <t>Bom Dia!
Porta secundária com chave quebrada dentro impossibilitando que feche o tambor . Está impactando na loja pois não estamos conseguindo abrir as portas lateriais!
ATT: Gabriel Collaro</t>
  </si>
  <si>
    <t>0426-013945</t>
  </si>
  <si>
    <t>Tambor travado quebrado</t>
  </si>
  <si>
    <t>0526-016422</t>
  </si>
  <si>
    <t>Informo que a chave do tambor da porta lateral quebrou. Solicito reparo para abertura</t>
  </si>
  <si>
    <t>0526-017199</t>
  </si>
  <si>
    <t>DP BACAXA</t>
  </si>
  <si>
    <t>BOM DIA SOLICITO SPORTE POIS A CHAVE DA PORTA DE ENTRADA ESTÁ QUEBRADA. A PORTA ESTÁ FECHADA</t>
  </si>
  <si>
    <t>0726-019101</t>
  </si>
  <si>
    <t>Placa estacionamento</t>
  </si>
  <si>
    <t>0226-011039</t>
  </si>
  <si>
    <t>DP SAO GONCALO 1</t>
  </si>
  <si>
    <t>Na abertura de loja do dia 17/02/2026 o funcionário se confundiu com as chaves e tentou destrancar o tambor da porta 4 (porta de vitrine) com a chave da trava, quebrando a chave ao meio e permanecendo a metade da chave dentro do tambor, impossibilitando a abertura da porta. Solicitamos manutenção no tambor para realizarmos a abertura da loja normalmente.</t>
  </si>
  <si>
    <t>0326-018781</t>
  </si>
  <si>
    <t>Chave tambor 4 quebrada</t>
  </si>
  <si>
    <t>0426-008162</t>
  </si>
  <si>
    <t>DP RECREIO 6</t>
  </si>
  <si>
    <t>solicito tambor para as 2 laterais da filial</t>
  </si>
  <si>
    <t>0426-017866</t>
  </si>
  <si>
    <t>Cheve do tambor quebrada antes de abrir a porta</t>
  </si>
  <si>
    <t>0526-008051</t>
  </si>
  <si>
    <t>DP SAO GONCALO 3</t>
  </si>
  <si>
    <t>Solicito conserto na porta principal de aço.
Chave quebrada na abertura de loja</t>
  </si>
  <si>
    <t>0526-013041</t>
  </si>
  <si>
    <t>DP RIO BONITO</t>
  </si>
  <si>
    <t>Bom dia, solicito ajuda para portado meio de loja quebrada, sem conseguir abrir</t>
  </si>
  <si>
    <t>0526-018908</t>
  </si>
  <si>
    <t>DP SAO GONCALO 5</t>
  </si>
  <si>
    <t>Bom dia !Quebrou a chave da porta 3 e nao conseguimos abrir.</t>
  </si>
  <si>
    <t>0526-018202</t>
  </si>
  <si>
    <t>Bom dia prezados, solicito a troca do tambor da porta principal.
O mesmo se encontra com o pino empenado.</t>
  </si>
  <si>
    <t>0526-019463</t>
  </si>
  <si>
    <t>Boa noite!
Solicito, por gentileza, o envio de um técnico para realizar a troca do tambor, que se encontra danificado.
Fico no aguardo do agendamento do atendimento.
Atenciosamente,
Maria Samanda</t>
  </si>
  <si>
    <t>0626-006632</t>
  </si>
  <si>
    <t>DP CATETE 3</t>
  </si>
  <si>
    <t>Bom dia, tudo bem?
Solicito a vinda de um técnico urgentemente em loja, pois a chave quebrou dentro do tambor e não temos a cópia.
Att, Gerência.</t>
  </si>
  <si>
    <t>0526-019250</t>
  </si>
  <si>
    <t>DP BOTAFOGO 7</t>
  </si>
  <si>
    <t>Chave quebrada dentro do Tambor da Porta secundária.</t>
  </si>
  <si>
    <t>0126-020540</t>
  </si>
  <si>
    <t>Chave do estoque quebrou</t>
  </si>
  <si>
    <t>0826-005453</t>
  </si>
  <si>
    <t>Realizar manobras hidraulicas para reestabelecer o funcionamento do sistema de agua de reuso (retirar tubo hidrometro que alimenta a cisterna de reuso e instalar valvula de retenção entre as duas caixas de agua)</t>
  </si>
  <si>
    <t>0626-006359</t>
  </si>
  <si>
    <t>DP ICARAI 13</t>
  </si>
  <si>
    <t>TROCA DE BOMBA</t>
  </si>
  <si>
    <t>0826-007431</t>
  </si>
  <si>
    <t>DP PETROPOLIS 4</t>
  </si>
  <si>
    <t>Solicitado pela GR Ludmila para pintura da retaguarda, pois receberemos visita do Presidente da companhia DPSP</t>
  </si>
  <si>
    <t>0826-008617</t>
  </si>
  <si>
    <t>Solicitou caminhão pipa por falta de água em loja</t>
  </si>
  <si>
    <t>0826-007222</t>
  </si>
  <si>
    <t>Solicitação de caminhão pipa para abastecer falta de água</t>
  </si>
  <si>
    <t>0826-005884</t>
  </si>
  <si>
    <t>solicito desentupimento do esgoto da loja</t>
  </si>
  <si>
    <t>SEM OS</t>
  </si>
  <si>
    <t>0826-006643</t>
  </si>
  <si>
    <t xml:space="preserve"> limpeza de cx agua
autorizado execução emergencial</t>
  </si>
  <si>
    <t>0826-009258</t>
  </si>
  <si>
    <t>Boa trade, Filial sem agua</t>
  </si>
  <si>
    <t>0826-009507</t>
  </si>
  <si>
    <t>Tentativa de invasão - buraco aberto na copa</t>
  </si>
  <si>
    <t>0726-010193</t>
  </si>
  <si>
    <t>DPA PETROPOLIS 6</t>
  </si>
  <si>
    <t>parede danificada, precisando de massa e parede</t>
  </si>
  <si>
    <t>EXECUTAR - APROVAR OS</t>
  </si>
  <si>
    <t>0826-004428</t>
  </si>
  <si>
    <t>DP PETROPOLIS 5</t>
  </si>
  <si>
    <t>Mão de obra para pintura da fachada</t>
  </si>
  <si>
    <t>0826-004429</t>
  </si>
  <si>
    <t>DP PETROPOLIS 6</t>
  </si>
  <si>
    <t>Caminhão Pipa (09/07)</t>
  </si>
  <si>
    <t>Caminhão Pipa (28/7)</t>
  </si>
  <si>
    <t>DP NITEROI</t>
  </si>
  <si>
    <t>Feito atendimento em fechadura da porta 22/08. Constatado mau uso, OS 0826-011696</t>
  </si>
  <si>
    <t>DP BOTAFOGO 8</t>
  </si>
  <si>
    <t>Feito atendimento em fechadura da porta 23/08. Constatado mau uso, OS 0826-011837</t>
  </si>
  <si>
    <t>0826-006580</t>
  </si>
  <si>
    <t>Boa noite , solicito instalação de tomadas de 220 para o estoque , para a geladeira , sendo que também já foi aberto um chamado anterior mente para que depois da instalação subir com a geladeira para o estoque.. Chamado anterior 017552</t>
  </si>
  <si>
    <t>1.205,50</t>
  </si>
  <si>
    <t>0826-004503</t>
  </si>
  <si>
    <t>Solicito instalação de um novo ponto 110v para ligar a nova geladeira de produtos farmacêuticos.</t>
  </si>
  <si>
    <t>0826-008374</t>
  </si>
  <si>
    <t>Boa tarde,
Solicito, com urgência, a realização de dedetização na loja e a limpeza da caixa d’água, pois o estabelecimento está apresentando uma grande quantidade de insetos.
Consegue me ajudar?
Atenciosamente,</t>
  </si>
  <si>
    <t>0826-006878</t>
  </si>
  <si>
    <t>DP TERESOPOLIS 1</t>
  </si>
  <si>
    <t>bom dia, solicito instalação de um ponto de tomada 220v na area da cozinha.</t>
  </si>
  <si>
    <t>0826-008478</t>
  </si>
  <si>
    <t>DP COPACABANA 12</t>
  </si>
  <si>
    <t>Bom dia, solicito suporte com relação a porta de aço da filial COPA 6, a chave quebrou com o time do caminhão e eles não conseguem fechar a loja.</t>
  </si>
  <si>
    <t>0826-008471</t>
  </si>
  <si>
    <t>DP CURICICA</t>
  </si>
  <si>
    <t>boa noite chave quebrou dentro do tambor e não consigo fecha a loja</t>
  </si>
  <si>
    <t>0826-007943</t>
  </si>
  <si>
    <t>DP NITEROI 4</t>
  </si>
  <si>
    <t>solicito tomada para ligacao da geladeira</t>
  </si>
  <si>
    <t>0826-007936</t>
  </si>
  <si>
    <t>DP BACAXA 2</t>
  </si>
  <si>
    <t>Solicito uma nova instalação de uma tomada 127 volts para a nova geladeira .</t>
  </si>
  <si>
    <t>0826-007682</t>
  </si>
  <si>
    <t>Boa noite
Solicito um novo ponto de tomada para geladeira extra</t>
  </si>
  <si>
    <t>0826-007642</t>
  </si>
  <si>
    <t>DP BUZIOS 2</t>
  </si>
  <si>
    <t>instalação de ponto de tomada para geladeira 110v.</t>
  </si>
  <si>
    <t>0826-007499</t>
  </si>
  <si>
    <t>Boa tarde, solicito a instalação de uma nova tomada para a geladeira que chegou de termolabeis , a geladeira é 110v e a tomada 220v</t>
  </si>
  <si>
    <t>0826-006948</t>
  </si>
  <si>
    <t>solicito instalação novo ponto de tomada para geladeira</t>
  </si>
  <si>
    <t>0826-0011526</t>
  </si>
  <si>
    <t>Pintura de Fachada</t>
  </si>
  <si>
    <t>DP BACAXÁ 01</t>
  </si>
  <si>
    <t>Feito atendimento em fechadura da porta 24/08. Constatado mau uso, OS 0826-011936</t>
  </si>
  <si>
    <t>PLANEJAMENTO DPSP</t>
  </si>
  <si>
    <t>IDENTIFICAÇÃO</t>
  </si>
  <si>
    <t>RESPONSÁVEIS</t>
  </si>
  <si>
    <t>SITUAÇÃO</t>
  </si>
  <si>
    <t>CRONOGRAMA</t>
  </si>
  <si>
    <t>REMARCAÇÕES</t>
  </si>
  <si>
    <t>PENDÊNCIAS</t>
  </si>
  <si>
    <t>AÇÃO E CONTROLE</t>
  </si>
  <si>
    <t>AUX</t>
  </si>
  <si>
    <t>Prioridade</t>
  </si>
  <si>
    <t>Nº OS</t>
  </si>
  <si>
    <t>Loja</t>
  </si>
  <si>
    <t>Descrição</t>
  </si>
  <si>
    <t>Tipo</t>
  </si>
  <si>
    <t>Valor</t>
  </si>
  <si>
    <t>Analista</t>
  </si>
  <si>
    <t>PCM responsável</t>
  </si>
  <si>
    <t>Equipe / prestador</t>
  </si>
  <si>
    <t>Origem</t>
  </si>
  <si>
    <t>Status pipeline</t>
  </si>
  <si>
    <t>Etapa da obra</t>
  </si>
  <si>
    <t>Bloqueio</t>
  </si>
  <si>
    <t>Avanço físico</t>
  </si>
  <si>
    <t>Início original</t>
  </si>
  <si>
    <t>Final original</t>
  </si>
  <si>
    <t>Início planejado atual</t>
  </si>
  <si>
    <t>Final planejado atual</t>
  </si>
  <si>
    <t>Início real</t>
  </si>
  <si>
    <t>Final real</t>
  </si>
  <si>
    <t>Nº remarcações</t>
  </si>
  <si>
    <t>Última remarcação</t>
  </si>
  <si>
    <t>Último motivo</t>
  </si>
  <si>
    <t>Pendência p/ realização</t>
  </si>
  <si>
    <t>Responsável pendência</t>
  </si>
  <si>
    <t>Prazo pendência</t>
  </si>
  <si>
    <t>Próxima ação</t>
  </si>
  <si>
    <t>Prazo próxima ação</t>
  </si>
  <si>
    <t>Última atualização</t>
  </si>
  <si>
    <t>Chave automática</t>
  </si>
  <si>
    <t>Normal</t>
  </si>
  <si>
    <t>Boa tarde!Forro do estoque caiu .</t>
  </si>
  <si>
    <t>MANFAC-7</t>
  </si>
  <si>
    <t>Sistema DPSP</t>
  </si>
  <si>
    <t>Executar</t>
  </si>
  <si>
    <t>Em andamento</t>
  </si>
  <si>
    <t>Disponibilidade de equipe</t>
  </si>
  <si>
    <t>Aguardando finalização de serviço TMO 107. Nova posição 24/08</t>
  </si>
  <si>
    <t>Atualzar e desiguinar data para execução</t>
  </si>
  <si>
    <t>ALEX</t>
  </si>
  <si>
    <t>Sem bloqueio</t>
  </si>
  <si>
    <t>DEFINIR</t>
  </si>
  <si>
    <t>Paralisado</t>
  </si>
  <si>
    <t>Cliente / loja</t>
  </si>
  <si>
    <t>Aguardando chegar tinta</t>
  </si>
  <si>
    <t>Cobrar chegada de tinta</t>
  </si>
  <si>
    <t>MANFAC-6</t>
  </si>
  <si>
    <t>MANFAC-19</t>
  </si>
  <si>
    <t>FINANCEIRO</t>
  </si>
  <si>
    <t>Clima</t>
  </si>
  <si>
    <t>Aguardando estabilidade de clima. Projetar data de início e final</t>
  </si>
  <si>
    <t>0226-005730</t>
  </si>
  <si>
    <t>Boa noite ,
Solicito reparo no teto da loja pois estamos com infiltra&amp;ccedil;&amp;atilde;o na &amp;aacute;rea de vendas inclusive esta pigando em cima de produtos gerando perda para a loja</t>
  </si>
  <si>
    <t>ERLI/RICARDO</t>
  </si>
  <si>
    <t>GARANTIA</t>
  </si>
  <si>
    <t>GARANTIA DE TELHADO</t>
  </si>
  <si>
    <t>MANFAC-4 / MANFAC-7</t>
  </si>
  <si>
    <t>Garantia</t>
  </si>
  <si>
    <t xml:space="preserve">Pendente liberação do prestador. Outras obras acontecendo </t>
  </si>
  <si>
    <t>Verificar disponibilidade do prestador</t>
  </si>
  <si>
    <t>ALEXANDRE</t>
  </si>
  <si>
    <t>Necessário trocar prestador. Alex irá pegar obra PLK</t>
  </si>
  <si>
    <t>0526-013772</t>
  </si>
  <si>
    <t>DP NILOPOLIS 4</t>
  </si>
  <si>
    <t>Caminho Cliente - Pintura fachada e benfeitorias externas </t>
  </si>
  <si>
    <t>Juan solicitou paralisaçõa</t>
  </si>
  <si>
    <t>DPSP</t>
  </si>
  <si>
    <t xml:space="preserve">Acompanhar liberação </t>
  </si>
  <si>
    <t>0526-013724</t>
  </si>
  <si>
    <t>DP NILOPOLIS 5</t>
  </si>
  <si>
    <t>PAGAMENTO ART e ANDAIME 8M</t>
  </si>
  <si>
    <t>Aguardando liberação da gerente para escolha de data</t>
  </si>
  <si>
    <t>MANFAC-4/PARCEIRO</t>
  </si>
  <si>
    <t>Contratação de prestador</t>
  </si>
  <si>
    <t>Aguardando escolha de novo prestador</t>
  </si>
  <si>
    <t>Levantamento / planejamento</t>
  </si>
  <si>
    <t xml:space="preserve">Finalizar levantamento, solicitar orçamento, programar data </t>
  </si>
  <si>
    <t>Urgente</t>
  </si>
  <si>
    <t>MANFAC-27</t>
  </si>
  <si>
    <t>MANFAC-26</t>
  </si>
  <si>
    <t>0726-009318</t>
  </si>
  <si>
    <t>0826-011838</t>
  </si>
  <si>
    <t>DP ALCÂNTARA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</si>
</sst>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R$&quot;\ * #,##0.00_-;\-&quot;R$&quot;\ * #,##0.00_-;_-&quot;R$&quot;\ * &quot;-&quot;??_-;_-@_-"/>
    <numFmt numFmtId="43" formatCode="_-* #,##0.00_-;\-* #,##0.00_-;_-* &quot;-&quot;??_-;_-@_-"/>
    <numFmt numFmtId="164" formatCode="&quot;R$&quot;\ #,##0.00"/>
    <numFmt numFmtId="165" formatCode="_(&quot;R$ &quot;* #,##0.00_);_(&quot;R$ &quot;* \(#,##0.00\);_(&quot;R$ &quot;* &quot;-&quot;??_);_(@_)"/>
    <numFmt numFmtId="166" formatCode="_([$€-2]* #,##0.00_);_([$€-2]* \(#,##0.00\);_([$€-2]* &quot;-&quot;??_)"/>
  </numFmts>
  <fonts count="28">
    <font>
      <sz val="11"/>
      <color theme="1"/>
      <name val="Calibri"/>
      <family val="2"/>
      <scheme val="minor"/>
    </font>
    <font>
      <sz val="11"/>
      <color theme="1"/>
      <name val="Calibri"/>
      <family val="2"/>
      <scheme val="minor"/>
    </font>
    <font>
      <sz val="11"/>
      <name val="Carlito"/>
    </font>
    <font>
      <b/>
      <sz val="16"/>
      <color rgb="FFFFFFFF"/>
      <name val="Carlito"/>
    </font>
    <font>
      <b/>
      <sz val="10"/>
      <color rgb="FF063A63"/>
      <name val="Carlito"/>
    </font>
    <font>
      <sz val="8"/>
      <color rgb="FF9AA3AA"/>
      <name val="Carlito"/>
    </font>
    <font>
      <b/>
      <sz val="9"/>
      <color rgb="FFFFFFFF"/>
      <name val="Carlito"/>
    </font>
    <font>
      <b/>
      <sz val="8"/>
      <color rgb="FFFFFFFF"/>
      <name val="Carlito"/>
    </font>
    <font>
      <sz val="9"/>
      <color rgb="FF25313C"/>
      <name val="Carlito"/>
    </font>
    <font>
      <sz val="1"/>
      <color rgb="FFFFFFFF"/>
      <name val="Carlito"/>
    </font>
    <font>
      <sz val="10"/>
      <name val="Roboto"/>
    </font>
    <font>
      <sz val="10"/>
      <name val="Arial"/>
      <family val="2"/>
    </font>
    <font>
      <sz val="10"/>
      <name val="Arial"/>
      <family val="2"/>
      <charset val="1"/>
    </font>
    <font>
      <sz val="11"/>
      <color rgb="FF000000"/>
      <name val="Calibri"/>
      <family val="2"/>
    </font>
    <font>
      <u/>
      <sz val="11"/>
      <color theme="10"/>
      <name val="Calibri"/>
      <family val="2"/>
      <scheme val="minor"/>
    </font>
    <font>
      <sz val="11"/>
      <color theme="1"/>
      <name val="Arial"/>
      <family val="2"/>
    </font>
    <font>
      <sz val="8"/>
      <color theme="1"/>
      <name val="Calibri"/>
      <family val="2"/>
      <scheme val="minor"/>
    </font>
    <font>
      <sz val="10"/>
      <color theme="1"/>
      <name val="Calibri"/>
      <family val="2"/>
    </font>
    <font>
      <sz val="10"/>
      <color rgb="FF000000"/>
      <name val="Times New Roman"/>
      <family val="1"/>
    </font>
    <font>
      <sz val="10"/>
      <name val="Tahoma"/>
      <family val="2"/>
    </font>
    <font>
      <sz val="11"/>
      <color rgb="FF000000"/>
      <name val="Calibri"/>
      <family val="2"/>
      <charset val="1"/>
    </font>
    <font>
      <sz val="11"/>
      <color rgb="FFFFFFFF"/>
      <name val="Calibri"/>
      <family val="2"/>
      <charset val="1"/>
    </font>
    <font>
      <sz val="10"/>
      <color rgb="FF000000"/>
      <name val="Arial"/>
      <family val="2"/>
    </font>
    <font>
      <i/>
      <sz val="11"/>
      <color rgb="FF7F7F7F"/>
      <name val="Calibri"/>
      <family val="2"/>
      <charset val="1"/>
    </font>
    <font>
      <sz val="10"/>
      <color theme="1"/>
      <name val="Times New Roman"/>
      <family val="2"/>
    </font>
    <font>
      <sz val="9"/>
      <color theme="1"/>
      <name val="Calibri"/>
      <family val="2"/>
    </font>
    <font>
      <u/>
      <sz val="8"/>
      <color theme="10"/>
      <name val="Calibri"/>
      <family val="2"/>
      <scheme val="minor"/>
    </font>
    <font>
      <sz val="11"/>
      <color theme="1"/>
      <name val="Calibri"/>
      <family val="2"/>
      <charset val="1"/>
    </font>
  </fonts>
  <fills count="17">
    <fill>
      <patternFill patternType="none"/>
    </fill>
    <fill>
      <patternFill patternType="gray125"/>
    </fill>
    <fill>
      <patternFill patternType="solid">
        <fgColor rgb="FF063A63"/>
      </patternFill>
    </fill>
    <fill>
      <patternFill patternType="solid">
        <fgColor rgb="FFF4F5F6"/>
      </patternFill>
    </fill>
    <fill>
      <patternFill patternType="solid">
        <fgColor rgb="FF566573"/>
      </patternFill>
    </fill>
    <fill>
      <patternFill patternType="solid">
        <fgColor rgb="FFFFFFFF"/>
      </patternFill>
    </fill>
    <fill>
      <patternFill patternType="solid">
        <fgColor rgb="FFF56B23"/>
      </patternFill>
    </fill>
    <fill>
      <patternFill patternType="solid">
        <fgColor rgb="FFDDE6ED"/>
      </patternFill>
    </fill>
    <fill>
      <patternFill patternType="solid">
        <fgColor rgb="FFE9ECEF"/>
      </patternFill>
    </fill>
    <fill>
      <patternFill patternType="solid">
        <fgColor rgb="FFFCE8DD"/>
      </patternFill>
    </fill>
    <fill>
      <patternFill patternType="solid">
        <fgColor rgb="FF3F6D8C"/>
      </patternFill>
    </fill>
    <fill>
      <patternFill patternType="solid">
        <fgColor rgb="FF8A694E"/>
      </patternFill>
    </fill>
    <fill>
      <patternFill patternType="solid">
        <fgColor rgb="FFAEB5BB"/>
      </patternFill>
    </fill>
    <fill>
      <patternFill patternType="solid">
        <fgColor rgb="FFEEF4F7"/>
      </patternFill>
    </fill>
    <fill>
      <patternFill patternType="solid">
        <fgColor rgb="FFFAF2EC"/>
      </patternFill>
    </fill>
    <fill>
      <patternFill patternType="solid">
        <fgColor theme="0"/>
        <bgColor indexed="64"/>
      </patternFill>
    </fill>
    <fill>
      <patternFill patternType="solid">
        <fgColor rgb="FFFF6600"/>
        <bgColor rgb="FFFF9900"/>
      </patternFill>
    </fill>
  </fills>
  <borders count="3">
    <border>
      <left/>
      <right/>
      <top/>
      <bottom/>
      <diagonal/>
    </border>
    <border>
      <left style="thin">
        <color rgb="FFD9DEE3"/>
      </left>
      <right/>
      <top style="thin">
        <color rgb="FFD9DEE3"/>
      </top>
      <bottom style="thin">
        <color rgb="FFD9DEE3"/>
      </bottom>
      <diagonal/>
    </border>
    <border>
      <left/>
      <right/>
      <top style="thin">
        <color rgb="FFD9DEE3"/>
      </top>
      <bottom style="thin">
        <color rgb="FFD9DEE3"/>
      </bottom>
      <diagonal/>
    </border>
  </borders>
  <cellStyleXfs count="564">
    <xf numFmtId="0" fontId="0" fillId="0" borderId="0"/>
    <xf numFmtId="0" fontId="2" fillId="0" borderId="0"/>
    <xf numFmtId="0" fontId="12" fillId="0" borderId="0"/>
    <xf numFmtId="0" fontId="1" fillId="0" borderId="0"/>
    <xf numFmtId="0" fontId="11" fillId="0" borderId="0"/>
    <xf numFmtId="0" fontId="1" fillId="0" borderId="0"/>
    <xf numFmtId="0" fontId="11" fillId="0" borderId="0"/>
    <xf numFmtId="43" fontId="1" fillId="0" borderId="0" applyFont="0" applyFill="0" applyBorder="0" applyAlignment="0" applyProtection="0"/>
    <xf numFmtId="0" fontId="11" fillId="0" borderId="0"/>
    <xf numFmtId="0" fontId="15"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xf numFmtId="0" fontId="1" fillId="0" borderId="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8" fillId="0" borderId="0"/>
    <xf numFmtId="0" fontId="16" fillId="0" borderId="0"/>
    <xf numFmtId="43" fontId="1" fillId="0" borderId="0" applyFon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9" fillId="0" borderId="0"/>
    <xf numFmtId="43" fontId="19" fillId="0" borderId="0" applyFont="0" applyFill="0" applyBorder="0" applyAlignment="0" applyProtection="0"/>
    <xf numFmtId="165" fontId="19" fillId="0" borderId="0" applyFont="0" applyFill="0" applyBorder="0" applyAlignment="0" applyProtection="0"/>
    <xf numFmtId="9" fontId="19"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1" fillId="16" borderId="0" applyBorder="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1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2" fillId="0" borderId="0"/>
    <xf numFmtId="0" fontId="1" fillId="0" borderId="0"/>
    <xf numFmtId="0" fontId="23" fillId="0" borderId="0" applyBorder="0" applyProtection="0"/>
    <xf numFmtId="43" fontId="1" fillId="0" borderId="0" applyFont="0" applyFill="0" applyBorder="0" applyAlignment="0" applyProtection="0"/>
    <xf numFmtId="43" fontId="1" fillId="0" borderId="0" applyFont="0" applyFill="0" applyBorder="0" applyAlignment="0" applyProtection="0"/>
    <xf numFmtId="0" fontId="2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5"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6" fontId="11" fillId="0" borderId="0"/>
    <xf numFmtId="166" fontId="11" fillId="0" borderId="0"/>
    <xf numFmtId="0" fontId="11" fillId="0" borderId="0"/>
    <xf numFmtId="0" fontId="15" fillId="0" borderId="0"/>
    <xf numFmtId="43" fontId="15" fillId="0" borderId="0" applyFont="0" applyFill="0" applyBorder="0" applyAlignment="0" applyProtection="0"/>
    <xf numFmtId="43" fontId="1" fillId="0" borderId="0" applyFont="0" applyFill="0" applyBorder="0" applyAlignment="0" applyProtection="0"/>
    <xf numFmtId="0" fontId="26" fillId="0" borderId="0" applyNumberForma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0" fontId="14" fillId="0" borderId="0" applyNumberFormat="0" applyFill="0" applyBorder="0" applyAlignment="0" applyProtection="0"/>
    <xf numFmtId="43" fontId="11" fillId="0" borderId="0" applyFont="0" applyFill="0" applyBorder="0" applyAlignment="0" applyProtection="0"/>
    <xf numFmtId="0" fontId="19" fillId="0" borderId="0"/>
    <xf numFmtId="44"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0" fontId="18" fillId="0" borderId="0"/>
    <xf numFmtId="0" fontId="11" fillId="0" borderId="0"/>
    <xf numFmtId="43" fontId="19" fillId="0" borderId="0" applyFont="0" applyFill="0" applyBorder="0" applyAlignment="0" applyProtection="0"/>
    <xf numFmtId="44" fontId="1" fillId="0" borderId="0" applyFon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0" fontId="18" fillId="0" borderId="0"/>
    <xf numFmtId="43" fontId="11" fillId="0" borderId="0" applyFont="0" applyFill="0" applyBorder="0" applyAlignment="0" applyProtection="0"/>
    <xf numFmtId="9" fontId="11" fillId="0" borderId="0" applyFont="0" applyFill="0" applyBorder="0" applyAlignment="0" applyProtection="0"/>
    <xf numFmtId="43" fontId="11" fillId="0" borderId="0" applyFont="0" applyFill="0" applyBorder="0" applyAlignment="0" applyProtection="0"/>
    <xf numFmtId="0" fontId="11" fillId="0" borderId="0"/>
    <xf numFmtId="44" fontId="11" fillId="0" borderId="0" applyFont="0" applyFill="0" applyBorder="0" applyAlignment="0" applyProtection="0"/>
    <xf numFmtId="0" fontId="19" fillId="0" borderId="0"/>
    <xf numFmtId="43" fontId="19" fillId="0" borderId="0" applyFont="0" applyFill="0" applyBorder="0" applyAlignment="0" applyProtection="0"/>
    <xf numFmtId="0" fontId="11" fillId="0" borderId="0"/>
    <xf numFmtId="43" fontId="11" fillId="0" borderId="0" applyFont="0" applyFill="0" applyBorder="0" applyAlignment="0" applyProtection="0"/>
    <xf numFmtId="43" fontId="19"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4" fontId="1" fillId="0" borderId="0" applyFont="0" applyFill="0" applyBorder="0" applyAlignment="0" applyProtection="0"/>
    <xf numFmtId="43" fontId="11" fillId="0" borderId="0" applyFont="0" applyFill="0" applyBorder="0" applyAlignment="0" applyProtection="0"/>
    <xf numFmtId="0" fontId="11" fillId="0" borderId="0"/>
    <xf numFmtId="43" fontId="1" fillId="0" borderId="0" applyFont="0" applyFill="0" applyBorder="0" applyAlignment="0" applyProtection="0"/>
    <xf numFmtId="0" fontId="14" fillId="0" borderId="0" applyNumberFormat="0" applyFill="0" applyBorder="0" applyAlignment="0" applyProtection="0"/>
    <xf numFmtId="43" fontId="1" fillId="0" borderId="0" applyFont="0" applyFill="0" applyBorder="0" applyAlignment="0" applyProtection="0"/>
    <xf numFmtId="0" fontId="1" fillId="0" borderId="0"/>
    <xf numFmtId="0" fontId="12" fillId="0" borderId="0"/>
    <xf numFmtId="43" fontId="1" fillId="0" borderId="0" applyFont="0" applyFill="0" applyBorder="0" applyAlignment="0" applyProtection="0"/>
    <xf numFmtId="0" fontId="27"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19"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4"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19"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4"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8" fillId="0" borderId="0" applyFont="0" applyFill="0" applyBorder="0" applyAlignment="0" applyProtection="0"/>
    <xf numFmtId="0" fontId="2" fillId="0" borderId="0"/>
    <xf numFmtId="0" fontId="12"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19"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4"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19"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4"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19"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4"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19"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4"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8" fillId="0" borderId="0" applyFont="0" applyFill="0" applyBorder="0" applyAlignment="0" applyProtection="0"/>
    <xf numFmtId="0" fontId="12" fillId="0" borderId="0"/>
    <xf numFmtId="43" fontId="1" fillId="0" borderId="0" applyFont="0" applyFill="0" applyBorder="0" applyAlignment="0" applyProtection="0"/>
  </cellStyleXfs>
  <cellXfs count="45">
    <xf numFmtId="0" fontId="0" fillId="0" borderId="0" xfId="0"/>
    <xf numFmtId="0" fontId="0" fillId="0" borderId="0" xfId="0" applyAlignment="1">
      <alignment horizontal="left"/>
    </xf>
    <xf numFmtId="0" fontId="0" fillId="6" borderId="0" xfId="0" applyFill="1" applyAlignment="1">
      <alignment horizontal="center" vertical="center"/>
    </xf>
    <xf numFmtId="0" fontId="5" fillId="3" borderId="0" xfId="0" applyFont="1" applyFill="1" applyAlignment="1">
      <alignment horizontal="center"/>
    </xf>
    <xf numFmtId="0" fontId="6" fillId="4" borderId="0" xfId="0" applyFont="1" applyFill="1" applyAlignment="1">
      <alignment horizontal="center" vertical="center"/>
    </xf>
    <xf numFmtId="0" fontId="8" fillId="0" borderId="0" xfId="0" applyFont="1" applyAlignment="1">
      <alignment horizontal="center" vertical="center"/>
    </xf>
    <xf numFmtId="164" fontId="8" fillId="0" borderId="0" xfId="0" applyNumberFormat="1" applyFont="1" applyAlignment="1">
      <alignment horizontal="center" vertical="center"/>
    </xf>
    <xf numFmtId="9" fontId="8" fillId="0" borderId="0" xfId="0" applyNumberFormat="1" applyFont="1" applyAlignment="1">
      <alignment horizontal="center" vertical="center"/>
    </xf>
    <xf numFmtId="14" fontId="8" fillId="0" borderId="0" xfId="0" applyNumberFormat="1" applyFont="1" applyAlignment="1">
      <alignment horizontal="center" vertical="center"/>
    </xf>
    <xf numFmtId="14" fontId="8" fillId="13" borderId="0" xfId="0" applyNumberFormat="1" applyFont="1" applyFill="1" applyAlignment="1">
      <alignment horizontal="center" vertical="center"/>
    </xf>
    <xf numFmtId="0" fontId="8" fillId="14" borderId="0" xfId="0" applyFont="1" applyFill="1" applyAlignment="1">
      <alignment horizontal="center" vertical="center"/>
    </xf>
    <xf numFmtId="14" fontId="8" fillId="14" borderId="0" xfId="0" applyNumberFormat="1" applyFont="1" applyFill="1" applyAlignment="1">
      <alignment horizontal="center" vertical="center"/>
    </xf>
    <xf numFmtId="0" fontId="8" fillId="0" borderId="0" xfId="0" applyFont="1" applyAlignment="1">
      <alignment horizontal="center" vertical="center" wrapText="1"/>
    </xf>
    <xf numFmtId="0" fontId="9" fillId="5" borderId="0" xfId="0" applyFont="1" applyFill="1" applyAlignment="1">
      <alignment horizontal="center" vertical="center"/>
    </xf>
    <xf numFmtId="0" fontId="8" fillId="0" borderId="0" xfId="0" applyFont="1" applyAlignment="1">
      <alignment vertical="top"/>
    </xf>
    <xf numFmtId="164" fontId="8" fillId="0" borderId="0" xfId="0" applyNumberFormat="1" applyFont="1" applyAlignment="1">
      <alignment vertical="top"/>
    </xf>
    <xf numFmtId="9" fontId="8" fillId="0" borderId="0" xfId="0" applyNumberFormat="1" applyFont="1" applyAlignment="1">
      <alignment vertical="top"/>
    </xf>
    <xf numFmtId="14" fontId="8" fillId="0" borderId="0" xfId="0" applyNumberFormat="1" applyFont="1" applyAlignment="1">
      <alignment vertical="top"/>
    </xf>
    <xf numFmtId="14" fontId="8" fillId="13" borderId="0" xfId="0" applyNumberFormat="1" applyFont="1" applyFill="1" applyAlignment="1">
      <alignment vertical="top"/>
    </xf>
    <xf numFmtId="0" fontId="8" fillId="14" borderId="0" xfId="0" applyFont="1" applyFill="1" applyAlignment="1">
      <alignment vertical="top"/>
    </xf>
    <xf numFmtId="14" fontId="8" fillId="14" borderId="0" xfId="0" applyNumberFormat="1" applyFont="1" applyFill="1" applyAlignment="1">
      <alignment vertical="top"/>
    </xf>
    <xf numFmtId="0" fontId="8" fillId="0" borderId="0" xfId="0" applyFont="1" applyAlignment="1">
      <alignment vertical="top" wrapText="1"/>
    </xf>
    <xf numFmtId="0" fontId="9" fillId="5" borderId="0" xfId="0" applyFont="1" applyFill="1" applyAlignment="1">
      <alignment vertical="top"/>
    </xf>
    <xf numFmtId="0" fontId="0" fillId="0" borderId="0" xfId="0" applyAlignment="1">
      <alignment horizontal="center"/>
    </xf>
    <xf numFmtId="0" fontId="6" fillId="4" borderId="2" xfId="1" applyFont="1" applyFill="1" applyBorder="1" applyAlignment="1">
      <alignment horizontal="center" vertical="center"/>
    </xf>
    <xf numFmtId="0" fontId="6" fillId="4" borderId="1" xfId="1" applyFont="1" applyFill="1" applyBorder="1" applyAlignment="1">
      <alignment horizontal="center" vertical="center"/>
    </xf>
    <xf numFmtId="0" fontId="6" fillId="11" borderId="0" xfId="0" applyFont="1" applyFill="1" applyAlignment="1">
      <alignment horizontal="center" vertical="center"/>
    </xf>
    <xf numFmtId="0" fontId="6" fillId="10" borderId="0" xfId="0" applyFont="1" applyFill="1" applyAlignment="1">
      <alignment horizontal="center" vertical="center"/>
    </xf>
    <xf numFmtId="0" fontId="3" fillId="2" borderId="0" xfId="1" quotePrefix="1" applyFont="1" applyFill="1" applyAlignment="1">
      <alignment vertical="center"/>
    </xf>
    <xf numFmtId="0" fontId="7" fillId="12" borderId="0" xfId="0" applyFont="1" applyFill="1" applyAlignment="1">
      <alignment horizontal="center" vertical="center"/>
    </xf>
    <xf numFmtId="0" fontId="2" fillId="0" borderId="0" xfId="1" applyAlignment="1">
      <alignment horizontal="center"/>
    </xf>
    <xf numFmtId="164" fontId="2" fillId="0" borderId="0" xfId="1" applyNumberFormat="1" applyAlignment="1">
      <alignment horizontal="center"/>
    </xf>
    <xf numFmtId="14" fontId="2" fillId="0" borderId="0" xfId="1" applyNumberFormat="1" applyAlignment="1">
      <alignment horizontal="center"/>
    </xf>
    <xf numFmtId="1" fontId="2" fillId="0" borderId="0" xfId="1" applyNumberFormat="1" applyAlignment="1">
      <alignment horizontal="center"/>
    </xf>
    <xf numFmtId="0" fontId="3" fillId="2" borderId="0" xfId="1" applyFont="1" applyFill="1" applyAlignment="1">
      <alignment vertical="center"/>
    </xf>
    <xf numFmtId="14" fontId="10" fillId="15" borderId="0" xfId="1" applyNumberFormat="1" applyFont="1" applyFill="1" applyAlignment="1">
      <alignment horizontal="center" vertical="center"/>
    </xf>
    <xf numFmtId="14" fontId="2" fillId="15" borderId="0" xfId="1" applyNumberFormat="1" applyFill="1" applyAlignment="1">
      <alignment horizontal="center"/>
    </xf>
    <xf numFmtId="0" fontId="2" fillId="0" borderId="0" xfId="1"/>
    <xf numFmtId="0" fontId="2" fillId="6" borderId="0" xfId="1" applyFill="1"/>
    <xf numFmtId="0" fontId="12" fillId="0" borderId="0" xfId="2"/>
    <xf numFmtId="0" fontId="12" fillId="0" borderId="0" xfId="2" applyAlignment="1">
      <alignment horizontal="center"/>
    </xf>
    <xf numFmtId="0" fontId="3" fillId="2" borderId="0" xfId="0" applyFont="1" applyFill="1" applyAlignment="1">
      <alignment horizontal="left" vertical="center"/>
    </xf>
    <xf numFmtId="0" fontId="4" fillId="7" borderId="0" xfId="0" applyFont="1" applyFill="1" applyAlignment="1">
      <alignment horizontal="center" vertical="center"/>
    </xf>
    <xf numFmtId="0" fontId="4" fillId="8" borderId="0" xfId="0" applyFont="1" applyFill="1" applyAlignment="1">
      <alignment horizontal="center" vertical="center"/>
    </xf>
    <xf numFmtId="0" fontId="4" fillId="9" borderId="0" xfId="0" applyFont="1" applyFill="1" applyAlignment="1">
      <alignment horizontal="center" vertical="center"/>
    </xf>
  </cellXfs>
  <cellStyles count="564">
    <cellStyle name="Hiperlink 2" xfId="123" xr:uid="{87FB2182-2F50-46A9-99D1-D2F3C2935533}"/>
    <cellStyle name="Hiperlink 3" xfId="101" xr:uid="{7C8D55B3-8F99-48ED-836F-F69FBA84A72B}"/>
    <cellStyle name="Hyperlink" xfId="198" xr:uid="{FA1531EC-0164-4EE1-93BD-EED509929F22}"/>
    <cellStyle name="Moeda 2" xfId="16" xr:uid="{4DECB124-51D3-4A2A-88C4-118F9B792AB1}"/>
    <cellStyle name="Moeda 2 2" xfId="28" xr:uid="{BD3D1DFB-4E8D-4A2C-9675-623697DE098C}"/>
    <cellStyle name="Moeda 2 3" xfId="126" xr:uid="{41E9A5B0-F788-4FF4-BABC-7579F5A749C6}"/>
    <cellStyle name="Moeda 2 3 2" xfId="190" xr:uid="{B99E6F26-5158-4C40-BAC1-9F7879219DFC}"/>
    <cellStyle name="Moeda 2 3 2 2" xfId="313" xr:uid="{D8771D06-77FE-4813-9087-BF7FD63F1D7F}"/>
    <cellStyle name="Moeda 2 3 2 2 2" xfId="552" xr:uid="{7FEB8E8B-8697-48EF-B8F7-3F045709362B}"/>
    <cellStyle name="Moeda 2 3 2 3" xfId="434" xr:uid="{A2533C15-D02E-4C70-BD81-56AA4738C1CE}"/>
    <cellStyle name="Moeda 2 3 3" xfId="257" xr:uid="{FF27AECB-C1D2-4E4D-BA30-B86016E97EAE}"/>
    <cellStyle name="Moeda 2 3 3 2" xfId="496" xr:uid="{55DA6716-7B29-4848-8C20-16A3DD7891DE}"/>
    <cellStyle name="Moeda 2 3 4" xfId="378" xr:uid="{D6417328-AFA1-48C2-BF4D-FFE285D35679}"/>
    <cellStyle name="Moeda 2 4" xfId="176" xr:uid="{AAC6D734-EE66-483F-9095-DB2FFF8F9355}"/>
    <cellStyle name="Moeda 2 4 2" xfId="301" xr:uid="{28206442-1476-4A15-B4C8-C35065A8D762}"/>
    <cellStyle name="Moeda 2 4 2 2" xfId="540" xr:uid="{F5BAEDBB-92DA-4304-841C-A500A8724512}"/>
    <cellStyle name="Moeda 2 4 3" xfId="422" xr:uid="{4FF8274B-A279-40CB-B440-88BDC01D162D}"/>
    <cellStyle name="Moeda 2 5" xfId="25" xr:uid="{94553B41-8BDF-4D9E-89F1-0AC4B2E3B0A8}"/>
    <cellStyle name="Moeda 2 5 2" xfId="215" xr:uid="{3AE3C6B9-BD55-498C-801B-C61204BAA7A4}"/>
    <cellStyle name="Moeda 2 5 2 2" xfId="454" xr:uid="{AB4E1C6B-0415-4605-B931-5CBBB8E2674F}"/>
    <cellStyle name="Moeda 2 5 3" xfId="336" xr:uid="{854AE202-6F31-4839-A69F-137F7F80B9CB}"/>
    <cellStyle name="Moeda 2 6" xfId="209" xr:uid="{392468F2-F1F6-470A-9EC5-EEF6D9B1FAE2}"/>
    <cellStyle name="Moeda 2 6 2" xfId="448" xr:uid="{CAF62C92-D601-4617-BAF9-B23418237134}"/>
    <cellStyle name="Moeda 2 7" xfId="330" xr:uid="{D387218E-2D55-435C-9B44-180A2230F3BE}"/>
    <cellStyle name="Moeda 3" xfId="32" xr:uid="{4103E154-1EC1-4942-BC37-49E21392A501}"/>
    <cellStyle name="Moeda 3 2" xfId="132" xr:uid="{529389D1-C97D-4BC5-B651-EEE6086FB7D1}"/>
    <cellStyle name="Moeda 3 2 2" xfId="194" xr:uid="{63B15FF1-0439-4D61-B3B9-F846CA92358C}"/>
    <cellStyle name="Moeda 3 2 2 2" xfId="317" xr:uid="{A6B797CA-0BD7-48CF-8842-5DAB0D7BF472}"/>
    <cellStyle name="Moeda 3 2 2 2 2" xfId="556" xr:uid="{6BAED3CC-A342-4331-ADA7-EA5BBD60134F}"/>
    <cellStyle name="Moeda 3 2 2 3" xfId="438" xr:uid="{1D2E25AD-D300-49F0-97BE-83033199DFCA}"/>
    <cellStyle name="Moeda 3 2 3" xfId="261" xr:uid="{7AE09015-49CD-4B9E-A2FC-C6F902967C6D}"/>
    <cellStyle name="Moeda 3 2 3 2" xfId="500" xr:uid="{6615A312-805B-40D4-97A5-D51C3CF11D67}"/>
    <cellStyle name="Moeda 3 2 4" xfId="382" xr:uid="{FD5528C4-0D8A-4B2E-A5FF-136696D1F2C3}"/>
    <cellStyle name="Moeda 3 3" xfId="182" xr:uid="{2D7909B2-69E8-43B6-ADFB-BC38DE2D9B7C}"/>
    <cellStyle name="Moeda 3 3 2" xfId="305" xr:uid="{C38E2E3F-FD63-48F6-81A6-B538763B1F39}"/>
    <cellStyle name="Moeda 3 3 2 2" xfId="544" xr:uid="{FF7E966F-69CD-4EDB-94AD-56BF60E6FD60}"/>
    <cellStyle name="Moeda 3 3 3" xfId="426" xr:uid="{12CE4F87-F52D-414F-9782-21C3D6CF6AA6}"/>
    <cellStyle name="Moeda 3 4" xfId="219" xr:uid="{4B215B49-73C8-40DF-BBEC-E523A6621773}"/>
    <cellStyle name="Moeda 3 4 2" xfId="458" xr:uid="{91C4D398-050D-45C2-881D-9079822B52C0}"/>
    <cellStyle name="Moeda 3 5" xfId="340" xr:uid="{ED67ABE1-830B-4E85-9AA8-ED0D025371DD}"/>
    <cellStyle name="Moeda 4" xfId="322" xr:uid="{52126B70-E54D-4A69-BEC8-B15CF24F7762}"/>
    <cellStyle name="Moeda 4 2" xfId="561" xr:uid="{2DFC5F4B-60F5-4EF2-A434-77F109F05266}"/>
    <cellStyle name="Normal" xfId="0" builtinId="0"/>
    <cellStyle name="Normal 10" xfId="1" xr:uid="{479E6611-26B4-48A9-A6B6-CC8158737318}"/>
    <cellStyle name="Normal 10 2 2 2 2" xfId="62" xr:uid="{E05F7C12-985A-477B-8209-907BA725F4E8}"/>
    <cellStyle name="Normal 100" xfId="45" xr:uid="{89EDB511-6324-4734-B546-1F56C0F235F9}"/>
    <cellStyle name="Normal 12" xfId="78" xr:uid="{4980C0F6-6060-48DD-B9E5-44C07C1B90DA}"/>
    <cellStyle name="Normal 14 3" xfId="14" xr:uid="{0905C71C-AC14-4EE3-9241-26371F422EEE}"/>
    <cellStyle name="Normal 14 3 2" xfId="107" xr:uid="{D7FFFD9B-9BBF-410A-AD10-02EE03BCA18D}"/>
    <cellStyle name="Normal 15" xfId="9" xr:uid="{EA4D12BD-52BD-487E-97BA-D4506DEE3286}"/>
    <cellStyle name="Normal 2" xfId="2" xr:uid="{CBA7B582-9CC5-46FE-B537-32CB1AB85EEB}"/>
    <cellStyle name="Normal 2 10 2" xfId="61" xr:uid="{9A3BDDDB-C49B-4882-A9C3-01D1C87E0042}"/>
    <cellStyle name="Normal 2 2" xfId="26" xr:uid="{B5E80764-B0FA-465C-A539-F8A0E60A74BC}"/>
    <cellStyle name="Normal 2 2 2" xfId="125" xr:uid="{A3B93AA7-5638-4C37-8446-7116665BDE04}"/>
    <cellStyle name="Normal 2 2 3" xfId="83" xr:uid="{7F75BF11-FF54-46F4-8490-A4EC15D8395F}"/>
    <cellStyle name="Normal 2 2 4" xfId="177" xr:uid="{BE4771B6-A012-4876-81C6-07D806595A48}"/>
    <cellStyle name="Normal 2 3" xfId="98" xr:uid="{314A335E-9A24-453E-8750-9765AC93302C}"/>
    <cellStyle name="Normal 2 3 2" xfId="97" xr:uid="{742B22D8-1F88-4108-832A-A25EAAF3CEC9}"/>
    <cellStyle name="Normal 2 3 2 2" xfId="95" xr:uid="{72257972-928A-4FB9-8383-9DAAE34EE5B2}"/>
    <cellStyle name="Normal 2 3 2 4" xfId="96" xr:uid="{FA8A24BF-188F-4396-9244-3A99CFC2F5E1}"/>
    <cellStyle name="Normal 2 4" xfId="4" xr:uid="{5B5A9049-0820-4209-9ED5-F64AEA103061}"/>
    <cellStyle name="Normal 2 5" xfId="201" xr:uid="{A7F71881-8DE7-4BD0-8427-FA6902B6B54B}"/>
    <cellStyle name="Normal 2 6" xfId="203" xr:uid="{3FDC53BC-FEF5-4B17-BA35-879445A85A74}"/>
    <cellStyle name="Normal 2 7" xfId="323" xr:uid="{EA3BE337-8EC8-4BE7-BC4A-80877E3FA4CF}"/>
    <cellStyle name="Normal 2 8" xfId="562" xr:uid="{28FC3212-9A3A-4C7E-8D7A-4712FF65604C}"/>
    <cellStyle name="Normal 3" xfId="6" xr:uid="{70043D86-AA53-4650-8BC0-7067FE2012CE}"/>
    <cellStyle name="Normal 3 2" xfId="13" xr:uid="{D4837975-6CE1-4739-9329-68066A3F45E3}"/>
    <cellStyle name="Normal 3 2 2" xfId="8" xr:uid="{2321D57E-4152-4635-B1CF-66448D2A1CC9}"/>
    <cellStyle name="Normal 3 2 3" xfId="104" xr:uid="{C8D986EA-EFC5-42D6-A4E5-3CF5AD44932E}"/>
    <cellStyle name="Normal 3 2 4" xfId="179" xr:uid="{C85528E1-E39B-4926-BEFD-94809D4693E9}"/>
    <cellStyle name="Normal 3 3" xfId="130" xr:uid="{F3861DE4-57F7-4610-8854-6974363A45AE}"/>
    <cellStyle name="Normal 3 4" xfId="74" xr:uid="{D039D0AE-0334-4DCD-8583-6CE0F1CB9EF1}"/>
    <cellStyle name="Normal 3 5" xfId="175" xr:uid="{3E269C02-A964-403C-9D0F-B2B33ADD4480}"/>
    <cellStyle name="Normal 3 6" xfId="324" xr:uid="{2B015D22-75F2-4140-82F9-34B39ACB733F}"/>
    <cellStyle name="Normal 36" xfId="60" xr:uid="{A1483810-DB88-40DE-82AF-A65728748128}"/>
    <cellStyle name="Normal 4" xfId="19" xr:uid="{F1A3FCF4-8E44-4E28-A1DE-3DA12D8A87D1}"/>
    <cellStyle name="Normal 4 2" xfId="129" xr:uid="{F76BD0F5-1825-47E4-99D3-5552E20AAD1A}"/>
    <cellStyle name="Normal 4 3" xfId="82" xr:uid="{426C2DA2-7AB3-4E95-A786-CA74A8B93CF6}"/>
    <cellStyle name="Normal 4 4" xfId="171" xr:uid="{4AAA96C3-FC48-45EF-B33B-583A4EEE1568}"/>
    <cellStyle name="Normal 41" xfId="70" xr:uid="{C22EC120-572B-4C28-938A-17AF8A6DB707}"/>
    <cellStyle name="Normal 42" xfId="71" xr:uid="{FCC15EF0-23BF-4203-9963-81BA859484C1}"/>
    <cellStyle name="Normal 43" xfId="72" xr:uid="{4F338CF1-C179-4F8E-8C5E-A653AFAFCF21}"/>
    <cellStyle name="Normal 46" xfId="40" xr:uid="{53BCFE9E-FBF1-4947-8336-27A513805EF8}"/>
    <cellStyle name="Normal 47" xfId="34" xr:uid="{A4A22EBE-C381-42E0-A2B7-C7868256C5CA}"/>
    <cellStyle name="Normal 48" xfId="35" xr:uid="{6B941082-6BF6-40B6-BFA3-68857C147B16}"/>
    <cellStyle name="Normal 49" xfId="36" xr:uid="{30836077-1D91-4B24-8552-304F81DAB41A}"/>
    <cellStyle name="Normal 5" xfId="5" xr:uid="{9474B8C9-356A-4DF2-8A0B-FC57933D4736}"/>
    <cellStyle name="Normal 5 2" xfId="102" xr:uid="{EB7F4AD3-7ED9-4D5A-8301-522D2F2C0062}"/>
    <cellStyle name="Normal 50" xfId="37" xr:uid="{F41C835E-E82D-4118-9671-91FCCF19A1EA}"/>
    <cellStyle name="Normal 51" xfId="38" xr:uid="{28665177-7744-4040-A0F3-CB0FFDC633C9}"/>
    <cellStyle name="Normal 52" xfId="50" xr:uid="{02C1314E-BFEF-4DA5-AAE5-D47E85A73D68}"/>
    <cellStyle name="Normal 53" xfId="55" xr:uid="{A1503E17-2ADC-4BF6-A353-62AE7963CCFC}"/>
    <cellStyle name="Normal 54" xfId="54" xr:uid="{02C277F6-EDA2-439B-BDAC-3B5A6507FCCD}"/>
    <cellStyle name="Normal 55" xfId="53" xr:uid="{91ABE822-9062-4188-AAE9-399608299C8B}"/>
    <cellStyle name="Normal 56" xfId="51" xr:uid="{8AF09383-31C6-4236-B344-E760B7233212}"/>
    <cellStyle name="Normal 57" xfId="52" xr:uid="{2BC1B4B5-DF73-449F-8D8B-D7E4A2A2DAB5}"/>
    <cellStyle name="Normal 59" xfId="56" xr:uid="{5C17D496-C59B-4F48-9823-B33BCDBBAF01}"/>
    <cellStyle name="Normal 6" xfId="20" xr:uid="{F9A88360-56AC-426E-AB91-4999436332E1}"/>
    <cellStyle name="Normal 60" xfId="59" xr:uid="{4FC760F7-CD3A-424C-8BC1-5B05DF638793}"/>
    <cellStyle name="Normal 61" xfId="58" xr:uid="{8C0A8EFE-2A75-45EF-9B4D-F37565271AE8}"/>
    <cellStyle name="Normal 64" xfId="57" xr:uid="{7C3E1837-7C35-40C9-ABA8-1430CD2B93B6}"/>
    <cellStyle name="Normal 66" xfId="63" xr:uid="{6E3E0666-1887-4621-B374-550D33A30C0B}"/>
    <cellStyle name="Normal 67" xfId="64" xr:uid="{DA8C46F1-C98F-4125-A2B2-729057B821E8}"/>
    <cellStyle name="Normal 68" xfId="65" xr:uid="{76DD3622-03F3-4FFD-8BDB-FCD861AE136D}"/>
    <cellStyle name="Normal 7" xfId="196" xr:uid="{F4BA5BC6-7317-48B1-B5D9-B02898A3D793}"/>
    <cellStyle name="Normal 70" xfId="66" xr:uid="{D67AE4FF-A2DE-4251-A77E-739D45A527C6}"/>
    <cellStyle name="Normal 71" xfId="67" xr:uid="{141B8C73-DD9E-4AE0-B1F0-A39836812634}"/>
    <cellStyle name="Normal 73" xfId="68" xr:uid="{8672FD62-7E8D-45E8-8EA1-D8962F1F8E54}"/>
    <cellStyle name="Normal 74" xfId="41" xr:uid="{E352B965-BC7E-49A7-AEA9-D5CF729BB02D}"/>
    <cellStyle name="Normal 75" xfId="42" xr:uid="{383FA8E1-63DD-4987-A3A0-69EA6DCB1BE0}"/>
    <cellStyle name="Normal 78" xfId="43" xr:uid="{8D3D7B32-A8E6-497B-BCE6-063DE88A2792}"/>
    <cellStyle name="Normal 79" xfId="44" xr:uid="{35B2A83E-3CFA-47F7-8796-26FAEE78EF6A}"/>
    <cellStyle name="Normal 8" xfId="200" xr:uid="{3BA1D0BD-2F7F-437E-8939-60B3EE8B5EBE}"/>
    <cellStyle name="Normal 81" xfId="46" xr:uid="{C161B57A-7469-4366-B079-FC48B0FFCF56}"/>
    <cellStyle name="Normal 82" xfId="47" xr:uid="{35C66AB4-66FD-4418-B20C-EF337C938A3A}"/>
    <cellStyle name="Normal 84" xfId="48" xr:uid="{AC8707C8-1AD7-4687-9FA6-BFF17D9083A0}"/>
    <cellStyle name="Normal 85" xfId="49" xr:uid="{53D469A7-8B97-462D-BDBF-89DD2A837F42}"/>
    <cellStyle name="Normal 9" xfId="3" xr:uid="{EDE5839A-668F-4620-8AB4-50F980F6ED71}"/>
    <cellStyle name="Normal 96" xfId="69" xr:uid="{E5140881-6B77-410C-9E50-343E1CCEED8D}"/>
    <cellStyle name="Porcentagem 2" xfId="23" xr:uid="{30EB867D-3364-4069-B3BC-20FD2BB3F601}"/>
    <cellStyle name="Porcentagem 2 2" xfId="29" xr:uid="{72F829CB-9C17-4D5D-B7D8-850B85FA659B}"/>
    <cellStyle name="Porcentagem 2 3" xfId="134" xr:uid="{0FF01679-F2F9-44D2-AA05-E79BE69B1EED}"/>
    <cellStyle name="Porcentagem 2 4" xfId="85" xr:uid="{7FA29DA2-8259-48CA-B9A1-EFE6357CC571}"/>
    <cellStyle name="Porcentagem 2 5" xfId="173" xr:uid="{4701BCCE-D9F3-4688-8F8A-A0E77230192D}"/>
    <cellStyle name="Texto Explicativo 2" xfId="75" xr:uid="{87316576-5B9A-4C1A-A3AE-36127432658C}"/>
    <cellStyle name="Texto Explicativo 3" xfId="39" xr:uid="{4AA8A77D-1628-40D5-AFA0-1560BC206B7B}"/>
    <cellStyle name="Texto Explicativo 5" xfId="73" xr:uid="{0A758A9C-A253-4784-B0EE-EF42F0F8D387}"/>
    <cellStyle name="Vírgula 10" xfId="18" xr:uid="{050E2CA5-4DB4-435B-8CC2-E1AD780938F7}"/>
    <cellStyle name="Vírgula 10 2" xfId="199" xr:uid="{8549AFD6-87A8-49A0-A322-E655653AA240}"/>
    <cellStyle name="Vírgula 10 2 2" xfId="202" xr:uid="{24253045-B975-46D2-9584-D55752786470}"/>
    <cellStyle name="Vírgula 10 2 2 2" xfId="442" xr:uid="{4BF7B168-DA7A-4B7C-8E37-FF2EE75CBF78}"/>
    <cellStyle name="Vírgula 10 2 3" xfId="441" xr:uid="{8C0F85B9-DB87-4B98-85C7-E369219909E8}"/>
    <cellStyle name="Vírgula 10 3" xfId="211" xr:uid="{FC67B697-F900-42CC-B458-13BB3217469F}"/>
    <cellStyle name="Vírgula 10 3 2" xfId="450" xr:uid="{C004E3D1-08EF-4303-B47D-DD3FB2EED69F}"/>
    <cellStyle name="Vírgula 10 4" xfId="321" xr:uid="{FCDB71FE-E2AE-403B-9FF7-7D60C0C2668A}"/>
    <cellStyle name="Vírgula 10 4 2" xfId="563" xr:uid="{8BC65E3D-1AE5-475B-BA18-912CA94A29AA}"/>
    <cellStyle name="Vírgula 10 4 3" xfId="560" xr:uid="{CC7E0488-2629-4CD3-B601-386031C38685}"/>
    <cellStyle name="Vírgula 10 5" xfId="332" xr:uid="{F00A318C-B189-4FB6-828C-A65841B7F70C}"/>
    <cellStyle name="Vírgula 11" xfId="197" xr:uid="{BF7E45A1-3EEB-4544-86E5-860A20AE553E}"/>
    <cellStyle name="Vírgula 11 2" xfId="319" xr:uid="{1DFFF211-D694-47D0-A711-C4FDE5F6E04D}"/>
    <cellStyle name="Vírgula 11 2 2" xfId="558" xr:uid="{60ED37BD-98EE-4BDD-9C8E-560A8627A5C3}"/>
    <cellStyle name="Vírgula 11 3" xfId="440" xr:uid="{1A7C4268-FD51-41C9-8696-819478229424}"/>
    <cellStyle name="Vírgula 12" xfId="320" xr:uid="{C764EC90-98D6-4518-A2F8-2827F057C921}"/>
    <cellStyle name="Vírgula 12 2" xfId="559" xr:uid="{5BA1C611-E336-4A45-A5BA-2741D6AF461A}"/>
    <cellStyle name="Vírgula 2" xfId="15" xr:uid="{7D7ACE5F-6204-4A46-AC6B-419183EFFE4B}"/>
    <cellStyle name="Vírgula 2 10" xfId="136" xr:uid="{B9C35A69-3A69-4A3F-A306-4BDFABE37B12}"/>
    <cellStyle name="Vírgula 2 10 2" xfId="264" xr:uid="{4644CD04-301F-4AE1-B16B-8BD64E903D0D}"/>
    <cellStyle name="Vírgula 2 10 2 2" xfId="503" xr:uid="{EF70B4A5-6FB4-405C-B1F4-002100FDB363}"/>
    <cellStyle name="Vírgula 2 10 3" xfId="385" xr:uid="{47146F76-8BA5-42AB-9972-F68B2365069B}"/>
    <cellStyle name="Vírgula 2 11" xfId="22" xr:uid="{40B79E7C-EAAF-4899-98C4-4516245D0B37}"/>
    <cellStyle name="Vírgula 2 11 2" xfId="213" xr:uid="{7EE80396-B4EC-4BEA-AFFC-1BCB85DF97E7}"/>
    <cellStyle name="Vírgula 2 11 2 2" xfId="452" xr:uid="{B4C11A8C-9651-43D1-9D26-4516B71DCF6A}"/>
    <cellStyle name="Vírgula 2 11 3" xfId="334" xr:uid="{C1B752E2-22F7-4AD6-AA73-DA58F3CFE9E2}"/>
    <cellStyle name="Vírgula 2 12" xfId="208" xr:uid="{5EC5A3CB-0562-4EE2-B32E-F28A65BF5973}"/>
    <cellStyle name="Vírgula 2 12 2" xfId="447" xr:uid="{8C81B802-D002-4EDA-8F77-A454FE9FBCB8}"/>
    <cellStyle name="Vírgula 2 13" xfId="329" xr:uid="{980F6469-9D26-45A9-8CF1-8E7FD7EE983C}"/>
    <cellStyle name="Vírgula 2 2" xfId="27" xr:uid="{735BC6E0-6F8F-4CB2-9598-5AC437511576}"/>
    <cellStyle name="Vírgula 2 2 2" xfId="31" xr:uid="{0D8AADE7-F390-4946-B707-30F1AF397D28}"/>
    <cellStyle name="Vírgula 2 2 2 2" xfId="116" xr:uid="{23E3DE9C-B1F8-43ED-8BA8-4516408B1534}"/>
    <cellStyle name="Vírgula 2 2 2 2 2" xfId="164" xr:uid="{7F187820-D58F-4586-8643-0A348E93578D}"/>
    <cellStyle name="Vírgula 2 2 2 2 2 2" xfId="292" xr:uid="{1C1B991F-809B-4D39-B144-47ABE218B153}"/>
    <cellStyle name="Vírgula 2 2 2 2 2 2 2" xfId="531" xr:uid="{BE0150BA-C48B-40BC-88B1-A9FBEAA1C2D7}"/>
    <cellStyle name="Vírgula 2 2 2 2 2 3" xfId="413" xr:uid="{0DE0FA47-2367-4225-BFC8-F8C6A355167B}"/>
    <cellStyle name="Vírgula 2 2 2 2 3" xfId="249" xr:uid="{2E56A532-1740-4C0E-A0D0-F1ED369E2822}"/>
    <cellStyle name="Vírgula 2 2 2 2 3 2" xfId="488" xr:uid="{762044FC-7DA3-4B47-A624-C24AF27FED03}"/>
    <cellStyle name="Vírgula 2 2 2 2 4" xfId="370" xr:uid="{339BE143-C77B-4F0E-9095-396021C821A2}"/>
    <cellStyle name="Vírgula 2 2 2 3" xfId="128" xr:uid="{8A1FBB6B-2D04-4458-9BEB-DC86543098F5}"/>
    <cellStyle name="Vírgula 2 2 2 3 2" xfId="192" xr:uid="{FDB75C6D-7C3A-403A-8151-3BD8061338D1}"/>
    <cellStyle name="Vírgula 2 2 2 3 2 2" xfId="315" xr:uid="{7F8083F6-D93A-4FBC-B00E-D53F75F02745}"/>
    <cellStyle name="Vírgula 2 2 2 3 2 2 2" xfId="554" xr:uid="{455A478A-4057-4055-B211-EBE8B2CB1B63}"/>
    <cellStyle name="Vírgula 2 2 2 3 2 3" xfId="436" xr:uid="{BB045236-D2BE-4BE0-A229-F7A7DAA7C962}"/>
    <cellStyle name="Vírgula 2 2 2 3 3" xfId="259" xr:uid="{39B4A8B7-41D4-4096-80EE-F032C0B9ADC0}"/>
    <cellStyle name="Vírgula 2 2 2 3 3 2" xfId="498" xr:uid="{377C1F6D-1BDE-43E4-8D65-E80A57D81CA8}"/>
    <cellStyle name="Vírgula 2 2 2 3 4" xfId="380" xr:uid="{E647E6F9-57D9-400E-A8B0-F24FD4B199E8}"/>
    <cellStyle name="Vírgula 2 2 2 4" xfId="90" xr:uid="{B32E3C85-CACC-4D94-9F82-D752381FFD7B}"/>
    <cellStyle name="Vírgula 2 2 2 4 2" xfId="187" xr:uid="{7700E8F7-77FE-4BD2-A34A-64A964AFB9E8}"/>
    <cellStyle name="Vírgula 2 2 2 4 2 2" xfId="310" xr:uid="{D18C4C8F-4499-44FB-BE03-C8A344F27BB1}"/>
    <cellStyle name="Vírgula 2 2 2 4 2 2 2" xfId="549" xr:uid="{DC2AF824-3B55-40F6-8DA6-FED3F7437A6A}"/>
    <cellStyle name="Vírgula 2 2 2 4 2 3" xfId="431" xr:uid="{3D2C3191-D634-4DCC-86F1-6C4FE042AA28}"/>
    <cellStyle name="Vírgula 2 2 2 4 3" xfId="231" xr:uid="{98235646-43DD-4AC3-9317-E6825488F5C8}"/>
    <cellStyle name="Vírgula 2 2 2 4 3 2" xfId="470" xr:uid="{3361D4B2-369C-43FB-9C3C-74D217CE6E42}"/>
    <cellStyle name="Vírgula 2 2 2 4 4" xfId="352" xr:uid="{D518B43E-7A8E-4605-945E-D4E79C2B7E88}"/>
    <cellStyle name="Vírgula 2 2 2 5" xfId="181" xr:uid="{A37B88DD-234E-46E6-BC83-F1A97280C912}"/>
    <cellStyle name="Vírgula 2 2 2 5 2" xfId="304" xr:uid="{21D6B52D-72DC-485E-B4D1-159B051F82FC}"/>
    <cellStyle name="Vírgula 2 2 2 5 2 2" xfId="543" xr:uid="{F294FA01-D1E0-464E-A046-952C7573200B}"/>
    <cellStyle name="Vírgula 2 2 2 5 3" xfId="425" xr:uid="{E6BE5136-46E3-4B5A-8025-EFA10780575E}"/>
    <cellStyle name="Vírgula 2 2 2 6" xfId="146" xr:uid="{5B40C8FE-4CD0-41FB-9A78-CFB9F148952C}"/>
    <cellStyle name="Vírgula 2 2 2 6 2" xfId="274" xr:uid="{06A09384-78E0-4E08-81B5-3F0A4240CF00}"/>
    <cellStyle name="Vírgula 2 2 2 6 2 2" xfId="513" xr:uid="{BF3A680B-4A92-46EB-91A6-B1A2752CE312}"/>
    <cellStyle name="Vírgula 2 2 2 6 3" xfId="395" xr:uid="{CA68C49D-FFD7-4521-A5C5-EB7DA9496630}"/>
    <cellStyle name="Vírgula 2 2 2 7" xfId="218" xr:uid="{8CF39A88-8FD8-4166-A3FD-01693BC65384}"/>
    <cellStyle name="Vírgula 2 2 2 7 2" xfId="457" xr:uid="{A215554F-79AE-4EBE-9FBD-5E95E170C683}"/>
    <cellStyle name="Vírgula 2 2 2 8" xfId="339" xr:uid="{BDEB0467-5EAE-4F41-AE31-23DF01CE1B53}"/>
    <cellStyle name="Vírgula 2 2 3" xfId="109" xr:uid="{7C298D38-3607-469D-AB30-5668D13000F2}"/>
    <cellStyle name="Vírgula 2 2 3 2" xfId="157" xr:uid="{4BE321A8-E363-483D-8B8A-829358AE4321}"/>
    <cellStyle name="Vírgula 2 2 3 2 2" xfId="285" xr:uid="{03B4186E-F1F6-4155-94B2-7B69E69EA6C5}"/>
    <cellStyle name="Vírgula 2 2 3 2 2 2" xfId="524" xr:uid="{E02B9A19-B2A7-422F-A88E-32ECB551D0C4}"/>
    <cellStyle name="Vírgula 2 2 3 2 3" xfId="406" xr:uid="{34F3071B-0CC7-4DC1-8A77-64E211D8D0C6}"/>
    <cellStyle name="Vírgula 2 2 3 3" xfId="242" xr:uid="{DB34A6AC-EC59-4489-97F3-17D407ABFDB8}"/>
    <cellStyle name="Vírgula 2 2 3 3 2" xfId="481" xr:uid="{CAE8AFC4-45C2-4C29-B257-0C760D7CBA8A}"/>
    <cellStyle name="Vírgula 2 2 3 4" xfId="363" xr:uid="{0BCCEB7F-C157-4072-BA04-BBE4E434C2A5}"/>
    <cellStyle name="Vírgula 2 2 4" xfId="131" xr:uid="{BF4EC79F-AA32-40A0-9C5B-891B01CBEE48}"/>
    <cellStyle name="Vírgula 2 2 4 2" xfId="193" xr:uid="{87DDD023-265E-46F0-B81C-95F04CCF6B44}"/>
    <cellStyle name="Vírgula 2 2 4 2 2" xfId="316" xr:uid="{509A9901-8CA7-4405-8E7A-3F6A326BBF88}"/>
    <cellStyle name="Vírgula 2 2 4 2 2 2" xfId="555" xr:uid="{77029076-3909-48E4-8487-6E86A3CA16E3}"/>
    <cellStyle name="Vírgula 2 2 4 2 3" xfId="437" xr:uid="{448D33FA-F768-4507-8BA4-7AFBBFD97A03}"/>
    <cellStyle name="Vírgula 2 2 4 3" xfId="260" xr:uid="{6579CE92-D715-424F-B334-705542B94BFE}"/>
    <cellStyle name="Vírgula 2 2 4 3 2" xfId="499" xr:uid="{FAD85A06-23FA-4188-8B84-77C373E6B828}"/>
    <cellStyle name="Vírgula 2 2 4 4" xfId="381" xr:uid="{CC1AB636-33E7-4153-BDBC-C84EC9E8A415}"/>
    <cellStyle name="Vírgula 2 2 5" xfId="80" xr:uid="{EFFCE042-1E46-47A7-978C-7588A6C61B70}"/>
    <cellStyle name="Vírgula 2 2 5 2" xfId="184" xr:uid="{54CBBFC7-1AC9-4479-B92E-42E9BB15F73A}"/>
    <cellStyle name="Vírgula 2 2 5 2 2" xfId="307" xr:uid="{CAB69372-8EC2-4443-8730-281533F11852}"/>
    <cellStyle name="Vírgula 2 2 5 2 2 2" xfId="546" xr:uid="{C4C5E4BD-6CAC-406D-A59B-CB3D047DAA58}"/>
    <cellStyle name="Vírgula 2 2 5 2 3" xfId="428" xr:uid="{AAB60196-CDFB-47D2-943C-7D311841131A}"/>
    <cellStyle name="Vírgula 2 2 5 3" xfId="224" xr:uid="{2F5882F1-25D3-4016-A56C-35E290A93661}"/>
    <cellStyle name="Vírgula 2 2 5 3 2" xfId="463" xr:uid="{9EFE7388-6DEC-4054-AD46-5C414B3AD213}"/>
    <cellStyle name="Vírgula 2 2 5 4" xfId="345" xr:uid="{E42CADB1-8217-4401-87E2-449FFA002091}"/>
    <cellStyle name="Vírgula 2 2 6" xfId="178" xr:uid="{31C7D2A4-941A-4E57-AF39-B4FF9A8FEFCE}"/>
    <cellStyle name="Vírgula 2 2 6 2" xfId="302" xr:uid="{F7F8F8D7-AC7A-40C8-81A1-995231238C46}"/>
    <cellStyle name="Vírgula 2 2 6 2 2" xfId="541" xr:uid="{4CD0123C-75DB-4EEA-A9FA-22764C91713C}"/>
    <cellStyle name="Vírgula 2 2 6 3" xfId="423" xr:uid="{96CB32A1-B488-4B90-9B33-D54B939ED08E}"/>
    <cellStyle name="Vírgula 2 2 7" xfId="139" xr:uid="{57E93CBE-D256-45D8-BDC9-EFA54FF75751}"/>
    <cellStyle name="Vírgula 2 2 7 2" xfId="267" xr:uid="{3571FB51-0951-4A79-A5F0-694E1342C31E}"/>
    <cellStyle name="Vírgula 2 2 7 2 2" xfId="506" xr:uid="{89CC18B1-DAA1-46A0-9D65-B8657035FF7D}"/>
    <cellStyle name="Vírgula 2 2 7 3" xfId="388" xr:uid="{44ED6BFB-FAEF-48D5-8AFE-BCBD212C3C9B}"/>
    <cellStyle name="Vírgula 2 2 8" xfId="216" xr:uid="{26DE666E-0798-459E-990A-3ACD33BB2B77}"/>
    <cellStyle name="Vírgula 2 2 8 2" xfId="455" xr:uid="{0CAD2DDC-1392-48C4-903A-0FA985CE41A1}"/>
    <cellStyle name="Vírgula 2 2 9" xfId="337" xr:uid="{2451578E-DBD6-4E99-BBDA-52C9D9F9A6BF}"/>
    <cellStyle name="Vírgula 2 3" xfId="30" xr:uid="{2C19539A-B92D-4759-8778-994EEDA80F54}"/>
    <cellStyle name="Vírgula 2 3 2" xfId="92" xr:uid="{53C70DF8-336B-4CFD-8BE6-24B5D815B13B}"/>
    <cellStyle name="Vírgula 2 3 2 2" xfId="118" xr:uid="{F9E26CE4-90BF-4B8C-9EB5-9B03577718EC}"/>
    <cellStyle name="Vírgula 2 3 2 2 2" xfId="166" xr:uid="{4BE2A911-63EE-470D-8133-833884A8859B}"/>
    <cellStyle name="Vírgula 2 3 2 2 2 2" xfId="294" xr:uid="{F272F3A7-9B15-4178-9FAB-539B7E22E349}"/>
    <cellStyle name="Vírgula 2 3 2 2 2 2 2" xfId="533" xr:uid="{C00EC7F6-7AD2-4CF9-8693-ED24A7099C9C}"/>
    <cellStyle name="Vírgula 2 3 2 2 2 3" xfId="415" xr:uid="{0796290E-CF04-49CE-AB37-1073A4B53FE1}"/>
    <cellStyle name="Vírgula 2 3 2 2 3" xfId="251" xr:uid="{2D6369E1-1B52-4618-BD63-4B0DC3ED36E2}"/>
    <cellStyle name="Vírgula 2 3 2 2 3 2" xfId="490" xr:uid="{66B6E89E-98E9-4245-914C-519E2158EF2E}"/>
    <cellStyle name="Vírgula 2 3 2 2 4" xfId="372" xr:uid="{26888CC1-9AA7-42DC-A903-40DF2A8F8A09}"/>
    <cellStyle name="Vírgula 2 3 2 3" xfId="148" xr:uid="{CDB06130-C4C2-4FDC-ACD9-6BAC0DBA4E55}"/>
    <cellStyle name="Vírgula 2 3 2 3 2" xfId="276" xr:uid="{CA3A1BD2-A582-4AEE-845A-5EBF8F101022}"/>
    <cellStyle name="Vírgula 2 3 2 3 2 2" xfId="515" xr:uid="{F8F52C62-FCB9-44C2-907D-912F865CD60C}"/>
    <cellStyle name="Vírgula 2 3 2 3 3" xfId="397" xr:uid="{DCD32BC3-518D-4B77-9773-0632B990EA52}"/>
    <cellStyle name="Vírgula 2 3 2 4" xfId="233" xr:uid="{D137D5EF-953F-4E9E-98F8-708FF3B65002}"/>
    <cellStyle name="Vírgula 2 3 2 4 2" xfId="472" xr:uid="{92E6DA92-65AC-42AF-A22F-703E72BB3984}"/>
    <cellStyle name="Vírgula 2 3 2 5" xfId="354" xr:uid="{29F2EEE9-ABE5-482F-BB20-C5F3170B3E00}"/>
    <cellStyle name="Vírgula 2 3 3" xfId="111" xr:uid="{D6D6808F-58C8-49CE-A2FD-052AA2640195}"/>
    <cellStyle name="Vírgula 2 3 3 2" xfId="159" xr:uid="{D2723EDD-AD19-468A-9A9E-971572E64DE5}"/>
    <cellStyle name="Vírgula 2 3 3 2 2" xfId="287" xr:uid="{ED8E5D7A-028A-4136-9841-A471F055A0AF}"/>
    <cellStyle name="Vírgula 2 3 3 2 2 2" xfId="526" xr:uid="{2527CAF7-5C45-4D02-A2E4-5BC1A33B7A62}"/>
    <cellStyle name="Vírgula 2 3 3 2 3" xfId="408" xr:uid="{728DA030-6340-4604-A0DC-3C3A362BED63}"/>
    <cellStyle name="Vírgula 2 3 3 3" xfId="244" xr:uid="{D0F0E70B-3A61-403D-B656-FD24CA893DED}"/>
    <cellStyle name="Vírgula 2 3 3 3 2" xfId="483" xr:uid="{D944E09A-CC05-499C-945B-98B3ABE28E7D}"/>
    <cellStyle name="Vírgula 2 3 3 4" xfId="365" xr:uid="{5CC1A104-F18D-49A3-9AA4-9EE8C3ACD6FF}"/>
    <cellStyle name="Vírgula 2 3 4" xfId="133" xr:uid="{C9E8F5CF-C48A-4642-8344-8A236D3B438C}"/>
    <cellStyle name="Vírgula 2 3 4 2" xfId="195" xr:uid="{E1CEA745-6EED-4961-91B9-11C7447DE34C}"/>
    <cellStyle name="Vírgula 2 3 4 2 2" xfId="318" xr:uid="{7CB50157-31D5-45AB-89A3-3301CE5A3D0D}"/>
    <cellStyle name="Vírgula 2 3 4 2 2 2" xfId="557" xr:uid="{1D766EDD-4203-4395-AB96-E994BEBFB233}"/>
    <cellStyle name="Vírgula 2 3 4 2 3" xfId="439" xr:uid="{42F9C003-EF7C-4F52-9AB2-8CBE6F55A74C}"/>
    <cellStyle name="Vírgula 2 3 4 3" xfId="262" xr:uid="{78630170-FFC0-400B-9215-05AAB046DE53}"/>
    <cellStyle name="Vírgula 2 3 4 3 2" xfId="501" xr:uid="{699C0916-5ED5-44D2-A18D-EB8A32B273BE}"/>
    <cellStyle name="Vírgula 2 3 4 4" xfId="383" xr:uid="{D6FE056D-ED32-48B9-AB4E-C238C2E9EC95}"/>
    <cellStyle name="Vírgula 2 3 5" xfId="84" xr:uid="{0C594C6F-B071-4E7D-A4E3-48B299389E5C}"/>
    <cellStyle name="Vírgula 2 3 5 2" xfId="185" xr:uid="{BFE353A3-7CCD-49F3-9EFB-C923A1EC523E}"/>
    <cellStyle name="Vírgula 2 3 5 2 2" xfId="308" xr:uid="{81BF3E5E-616B-49C4-9004-EEA914D4546E}"/>
    <cellStyle name="Vírgula 2 3 5 2 2 2" xfId="547" xr:uid="{4E9AD548-7328-44ED-8BC7-01C2E98FE76B}"/>
    <cellStyle name="Vírgula 2 3 5 2 3" xfId="429" xr:uid="{194A4AAB-8AE1-4E6E-B38A-A65674896726}"/>
    <cellStyle name="Vírgula 2 3 5 3" xfId="226" xr:uid="{E38E6688-EC33-433B-BF9D-B43344CD5C22}"/>
    <cellStyle name="Vírgula 2 3 5 3 2" xfId="465" xr:uid="{34C17E09-9958-43B9-A71C-548F2209E996}"/>
    <cellStyle name="Vírgula 2 3 5 4" xfId="347" xr:uid="{267C42B5-F01B-4074-A601-776DBD3F66FA}"/>
    <cellStyle name="Vírgula 2 3 6" xfId="180" xr:uid="{69B8F957-931F-4D99-84A3-D344A1A32BD1}"/>
    <cellStyle name="Vírgula 2 3 6 2" xfId="303" xr:uid="{E94466C9-E52F-4E1F-BBE6-0602CA77AC55}"/>
    <cellStyle name="Vírgula 2 3 6 2 2" xfId="542" xr:uid="{969B7312-AB2A-426F-BF06-C73BFCC1CDFE}"/>
    <cellStyle name="Vírgula 2 3 6 3" xfId="424" xr:uid="{65015D0E-32E4-4F08-AB6C-8A59D693897D}"/>
    <cellStyle name="Vírgula 2 3 7" xfId="141" xr:uid="{9B408955-CC6E-41F2-A29F-1A211F7F03E3}"/>
    <cellStyle name="Vírgula 2 3 7 2" xfId="269" xr:uid="{A3A3689F-6E55-4FF9-8297-486F6EB2193B}"/>
    <cellStyle name="Vírgula 2 3 7 2 2" xfId="508" xr:uid="{CEB51FB6-0BCE-4862-9791-4E640B6C48A0}"/>
    <cellStyle name="Vírgula 2 3 7 3" xfId="390" xr:uid="{E63D6033-AB72-442D-9749-D16861A750CA}"/>
    <cellStyle name="Vírgula 2 3 8" xfId="217" xr:uid="{772C633E-4E1B-4014-B140-F85F82DD939B}"/>
    <cellStyle name="Vírgula 2 3 8 2" xfId="456" xr:uid="{D7362F44-6E4B-41EC-A0CA-88F635B030D1}"/>
    <cellStyle name="Vírgula 2 3 9" xfId="338" xr:uid="{84FCBDC0-55D2-4ED0-8095-D887B628582E}"/>
    <cellStyle name="Vírgula 2 4" xfId="24" xr:uid="{5E134606-61E1-4333-84F8-59BB4E1AE1CF}"/>
    <cellStyle name="Vírgula 2 4 2" xfId="113" xr:uid="{407B7157-31AC-43CF-BCE3-89CDC598DD5B}"/>
    <cellStyle name="Vírgula 2 4 2 2" xfId="161" xr:uid="{D59AD5F8-BDB4-4BA4-BBDC-143E8AA2C4CE}"/>
    <cellStyle name="Vírgula 2 4 2 2 2" xfId="289" xr:uid="{97E99556-10C2-4EE1-9BFA-656D9D87C7ED}"/>
    <cellStyle name="Vírgula 2 4 2 2 2 2" xfId="528" xr:uid="{5EF9CECC-0C9F-4974-84C6-71D2CD913622}"/>
    <cellStyle name="Vírgula 2 4 2 2 3" xfId="410" xr:uid="{E6102453-8095-47A6-A7DD-7B49C077599F}"/>
    <cellStyle name="Vírgula 2 4 2 3" xfId="246" xr:uid="{87A806BB-3328-4251-A301-9DF86CB75C3A}"/>
    <cellStyle name="Vírgula 2 4 2 3 2" xfId="485" xr:uid="{E402A734-A9F9-4680-BFCD-5F6EEC4A32EF}"/>
    <cellStyle name="Vírgula 2 4 2 4" xfId="367" xr:uid="{7594F35B-8E0A-440D-AF33-FDF5CB811268}"/>
    <cellStyle name="Vírgula 2 4 3" xfId="127" xr:uid="{D7F86259-44D5-4024-A52F-872095FD80FF}"/>
    <cellStyle name="Vírgula 2 4 3 2" xfId="191" xr:uid="{16994D2C-D761-4B4D-B78D-BEA9D9A9D30A}"/>
    <cellStyle name="Vírgula 2 4 3 2 2" xfId="314" xr:uid="{CE638341-37F4-47A2-B697-739AF8D6210B}"/>
    <cellStyle name="Vírgula 2 4 3 2 2 2" xfId="553" xr:uid="{51A4ED7B-809A-4AA7-AD95-C38DF9AFFA8D}"/>
    <cellStyle name="Vírgula 2 4 3 2 3" xfId="435" xr:uid="{37B07C15-2651-4680-8A2A-9F7F2535F99B}"/>
    <cellStyle name="Vírgula 2 4 3 3" xfId="258" xr:uid="{E37DB90E-E4B8-4143-A2B2-6B85EE3972C0}"/>
    <cellStyle name="Vírgula 2 4 3 3 2" xfId="497" xr:uid="{02C19657-A2B0-45BB-A9B6-F3AB910C3EEF}"/>
    <cellStyle name="Vírgula 2 4 3 4" xfId="379" xr:uid="{33971879-D8E5-4A37-999F-F460B04CDDA7}"/>
    <cellStyle name="Vírgula 2 4 4" xfId="87" xr:uid="{92F861F1-0D94-4C7D-B8DE-D0BD1076732C}"/>
    <cellStyle name="Vírgula 2 4 4 2" xfId="186" xr:uid="{9EB3834C-5343-4CAA-9F26-DA437A698771}"/>
    <cellStyle name="Vírgula 2 4 4 2 2" xfId="309" xr:uid="{7B0FED07-55DE-4712-9D7D-40C9671750C9}"/>
    <cellStyle name="Vírgula 2 4 4 2 2 2" xfId="548" xr:uid="{EAAC93E7-00A8-4456-A44C-C6DDC765CD74}"/>
    <cellStyle name="Vírgula 2 4 4 2 3" xfId="430" xr:uid="{8F372C7A-02F1-4AAD-82C4-263978ACE785}"/>
    <cellStyle name="Vírgula 2 4 4 3" xfId="228" xr:uid="{785E0DC0-AD3F-4A63-AE67-78820EAA6498}"/>
    <cellStyle name="Vírgula 2 4 4 3 2" xfId="467" xr:uid="{00EFF1E9-4B5A-4BB1-8A84-58CAAD6BC9A1}"/>
    <cellStyle name="Vírgula 2 4 4 4" xfId="349" xr:uid="{8DE28005-8D5B-4A4D-8398-5E50FD1F2BA8}"/>
    <cellStyle name="Vírgula 2 4 5" xfId="174" xr:uid="{3DC14669-F3EC-4526-9932-C26F20B9D214}"/>
    <cellStyle name="Vírgula 2 4 5 2" xfId="300" xr:uid="{DC6A54AC-939D-4452-9B1A-E193674BD0CD}"/>
    <cellStyle name="Vírgula 2 4 5 2 2" xfId="539" xr:uid="{1C42D3FE-3EB6-4DFF-819B-A9F706A9E4B1}"/>
    <cellStyle name="Vírgula 2 4 5 3" xfId="421" xr:uid="{A45AB001-E22B-454E-83A4-7C9E07030D7B}"/>
    <cellStyle name="Vírgula 2 4 6" xfId="143" xr:uid="{81284488-8D57-4977-A4A9-F1DCE72FA4BC}"/>
    <cellStyle name="Vírgula 2 4 6 2" xfId="271" xr:uid="{66B50A08-FDE3-4165-A6A0-055CBF3054A8}"/>
    <cellStyle name="Vírgula 2 4 6 2 2" xfId="510" xr:uid="{8C94362E-F3CE-4CBB-BAD5-81234D7328FD}"/>
    <cellStyle name="Vírgula 2 4 6 3" xfId="392" xr:uid="{DD59446F-115C-49EC-A3FF-DD9CEC46DB89}"/>
    <cellStyle name="Vírgula 2 4 7" xfId="214" xr:uid="{05E87696-D97B-4183-9558-ED72873DA762}"/>
    <cellStyle name="Vírgula 2 4 7 2" xfId="453" xr:uid="{996698A1-EF74-4B84-B5B4-6350B7940DDE}"/>
    <cellStyle name="Vírgula 2 4 8" xfId="335" xr:uid="{CE30729D-30FD-43E4-9BAB-C31D70389B06}"/>
    <cellStyle name="Vírgula 2 5" xfId="99" xr:uid="{98E77579-086C-4A74-87BB-352C08A65577}"/>
    <cellStyle name="Vírgula 2 5 2" xfId="121" xr:uid="{07771575-FD82-4062-BCB4-1EA8C3D07A66}"/>
    <cellStyle name="Vírgula 2 5 2 2" xfId="169" xr:uid="{EE417A05-BFF7-4C0B-A904-7377D1FB3042}"/>
    <cellStyle name="Vírgula 2 5 2 2 2" xfId="297" xr:uid="{9D58CCE4-FA4F-4AA5-8BA7-E42C2D7A036D}"/>
    <cellStyle name="Vírgula 2 5 2 2 2 2" xfId="536" xr:uid="{20ED8592-BC5B-4FC4-BFD8-97365F63B975}"/>
    <cellStyle name="Vírgula 2 5 2 2 3" xfId="418" xr:uid="{547FD54E-F41C-4E40-8124-D062A08B0893}"/>
    <cellStyle name="Vírgula 2 5 2 3" xfId="254" xr:uid="{CAB8F681-A2F5-44CC-94C0-85607C22E232}"/>
    <cellStyle name="Vírgula 2 5 2 3 2" xfId="493" xr:uid="{20A068E9-AC3D-4446-8FCA-0C5291BF320A}"/>
    <cellStyle name="Vírgula 2 5 2 4" xfId="375" xr:uid="{8DA626AD-C7F8-4461-B1C8-9CE0A3D5B1CC}"/>
    <cellStyle name="Vírgula 2 5 3" xfId="151" xr:uid="{4D201A66-F8F3-488B-B3CD-48626266F089}"/>
    <cellStyle name="Vírgula 2 5 3 2" xfId="279" xr:uid="{A20D5E60-FB04-45D1-B529-7D96718A239A}"/>
    <cellStyle name="Vírgula 2 5 3 2 2" xfId="518" xr:uid="{0CBDE280-8F2D-4DD3-A21A-99A4CA10BB71}"/>
    <cellStyle name="Vírgula 2 5 3 3" xfId="400" xr:uid="{44C0B2B2-AAD6-4B68-8F9D-678B6718ECF8}"/>
    <cellStyle name="Vírgula 2 5 4" xfId="236" xr:uid="{0870C070-5417-47F8-BF1F-C2CFDBA53451}"/>
    <cellStyle name="Vírgula 2 5 4 2" xfId="475" xr:uid="{AC69F868-59CD-4122-B9AA-EF3E946935A7}"/>
    <cellStyle name="Vírgula 2 5 5" xfId="357" xr:uid="{E1513B82-3532-47D8-8DA4-44B5884D90CA}"/>
    <cellStyle name="Vírgula 2 6" xfId="105" xr:uid="{E5DA09DD-D9B7-4B78-B87C-7DA45DEBF26C}"/>
    <cellStyle name="Vírgula 2 6 2" xfId="154" xr:uid="{8D9F7675-ED34-42BD-A9C7-584759164B36}"/>
    <cellStyle name="Vírgula 2 6 2 2" xfId="282" xr:uid="{E045AF27-8E84-4273-B513-D8435333866C}"/>
    <cellStyle name="Vírgula 2 6 2 2 2" xfId="521" xr:uid="{42FB5D67-7734-40DE-B735-E3164AE21361}"/>
    <cellStyle name="Vírgula 2 6 2 3" xfId="403" xr:uid="{8648FCC6-4758-4E82-8694-BDD944B8DE75}"/>
    <cellStyle name="Vírgula 2 6 3" xfId="239" xr:uid="{5D52807C-216B-47AF-9B0A-17ADB6411E69}"/>
    <cellStyle name="Vírgula 2 6 3 2" xfId="478" xr:uid="{75189665-0C4C-422E-9F6C-E7281E2E708B}"/>
    <cellStyle name="Vírgula 2 6 4" xfId="360" xr:uid="{668AE5A3-0800-4A87-AA6D-28455CA2163D}"/>
    <cellStyle name="Vírgula 2 7" xfId="124" xr:uid="{99E0AC10-4641-4495-9420-D030133EC524}"/>
    <cellStyle name="Vírgula 2 7 2" xfId="189" xr:uid="{4A978233-95EF-43B0-8F76-21F7608805CC}"/>
    <cellStyle name="Vírgula 2 7 2 2" xfId="312" xr:uid="{5616E9AA-8ED9-4E79-B837-894C82C8D8BF}"/>
    <cellStyle name="Vírgula 2 7 2 2 2" xfId="551" xr:uid="{F518D1C2-78CD-4271-832D-CA84BB9C27AD}"/>
    <cellStyle name="Vírgula 2 7 2 3" xfId="433" xr:uid="{20959081-0CB3-4660-8BC7-0E039EA0FCD7}"/>
    <cellStyle name="Vírgula 2 7 3" xfId="256" xr:uid="{8331B0ED-2F8A-4F2D-8FAB-92653BF0911C}"/>
    <cellStyle name="Vírgula 2 7 3 2" xfId="495" xr:uid="{0A399ADB-45D8-4D81-9264-6A59E46D3459}"/>
    <cellStyle name="Vírgula 2 7 4" xfId="377" xr:uid="{D9C5DAAF-8FB9-40DE-AAB4-580866236426}"/>
    <cellStyle name="Vírgula 2 8" xfId="76" xr:uid="{D2803AD6-2530-4BB4-BDBB-5589DF6373D3}"/>
    <cellStyle name="Vírgula 2 8 2" xfId="183" xr:uid="{F993534D-466D-461A-8AA1-DC192CCADBAF}"/>
    <cellStyle name="Vírgula 2 8 2 2" xfId="306" xr:uid="{86B3987E-412B-417B-A3A4-13BF6A7FC230}"/>
    <cellStyle name="Vírgula 2 8 2 2 2" xfId="545" xr:uid="{58C420AA-192C-4E30-AE55-BA2E4E71F17E}"/>
    <cellStyle name="Vírgula 2 8 2 3" xfId="427" xr:uid="{672C9287-F5A3-4734-A0DA-CA3D95AA99A7}"/>
    <cellStyle name="Vírgula 2 8 3" xfId="221" xr:uid="{606EE442-D996-4D3A-8A46-33229DB043F2}"/>
    <cellStyle name="Vírgula 2 8 3 2" xfId="460" xr:uid="{A9AFD33C-05FB-484A-9B9A-299C9E502BF1}"/>
    <cellStyle name="Vírgula 2 8 4" xfId="342" xr:uid="{4116CDC4-E3C9-4CAD-AB0B-5DFE80D28A90}"/>
    <cellStyle name="Vírgula 2 9" xfId="172" xr:uid="{6E1A9DC5-A68B-4EA1-85FD-A74D3A94E30F}"/>
    <cellStyle name="Vírgula 2 9 2" xfId="299" xr:uid="{CFCB0606-321D-49B9-9F1C-24E41F8260CA}"/>
    <cellStyle name="Vírgula 2 9 2 2" xfId="538" xr:uid="{189AB5D2-E6CC-420E-A42A-02227E34AB52}"/>
    <cellStyle name="Vírgula 2 9 3" xfId="420" xr:uid="{6EB6680B-F1B1-44CA-BCDA-865F6B5D5BAA}"/>
    <cellStyle name="Vírgula 3" xfId="17" xr:uid="{CF09B25F-EB84-4720-B56A-57E8614A1F1C}"/>
    <cellStyle name="Vírgula 3 2" xfId="81" xr:uid="{CB6D46E2-4076-477D-AF9F-25A6CBA01A6D}"/>
    <cellStyle name="Vírgula 3 2 2" xfId="91" xr:uid="{42C19913-D6CA-4444-9D1E-821BF436AC58}"/>
    <cellStyle name="Vírgula 3 2 2 2" xfId="117" xr:uid="{1BBB9BA0-D603-4E10-8F4A-1F3BD67A733C}"/>
    <cellStyle name="Vírgula 3 2 2 2 2" xfId="165" xr:uid="{4A815E01-5970-401D-BE50-73054414E8BB}"/>
    <cellStyle name="Vírgula 3 2 2 2 2 2" xfId="293" xr:uid="{55EA39BE-D1D1-4222-A858-E2F23E74F116}"/>
    <cellStyle name="Vírgula 3 2 2 2 2 2 2" xfId="532" xr:uid="{3265F830-1066-42A1-9479-C473761A36DD}"/>
    <cellStyle name="Vírgula 3 2 2 2 2 3" xfId="414" xr:uid="{4288F2E5-36A4-4213-88E3-D40F7CC604C1}"/>
    <cellStyle name="Vírgula 3 2 2 2 3" xfId="250" xr:uid="{084EDC92-4D51-4FD2-8543-1171BDB6A851}"/>
    <cellStyle name="Vírgula 3 2 2 2 3 2" xfId="489" xr:uid="{E6BB7EC9-3395-428D-8F16-6FD0608EF765}"/>
    <cellStyle name="Vírgula 3 2 2 2 4" xfId="371" xr:uid="{D89E6956-013F-491F-A80E-E2B8166AEDB4}"/>
    <cellStyle name="Vírgula 3 2 2 3" xfId="147" xr:uid="{C79D8BCA-BFD1-45C9-BC3E-4BEE22EE9AE4}"/>
    <cellStyle name="Vírgula 3 2 2 3 2" xfId="275" xr:uid="{5D11763E-1E8E-4AA7-9A5C-11F7F4CB820B}"/>
    <cellStyle name="Vírgula 3 2 2 3 2 2" xfId="514" xr:uid="{7C9CC8D9-26B7-4C4A-A90A-06E5D2E3B550}"/>
    <cellStyle name="Vírgula 3 2 2 3 3" xfId="396" xr:uid="{12BCD9DA-083D-429D-A0B4-1F39B408F73C}"/>
    <cellStyle name="Vírgula 3 2 2 4" xfId="232" xr:uid="{966E2DF8-A6F9-4F3C-8279-13E33026E354}"/>
    <cellStyle name="Vírgula 3 2 2 4 2" xfId="471" xr:uid="{A1FCF53B-DC1D-4298-BD09-EB05BE9A6F10}"/>
    <cellStyle name="Vírgula 3 2 2 5" xfId="353" xr:uid="{CAACF133-DB53-43DA-9E7E-AF60A644ECE6}"/>
    <cellStyle name="Vírgula 3 2 3" xfId="110" xr:uid="{8D6047FD-6CFB-46CF-87F9-EF6D3DFB1853}"/>
    <cellStyle name="Vírgula 3 2 3 2" xfId="158" xr:uid="{D6BF5F2E-4580-4F72-8DF5-0E6DD5F0A091}"/>
    <cellStyle name="Vírgula 3 2 3 2 2" xfId="286" xr:uid="{83F959C8-BB5A-4D11-9E19-6117CE2ED555}"/>
    <cellStyle name="Vírgula 3 2 3 2 2 2" xfId="525" xr:uid="{D54A7DBE-8DF5-4856-84B4-BD7B64AAF6F4}"/>
    <cellStyle name="Vírgula 3 2 3 2 3" xfId="407" xr:uid="{755EE89F-5EAF-46C4-BF73-3F18389F8818}"/>
    <cellStyle name="Vírgula 3 2 3 3" xfId="243" xr:uid="{75EF21C9-A76D-47A8-B955-479B2EBC1E16}"/>
    <cellStyle name="Vírgula 3 2 3 3 2" xfId="482" xr:uid="{FCF9412E-B552-4399-B60E-BC974BE58647}"/>
    <cellStyle name="Vírgula 3 2 3 4" xfId="364" xr:uid="{0FAF15C9-D917-4395-9FB4-93945D2A15AA}"/>
    <cellStyle name="Vírgula 3 2 4" xfId="140" xr:uid="{A280544F-F2EA-4053-A6A7-8622D2A5EE6D}"/>
    <cellStyle name="Vírgula 3 2 4 2" xfId="268" xr:uid="{3C43EF9D-0224-49A3-A30B-8F6BAA0698E8}"/>
    <cellStyle name="Vírgula 3 2 4 2 2" xfId="507" xr:uid="{BE6DF02B-CF33-4B33-86E7-C54109E5B04E}"/>
    <cellStyle name="Vírgula 3 2 4 3" xfId="389" xr:uid="{C70E9D89-EDD8-48FF-9C6D-851A63866DDF}"/>
    <cellStyle name="Vírgula 3 2 5" xfId="225" xr:uid="{3A4157FA-FE38-4DF6-895A-AB53A528CFD5}"/>
    <cellStyle name="Vírgula 3 2 5 2" xfId="464" xr:uid="{4FB128CF-13A3-4FA3-864D-8B190E061541}"/>
    <cellStyle name="Vírgula 3 2 6" xfId="346" xr:uid="{888EB045-DAF6-4CAB-A0FB-F5FF038FBB4A}"/>
    <cellStyle name="Vírgula 3 3" xfId="88" xr:uid="{4AED8CDA-0F17-42E7-B1B4-16D066730D98}"/>
    <cellStyle name="Vírgula 3 3 2" xfId="114" xr:uid="{C50888BC-B461-47B3-91EC-71C061D3E67A}"/>
    <cellStyle name="Vírgula 3 3 2 2" xfId="162" xr:uid="{118EACD9-5A2C-4118-BAB7-D23E3939EED2}"/>
    <cellStyle name="Vírgula 3 3 2 2 2" xfId="290" xr:uid="{D36A2B0A-FF6D-45FD-888D-0880E84BF70A}"/>
    <cellStyle name="Vírgula 3 3 2 2 2 2" xfId="529" xr:uid="{74597213-E5DA-4A98-8CD3-200CB7A6F624}"/>
    <cellStyle name="Vírgula 3 3 2 2 3" xfId="411" xr:uid="{7EAD5FE9-1F63-49BA-A9B4-45CD0B1FED0D}"/>
    <cellStyle name="Vírgula 3 3 2 3" xfId="247" xr:uid="{78488CE7-46B7-4013-BBC3-FC801BA82E8E}"/>
    <cellStyle name="Vírgula 3 3 2 3 2" xfId="486" xr:uid="{CD30DC1A-2109-4749-8180-2FC1828D1A35}"/>
    <cellStyle name="Vírgula 3 3 2 4" xfId="368" xr:uid="{1199EE76-9675-48DD-8C0B-45E519E1F65A}"/>
    <cellStyle name="Vírgula 3 3 3" xfId="144" xr:uid="{2B81F519-7E28-44BA-A9F0-9EAF3EE171E0}"/>
    <cellStyle name="Vírgula 3 3 3 2" xfId="272" xr:uid="{C4D6B66F-1F7C-462C-A47B-13252C02DAC9}"/>
    <cellStyle name="Vírgula 3 3 3 2 2" xfId="511" xr:uid="{23191C41-647A-45FC-A50A-8163472F30BF}"/>
    <cellStyle name="Vírgula 3 3 3 3" xfId="393" xr:uid="{24728A64-4173-4489-808E-07B375396225}"/>
    <cellStyle name="Vírgula 3 3 4" xfId="229" xr:uid="{116E23F1-B2EB-44C5-818D-EDBE298B52C8}"/>
    <cellStyle name="Vírgula 3 3 4 2" xfId="468" xr:uid="{F8939B76-EE54-4224-BBFE-81DE05EACC37}"/>
    <cellStyle name="Vírgula 3 3 5" xfId="350" xr:uid="{C167D61A-3714-4D39-A948-991C3659CAA8}"/>
    <cellStyle name="Vírgula 3 4" xfId="106" xr:uid="{9CA10D90-EC42-4C1F-A7F6-8228C8B5F51C}"/>
    <cellStyle name="Vírgula 3 4 2" xfId="155" xr:uid="{3A3C2D36-8C54-4A7E-A354-0A2B5AF44C9C}"/>
    <cellStyle name="Vírgula 3 4 2 2" xfId="283" xr:uid="{4981BC6F-0021-4246-AF0E-46EF4BEC96C6}"/>
    <cellStyle name="Vírgula 3 4 2 2 2" xfId="522" xr:uid="{72034566-822E-4D3F-990E-146CF9CA64B5}"/>
    <cellStyle name="Vírgula 3 4 2 3" xfId="404" xr:uid="{BB34830F-B742-4EDA-B783-3F840DDDC906}"/>
    <cellStyle name="Vírgula 3 4 3" xfId="240" xr:uid="{96F64DDA-B50B-4EC6-9E65-98C1DC258D45}"/>
    <cellStyle name="Vírgula 3 4 3 2" xfId="479" xr:uid="{897B13DD-2781-447E-A486-4B1D5CDC9F36}"/>
    <cellStyle name="Vírgula 3 4 4" xfId="361" xr:uid="{751E15E7-0095-43EE-B567-FAFC03B267D5}"/>
    <cellStyle name="Vírgula 3 5" xfId="137" xr:uid="{866E9D0F-DE60-47BA-B673-C03CCCF4AC87}"/>
    <cellStyle name="Vírgula 3 5 2" xfId="265" xr:uid="{D5A6B534-5026-4E8C-B1B4-7D86B5CA9F2E}"/>
    <cellStyle name="Vírgula 3 5 2 2" xfId="504" xr:uid="{2A3EC08E-91EE-4826-A15F-005C0E8D7908}"/>
    <cellStyle name="Vírgula 3 5 3" xfId="386" xr:uid="{5DB39DAF-EA78-4F42-A2AD-807A4B7760AB}"/>
    <cellStyle name="Vírgula 3 6" xfId="77" xr:uid="{A1B12860-FA8A-436C-8255-9362197F9367}"/>
    <cellStyle name="Vírgula 3 6 2" xfId="222" xr:uid="{992C131F-B469-46F3-BE9D-DAC78A2B8CD1}"/>
    <cellStyle name="Vírgula 3 6 2 2" xfId="461" xr:uid="{D5F034EA-7758-4B0C-BA62-F43320689B65}"/>
    <cellStyle name="Vírgula 3 6 3" xfId="343" xr:uid="{5EA8020E-5520-4FEF-9EA0-C27004D9051E}"/>
    <cellStyle name="Vírgula 3 7" xfId="210" xr:uid="{590DDAA0-8998-4C4A-AF96-7E56AF6FAAEC}"/>
    <cellStyle name="Vírgula 3 7 2" xfId="449" xr:uid="{0E703809-AA14-4ECF-B9C9-747605BFF83A}"/>
    <cellStyle name="Vírgula 3 8" xfId="331" xr:uid="{099C1FCF-8142-4547-B6E7-F0D2667279E5}"/>
    <cellStyle name="Vírgula 4" xfId="10" xr:uid="{7C5BDC9D-4FF2-4338-A44E-F6A7AE7794C8}"/>
    <cellStyle name="Vírgula 4 2" xfId="89" xr:uid="{648E85B6-61CF-482C-9F59-A4F6BE77A47C}"/>
    <cellStyle name="Vírgula 4 2 2" xfId="115" xr:uid="{749C6439-3A6E-43D1-AA84-6691223A8E58}"/>
    <cellStyle name="Vírgula 4 2 2 2" xfId="163" xr:uid="{54005DB9-536C-4EC1-960E-BBB5DE817BD9}"/>
    <cellStyle name="Vírgula 4 2 2 2 2" xfId="291" xr:uid="{5CBBF6C0-A3D6-4584-91F3-C867992A80D0}"/>
    <cellStyle name="Vírgula 4 2 2 2 2 2" xfId="530" xr:uid="{C2A9D223-67AF-4E5F-8A65-081E562DA654}"/>
    <cellStyle name="Vírgula 4 2 2 2 3" xfId="412" xr:uid="{2ECF38F0-6213-464F-A27A-5D48E0D6A2F9}"/>
    <cellStyle name="Vírgula 4 2 2 3" xfId="248" xr:uid="{DA264DB9-F9C3-455A-B67A-426C78C0E593}"/>
    <cellStyle name="Vírgula 4 2 2 3 2" xfId="487" xr:uid="{8F85C609-DDD2-407C-8EF3-556886E600BF}"/>
    <cellStyle name="Vírgula 4 2 2 4" xfId="369" xr:uid="{34D9A11A-3033-46AA-863E-1D56BA49B031}"/>
    <cellStyle name="Vírgula 4 2 3" xfId="145" xr:uid="{31889D8C-ED5B-4ABA-9231-239F869CCE68}"/>
    <cellStyle name="Vírgula 4 2 3 2" xfId="273" xr:uid="{E6551DA5-9954-450A-83E7-B755672EF9AC}"/>
    <cellStyle name="Vírgula 4 2 3 2 2" xfId="512" xr:uid="{F6EB964E-8B99-4268-95AD-CD1B1FF4E263}"/>
    <cellStyle name="Vírgula 4 2 3 3" xfId="394" xr:uid="{D28CA80A-023A-4B0E-9BC7-E0A657AC610C}"/>
    <cellStyle name="Vírgula 4 2 4" xfId="230" xr:uid="{BF2EE909-3498-4F15-95BF-CB83DA452D22}"/>
    <cellStyle name="Vírgula 4 2 4 2" xfId="469" xr:uid="{7D61B60E-71D0-473D-AD12-C967B6A5314F}"/>
    <cellStyle name="Vírgula 4 2 5" xfId="351" xr:uid="{9AB41467-A9DA-41AF-BFF8-8B53C1BE8782}"/>
    <cellStyle name="Vírgula 4 3" xfId="108" xr:uid="{A5B859E3-6AD9-4472-8ADF-30A6BCD1FB63}"/>
    <cellStyle name="Vírgula 4 3 2" xfId="156" xr:uid="{802D8FE3-08F8-4453-B9B5-60FF28316C44}"/>
    <cellStyle name="Vírgula 4 3 2 2" xfId="284" xr:uid="{CAFCA61E-2534-40BF-B5B3-35149D04CF9E}"/>
    <cellStyle name="Vírgula 4 3 2 2 2" xfId="523" xr:uid="{D9DE67D4-BE37-4830-86F0-77BFE5B5A43F}"/>
    <cellStyle name="Vírgula 4 3 2 3" xfId="405" xr:uid="{1BC2CDFA-890F-4A23-9487-748DE9330D40}"/>
    <cellStyle name="Vírgula 4 3 3" xfId="241" xr:uid="{A9D72AC5-FA44-4F0F-9E06-385A885E9762}"/>
    <cellStyle name="Vírgula 4 3 3 2" xfId="480" xr:uid="{63023E0A-DE6C-43C9-BAE6-DB7827333D10}"/>
    <cellStyle name="Vírgula 4 3 4" xfId="362" xr:uid="{840207C3-B9DF-4F7B-89DD-75D1B36B98A1}"/>
    <cellStyle name="Vírgula 4 4" xfId="138" xr:uid="{D802779C-518C-40F1-8F7D-BBDEA9265920}"/>
    <cellStyle name="Vírgula 4 4 2" xfId="266" xr:uid="{77FE4FA1-4F2B-442B-A30E-662A00486E91}"/>
    <cellStyle name="Vírgula 4 4 2 2" xfId="505" xr:uid="{5617B1FD-2421-4BD3-86AB-05728439501B}"/>
    <cellStyle name="Vírgula 4 4 3" xfId="387" xr:uid="{2C11E949-FC30-49C9-B317-54DAA7F18C67}"/>
    <cellStyle name="Vírgula 4 5" xfId="79" xr:uid="{8DEC7832-3BD8-4B78-B421-2D5398005A16}"/>
    <cellStyle name="Vírgula 4 5 2" xfId="223" xr:uid="{A510A452-6047-4250-BE79-0536671FF7E7}"/>
    <cellStyle name="Vírgula 4 5 2 2" xfId="462" xr:uid="{BAB7C108-E04C-4D20-9002-E98B3F5A078B}"/>
    <cellStyle name="Vírgula 4 5 3" xfId="344" xr:uid="{792E0263-96A7-4A1F-8EDE-F8D9C7E7F1E1}"/>
    <cellStyle name="Vírgula 4 6" xfId="205" xr:uid="{C07053A6-9686-4ABE-B46C-4E02A1FEF8DD}"/>
    <cellStyle name="Vírgula 4 6 2" xfId="444" xr:uid="{F0136CFF-5498-460C-A21B-CAB8F9BB0067}"/>
    <cellStyle name="Vírgula 4 7" xfId="326" xr:uid="{F7BEE9B7-B8AE-4374-8735-29D229984AD6}"/>
    <cellStyle name="Vírgula 5" xfId="86" xr:uid="{522D69F0-751F-4D66-BD41-C58BAF8DE943}"/>
    <cellStyle name="Vírgula 5 2" xfId="112" xr:uid="{C6FFDD35-1E9D-4DD5-8F83-8E80EC488D58}"/>
    <cellStyle name="Vírgula 5 2 2" xfId="160" xr:uid="{022643C7-42C7-4CC8-BCF9-2699DF8F5E77}"/>
    <cellStyle name="Vírgula 5 2 2 2" xfId="288" xr:uid="{09F1D39D-36A2-48B2-B091-B09FBAC5643E}"/>
    <cellStyle name="Vírgula 5 2 2 2 2" xfId="527" xr:uid="{B8F19310-3C43-4EB6-8D22-28606A261A0B}"/>
    <cellStyle name="Vírgula 5 2 2 3" xfId="409" xr:uid="{13430FA1-F1EB-4595-B5E8-E538D6D65741}"/>
    <cellStyle name="Vírgula 5 2 3" xfId="245" xr:uid="{9D56E62E-6DBD-4519-95BD-66858F329FE2}"/>
    <cellStyle name="Vírgula 5 2 3 2" xfId="484" xr:uid="{22DCFAC2-FDC2-41EE-AFC2-601EB758D1B5}"/>
    <cellStyle name="Vírgula 5 2 4" xfId="366" xr:uid="{5300DB14-AD93-496C-BEFC-F2185755906E}"/>
    <cellStyle name="Vírgula 5 3" xfId="142" xr:uid="{F8355252-21C8-4C15-9465-5B686F4403B0}"/>
    <cellStyle name="Vírgula 5 3 2" xfId="270" xr:uid="{E87F35B3-C0FD-4DCC-A49F-C932A2A773E5}"/>
    <cellStyle name="Vírgula 5 3 2 2" xfId="509" xr:uid="{589FE46C-82B9-4907-9DAB-E2B7A224EE6F}"/>
    <cellStyle name="Vírgula 5 3 3" xfId="391" xr:uid="{B96BE3A6-6B22-43A5-9D1D-E3EB5CE103F5}"/>
    <cellStyle name="Vírgula 5 4" xfId="227" xr:uid="{B0BB415B-CD0E-48E4-8392-93C3320D26CD}"/>
    <cellStyle name="Vírgula 5 4 2" xfId="466" xr:uid="{DF213045-1A67-4965-8F07-CB04D3F1E024}"/>
    <cellStyle name="Vírgula 5 5" xfId="348" xr:uid="{32919298-E5B6-4DCC-B06E-DD7B944248DF}"/>
    <cellStyle name="Vírgula 6" xfId="93" xr:uid="{75FC6938-99F8-4544-A65B-FF467D192EAA}"/>
    <cellStyle name="Vírgula 6 2" xfId="119" xr:uid="{063A2BC0-D77B-432B-A88B-CE67FC6FD8ED}"/>
    <cellStyle name="Vírgula 6 2 2" xfId="167" xr:uid="{C4716521-EC44-408F-A55C-8F001179731D}"/>
    <cellStyle name="Vírgula 6 2 2 2" xfId="295" xr:uid="{2C967D78-F474-4EED-8A30-F357F9D94629}"/>
    <cellStyle name="Vírgula 6 2 2 2 2" xfId="534" xr:uid="{2364B5B2-47BB-48C5-B7D1-87326AD43529}"/>
    <cellStyle name="Vírgula 6 2 2 3" xfId="416" xr:uid="{6FB94D00-C4AE-4A08-9075-8F8621605084}"/>
    <cellStyle name="Vírgula 6 2 3" xfId="252" xr:uid="{261E264E-7127-4CE6-8185-7442B9EFA071}"/>
    <cellStyle name="Vírgula 6 2 3 2" xfId="491" xr:uid="{B555DC1A-B974-4E37-B0A4-A00232555315}"/>
    <cellStyle name="Vírgula 6 2 4" xfId="373" xr:uid="{98CD6D78-169C-4EBB-8521-EBAA814A9691}"/>
    <cellStyle name="Vírgula 6 3" xfId="149" xr:uid="{5FE5A082-2DD6-4DD2-B071-DB5FF977743A}"/>
    <cellStyle name="Vírgula 6 3 2" xfId="277" xr:uid="{FD52567B-D0D4-4D13-AE77-1F1822409B71}"/>
    <cellStyle name="Vírgula 6 3 2 2" xfId="516" xr:uid="{478847CC-B718-484C-BB59-E0CED33437D9}"/>
    <cellStyle name="Vírgula 6 3 3" xfId="398" xr:uid="{CCBF1D56-A1BC-4BD2-AD1D-5A938C8B03F7}"/>
    <cellStyle name="Vírgula 6 4" xfId="234" xr:uid="{E6DBBF01-A0BA-4011-ABFD-201E3E265957}"/>
    <cellStyle name="Vírgula 6 4 2" xfId="473" xr:uid="{BE63BF0F-0DCD-4552-B343-A96709B485C2}"/>
    <cellStyle name="Vírgula 6 5" xfId="355" xr:uid="{371D6C56-19A6-4680-B91C-4617A0F5857C}"/>
    <cellStyle name="Vírgula 7" xfId="33" xr:uid="{2E4AF2D3-9D95-4AD6-9DCF-A7247C46C7CC}"/>
    <cellStyle name="Vírgula 7 2" xfId="103" xr:uid="{ABDB2701-0486-4CE5-920C-1441FB8E35B8}"/>
    <cellStyle name="Vírgula 7 2 2" xfId="153" xr:uid="{D78ED03E-6FEC-4E89-89B6-F90DA03AD501}"/>
    <cellStyle name="Vírgula 7 2 2 2" xfId="281" xr:uid="{D7D9D4E6-F9A9-4F7B-B670-60DAE71AED5E}"/>
    <cellStyle name="Vírgula 7 2 2 2 2" xfId="520" xr:uid="{1AF68F2B-34CF-4DC5-8699-F37D94339625}"/>
    <cellStyle name="Vírgula 7 2 2 3" xfId="402" xr:uid="{3703BB3B-2261-47BE-AD12-3CAD1F4B0893}"/>
    <cellStyle name="Vírgula 7 2 3" xfId="238" xr:uid="{901E7BFA-08E1-454E-BF0B-F4805D286CD3}"/>
    <cellStyle name="Vírgula 7 2 3 2" xfId="477" xr:uid="{97B383F4-7971-46DD-9B7F-26041B207165}"/>
    <cellStyle name="Vírgula 7 2 4" xfId="359" xr:uid="{4B1138BB-4530-424B-9C4F-5BDABC1152D0}"/>
    <cellStyle name="Vírgula 7 3" xfId="135" xr:uid="{CED8BCEC-0795-4961-A407-55CA0DC4AF5F}"/>
    <cellStyle name="Vírgula 7 3 2" xfId="263" xr:uid="{0B157DFA-EE0B-43EC-844D-B9444A60C7D6}"/>
    <cellStyle name="Vírgula 7 3 2 2" xfId="502" xr:uid="{51947458-E060-4F0A-BBF2-A42ECCF0A6ED}"/>
    <cellStyle name="Vírgula 7 3 3" xfId="384" xr:uid="{417E5D02-2851-463C-93AC-FCA05BCB4F62}"/>
    <cellStyle name="Vírgula 7 4" xfId="220" xr:uid="{CBF4757E-4FD8-488A-A5E0-2A01246C090B}"/>
    <cellStyle name="Vírgula 7 4 2" xfId="459" xr:uid="{A4A19B79-E6E8-4F6C-969B-899F868C46C8}"/>
    <cellStyle name="Vírgula 7 5" xfId="341" xr:uid="{0E37875D-20A1-4F97-BA55-D7573F6C7B45}"/>
    <cellStyle name="Vírgula 8" xfId="100" xr:uid="{CE80B1DF-AF44-4AB7-820D-9EA87867DFCD}"/>
    <cellStyle name="Vírgula 8 2" xfId="122" xr:uid="{1F8E9793-8771-49C1-8515-3CE782A21E79}"/>
    <cellStyle name="Vírgula 8 2 2" xfId="170" xr:uid="{DB9CFA15-245C-43F9-8497-B46A340E2FE1}"/>
    <cellStyle name="Vírgula 8 2 2 2" xfId="298" xr:uid="{513DA142-B4B3-4497-9C7E-468769826FEE}"/>
    <cellStyle name="Vírgula 8 2 2 2 2" xfId="537" xr:uid="{010EE9E0-3E3C-425A-8505-D70911088C74}"/>
    <cellStyle name="Vírgula 8 2 2 3" xfId="419" xr:uid="{F5B17DAA-9C1E-4B4F-AACF-462E9CBA2B56}"/>
    <cellStyle name="Vírgula 8 2 3" xfId="255" xr:uid="{BDB36DD2-E2A6-4537-9382-059EE4AED74C}"/>
    <cellStyle name="Vírgula 8 2 3 2" xfId="494" xr:uid="{FFB32CF5-AB7C-48A2-B03B-3AC82F988FB6}"/>
    <cellStyle name="Vírgula 8 2 4" xfId="376" xr:uid="{A67349A4-03F5-4526-AD73-598FB67AD9B1}"/>
    <cellStyle name="Vírgula 8 3" xfId="152" xr:uid="{E8E21000-B67C-490F-A2C5-C79E2CE1C58C}"/>
    <cellStyle name="Vírgula 8 3 2" xfId="280" xr:uid="{BC03F140-257A-4B7A-B4AA-870E4DB7A5FC}"/>
    <cellStyle name="Vírgula 8 3 2 2" xfId="519" xr:uid="{84FC5274-094E-42E8-B05B-AE46776BB674}"/>
    <cellStyle name="Vírgula 8 3 3" xfId="401" xr:uid="{16F7F736-5414-4D85-A42A-F39F8C98EC68}"/>
    <cellStyle name="Vírgula 8 4" xfId="237" xr:uid="{C0400B47-BA17-4894-9071-D46753434D8D}"/>
    <cellStyle name="Vírgula 8 4 2" xfId="476" xr:uid="{F2EF450E-184D-435F-91A6-B624F81E862E}"/>
    <cellStyle name="Vírgula 8 5" xfId="358" xr:uid="{0C7C44E6-E408-4D08-8834-79E78426530D}"/>
    <cellStyle name="Vírgula 9" xfId="7" xr:uid="{2F63CFEC-E8A1-4E55-8E4D-F763E719F2C2}"/>
    <cellStyle name="Vírgula 9 2" xfId="12" xr:uid="{BABAC753-5A14-45D2-B000-08AAFB46B0CD}"/>
    <cellStyle name="Vírgula 9 2 2" xfId="168" xr:uid="{B8E3F059-1565-4F6B-961A-893BBF9DEAD9}"/>
    <cellStyle name="Vírgula 9 2 2 2" xfId="296" xr:uid="{95562FDF-2099-4154-B2A7-4E54AC252113}"/>
    <cellStyle name="Vírgula 9 2 2 2 2" xfId="535" xr:uid="{30CCD701-3DD8-4F5E-9A61-5238E71E0BE0}"/>
    <cellStyle name="Vírgula 9 2 2 3" xfId="417" xr:uid="{2EF48734-DCAE-4A9B-B3BB-7D2A614AB149}"/>
    <cellStyle name="Vírgula 9 2 3" xfId="120" xr:uid="{4AF3D789-7EB9-461D-B2BB-D3F4746D9F87}"/>
    <cellStyle name="Vírgula 9 2 3 2" xfId="253" xr:uid="{E20F3520-05B2-4E95-8F0E-DE1CD915B33F}"/>
    <cellStyle name="Vírgula 9 2 3 2 2" xfId="492" xr:uid="{EEDE8C76-D51C-4696-B633-900A478E39F0}"/>
    <cellStyle name="Vírgula 9 2 3 3" xfId="374" xr:uid="{A8002E5D-BD09-4365-A21B-1E28FD7C4DE9}"/>
    <cellStyle name="Vírgula 9 2 4" xfId="207" xr:uid="{B4D4C927-A3BA-4A95-A0B2-3BE832F52530}"/>
    <cellStyle name="Vírgula 9 2 4 2" xfId="446" xr:uid="{C8CC97E0-6448-455A-8EB2-DBDE1BD4E695}"/>
    <cellStyle name="Vírgula 9 2 5" xfId="328" xr:uid="{332D4632-6EF4-4B56-B1C8-A27C6FDB80A6}"/>
    <cellStyle name="Vírgula 9 3" xfId="11" xr:uid="{599B6D60-AE9E-4B88-9026-5DB5C82BD641}"/>
    <cellStyle name="Vírgula 9 3 2" xfId="188" xr:uid="{F66F7DC6-F8D9-44E2-8B38-20924CB973B1}"/>
    <cellStyle name="Vírgula 9 3 2 2" xfId="311" xr:uid="{710A1705-B936-420F-960D-327BFE1D36AF}"/>
    <cellStyle name="Vírgula 9 3 2 2 2" xfId="550" xr:uid="{9341360F-9EDE-49D7-BDBC-D8406FADFCA6}"/>
    <cellStyle name="Vírgula 9 3 2 3" xfId="432" xr:uid="{CDCBD349-2DCC-4925-B5DE-2DE21E6A6D0C}"/>
    <cellStyle name="Vírgula 9 3 3" xfId="94" xr:uid="{EEEE3976-1434-4A9F-B4A8-FBC1E6A5051D}"/>
    <cellStyle name="Vírgula 9 3 3 2" xfId="235" xr:uid="{F6C8A3A6-E2AA-4338-AB5E-203604276893}"/>
    <cellStyle name="Vírgula 9 3 3 2 2" xfId="474" xr:uid="{36413CA5-AB18-4D36-9800-AD410A582D5F}"/>
    <cellStyle name="Vírgula 9 3 3 3" xfId="356" xr:uid="{B70C7CC5-67F1-482B-B62E-A35FF3D03ACC}"/>
    <cellStyle name="Vírgula 9 3 4" xfId="206" xr:uid="{065A0379-1D25-4246-8465-DAD97F273D9F}"/>
    <cellStyle name="Vírgula 9 3 4 2" xfId="445" xr:uid="{BB5D510F-9E34-469C-892F-236E118BC649}"/>
    <cellStyle name="Vírgula 9 3 5" xfId="327" xr:uid="{B703B47F-0893-4293-9D47-3FBEC8CFBFDB}"/>
    <cellStyle name="Vírgula 9 4" xfId="150" xr:uid="{F9F2FC06-BC60-4034-AACA-DBFC3C0454CC}"/>
    <cellStyle name="Vírgula 9 4 2" xfId="278" xr:uid="{1A74C828-B629-4E33-B6BC-074A798293DB}"/>
    <cellStyle name="Vírgula 9 4 2 2" xfId="517" xr:uid="{F4ACE1FF-56E8-43E8-82C5-684D9592BAA6}"/>
    <cellStyle name="Vírgula 9 4 3" xfId="399" xr:uid="{6E09D364-B204-4DDF-B5D0-66883EF3B0ED}"/>
    <cellStyle name="Vírgula 9 5" xfId="21" xr:uid="{9038BFAA-3900-490C-88AC-2835449ABCBB}"/>
    <cellStyle name="Vírgula 9 5 2" xfId="212" xr:uid="{9F57D2F8-42A7-4944-9E7F-24B61F369E9D}"/>
    <cellStyle name="Vírgula 9 5 2 2" xfId="451" xr:uid="{081B36C8-4017-4FC5-8465-A2AB3D1CDD65}"/>
    <cellStyle name="Vírgula 9 5 3" xfId="333" xr:uid="{57002460-A468-4D93-8BBA-E9C71A4BA055}"/>
    <cellStyle name="Vírgula 9 6" xfId="204" xr:uid="{9E8DA833-A3C2-430A-A616-DC287EFAB0D3}"/>
    <cellStyle name="Vírgula 9 6 2" xfId="443" xr:uid="{DDAE324E-FAFD-4A84-B1AE-E255DF61A5CA}"/>
    <cellStyle name="Vírgula 9 7" xfId="325" xr:uid="{8FD936D4-D19E-4B72-A0E5-5ED90C6B0017}"/>
  </cellStyles>
  <dxfs count="12">
    <dxf>
      <font>
        <b/>
        <color rgb="FF7F6000"/>
      </font>
      <fill>
        <patternFill patternType="solid">
          <bgColor rgb="FFFFF1CC"/>
        </patternFill>
      </fill>
    </dxf>
    <dxf>
      <font>
        <b/>
        <color rgb="FF842029"/>
      </font>
      <fill>
        <patternFill patternType="solid">
          <bgColor rgb="FFF8D7DA"/>
        </patternFill>
      </fill>
    </dxf>
    <dxf>
      <font>
        <color rgb="FF9C0006"/>
      </font>
      <fill>
        <patternFill patternType="solid">
          <bgColor rgb="FFFCE8E6"/>
        </patternFill>
      </fill>
    </dxf>
    <dxf>
      <font>
        <color rgb="FF7F6000"/>
      </font>
      <fill>
        <patternFill patternType="solid">
          <bgColor rgb="FFFFF4D6"/>
        </patternFill>
      </fill>
    </dxf>
    <dxf>
      <font>
        <color rgb="FF7F6000"/>
      </font>
      <fill>
        <patternFill patternType="solid">
          <bgColor rgb="FFFFF4D6"/>
        </patternFill>
      </fill>
    </dxf>
    <dxf>
      <font>
        <b/>
        <color rgb="FF35654D"/>
      </font>
      <fill>
        <patternFill patternType="solid">
          <bgColor rgb="FFE8F3EC"/>
        </patternFill>
      </fill>
    </dxf>
    <dxf>
      <font>
        <color rgb="FF9C0006"/>
      </font>
      <fill>
        <patternFill>
          <bgColor rgb="FFFFC7CE"/>
        </patternFill>
      </fill>
    </dxf>
    <dxf>
      <font>
        <b/>
        <color rgb="FF7F7F7F"/>
      </font>
    </dxf>
    <dxf>
      <font>
        <b/>
        <color rgb="FF2F5597"/>
      </font>
    </dxf>
    <dxf>
      <font>
        <b/>
        <color rgb="FFC65911"/>
      </font>
    </dxf>
    <dxf>
      <font>
        <b/>
        <color rgb="FFC00000"/>
      </font>
    </dxf>
    <dxf>
      <fill>
        <patternFill>
          <bgColor theme="9" tint="0.39994506668294322"/>
        </patternFill>
      </fill>
    </dxf>
  </dxfs>
  <tableStyles count="1" defaultTableStyle="TableStyleMedium2" defaultPivotStyle="PivotStyleLight16">
    <tableStyle name="Green" table="0" count="1" xr9:uid="{7A28C28D-F7E5-4EFF-B1FA-584FB444DAF0}">
      <tableStyleElement type="pageFieldLabels"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user/Desktop/Modelo_Planejamento_DPSP_Profarma_com_Resumo.xlsx" TargetMode="External"/><Relationship Id="rId2" Type="http://schemas.openxmlformats.org/officeDocument/2006/relationships/externalLinkPath" Target="file:///C:\Users\user\Desktop\Modelo_Planejamento_DPSP_Profarma_com_Resumo.xlsx" TargetMode="External"/><Relationship Id="rId1" Type="http://schemas.openxmlformats.org/officeDocument/2006/relationships/externalLinkPath" Target="/Users/user/Desktop/Modelo_Planejamento_DPSP_Profarma_com_Resum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SUMO DPSP"/>
      <sheetName val="PLANEJAMENTO DPSP"/>
      <sheetName val="REMARCACOES DPSP"/>
      <sheetName val="RESUMO PROFARMA"/>
      <sheetName val="PLANEJAMENTO PROFARMA"/>
      <sheetName val="REMARCACOES PROFARMA"/>
      <sheetName val="LISTAS"/>
    </sheetNames>
    <sheetDataSet>
      <sheetData sheetId="0"/>
      <sheetData sheetId="1"/>
      <sheetData sheetId="2">
        <row r="5">
          <cell r="G5">
            <v>46218</v>
          </cell>
          <cell r="H5">
            <v>46225</v>
          </cell>
          <cell r="J5" t="str">
            <v>Falta de disponibilidade de equipe</v>
          </cell>
          <cell r="M5" t="str">
            <v>0226-014989|DP BAIRRO DE FATIMA|Boa tarde!Forro do estoque caiu .</v>
          </cell>
        </row>
        <row r="6">
          <cell r="G6">
            <v>46253</v>
          </cell>
          <cell r="H6">
            <v>46260</v>
          </cell>
          <cell r="J6" t="str">
            <v>Falta de material e clima</v>
          </cell>
          <cell r="M6" t="str">
            <v>0226-014989|DP BAIRRO DE FATIMA|Boa tarde!Forro do estoque caiu .</v>
          </cell>
        </row>
        <row r="7">
          <cell r="G7">
            <v>46207</v>
          </cell>
          <cell r="H7">
            <v>46234</v>
          </cell>
          <cell r="J7" t="str">
            <v>CLIMA E HUMIDADE NAS PAREDES</v>
          </cell>
          <cell r="M7" t="str">
            <v>0626-005068|DP PADRE MIGUEL|CAMINHO DO CLIENTE</v>
          </cell>
        </row>
        <row r="8">
          <cell r="G8">
            <v>46207</v>
          </cell>
          <cell r="H8">
            <v>46248</v>
          </cell>
          <cell r="J8" t="str">
            <v>Falta de tinta, reaproveitado tinta Sta Cruz 4</v>
          </cell>
          <cell r="M8" t="str">
            <v>0626-005068|DP PADRE MIGUEL|CAMINHO DO CLIENTE</v>
          </cell>
        </row>
        <row r="9">
          <cell r="G9">
            <v>46212</v>
          </cell>
          <cell r="H9">
            <v>46233</v>
          </cell>
          <cell r="J9" t="str">
            <v>Alteração de prazo devido reavaliação do Engenheiro</v>
          </cell>
          <cell r="M9" t="str">
            <v>0526-013742|DP SANTA CRUZ 4|Caminho Cliente - Pintura Fachada e benfeitorias externas</v>
          </cell>
        </row>
        <row r="10">
          <cell r="G10">
            <v>46212</v>
          </cell>
          <cell r="H10">
            <v>46248</v>
          </cell>
          <cell r="J10" t="str">
            <v>Analista Juan solicitou que fossem feitas outros itens</v>
          </cell>
          <cell r="M10" t="str">
            <v>0526-013742|DP SANTA CRUZ 4|Caminho Cliente - Pintura Fachada e benfeitorias externas</v>
          </cell>
        </row>
        <row r="11">
          <cell r="H11">
            <v>46201</v>
          </cell>
          <cell r="M11" t="str">
            <v>0626-010405|BARRA SHOPPING|FRETE CATETE 5 X BARRA DA TIJUCA</v>
          </cell>
        </row>
        <row r="12">
          <cell r="H12">
            <v>46202</v>
          </cell>
          <cell r="M12" t="str">
            <v>0526-017783|BOTAFOGO 10|Canteiro de arvore</v>
          </cell>
        </row>
        <row r="13">
          <cell r="H13">
            <v>46233</v>
          </cell>
          <cell r="J13" t="str">
            <v>Pendente teste de Estanqueidade</v>
          </cell>
          <cell r="M13" t="str">
            <v>0226-004162|DP ALCANTARA 5|Rolllout do Telhado Geral da loja e marquise</v>
          </cell>
        </row>
        <row r="14">
          <cell r="G14">
            <v>46223</v>
          </cell>
          <cell r="H14">
            <v>46234</v>
          </cell>
          <cell r="J14" t="str">
            <v>Não liberação do valor</v>
          </cell>
          <cell r="M14" t="str">
            <v>0226-005730|DP BARRA DE SAO JOAO|Boa noite ,
Solicito reparo no teto da loja pois estamos com infiltra&amp;ccedil;&amp;atilde;o na &amp;aacute;rea de vendas inclusive esta pigando em cima de produtos gerando perda para a loja</v>
          </cell>
        </row>
        <row r="15">
          <cell r="G15">
            <v>46237</v>
          </cell>
          <cell r="H15">
            <v>46251</v>
          </cell>
          <cell r="J15" t="str">
            <v>Material será comprado 29/07</v>
          </cell>
          <cell r="M15" t="str">
            <v>0226-005730|DP BARRA DE SAO JOAO|Boa noite ,
Solicito reparo no teto da loja pois estamos com infiltra&amp;ccedil;&amp;atilde;o na &amp;aacute;rea de vendas inclusive esta pigando em cima de produtos gerando perda para a loja</v>
          </cell>
        </row>
        <row r="16">
          <cell r="G16">
            <v>46218</v>
          </cell>
          <cell r="H16">
            <v>46225</v>
          </cell>
          <cell r="J16" t="str">
            <v>Falta de material</v>
          </cell>
          <cell r="M16" t="str">
            <v>0826-005902|DP FLAMENGO|INSTALAÇÃO DE CALHA</v>
          </cell>
        </row>
        <row r="17">
          <cell r="J17" t="str">
            <v>Liberação de equipe e sem material</v>
          </cell>
          <cell r="M17" t="str">
            <v>0826-005902|DP FLAMENGO|INSTALAÇÃO DE CALHA</v>
          </cell>
        </row>
        <row r="18">
          <cell r="G18">
            <v>46225</v>
          </cell>
          <cell r="H18">
            <v>46232</v>
          </cell>
          <cell r="J18" t="str">
            <v>Falta de material</v>
          </cell>
          <cell r="M18" t="str">
            <v>GARANTIA|DP CABO FRIO 4|GARANTIA DE TELHADO</v>
          </cell>
        </row>
        <row r="19">
          <cell r="G19">
            <v>46258</v>
          </cell>
          <cell r="H19">
            <v>46265</v>
          </cell>
          <cell r="J19" t="str">
            <v>Remanejamento de equipe e liberação de recursos</v>
          </cell>
          <cell r="M19" t="str">
            <v>GARANTIA|DP CABO FRIO 4|GARANTIA DE TELHADO</v>
          </cell>
        </row>
        <row r="20">
          <cell r="G20">
            <v>46221</v>
          </cell>
          <cell r="H20">
            <v>46227</v>
          </cell>
          <cell r="J20" t="str">
            <v>Efetuar pagamento ao prestador (Solicitação 26/06). Refazer solicitação financeiro ate 16/07</v>
          </cell>
          <cell r="M20" t="str">
            <v>0326-018578|DP IPANEMA 8|Solicito o desvio da exaustão</v>
          </cell>
        </row>
        <row r="21">
          <cell r="G21">
            <v>46201</v>
          </cell>
          <cell r="H21">
            <v>46223</v>
          </cell>
          <cell r="J21" t="str">
            <v>CLIMA E UMIDADE NAS PAREDES</v>
          </cell>
          <cell r="M21" t="str">
            <v>0626-005880|DP BARRA DA TIJUCA 10|CAMINHO DO CLIENTE</v>
          </cell>
        </row>
        <row r="22">
          <cell r="G22">
            <v>46201</v>
          </cell>
          <cell r="H22">
            <v>46232</v>
          </cell>
          <cell r="J22" t="str">
            <v>CLIMA E UMIDADE NAS PAREDES</v>
          </cell>
          <cell r="M22" t="str">
            <v>0626-005880|DP BARRA DA TIJUCA 10|CAMINHO DO CLIENTE</v>
          </cell>
        </row>
        <row r="23">
          <cell r="G23">
            <v>46223</v>
          </cell>
          <cell r="H23">
            <v>46244</v>
          </cell>
          <cell r="J23" t="str">
            <v>agenda prestador</v>
          </cell>
          <cell r="M23" t="str">
            <v>0226-011320|DP PRACA DO O|Boa noite, loja com infiltração. Solicitamos o reparo a pedido de Ludmila Leonardo.</v>
          </cell>
        </row>
        <row r="24">
          <cell r="G24">
            <v>46258</v>
          </cell>
          <cell r="H24">
            <v>46265</v>
          </cell>
          <cell r="J24" t="str">
            <v>agenda prestador</v>
          </cell>
          <cell r="M24" t="str">
            <v>0226-011320|DP PRACA DO O|Boa noite, loja com infiltração. Solicitamos o reparo a pedido de Ludmila Leonardo.</v>
          </cell>
        </row>
        <row r="25">
          <cell r="G25">
            <v>46237</v>
          </cell>
          <cell r="H25">
            <v>46251</v>
          </cell>
          <cell r="J25" t="str">
            <v>Troca de prestador</v>
          </cell>
          <cell r="M25" t="str">
            <v>0526-013772|DP NILOPOLIS 4|Caminho Cliente - Pintura fachada e benfeitorias externas </v>
          </cell>
        </row>
        <row r="26">
          <cell r="J26" t="str">
            <v>Analista solicitou finalização até 30/07</v>
          </cell>
          <cell r="M26" t="str">
            <v>0526-013772|DP NILOPOLIS 4|Caminho Cliente - Pintura fachada e benfeitorias externas </v>
          </cell>
        </row>
        <row r="27">
          <cell r="G27">
            <v>46223</v>
          </cell>
          <cell r="H27">
            <v>46232</v>
          </cell>
          <cell r="M27" t="str">
            <v>0526-013724|DP NILOPOLIS 5|Caminho Cliente - Pintura fachada e benfeitorias externas </v>
          </cell>
        </row>
        <row r="28">
          <cell r="G28">
            <v>46247</v>
          </cell>
          <cell r="H28">
            <v>46265</v>
          </cell>
          <cell r="J28" t="str">
            <v>Nova definição de data + liberação prefeitura</v>
          </cell>
          <cell r="M28" t="str">
            <v>0526-013724|DP NILOPOLIS 5|Caminho Cliente - Pintura fachada e benfeitorias externas </v>
          </cell>
        </row>
        <row r="29">
          <cell r="G29">
            <v>46223</v>
          </cell>
          <cell r="H29">
            <v>46231</v>
          </cell>
          <cell r="J29" t="str">
            <v>Liberação de valor 13/07</v>
          </cell>
          <cell r="M29" t="str">
            <v>0626-013801|DP RECREIO 1|instalação de ar na copa</v>
          </cell>
        </row>
        <row r="30">
          <cell r="G30">
            <v>46223</v>
          </cell>
          <cell r="H30">
            <v>46224</v>
          </cell>
          <cell r="J30" t="str">
            <v>Cliente não deu liberação na data prevista</v>
          </cell>
          <cell r="M30" t="str">
            <v>0226-013174|DP COPACABANA 8|Solicito reparo de vazamento na área de vendas, vazamento do teto para parede, solicito com urgência, medicamentos sendo danificados pelo mesmo.</v>
          </cell>
        </row>
        <row r="31">
          <cell r="J31" t="str">
            <v>Remanejamento de equipe</v>
          </cell>
          <cell r="M31" t="str">
            <v>0226-013174|DP COPACABANA 8|Solicito reparo de vazamento na área de vendas, vazamento do teto para parede, solicito com urgência, medicamentos sendo danificados pelo mesmo.</v>
          </cell>
        </row>
        <row r="32">
          <cell r="G32">
            <v>46233</v>
          </cell>
          <cell r="H32">
            <v>46234</v>
          </cell>
          <cell r="J32" t="str">
            <v>Atraso devido não aprovação de orçaemente de prestador</v>
          </cell>
          <cell r="M32" t="str">
            <v>0626-014071|DP MAGE 1|solicito suporte para limpeza e vedação para fossa que fica localizada no salão de vendas, cheiro muito forte so ameniza com ar condicionado ligado.
necessário fazer no horario noturno para amenizar impacto com clientes devido ao cheiro.</v>
          </cell>
        </row>
        <row r="33">
          <cell r="G33">
            <v>46232</v>
          </cell>
          <cell r="H33">
            <v>46248</v>
          </cell>
          <cell r="J33" t="str">
            <v>Remanejamento de Equipe</v>
          </cell>
          <cell r="M33" t="str">
            <v>0726-011532|DPA BARRA DA TIJUCA 6|Mão de obra para pintura da fachada.</v>
          </cell>
        </row>
        <row r="34">
          <cell r="J34" t="str">
            <v>CLIMA E UMIDADE NAS PAREDES</v>
          </cell>
          <cell r="M34" t="str">
            <v>0726-011532|DPA BARRA DA TIJUCA 6|Mão de obra para pintura da fachada.</v>
          </cell>
        </row>
        <row r="35">
          <cell r="M35" t="str">
            <v/>
          </cell>
        </row>
        <row r="36">
          <cell r="M36" t="str">
            <v/>
          </cell>
        </row>
        <row r="37">
          <cell r="M37" t="str">
            <v/>
          </cell>
        </row>
        <row r="38">
          <cell r="M38" t="str">
            <v/>
          </cell>
        </row>
        <row r="39">
          <cell r="M39" t="str">
            <v/>
          </cell>
        </row>
        <row r="40">
          <cell r="M40" t="str">
            <v/>
          </cell>
        </row>
        <row r="41">
          <cell r="M41" t="str">
            <v/>
          </cell>
        </row>
        <row r="42">
          <cell r="M42" t="str">
            <v/>
          </cell>
        </row>
        <row r="43">
          <cell r="M43" t="str">
            <v/>
          </cell>
        </row>
        <row r="44">
          <cell r="M44" t="str">
            <v/>
          </cell>
        </row>
        <row r="45">
          <cell r="M45" t="str">
            <v/>
          </cell>
        </row>
        <row r="46">
          <cell r="M46" t="str">
            <v/>
          </cell>
        </row>
        <row r="47">
          <cell r="M47" t="str">
            <v/>
          </cell>
        </row>
        <row r="48">
          <cell r="M48" t="str">
            <v/>
          </cell>
        </row>
        <row r="49">
          <cell r="M49" t="str">
            <v/>
          </cell>
        </row>
        <row r="50">
          <cell r="M50" t="str">
            <v/>
          </cell>
        </row>
        <row r="51">
          <cell r="M51" t="str">
            <v/>
          </cell>
        </row>
        <row r="52">
          <cell r="M52" t="str">
            <v/>
          </cell>
        </row>
        <row r="53">
          <cell r="M53" t="str">
            <v/>
          </cell>
        </row>
        <row r="54">
          <cell r="M54" t="str">
            <v/>
          </cell>
        </row>
        <row r="55">
          <cell r="M55" t="str">
            <v/>
          </cell>
        </row>
        <row r="56">
          <cell r="M56" t="str">
            <v/>
          </cell>
        </row>
        <row r="57">
          <cell r="M57" t="str">
            <v/>
          </cell>
        </row>
        <row r="58">
          <cell r="M58" t="str">
            <v/>
          </cell>
        </row>
        <row r="59">
          <cell r="M59" t="str">
            <v/>
          </cell>
        </row>
        <row r="60">
          <cell r="M60" t="str">
            <v/>
          </cell>
        </row>
        <row r="61">
          <cell r="M61" t="str">
            <v/>
          </cell>
        </row>
        <row r="62">
          <cell r="M62" t="str">
            <v/>
          </cell>
        </row>
        <row r="63">
          <cell r="M63" t="str">
            <v/>
          </cell>
        </row>
        <row r="64">
          <cell r="M64" t="str">
            <v/>
          </cell>
        </row>
        <row r="65">
          <cell r="M65" t="str">
            <v/>
          </cell>
        </row>
        <row r="66">
          <cell r="M66" t="str">
            <v/>
          </cell>
        </row>
        <row r="67">
          <cell r="M67" t="str">
            <v/>
          </cell>
        </row>
        <row r="68">
          <cell r="M68" t="str">
            <v/>
          </cell>
        </row>
        <row r="69">
          <cell r="M69" t="str">
            <v/>
          </cell>
        </row>
        <row r="70">
          <cell r="M70" t="str">
            <v/>
          </cell>
        </row>
        <row r="71">
          <cell r="M71" t="str">
            <v/>
          </cell>
        </row>
        <row r="72">
          <cell r="M72" t="str">
            <v/>
          </cell>
        </row>
        <row r="73">
          <cell r="M73" t="str">
            <v/>
          </cell>
        </row>
        <row r="74">
          <cell r="M74" t="str">
            <v/>
          </cell>
        </row>
        <row r="75">
          <cell r="M75" t="str">
            <v/>
          </cell>
        </row>
        <row r="76">
          <cell r="M76" t="str">
            <v/>
          </cell>
        </row>
        <row r="77">
          <cell r="M77" t="str">
            <v/>
          </cell>
        </row>
        <row r="78">
          <cell r="M78" t="str">
            <v/>
          </cell>
        </row>
        <row r="79">
          <cell r="M79" t="str">
            <v/>
          </cell>
        </row>
        <row r="80">
          <cell r="M80" t="str">
            <v/>
          </cell>
        </row>
        <row r="81">
          <cell r="M81" t="str">
            <v/>
          </cell>
        </row>
        <row r="82">
          <cell r="M82" t="str">
            <v/>
          </cell>
        </row>
        <row r="83">
          <cell r="M83" t="str">
            <v/>
          </cell>
        </row>
        <row r="84">
          <cell r="M84" t="str">
            <v/>
          </cell>
        </row>
        <row r="85">
          <cell r="M85" t="str">
            <v/>
          </cell>
        </row>
        <row r="86">
          <cell r="M86" t="str">
            <v/>
          </cell>
        </row>
        <row r="87">
          <cell r="M87" t="str">
            <v/>
          </cell>
        </row>
        <row r="88">
          <cell r="M88" t="str">
            <v/>
          </cell>
        </row>
        <row r="89">
          <cell r="M89" t="str">
            <v/>
          </cell>
        </row>
        <row r="90">
          <cell r="M90" t="str">
            <v/>
          </cell>
        </row>
        <row r="91">
          <cell r="M91" t="str">
            <v/>
          </cell>
        </row>
        <row r="92">
          <cell r="M92" t="str">
            <v/>
          </cell>
        </row>
        <row r="93">
          <cell r="M93" t="str">
            <v/>
          </cell>
        </row>
        <row r="94">
          <cell r="M94" t="str">
            <v/>
          </cell>
        </row>
        <row r="95">
          <cell r="M95" t="str">
            <v/>
          </cell>
        </row>
        <row r="96">
          <cell r="M96" t="str">
            <v/>
          </cell>
        </row>
        <row r="97">
          <cell r="M97" t="str">
            <v/>
          </cell>
        </row>
        <row r="98">
          <cell r="M98" t="str">
            <v/>
          </cell>
        </row>
        <row r="99">
          <cell r="M99" t="str">
            <v/>
          </cell>
        </row>
        <row r="100">
          <cell r="M100" t="str">
            <v/>
          </cell>
        </row>
        <row r="101">
          <cell r="M101" t="str">
            <v/>
          </cell>
        </row>
        <row r="102">
          <cell r="M102" t="str">
            <v/>
          </cell>
        </row>
        <row r="103">
          <cell r="M103" t="str">
            <v/>
          </cell>
        </row>
        <row r="104">
          <cell r="M104" t="str">
            <v/>
          </cell>
        </row>
        <row r="105">
          <cell r="M105" t="str">
            <v/>
          </cell>
        </row>
        <row r="106">
          <cell r="M106" t="str">
            <v/>
          </cell>
        </row>
        <row r="107">
          <cell r="M107" t="str">
            <v/>
          </cell>
        </row>
        <row r="108">
          <cell r="M108" t="str">
            <v/>
          </cell>
        </row>
        <row r="109">
          <cell r="M109" t="str">
            <v/>
          </cell>
        </row>
        <row r="110">
          <cell r="M110" t="str">
            <v/>
          </cell>
        </row>
        <row r="111">
          <cell r="M111" t="str">
            <v/>
          </cell>
        </row>
        <row r="112">
          <cell r="M112" t="str">
            <v/>
          </cell>
        </row>
        <row r="113">
          <cell r="M113" t="str">
            <v/>
          </cell>
        </row>
        <row r="114">
          <cell r="M114" t="str">
            <v/>
          </cell>
        </row>
        <row r="115">
          <cell r="M115" t="str">
            <v/>
          </cell>
        </row>
        <row r="116">
          <cell r="M116" t="str">
            <v/>
          </cell>
        </row>
        <row r="117">
          <cell r="M117" t="str">
            <v/>
          </cell>
        </row>
        <row r="118">
          <cell r="M118" t="str">
            <v/>
          </cell>
        </row>
        <row r="119">
          <cell r="M119" t="str">
            <v/>
          </cell>
        </row>
        <row r="120">
          <cell r="M120" t="str">
            <v/>
          </cell>
        </row>
        <row r="121">
          <cell r="M121" t="str">
            <v/>
          </cell>
        </row>
        <row r="122">
          <cell r="M122" t="str">
            <v/>
          </cell>
        </row>
        <row r="123">
          <cell r="M123" t="str">
            <v/>
          </cell>
        </row>
        <row r="124">
          <cell r="M124" t="str">
            <v/>
          </cell>
        </row>
        <row r="125">
          <cell r="M125" t="str">
            <v/>
          </cell>
        </row>
        <row r="126">
          <cell r="M126" t="str">
            <v/>
          </cell>
        </row>
        <row r="127">
          <cell r="M127" t="str">
            <v/>
          </cell>
        </row>
        <row r="128">
          <cell r="M128" t="str">
            <v/>
          </cell>
        </row>
        <row r="129">
          <cell r="M129" t="str">
            <v/>
          </cell>
        </row>
        <row r="130">
          <cell r="M130" t="str">
            <v/>
          </cell>
        </row>
        <row r="131">
          <cell r="M131" t="str">
            <v/>
          </cell>
        </row>
        <row r="132">
          <cell r="M132" t="str">
            <v/>
          </cell>
        </row>
        <row r="133">
          <cell r="M133" t="str">
            <v/>
          </cell>
        </row>
        <row r="134">
          <cell r="M134" t="str">
            <v/>
          </cell>
        </row>
        <row r="135">
          <cell r="M135" t="str">
            <v/>
          </cell>
        </row>
        <row r="136">
          <cell r="M136" t="str">
            <v/>
          </cell>
        </row>
        <row r="137">
          <cell r="M137" t="str">
            <v/>
          </cell>
        </row>
        <row r="138">
          <cell r="M138" t="str">
            <v/>
          </cell>
        </row>
        <row r="139">
          <cell r="M139" t="str">
            <v/>
          </cell>
        </row>
        <row r="140">
          <cell r="M140" t="str">
            <v/>
          </cell>
        </row>
        <row r="141">
          <cell r="M141" t="str">
            <v/>
          </cell>
        </row>
        <row r="142">
          <cell r="M142" t="str">
            <v/>
          </cell>
        </row>
        <row r="143">
          <cell r="M143" t="str">
            <v/>
          </cell>
        </row>
        <row r="144">
          <cell r="M144" t="str">
            <v/>
          </cell>
        </row>
        <row r="145">
          <cell r="M145" t="str">
            <v/>
          </cell>
        </row>
        <row r="146">
          <cell r="M146" t="str">
            <v/>
          </cell>
        </row>
        <row r="147">
          <cell r="M147" t="str">
            <v/>
          </cell>
        </row>
        <row r="148">
          <cell r="M148" t="str">
            <v/>
          </cell>
        </row>
        <row r="149">
          <cell r="M149" t="str">
            <v/>
          </cell>
        </row>
        <row r="150">
          <cell r="M150" t="str">
            <v/>
          </cell>
        </row>
        <row r="151">
          <cell r="M151" t="str">
            <v/>
          </cell>
        </row>
        <row r="152">
          <cell r="M152" t="str">
            <v/>
          </cell>
        </row>
        <row r="153">
          <cell r="M153" t="str">
            <v/>
          </cell>
        </row>
        <row r="154">
          <cell r="M154" t="str">
            <v/>
          </cell>
        </row>
        <row r="155">
          <cell r="M155" t="str">
            <v/>
          </cell>
        </row>
        <row r="156">
          <cell r="M156" t="str">
            <v/>
          </cell>
        </row>
        <row r="157">
          <cell r="M157" t="str">
            <v/>
          </cell>
        </row>
        <row r="158">
          <cell r="M158" t="str">
            <v/>
          </cell>
        </row>
        <row r="159">
          <cell r="M159" t="str">
            <v/>
          </cell>
        </row>
        <row r="160">
          <cell r="M160" t="str">
            <v/>
          </cell>
        </row>
        <row r="161">
          <cell r="M161" t="str">
            <v/>
          </cell>
        </row>
        <row r="162">
          <cell r="M162" t="str">
            <v/>
          </cell>
        </row>
        <row r="163">
          <cell r="M163" t="str">
            <v/>
          </cell>
        </row>
        <row r="164">
          <cell r="M164" t="str">
            <v/>
          </cell>
        </row>
        <row r="165">
          <cell r="M165" t="str">
            <v/>
          </cell>
        </row>
        <row r="166">
          <cell r="M166" t="str">
            <v/>
          </cell>
        </row>
        <row r="167">
          <cell r="M167" t="str">
            <v/>
          </cell>
        </row>
        <row r="168">
          <cell r="M168" t="str">
            <v/>
          </cell>
        </row>
        <row r="169">
          <cell r="M169" t="str">
            <v/>
          </cell>
        </row>
        <row r="170">
          <cell r="M170" t="str">
            <v/>
          </cell>
        </row>
        <row r="171">
          <cell r="M171" t="str">
            <v/>
          </cell>
        </row>
        <row r="172">
          <cell r="M172" t="str">
            <v/>
          </cell>
        </row>
        <row r="173">
          <cell r="M173" t="str">
            <v/>
          </cell>
        </row>
        <row r="174">
          <cell r="M174" t="str">
            <v/>
          </cell>
        </row>
        <row r="175">
          <cell r="M175" t="str">
            <v/>
          </cell>
        </row>
        <row r="176">
          <cell r="M176" t="str">
            <v/>
          </cell>
        </row>
        <row r="177">
          <cell r="M177" t="str">
            <v/>
          </cell>
        </row>
        <row r="178">
          <cell r="M178" t="str">
            <v/>
          </cell>
        </row>
        <row r="179">
          <cell r="M179" t="str">
            <v/>
          </cell>
        </row>
        <row r="180">
          <cell r="M180" t="str">
            <v/>
          </cell>
        </row>
        <row r="181">
          <cell r="M181" t="str">
            <v/>
          </cell>
        </row>
        <row r="182">
          <cell r="M182" t="str">
            <v/>
          </cell>
        </row>
        <row r="183">
          <cell r="M183" t="str">
            <v/>
          </cell>
        </row>
        <row r="184">
          <cell r="M184" t="str">
            <v/>
          </cell>
        </row>
        <row r="185">
          <cell r="M185" t="str">
            <v/>
          </cell>
        </row>
        <row r="186">
          <cell r="M186" t="str">
            <v/>
          </cell>
        </row>
        <row r="187">
          <cell r="M187" t="str">
            <v/>
          </cell>
        </row>
        <row r="188">
          <cell r="M188" t="str">
            <v/>
          </cell>
        </row>
        <row r="189">
          <cell r="M189" t="str">
            <v/>
          </cell>
        </row>
        <row r="190">
          <cell r="M190" t="str">
            <v/>
          </cell>
        </row>
        <row r="191">
          <cell r="M191" t="str">
            <v/>
          </cell>
        </row>
        <row r="192">
          <cell r="M192" t="str">
            <v/>
          </cell>
        </row>
        <row r="193">
          <cell r="M193" t="str">
            <v/>
          </cell>
        </row>
        <row r="194">
          <cell r="M194" t="str">
            <v/>
          </cell>
        </row>
        <row r="195">
          <cell r="M195" t="str">
            <v/>
          </cell>
        </row>
        <row r="196">
          <cell r="M196" t="str">
            <v/>
          </cell>
        </row>
        <row r="197">
          <cell r="M197" t="str">
            <v/>
          </cell>
        </row>
        <row r="198">
          <cell r="M198" t="str">
            <v/>
          </cell>
        </row>
        <row r="199">
          <cell r="M199" t="str">
            <v/>
          </cell>
        </row>
        <row r="200">
          <cell r="M200" t="str">
            <v/>
          </cell>
        </row>
        <row r="201">
          <cell r="M201" t="str">
            <v/>
          </cell>
        </row>
        <row r="202">
          <cell r="M202" t="str">
            <v/>
          </cell>
        </row>
        <row r="203">
          <cell r="M203" t="str">
            <v/>
          </cell>
        </row>
        <row r="204">
          <cell r="M204" t="str">
            <v/>
          </cell>
        </row>
        <row r="205">
          <cell r="M205" t="str">
            <v/>
          </cell>
        </row>
        <row r="206">
          <cell r="M206" t="str">
            <v/>
          </cell>
        </row>
        <row r="207">
          <cell r="M207" t="str">
            <v/>
          </cell>
        </row>
        <row r="208">
          <cell r="M208" t="str">
            <v/>
          </cell>
        </row>
        <row r="209">
          <cell r="M209" t="str">
            <v/>
          </cell>
        </row>
        <row r="210">
          <cell r="M210" t="str">
            <v/>
          </cell>
        </row>
        <row r="211">
          <cell r="M211" t="str">
            <v/>
          </cell>
        </row>
        <row r="212">
          <cell r="M212" t="str">
            <v/>
          </cell>
        </row>
        <row r="213">
          <cell r="M213" t="str">
            <v/>
          </cell>
        </row>
        <row r="214">
          <cell r="M214" t="str">
            <v/>
          </cell>
        </row>
        <row r="215">
          <cell r="M215" t="str">
            <v/>
          </cell>
        </row>
        <row r="216">
          <cell r="M216" t="str">
            <v/>
          </cell>
        </row>
        <row r="217">
          <cell r="M217" t="str">
            <v/>
          </cell>
        </row>
        <row r="218">
          <cell r="M218" t="str">
            <v/>
          </cell>
        </row>
        <row r="219">
          <cell r="M219" t="str">
            <v/>
          </cell>
        </row>
        <row r="220">
          <cell r="M220" t="str">
            <v/>
          </cell>
        </row>
        <row r="221">
          <cell r="M221" t="str">
            <v/>
          </cell>
        </row>
        <row r="222">
          <cell r="M222" t="str">
            <v/>
          </cell>
        </row>
        <row r="223">
          <cell r="M223" t="str">
            <v/>
          </cell>
        </row>
        <row r="224">
          <cell r="M224" t="str">
            <v/>
          </cell>
        </row>
        <row r="225">
          <cell r="M225" t="str">
            <v/>
          </cell>
        </row>
        <row r="226">
          <cell r="M226" t="str">
            <v/>
          </cell>
        </row>
        <row r="227">
          <cell r="M227" t="str">
            <v/>
          </cell>
        </row>
        <row r="228">
          <cell r="M228" t="str">
            <v/>
          </cell>
        </row>
        <row r="229">
          <cell r="M229" t="str">
            <v/>
          </cell>
        </row>
        <row r="230">
          <cell r="M230" t="str">
            <v/>
          </cell>
        </row>
        <row r="231">
          <cell r="M231" t="str">
            <v/>
          </cell>
        </row>
        <row r="232">
          <cell r="M232" t="str">
            <v/>
          </cell>
        </row>
        <row r="233">
          <cell r="M233" t="str">
            <v/>
          </cell>
        </row>
        <row r="234">
          <cell r="M234" t="str">
            <v/>
          </cell>
        </row>
        <row r="235">
          <cell r="M235" t="str">
            <v/>
          </cell>
        </row>
        <row r="236">
          <cell r="M236" t="str">
            <v/>
          </cell>
        </row>
        <row r="237">
          <cell r="M237" t="str">
            <v/>
          </cell>
        </row>
        <row r="238">
          <cell r="M238" t="str">
            <v/>
          </cell>
        </row>
        <row r="239">
          <cell r="M239" t="str">
            <v/>
          </cell>
        </row>
        <row r="240">
          <cell r="M240" t="str">
            <v/>
          </cell>
        </row>
        <row r="241">
          <cell r="M241" t="str">
            <v/>
          </cell>
        </row>
        <row r="242">
          <cell r="M242" t="str">
            <v/>
          </cell>
        </row>
        <row r="243">
          <cell r="M243" t="str">
            <v/>
          </cell>
        </row>
        <row r="244">
          <cell r="M244" t="str">
            <v/>
          </cell>
        </row>
        <row r="245">
          <cell r="M245" t="str">
            <v/>
          </cell>
        </row>
        <row r="246">
          <cell r="M246" t="str">
            <v/>
          </cell>
        </row>
        <row r="247">
          <cell r="M247" t="str">
            <v/>
          </cell>
        </row>
        <row r="248">
          <cell r="M248" t="str">
            <v/>
          </cell>
        </row>
        <row r="249">
          <cell r="M249" t="str">
            <v/>
          </cell>
        </row>
        <row r="250">
          <cell r="M250" t="str">
            <v/>
          </cell>
        </row>
        <row r="251">
          <cell r="M251" t="str">
            <v/>
          </cell>
        </row>
        <row r="252">
          <cell r="M252" t="str">
            <v/>
          </cell>
        </row>
        <row r="253">
          <cell r="M253" t="str">
            <v/>
          </cell>
        </row>
        <row r="254">
          <cell r="M254" t="str">
            <v/>
          </cell>
        </row>
        <row r="255">
          <cell r="M255" t="str">
            <v/>
          </cell>
        </row>
        <row r="256">
          <cell r="M256" t="str">
            <v/>
          </cell>
        </row>
        <row r="257">
          <cell r="M257" t="str">
            <v/>
          </cell>
        </row>
        <row r="258">
          <cell r="M258" t="str">
            <v/>
          </cell>
        </row>
        <row r="259">
          <cell r="M259" t="str">
            <v/>
          </cell>
        </row>
        <row r="260">
          <cell r="M260" t="str">
            <v/>
          </cell>
        </row>
        <row r="261">
          <cell r="M261" t="str">
            <v/>
          </cell>
        </row>
        <row r="262">
          <cell r="M262" t="str">
            <v/>
          </cell>
        </row>
        <row r="263">
          <cell r="M263" t="str">
            <v/>
          </cell>
        </row>
        <row r="264">
          <cell r="M264" t="str">
            <v/>
          </cell>
        </row>
        <row r="265">
          <cell r="M265" t="str">
            <v/>
          </cell>
        </row>
        <row r="266">
          <cell r="M266" t="str">
            <v/>
          </cell>
        </row>
        <row r="267">
          <cell r="M267" t="str">
            <v/>
          </cell>
        </row>
        <row r="268">
          <cell r="M268" t="str">
            <v/>
          </cell>
        </row>
        <row r="269">
          <cell r="M269" t="str">
            <v/>
          </cell>
        </row>
        <row r="270">
          <cell r="M270" t="str">
            <v/>
          </cell>
        </row>
        <row r="271">
          <cell r="M271" t="str">
            <v/>
          </cell>
        </row>
        <row r="272">
          <cell r="M272" t="str">
            <v/>
          </cell>
        </row>
        <row r="273">
          <cell r="M273" t="str">
            <v/>
          </cell>
        </row>
        <row r="274">
          <cell r="M274" t="str">
            <v/>
          </cell>
        </row>
        <row r="275">
          <cell r="M275" t="str">
            <v/>
          </cell>
        </row>
        <row r="276">
          <cell r="M276" t="str">
            <v/>
          </cell>
        </row>
        <row r="277">
          <cell r="M277" t="str">
            <v/>
          </cell>
        </row>
        <row r="278">
          <cell r="M278" t="str">
            <v/>
          </cell>
        </row>
        <row r="279">
          <cell r="M279" t="str">
            <v/>
          </cell>
        </row>
        <row r="280">
          <cell r="M280" t="str">
            <v/>
          </cell>
        </row>
        <row r="281">
          <cell r="M281" t="str">
            <v/>
          </cell>
        </row>
        <row r="282">
          <cell r="M282" t="str">
            <v/>
          </cell>
        </row>
        <row r="283">
          <cell r="M283" t="str">
            <v/>
          </cell>
        </row>
        <row r="284">
          <cell r="M284" t="str">
            <v/>
          </cell>
        </row>
        <row r="285">
          <cell r="M285" t="str">
            <v/>
          </cell>
        </row>
        <row r="286">
          <cell r="M286" t="str">
            <v/>
          </cell>
        </row>
        <row r="287">
          <cell r="M287" t="str">
            <v/>
          </cell>
        </row>
        <row r="288">
          <cell r="M288" t="str">
            <v/>
          </cell>
        </row>
        <row r="289">
          <cell r="M289" t="str">
            <v/>
          </cell>
        </row>
        <row r="290">
          <cell r="M290" t="str">
            <v/>
          </cell>
        </row>
        <row r="291">
          <cell r="M291" t="str">
            <v/>
          </cell>
        </row>
        <row r="292">
          <cell r="M292" t="str">
            <v/>
          </cell>
        </row>
        <row r="293">
          <cell r="M293" t="str">
            <v/>
          </cell>
        </row>
        <row r="294">
          <cell r="M294" t="str">
            <v/>
          </cell>
        </row>
        <row r="295">
          <cell r="M295" t="str">
            <v/>
          </cell>
        </row>
        <row r="296">
          <cell r="M296" t="str">
            <v/>
          </cell>
        </row>
        <row r="297">
          <cell r="M297" t="str">
            <v/>
          </cell>
        </row>
        <row r="298">
          <cell r="M298" t="str">
            <v/>
          </cell>
        </row>
        <row r="299">
          <cell r="M299" t="str">
            <v/>
          </cell>
        </row>
        <row r="300">
          <cell r="M300" t="str">
            <v/>
          </cell>
        </row>
        <row r="301">
          <cell r="M301" t="str">
            <v/>
          </cell>
        </row>
        <row r="302">
          <cell r="M302" t="str">
            <v/>
          </cell>
        </row>
        <row r="303">
          <cell r="M303" t="str">
            <v/>
          </cell>
        </row>
        <row r="304">
          <cell r="M304" t="str">
            <v/>
          </cell>
        </row>
        <row r="305">
          <cell r="M305" t="str">
            <v/>
          </cell>
        </row>
        <row r="306">
          <cell r="M306" t="str">
            <v/>
          </cell>
        </row>
        <row r="307">
          <cell r="M307" t="str">
            <v/>
          </cell>
        </row>
        <row r="308">
          <cell r="M308" t="str">
            <v/>
          </cell>
        </row>
        <row r="309">
          <cell r="M309" t="str">
            <v/>
          </cell>
        </row>
        <row r="310">
          <cell r="M310" t="str">
            <v/>
          </cell>
        </row>
        <row r="311">
          <cell r="M311" t="str">
            <v/>
          </cell>
        </row>
        <row r="312">
          <cell r="M312" t="str">
            <v/>
          </cell>
        </row>
        <row r="313">
          <cell r="M313" t="str">
            <v/>
          </cell>
        </row>
        <row r="314">
          <cell r="M314" t="str">
            <v/>
          </cell>
        </row>
        <row r="315">
          <cell r="M315" t="str">
            <v/>
          </cell>
        </row>
        <row r="316">
          <cell r="M316" t="str">
            <v/>
          </cell>
        </row>
        <row r="317">
          <cell r="M317" t="str">
            <v/>
          </cell>
        </row>
        <row r="318">
          <cell r="M318" t="str">
            <v/>
          </cell>
        </row>
        <row r="319">
          <cell r="M319" t="str">
            <v/>
          </cell>
        </row>
        <row r="320">
          <cell r="M320" t="str">
            <v/>
          </cell>
        </row>
        <row r="321">
          <cell r="M321" t="str">
            <v/>
          </cell>
        </row>
        <row r="322">
          <cell r="M322" t="str">
            <v/>
          </cell>
        </row>
        <row r="323">
          <cell r="M323" t="str">
            <v/>
          </cell>
        </row>
        <row r="324">
          <cell r="M324" t="str">
            <v/>
          </cell>
        </row>
        <row r="325">
          <cell r="M325" t="str">
            <v/>
          </cell>
        </row>
        <row r="326">
          <cell r="M326" t="str">
            <v/>
          </cell>
        </row>
        <row r="327">
          <cell r="M327" t="str">
            <v/>
          </cell>
        </row>
        <row r="328">
          <cell r="M328" t="str">
            <v/>
          </cell>
        </row>
        <row r="329">
          <cell r="M329" t="str">
            <v/>
          </cell>
        </row>
        <row r="330">
          <cell r="M330" t="str">
            <v/>
          </cell>
        </row>
        <row r="331">
          <cell r="M331" t="str">
            <v/>
          </cell>
        </row>
        <row r="332">
          <cell r="M332" t="str">
            <v/>
          </cell>
        </row>
        <row r="333">
          <cell r="M333" t="str">
            <v/>
          </cell>
        </row>
        <row r="334">
          <cell r="M334" t="str">
            <v/>
          </cell>
        </row>
        <row r="335">
          <cell r="M335" t="str">
            <v/>
          </cell>
        </row>
        <row r="336">
          <cell r="M336" t="str">
            <v/>
          </cell>
        </row>
        <row r="337">
          <cell r="M337" t="str">
            <v/>
          </cell>
        </row>
        <row r="338">
          <cell r="M338" t="str">
            <v/>
          </cell>
        </row>
        <row r="339">
          <cell r="M339" t="str">
            <v/>
          </cell>
        </row>
        <row r="340">
          <cell r="M340" t="str">
            <v/>
          </cell>
        </row>
        <row r="341">
          <cell r="M341" t="str">
            <v/>
          </cell>
        </row>
        <row r="342">
          <cell r="M342" t="str">
            <v/>
          </cell>
        </row>
        <row r="343">
          <cell r="M343" t="str">
            <v/>
          </cell>
        </row>
        <row r="344">
          <cell r="M344" t="str">
            <v/>
          </cell>
        </row>
        <row r="345">
          <cell r="M345" t="str">
            <v/>
          </cell>
        </row>
        <row r="346">
          <cell r="M346" t="str">
            <v/>
          </cell>
        </row>
        <row r="347">
          <cell r="M347" t="str">
            <v/>
          </cell>
        </row>
        <row r="348">
          <cell r="M348" t="str">
            <v/>
          </cell>
        </row>
        <row r="349">
          <cell r="M349" t="str">
            <v/>
          </cell>
        </row>
        <row r="350">
          <cell r="M350" t="str">
            <v/>
          </cell>
        </row>
        <row r="351">
          <cell r="M351" t="str">
            <v/>
          </cell>
        </row>
        <row r="352">
          <cell r="M352" t="str">
            <v/>
          </cell>
        </row>
        <row r="353">
          <cell r="M353" t="str">
            <v/>
          </cell>
        </row>
        <row r="354">
          <cell r="M354" t="str">
            <v/>
          </cell>
        </row>
        <row r="355">
          <cell r="M355" t="str">
            <v/>
          </cell>
        </row>
        <row r="356">
          <cell r="M356" t="str">
            <v/>
          </cell>
        </row>
        <row r="357">
          <cell r="M357" t="str">
            <v/>
          </cell>
        </row>
        <row r="358">
          <cell r="M358" t="str">
            <v/>
          </cell>
        </row>
        <row r="359">
          <cell r="M359" t="str">
            <v/>
          </cell>
        </row>
        <row r="360">
          <cell r="M360" t="str">
            <v/>
          </cell>
        </row>
        <row r="361">
          <cell r="M361" t="str">
            <v/>
          </cell>
        </row>
        <row r="362">
          <cell r="M362" t="str">
            <v/>
          </cell>
        </row>
        <row r="363">
          <cell r="M363" t="str">
            <v/>
          </cell>
        </row>
        <row r="364">
          <cell r="M364" t="str">
            <v/>
          </cell>
        </row>
        <row r="365">
          <cell r="M365" t="str">
            <v/>
          </cell>
        </row>
        <row r="366">
          <cell r="M366" t="str">
            <v/>
          </cell>
        </row>
        <row r="367">
          <cell r="M367" t="str">
            <v/>
          </cell>
        </row>
        <row r="368">
          <cell r="M368" t="str">
            <v/>
          </cell>
        </row>
        <row r="369">
          <cell r="M369" t="str">
            <v/>
          </cell>
        </row>
        <row r="370">
          <cell r="M370" t="str">
            <v/>
          </cell>
        </row>
        <row r="371">
          <cell r="M371" t="str">
            <v/>
          </cell>
        </row>
        <row r="372">
          <cell r="M372" t="str">
            <v/>
          </cell>
        </row>
        <row r="373">
          <cell r="M373" t="str">
            <v/>
          </cell>
        </row>
        <row r="374">
          <cell r="M374" t="str">
            <v/>
          </cell>
        </row>
        <row r="375">
          <cell r="M375" t="str">
            <v/>
          </cell>
        </row>
        <row r="376">
          <cell r="M376" t="str">
            <v/>
          </cell>
        </row>
        <row r="377">
          <cell r="M377" t="str">
            <v/>
          </cell>
        </row>
        <row r="378">
          <cell r="M378" t="str">
            <v/>
          </cell>
        </row>
        <row r="379">
          <cell r="M379" t="str">
            <v/>
          </cell>
        </row>
        <row r="380">
          <cell r="M380" t="str">
            <v/>
          </cell>
        </row>
        <row r="381">
          <cell r="M381" t="str">
            <v/>
          </cell>
        </row>
        <row r="382">
          <cell r="M382" t="str">
            <v/>
          </cell>
        </row>
        <row r="383">
          <cell r="M383" t="str">
            <v/>
          </cell>
        </row>
        <row r="384">
          <cell r="M384" t="str">
            <v/>
          </cell>
        </row>
        <row r="385">
          <cell r="M385" t="str">
            <v/>
          </cell>
        </row>
        <row r="386">
          <cell r="M386" t="str">
            <v/>
          </cell>
        </row>
        <row r="387">
          <cell r="M387" t="str">
            <v/>
          </cell>
        </row>
        <row r="388">
          <cell r="M388" t="str">
            <v/>
          </cell>
        </row>
        <row r="389">
          <cell r="M389" t="str">
            <v/>
          </cell>
        </row>
        <row r="390">
          <cell r="M390" t="str">
            <v/>
          </cell>
        </row>
        <row r="391">
          <cell r="M391" t="str">
            <v/>
          </cell>
        </row>
        <row r="392">
          <cell r="M392" t="str">
            <v/>
          </cell>
        </row>
        <row r="393">
          <cell r="M393" t="str">
            <v/>
          </cell>
        </row>
        <row r="394">
          <cell r="M394" t="str">
            <v/>
          </cell>
        </row>
        <row r="395">
          <cell r="M395" t="str">
            <v/>
          </cell>
        </row>
        <row r="396">
          <cell r="M396" t="str">
            <v/>
          </cell>
        </row>
        <row r="397">
          <cell r="M397" t="str">
            <v/>
          </cell>
        </row>
        <row r="398">
          <cell r="M398" t="str">
            <v/>
          </cell>
        </row>
        <row r="399">
          <cell r="M399" t="str">
            <v/>
          </cell>
        </row>
        <row r="400">
          <cell r="M400" t="str">
            <v/>
          </cell>
        </row>
        <row r="401">
          <cell r="M401" t="str">
            <v/>
          </cell>
        </row>
        <row r="402">
          <cell r="M402" t="str">
            <v/>
          </cell>
        </row>
        <row r="403">
          <cell r="M403" t="str">
            <v/>
          </cell>
        </row>
        <row r="404">
          <cell r="M404" t="str">
            <v/>
          </cell>
        </row>
        <row r="405">
          <cell r="M405" t="str">
            <v/>
          </cell>
        </row>
        <row r="406">
          <cell r="M406" t="str">
            <v/>
          </cell>
        </row>
        <row r="407">
          <cell r="M407" t="str">
            <v/>
          </cell>
        </row>
        <row r="408">
          <cell r="M408" t="str">
            <v/>
          </cell>
        </row>
        <row r="409">
          <cell r="M409" t="str">
            <v/>
          </cell>
        </row>
        <row r="410">
          <cell r="M410" t="str">
            <v/>
          </cell>
        </row>
        <row r="411">
          <cell r="M411" t="str">
            <v/>
          </cell>
        </row>
        <row r="412">
          <cell r="M412" t="str">
            <v/>
          </cell>
        </row>
        <row r="413">
          <cell r="M413" t="str">
            <v/>
          </cell>
        </row>
        <row r="414">
          <cell r="M414" t="str">
            <v/>
          </cell>
        </row>
        <row r="415">
          <cell r="M415" t="str">
            <v/>
          </cell>
        </row>
        <row r="416">
          <cell r="M416" t="str">
            <v/>
          </cell>
        </row>
        <row r="417">
          <cell r="M417" t="str">
            <v/>
          </cell>
        </row>
        <row r="418">
          <cell r="M418" t="str">
            <v/>
          </cell>
        </row>
        <row r="419">
          <cell r="M419" t="str">
            <v/>
          </cell>
        </row>
        <row r="420">
          <cell r="M420" t="str">
            <v/>
          </cell>
        </row>
        <row r="421">
          <cell r="M421" t="str">
            <v/>
          </cell>
        </row>
        <row r="422">
          <cell r="M422" t="str">
            <v/>
          </cell>
        </row>
        <row r="423">
          <cell r="M423" t="str">
            <v/>
          </cell>
        </row>
        <row r="424">
          <cell r="M424" t="str">
            <v/>
          </cell>
        </row>
        <row r="425">
          <cell r="M425" t="str">
            <v/>
          </cell>
        </row>
        <row r="426">
          <cell r="M426" t="str">
            <v/>
          </cell>
        </row>
        <row r="427">
          <cell r="M427" t="str">
            <v/>
          </cell>
        </row>
        <row r="428">
          <cell r="M428" t="str">
            <v/>
          </cell>
        </row>
        <row r="429">
          <cell r="M429" t="str">
            <v/>
          </cell>
        </row>
        <row r="430">
          <cell r="M430" t="str">
            <v/>
          </cell>
        </row>
        <row r="431">
          <cell r="M431" t="str">
            <v/>
          </cell>
        </row>
        <row r="432">
          <cell r="M432" t="str">
            <v/>
          </cell>
        </row>
        <row r="433">
          <cell r="M433" t="str">
            <v/>
          </cell>
        </row>
        <row r="434">
          <cell r="M434" t="str">
            <v/>
          </cell>
        </row>
        <row r="435">
          <cell r="M435" t="str">
            <v/>
          </cell>
        </row>
        <row r="436">
          <cell r="M436" t="str">
            <v/>
          </cell>
        </row>
        <row r="437">
          <cell r="M437" t="str">
            <v/>
          </cell>
        </row>
        <row r="438">
          <cell r="M438" t="str">
            <v/>
          </cell>
        </row>
        <row r="439">
          <cell r="M439" t="str">
            <v/>
          </cell>
        </row>
        <row r="440">
          <cell r="M440" t="str">
            <v/>
          </cell>
        </row>
        <row r="441">
          <cell r="M441" t="str">
            <v/>
          </cell>
        </row>
        <row r="442">
          <cell r="M442" t="str">
            <v/>
          </cell>
        </row>
        <row r="443">
          <cell r="M443" t="str">
            <v/>
          </cell>
        </row>
        <row r="444">
          <cell r="M444" t="str">
            <v/>
          </cell>
        </row>
        <row r="445">
          <cell r="M445" t="str">
            <v/>
          </cell>
        </row>
        <row r="446">
          <cell r="M446" t="str">
            <v/>
          </cell>
        </row>
        <row r="447">
          <cell r="M447" t="str">
            <v/>
          </cell>
        </row>
        <row r="448">
          <cell r="M448" t="str">
            <v/>
          </cell>
        </row>
        <row r="449">
          <cell r="M449" t="str">
            <v/>
          </cell>
        </row>
        <row r="450">
          <cell r="M450" t="str">
            <v/>
          </cell>
        </row>
        <row r="451">
          <cell r="M451" t="str">
            <v/>
          </cell>
        </row>
        <row r="452">
          <cell r="M452" t="str">
            <v/>
          </cell>
        </row>
        <row r="453">
          <cell r="M453" t="str">
            <v/>
          </cell>
        </row>
        <row r="454">
          <cell r="M454" t="str">
            <v/>
          </cell>
        </row>
        <row r="455">
          <cell r="M455" t="str">
            <v/>
          </cell>
        </row>
        <row r="456">
          <cell r="M456" t="str">
            <v/>
          </cell>
        </row>
        <row r="457">
          <cell r="M457" t="str">
            <v/>
          </cell>
        </row>
        <row r="458">
          <cell r="M458" t="str">
            <v/>
          </cell>
        </row>
        <row r="459">
          <cell r="M459" t="str">
            <v/>
          </cell>
        </row>
        <row r="460">
          <cell r="M460" t="str">
            <v/>
          </cell>
        </row>
        <row r="461">
          <cell r="M461" t="str">
            <v/>
          </cell>
        </row>
        <row r="462">
          <cell r="M462" t="str">
            <v/>
          </cell>
        </row>
        <row r="463">
          <cell r="M463" t="str">
            <v/>
          </cell>
        </row>
        <row r="464">
          <cell r="M464" t="str">
            <v/>
          </cell>
        </row>
        <row r="465">
          <cell r="M465" t="str">
            <v/>
          </cell>
        </row>
        <row r="466">
          <cell r="M466" t="str">
            <v/>
          </cell>
        </row>
        <row r="467">
          <cell r="M467" t="str">
            <v/>
          </cell>
        </row>
        <row r="468">
          <cell r="M468" t="str">
            <v/>
          </cell>
        </row>
        <row r="469">
          <cell r="M469" t="str">
            <v/>
          </cell>
        </row>
        <row r="470">
          <cell r="M470" t="str">
            <v/>
          </cell>
        </row>
        <row r="471">
          <cell r="M471" t="str">
            <v/>
          </cell>
        </row>
        <row r="472">
          <cell r="M472" t="str">
            <v/>
          </cell>
        </row>
        <row r="473">
          <cell r="M473" t="str">
            <v/>
          </cell>
        </row>
        <row r="474">
          <cell r="M474" t="str">
            <v/>
          </cell>
        </row>
        <row r="475">
          <cell r="M475" t="str">
            <v/>
          </cell>
        </row>
        <row r="476">
          <cell r="M476" t="str">
            <v/>
          </cell>
        </row>
        <row r="477">
          <cell r="M477" t="str">
            <v/>
          </cell>
        </row>
        <row r="478">
          <cell r="M478" t="str">
            <v/>
          </cell>
        </row>
        <row r="479">
          <cell r="M479" t="str">
            <v/>
          </cell>
        </row>
        <row r="480">
          <cell r="M480" t="str">
            <v/>
          </cell>
        </row>
        <row r="481">
          <cell r="M481" t="str">
            <v/>
          </cell>
        </row>
        <row r="482">
          <cell r="M482" t="str">
            <v/>
          </cell>
        </row>
        <row r="483">
          <cell r="M483" t="str">
            <v/>
          </cell>
        </row>
        <row r="484">
          <cell r="M484" t="str">
            <v/>
          </cell>
        </row>
        <row r="485">
          <cell r="M485" t="str">
            <v/>
          </cell>
        </row>
        <row r="486">
          <cell r="M486" t="str">
            <v/>
          </cell>
        </row>
        <row r="487">
          <cell r="M487" t="str">
            <v/>
          </cell>
        </row>
        <row r="488">
          <cell r="M488" t="str">
            <v/>
          </cell>
        </row>
        <row r="489">
          <cell r="M489" t="str">
            <v/>
          </cell>
        </row>
        <row r="490">
          <cell r="M490" t="str">
            <v/>
          </cell>
        </row>
        <row r="491">
          <cell r="M491" t="str">
            <v/>
          </cell>
        </row>
        <row r="492">
          <cell r="M492" t="str">
            <v/>
          </cell>
        </row>
        <row r="493">
          <cell r="M493" t="str">
            <v/>
          </cell>
        </row>
        <row r="494">
          <cell r="M494" t="str">
            <v/>
          </cell>
        </row>
        <row r="495">
          <cell r="M495" t="str">
            <v/>
          </cell>
        </row>
        <row r="496">
          <cell r="M496" t="str">
            <v/>
          </cell>
        </row>
        <row r="497">
          <cell r="M497" t="str">
            <v/>
          </cell>
        </row>
        <row r="498">
          <cell r="M498" t="str">
            <v/>
          </cell>
        </row>
        <row r="499">
          <cell r="M499" t="str">
            <v/>
          </cell>
        </row>
        <row r="500">
          <cell r="M500" t="str">
            <v/>
          </cell>
        </row>
        <row r="501">
          <cell r="M501" t="str">
            <v/>
          </cell>
        </row>
        <row r="502">
          <cell r="M502" t="str">
            <v/>
          </cell>
        </row>
        <row r="503">
          <cell r="M503" t="str">
            <v/>
          </cell>
        </row>
        <row r="504">
          <cell r="M504" t="str">
            <v/>
          </cell>
        </row>
      </sheetData>
      <sheetData sheetId="3"/>
      <sheetData sheetId="4"/>
      <sheetData sheetId="5"/>
      <sheetData sheetId="6"/>
    </sheetDataSet>
  </externalBook>
</externalLink>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2108-BF97-4E44-B55E-E2684070156D}">
  <dimension ref="A1:AD24"/>
  <sheetViews>
    <sheetView showGridLines="0" tabSelected="1" zoomScaleNormal="100" workbookViewId="0">
      <selection activeCell="D12" sqref="D12"/>
    </sheetView>
  </sheetViews>
  <sheetFormatPr defaultRowHeight="14.4"/>
  <cols>
    <col min="1" max="1" width="13.5546875" bestFit="1" customWidth="1"/>
    <col min="2" max="2" width="12" bestFit="1" customWidth="1"/>
    <col min="3" max="3" width="21.77734375" bestFit="1" customWidth="1"/>
    <col min="4" max="4" width="13.77734375" customWidth="1"/>
    <col min="5" max="5" width="9" customWidth="1"/>
    <col min="6" max="6" width="11.77734375" bestFit="1" customWidth="1"/>
    <col min="7" max="7" width="12.21875" customWidth="1"/>
    <col min="8" max="8" width="17.77734375" customWidth="1"/>
    <col min="9" max="9" width="15.21875" customWidth="1"/>
    <col min="10" max="10" width="12.21875" customWidth="1"/>
    <col min="11" max="11" width="19.109375" bestFit="1" customWidth="1"/>
    <col min="12" max="12" width="23.33203125" bestFit="1" customWidth="1"/>
    <col min="13" max="13" width="20.33203125" bestFit="1" customWidth="1"/>
    <col min="14" max="14" width="13.44140625" bestFit="1" customWidth="1"/>
    <col min="15" max="16" width="13.77734375" bestFit="1" customWidth="1"/>
    <col min="17" max="18" width="14.6640625" bestFit="1" customWidth="1"/>
    <col min="19" max="19" width="13.109375" bestFit="1" customWidth="1"/>
    <col min="20" max="20" width="12.6640625" bestFit="1" customWidth="1"/>
    <col min="24" max="24" width="82" bestFit="1" customWidth="1"/>
    <col min="25" max="25" width="25.44140625" customWidth="1"/>
    <col min="26" max="26" width="18.5546875" bestFit="1" customWidth="1"/>
    <col min="27" max="27" width="19" customWidth="1"/>
    <col min="28" max="28" width="21.21875" bestFit="1" customWidth="1"/>
    <col min="29" max="29" width="19.77734375" bestFit="1" customWidth="1"/>
  </cols>
  <sheetData>
    <row r="1" spans="1:30" ht="21">
      <c r="A1" s="41" t="s">
        <v>507</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row>
    <row r="2" spans="1:30">
      <c r="A2" s="2"/>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c r="A3" s="42" t="s">
        <v>508</v>
      </c>
      <c r="B3" s="42"/>
      <c r="C3" s="42"/>
      <c r="D3" s="42"/>
      <c r="E3" s="42"/>
      <c r="F3" s="42"/>
      <c r="G3" s="43" t="s">
        <v>509</v>
      </c>
      <c r="H3" s="43"/>
      <c r="I3" s="43"/>
      <c r="J3" s="42" t="s">
        <v>510</v>
      </c>
      <c r="K3" s="42"/>
      <c r="L3" s="42"/>
      <c r="M3" s="42"/>
      <c r="N3" s="42"/>
      <c r="O3" s="43" t="s">
        <v>511</v>
      </c>
      <c r="P3" s="43"/>
      <c r="Q3" s="43"/>
      <c r="R3" s="43"/>
      <c r="S3" s="43"/>
      <c r="T3" s="43"/>
      <c r="U3" s="44" t="s">
        <v>512</v>
      </c>
      <c r="V3" s="44"/>
      <c r="W3" s="44"/>
      <c r="X3" s="43" t="s">
        <v>513</v>
      </c>
      <c r="Y3" s="43"/>
      <c r="Z3" s="43"/>
      <c r="AA3" s="42" t="s">
        <v>514</v>
      </c>
      <c r="AB3" s="42"/>
      <c r="AC3" s="42"/>
      <c r="AD3" s="3" t="s">
        <v>515</v>
      </c>
    </row>
    <row r="4" spans="1:30">
      <c r="A4" s="4" t="s">
        <v>516</v>
      </c>
      <c r="B4" s="4" t="s">
        <v>517</v>
      </c>
      <c r="C4" s="4" t="s">
        <v>518</v>
      </c>
      <c r="D4" s="4" t="s">
        <v>519</v>
      </c>
      <c r="E4" s="4" t="s">
        <v>520</v>
      </c>
      <c r="F4" s="4" t="s">
        <v>521</v>
      </c>
      <c r="G4" s="4" t="s">
        <v>522</v>
      </c>
      <c r="H4" s="4" t="s">
        <v>523</v>
      </c>
      <c r="I4" s="4" t="s">
        <v>524</v>
      </c>
      <c r="J4" s="4" t="s">
        <v>525</v>
      </c>
      <c r="K4" s="4" t="s">
        <v>526</v>
      </c>
      <c r="L4" s="4" t="s">
        <v>527</v>
      </c>
      <c r="M4" s="4" t="s">
        <v>528</v>
      </c>
      <c r="N4" s="4" t="s">
        <v>529</v>
      </c>
      <c r="O4" s="4" t="s">
        <v>530</v>
      </c>
      <c r="P4" s="4" t="s">
        <v>531</v>
      </c>
      <c r="Q4" s="27" t="s">
        <v>532</v>
      </c>
      <c r="R4" s="27" t="s">
        <v>533</v>
      </c>
      <c r="S4" s="4" t="s">
        <v>534</v>
      </c>
      <c r="T4" s="4" t="s">
        <v>535</v>
      </c>
      <c r="U4" s="26" t="s">
        <v>536</v>
      </c>
      <c r="V4" s="26" t="s">
        <v>537</v>
      </c>
      <c r="W4" s="26" t="s">
        <v>538</v>
      </c>
      <c r="X4" s="4" t="s">
        <v>539</v>
      </c>
      <c r="Y4" s="4" t="s">
        <v>540</v>
      </c>
      <c r="Z4" s="4" t="s">
        <v>541</v>
      </c>
      <c r="AA4" s="4" t="s">
        <v>542</v>
      </c>
      <c r="AB4" s="4" t="s">
        <v>543</v>
      </c>
      <c r="AC4" s="4" t="s">
        <v>544</v>
      </c>
      <c r="AD4" s="29" t="s">
        <v>545</v>
      </c>
    </row>
    <row r="5" spans="1:30" ht="22.8">
      <c r="A5" s="5" t="s">
        <v>546</v>
      </c>
      <c r="B5" s="5" t="s">
        <v>68</v>
      </c>
      <c r="C5" s="5" t="s">
        <v>69</v>
      </c>
      <c r="D5" s="5" t="s">
        <v>547</v>
      </c>
      <c r="E5" s="5" t="s">
        <v>37</v>
      </c>
      <c r="F5" s="6">
        <v>28520.46</v>
      </c>
      <c r="G5" s="5" t="s">
        <v>31</v>
      </c>
      <c r="H5" s="5" t="s">
        <v>43</v>
      </c>
      <c r="I5" s="5" t="s">
        <v>548</v>
      </c>
      <c r="J5" s="5" t="s">
        <v>549</v>
      </c>
      <c r="K5" s="5" t="s">
        <v>550</v>
      </c>
      <c r="L5" s="5" t="s">
        <v>551</v>
      </c>
      <c r="M5" s="5" t="s">
        <v>552</v>
      </c>
      <c r="N5" s="7">
        <v>0</v>
      </c>
      <c r="O5" s="8">
        <v>46209</v>
      </c>
      <c r="P5" s="8">
        <v>46223</v>
      </c>
      <c r="Q5" s="9" cm="1">
        <f t="array" ref="Q5">IF(B5="","",IFERROR(INDEX('[1]REMARCACOES DPSP'!$G$5:$G$504,_xlfn.AGGREGATE(14,6,(ROW('[1]REMARCACOES DPSP'!$M$5:$M$504)-ROW('[1]REMARCACOES DPSP'!$M$5)+1)/('[1]REMARCACOES DPSP'!$M$5:$M$504=$AD5),1)),$O5))</f>
        <v>46253</v>
      </c>
      <c r="R5" s="9" cm="1">
        <f t="array" ref="R5">IF(B5="","",IFERROR(INDEX('[1]REMARCACOES DPSP'!$H$5:$H$504,_xlfn.AGGREGATE(14,6,(ROW('[1]REMARCACOES DPSP'!$M$5:$M$504)-ROW('[1]REMARCACOES DPSP'!$M$5)+1)/('[1]REMARCACOES DPSP'!$M$5:$M$504=$AD5),1)),$P5))</f>
        <v>46260</v>
      </c>
      <c r="S5" s="8">
        <v>46253</v>
      </c>
      <c r="T5" s="8"/>
      <c r="U5" s="10">
        <f>IF(B5="","",COUNTIF('[1]REMARCACOES DPSP'!$M$5:$M$504,$AD5))</f>
        <v>2</v>
      </c>
      <c r="V5" s="11" t="str">
        <f ca="1">IF(U5=0,"",IFERROR(_xludf.XLOOKUP($AD5,'[1]REMARCACOES DPSP'!$M$5:$M$504,'[1]REMARCACOES DPSP'!$A$5:$A$504,"",0,-1),""))</f>
        <v/>
      </c>
      <c r="W5" s="10" t="str">
        <f ca="1">IF(U5=0,"",IFERROR(_xludf.XLOOKUP($AD5,'[1]REMARCACOES DPSP'!$M$5:$M$504,'[1]REMARCACOES DPSP'!$J$5:$J$504,"",0,-1),""))</f>
        <v/>
      </c>
      <c r="X5" s="5" t="s">
        <v>553</v>
      </c>
      <c r="Y5" s="5" t="s">
        <v>43</v>
      </c>
      <c r="Z5" s="8">
        <v>46258</v>
      </c>
      <c r="AA5" s="12" t="s">
        <v>554</v>
      </c>
      <c r="AB5" s="8">
        <v>46258</v>
      </c>
      <c r="AC5" s="8">
        <v>46254</v>
      </c>
      <c r="AD5" s="13" t="str">
        <f t="shared" ref="AD5:AD18" si="0">IF(OR(B5="",C5="",D5=""),"",B5&amp;"|"&amp;C5&amp;"|"&amp;D5)</f>
        <v>0226-014989|DP BAIRRO DE FATIMA|Boa tarde!Forro do estoque caiu .</v>
      </c>
    </row>
    <row r="6" spans="1:30">
      <c r="A6" s="5" t="s">
        <v>546</v>
      </c>
      <c r="B6" s="5" t="s">
        <v>59</v>
      </c>
      <c r="C6" s="5" t="s">
        <v>60</v>
      </c>
      <c r="D6" s="5" t="s">
        <v>50</v>
      </c>
      <c r="E6" s="5" t="s">
        <v>42</v>
      </c>
      <c r="F6" s="6">
        <v>29795.5</v>
      </c>
      <c r="G6" s="5" t="s">
        <v>26</v>
      </c>
      <c r="H6" s="5" t="s">
        <v>43</v>
      </c>
      <c r="I6" s="5" t="s">
        <v>557</v>
      </c>
      <c r="J6" s="5" t="s">
        <v>549</v>
      </c>
      <c r="K6" s="5" t="s">
        <v>550</v>
      </c>
      <c r="L6" s="5" t="s">
        <v>558</v>
      </c>
      <c r="M6" s="5" t="s">
        <v>559</v>
      </c>
      <c r="N6" s="7">
        <v>0</v>
      </c>
      <c r="O6" s="8"/>
      <c r="P6" s="8"/>
      <c r="Q6" s="9" cm="1">
        <f t="array" ref="Q6">IF(B6="","",IFERROR(INDEX('[1]REMARCACOES DPSP'!$G$5:$G$504,_xlfn.AGGREGATE(14,6,(ROW('[1]REMARCACOES DPSP'!$M$5:$M$504)-ROW('[1]REMARCACOES DPSP'!$M$5)+1)/('[1]REMARCACOES DPSP'!$M$5:$M$504=$AD6),1)),$O6))</f>
        <v>0</v>
      </c>
      <c r="R6" s="9" cm="1">
        <f t="array" ref="R6">IF(B6="","",IFERROR(INDEX('[1]REMARCACOES DPSP'!$H$5:$H$504,_xlfn.AGGREGATE(14,6,(ROW('[1]REMARCACOES DPSP'!$M$5:$M$504)-ROW('[1]REMARCACOES DPSP'!$M$5)+1)/('[1]REMARCACOES DPSP'!$M$5:$M$504=$AD6),1)),$P6))</f>
        <v>0</v>
      </c>
      <c r="S6" s="8"/>
      <c r="T6" s="8"/>
      <c r="U6" s="10">
        <f>IF(B6="","",COUNTIF('[1]REMARCACOES DPSP'!$M$5:$M$504,$AD6))</f>
        <v>0</v>
      </c>
      <c r="V6" s="11" t="str">
        <f>IF(U6=0,"",IFERROR(_xludf.XLOOKUP($AD6,'[1]REMARCACOES DPSP'!$M$5:$M$504,'[1]REMARCACOES DPSP'!$A$5:$A$504,"",0,-1),""))</f>
        <v/>
      </c>
      <c r="W6" s="10" t="str">
        <f>IF(U6=0,"",IFERROR(_xludf.XLOOKUP($AD6,'[1]REMARCACOES DPSP'!$M$5:$M$504,'[1]REMARCACOES DPSP'!$J$5:$J$504,"",0,-1),""))</f>
        <v/>
      </c>
      <c r="X6" s="5" t="s">
        <v>560</v>
      </c>
      <c r="Y6" s="5" t="s">
        <v>43</v>
      </c>
      <c r="Z6" s="8"/>
      <c r="AA6" s="12" t="s">
        <v>561</v>
      </c>
      <c r="AB6" s="8">
        <v>46258</v>
      </c>
      <c r="AC6" s="8">
        <v>46254</v>
      </c>
      <c r="AD6" s="13" t="str">
        <f t="shared" si="0"/>
        <v>0526-013745|DP LUCIO COSTA|Caminho Cliente - Pintura Fachada e benfeitorias externas</v>
      </c>
    </row>
    <row r="7" spans="1:30">
      <c r="A7" s="5" t="s">
        <v>546</v>
      </c>
      <c r="B7" s="5" t="s">
        <v>71</v>
      </c>
      <c r="C7" s="5" t="s">
        <v>72</v>
      </c>
      <c r="D7" s="5" t="s">
        <v>50</v>
      </c>
      <c r="E7" s="5" t="s">
        <v>42</v>
      </c>
      <c r="F7" s="6">
        <v>28050.15</v>
      </c>
      <c r="G7" s="5" t="s">
        <v>26</v>
      </c>
      <c r="H7" s="5" t="s">
        <v>43</v>
      </c>
      <c r="I7" s="5" t="s">
        <v>557</v>
      </c>
      <c r="J7" s="5" t="s">
        <v>549</v>
      </c>
      <c r="K7" s="5" t="s">
        <v>550</v>
      </c>
      <c r="L7" s="5" t="s">
        <v>558</v>
      </c>
      <c r="M7" s="5" t="s">
        <v>565</v>
      </c>
      <c r="N7" s="7">
        <v>0</v>
      </c>
      <c r="O7" s="8">
        <v>46252</v>
      </c>
      <c r="P7" s="8">
        <v>46266</v>
      </c>
      <c r="Q7" s="9" cm="1">
        <f t="array" ref="Q7">IF(B7="","",IFERROR(INDEX('[1]REMARCACOES DPSP'!$G$5:$G$504,_xlfn.AGGREGATE(14,6,(ROW('[1]REMARCACOES DPSP'!$M$5:$M$504)-ROW('[1]REMARCACOES DPSP'!$M$5)+1)/('[1]REMARCACOES DPSP'!$M$5:$M$504=$AD7),1)),$O7))</f>
        <v>46252</v>
      </c>
      <c r="R7" s="9" cm="1">
        <f t="array" ref="R7">IF(B7="","",IFERROR(INDEX('[1]REMARCACOES DPSP'!$H$5:$H$504,_xlfn.AGGREGATE(14,6,(ROW('[1]REMARCACOES DPSP'!$M$5:$M$504)-ROW('[1]REMARCACOES DPSP'!$M$5)+1)/('[1]REMARCACOES DPSP'!$M$5:$M$504=$AD7),1)),$P7))</f>
        <v>46266</v>
      </c>
      <c r="S7" s="8"/>
      <c r="T7" s="8"/>
      <c r="U7" s="10">
        <f>IF(B7="","",COUNTIF('[1]REMARCACOES DPSP'!$M$5:$M$504,$AD7))</f>
        <v>0</v>
      </c>
      <c r="V7" s="11" t="str">
        <f>IF(U7=0,"",IFERROR(_xludf.XLOOKUP($AD7,'[1]REMARCACOES DPSP'!$M$5:$M$504,'[1]REMARCACOES DPSP'!$A$5:$A$504,"",0,-1),""))</f>
        <v/>
      </c>
      <c r="W7" s="10" t="str">
        <f>IF(U7=0,"",IFERROR(_xludf.XLOOKUP($AD7,'[1]REMARCACOES DPSP'!$M$5:$M$504,'[1]REMARCACOES DPSP'!$J$5:$J$504,"",0,-1),""))</f>
        <v/>
      </c>
      <c r="X7" s="5" t="s">
        <v>566</v>
      </c>
      <c r="Y7" s="5" t="s">
        <v>43</v>
      </c>
      <c r="Z7" s="8">
        <v>46258</v>
      </c>
      <c r="AA7" s="12"/>
      <c r="AB7" s="8"/>
      <c r="AC7" s="8"/>
      <c r="AD7" s="13" t="str">
        <f t="shared" si="0"/>
        <v>0526-013743|DP PEDRA DE GUARATIBA|Caminho Cliente - Pintura Fachada e benfeitorias externas</v>
      </c>
    </row>
    <row r="8" spans="1:30">
      <c r="A8" s="5" t="s">
        <v>546</v>
      </c>
      <c r="B8" s="5" t="s">
        <v>567</v>
      </c>
      <c r="C8" s="5" t="s">
        <v>35</v>
      </c>
      <c r="D8" s="5" t="s">
        <v>568</v>
      </c>
      <c r="E8" s="5" t="s">
        <v>37</v>
      </c>
      <c r="F8" s="6">
        <v>35706.120000000003</v>
      </c>
      <c r="G8" s="5" t="s">
        <v>31</v>
      </c>
      <c r="H8" s="5" t="s">
        <v>43</v>
      </c>
      <c r="I8" s="5" t="s">
        <v>569</v>
      </c>
      <c r="J8" s="5" t="s">
        <v>549</v>
      </c>
      <c r="K8" s="5" t="s">
        <v>550</v>
      </c>
      <c r="L8" s="5" t="s">
        <v>551</v>
      </c>
      <c r="M8" s="5" t="s">
        <v>565</v>
      </c>
      <c r="N8" s="7">
        <v>0.9</v>
      </c>
      <c r="O8" s="8">
        <v>46216</v>
      </c>
      <c r="P8" s="8">
        <v>46220</v>
      </c>
      <c r="Q8" s="9" cm="1">
        <f t="array" ref="Q8">IF(B8="","",IFERROR(INDEX('[1]REMARCACOES DPSP'!$G$5:$G$504,_xlfn.AGGREGATE(14,6,(ROW('[1]REMARCACOES DPSP'!$M$5:$M$504)-ROW('[1]REMARCACOES DPSP'!$M$5)+1)/('[1]REMARCACOES DPSP'!$M$5:$M$504=$AD8),1)),$O8))</f>
        <v>46237</v>
      </c>
      <c r="R8" s="9" cm="1">
        <f t="array" ref="R8">IF(B8="","",IFERROR(INDEX('[1]REMARCACOES DPSP'!$H$5:$H$504,_xlfn.AGGREGATE(14,6,(ROW('[1]REMARCACOES DPSP'!$M$5:$M$504)-ROW('[1]REMARCACOES DPSP'!$M$5)+1)/('[1]REMARCACOES DPSP'!$M$5:$M$504=$AD8),1)),$P8))</f>
        <v>46251</v>
      </c>
      <c r="S8" s="8"/>
      <c r="T8" s="8"/>
      <c r="U8" s="10">
        <f>IF(B8="","",COUNTIF('[1]REMARCACOES DPSP'!$M$5:$M$504,$AD8))</f>
        <v>2</v>
      </c>
      <c r="V8" s="11" t="str">
        <f ca="1">IF(U8=0,"",IFERROR(_xludf.XLOOKUP($AD8,'[1]REMARCACOES DPSP'!$M$5:$M$504,'[1]REMARCACOES DPSP'!$A$5:$A$504,"",0,-1),""))</f>
        <v/>
      </c>
      <c r="W8" s="10" t="str">
        <f ca="1">IF(U8=0,"",IFERROR(_xludf.XLOOKUP($AD8,'[1]REMARCACOES DPSP'!$M$5:$M$504,'[1]REMARCACOES DPSP'!$J$5:$J$504,"",0,-1),""))</f>
        <v/>
      </c>
      <c r="X8" s="5"/>
      <c r="Y8" s="5"/>
      <c r="Z8" s="8"/>
      <c r="AA8" s="12"/>
      <c r="AB8" s="8"/>
      <c r="AC8" s="8"/>
      <c r="AD8" s="13" t="str">
        <f t="shared" si="0"/>
        <v>0226-005730|DP BARRA DE SAO JOAO|Boa noite ,
Solicito reparo no teto da loja pois estamos com infiltra&amp;ccedil;&amp;atilde;o na &amp;aacute;rea de vendas inclusive esta pigando em cima de produtos gerando perda para a loja</v>
      </c>
    </row>
    <row r="9" spans="1:30" ht="22.8">
      <c r="A9" s="5" t="s">
        <v>546</v>
      </c>
      <c r="B9" s="5" t="s">
        <v>570</v>
      </c>
      <c r="C9" s="5" t="s">
        <v>195</v>
      </c>
      <c r="D9" s="5" t="s">
        <v>571</v>
      </c>
      <c r="E9" s="5" t="s">
        <v>37</v>
      </c>
      <c r="F9" s="6"/>
      <c r="G9" s="5" t="s">
        <v>16</v>
      </c>
      <c r="H9" s="5" t="s">
        <v>17</v>
      </c>
      <c r="I9" s="5" t="s">
        <v>572</v>
      </c>
      <c r="J9" s="5" t="s">
        <v>573</v>
      </c>
      <c r="K9" s="5" t="s">
        <v>550</v>
      </c>
      <c r="L9" s="5" t="s">
        <v>558</v>
      </c>
      <c r="M9" s="5" t="s">
        <v>552</v>
      </c>
      <c r="N9" s="7">
        <v>0</v>
      </c>
      <c r="O9" s="8">
        <v>46212</v>
      </c>
      <c r="P9" s="8">
        <v>46218</v>
      </c>
      <c r="Q9" s="9">
        <f ca="1">IF(B9="","",IFERROR(_xludf.XLOOKUP($AD9,'[1]REMARCACOES DPSP'!$M$5:$M$504,'[1]REMARCACOES DPSP'!$G$5:$G$504,$O9,0,-1),$O9))</f>
        <v>46212</v>
      </c>
      <c r="R9" s="9">
        <f ca="1">IF(B9="","",IFERROR(_xludf.XLOOKUP($AD9,'[1]REMARCACOES DPSP'!$M$5:$M$504,'[1]REMARCACOES DPSP'!$H$5:$H$504,$P9,0,-1),$P9))</f>
        <v>46218</v>
      </c>
      <c r="S9" s="8"/>
      <c r="T9" s="8"/>
      <c r="U9" s="10">
        <f>IF(B9="","",COUNTIF('[1]REMARCACOES DPSP'!$M$5:$M$504,$AD9))</f>
        <v>2</v>
      </c>
      <c r="V9" s="11" t="str">
        <f ca="1">IF(U9=0,"",IFERROR(_xludf.XLOOKUP($AD9,'[1]REMARCACOES DPSP'!$M$5:$M$504,'[1]REMARCACOES DPSP'!$A$5:$A$504,"",0,-1),""))</f>
        <v/>
      </c>
      <c r="W9" s="10" t="str">
        <f ca="1">IF(U9=0,"",IFERROR(_xludf.XLOOKUP($AD9,'[1]REMARCACOES DPSP'!$M$5:$M$504,'[1]REMARCACOES DPSP'!$J$5:$J$504,"",0,-1),""))</f>
        <v/>
      </c>
      <c r="X9" s="5" t="s">
        <v>574</v>
      </c>
      <c r="Y9" s="5" t="s">
        <v>17</v>
      </c>
      <c r="Z9" s="8"/>
      <c r="AA9" s="12" t="s">
        <v>575</v>
      </c>
      <c r="AB9" s="8"/>
      <c r="AC9" s="8">
        <v>46254</v>
      </c>
      <c r="AD9" s="13" t="str">
        <f t="shared" si="0"/>
        <v>GARANTIA|DP CABO FRIO 4|GARANTIA DE TELHADO</v>
      </c>
    </row>
    <row r="10" spans="1:30">
      <c r="A10" s="5" t="s">
        <v>546</v>
      </c>
      <c r="B10" s="5" t="s">
        <v>76</v>
      </c>
      <c r="C10" s="5" t="s">
        <v>77</v>
      </c>
      <c r="D10" s="5" t="s">
        <v>78</v>
      </c>
      <c r="E10" s="5" t="s">
        <v>37</v>
      </c>
      <c r="F10" s="6">
        <v>18919.37</v>
      </c>
      <c r="G10" s="5" t="s">
        <v>31</v>
      </c>
      <c r="H10" s="5" t="s">
        <v>43</v>
      </c>
      <c r="I10" s="5" t="s">
        <v>555</v>
      </c>
      <c r="J10" s="5" t="s">
        <v>549</v>
      </c>
      <c r="K10" s="5" t="s">
        <v>550</v>
      </c>
      <c r="L10" s="5" t="s">
        <v>558</v>
      </c>
      <c r="M10" s="5" t="s">
        <v>552</v>
      </c>
      <c r="N10" s="7">
        <v>0.2</v>
      </c>
      <c r="O10" s="8">
        <v>46223</v>
      </c>
      <c r="P10" s="8">
        <v>46244</v>
      </c>
      <c r="Q10" s="9" cm="1">
        <f t="array" ref="Q10">IF(B10="","",IFERROR(INDEX('[1]REMARCACOES DPSP'!$G$5:$G$504,_xlfn.AGGREGATE(14,6,(ROW('[1]REMARCACOES DPSP'!$M$5:$M$504)-ROW('[1]REMARCACOES DPSP'!$M$5)+1)/('[1]REMARCACOES DPSP'!$M$5:$M$504=$AD10),1)),$O10))</f>
        <v>46258</v>
      </c>
      <c r="R10" s="9" cm="1">
        <f t="array" ref="R10">IF(B10="","",IFERROR(INDEX('[1]REMARCACOES DPSP'!$H$5:$H$504,_xlfn.AGGREGATE(14,6,(ROW('[1]REMARCACOES DPSP'!$M$5:$M$504)-ROW('[1]REMARCACOES DPSP'!$M$5)+1)/('[1]REMARCACOES DPSP'!$M$5:$M$504=$AD10),1)),$P10))</f>
        <v>46265</v>
      </c>
      <c r="S10" s="8"/>
      <c r="T10" s="8"/>
      <c r="U10" s="10">
        <f>IF(B10="","",COUNTIF('[1]REMARCACOES DPSP'!$M$5:$M$504,$AD10))</f>
        <v>2</v>
      </c>
      <c r="V10" s="11" t="str">
        <f ca="1">IF(U10=0,"",IFERROR(_xludf.XLOOKUP($AD10,'[1]REMARCACOES DPSP'!$M$5:$M$504,'[1]REMARCACOES DPSP'!$A$5:$A$504,"",0,-1),""))</f>
        <v/>
      </c>
      <c r="W10" s="10" t="str">
        <f ca="1">IF(U10=0,"",IFERROR(_xludf.XLOOKUP($AD10,'[1]REMARCACOES DPSP'!$M$5:$M$504,'[1]REMARCACOES DPSP'!$J$5:$J$504,"",0,-1),""))</f>
        <v/>
      </c>
      <c r="X10" s="5" t="s">
        <v>577</v>
      </c>
      <c r="Y10" s="5" t="s">
        <v>43</v>
      </c>
      <c r="Z10" s="8">
        <v>46259</v>
      </c>
      <c r="AA10" s="12"/>
      <c r="AB10" s="8"/>
      <c r="AC10" s="8"/>
      <c r="AD10" s="13" t="str">
        <f t="shared" si="0"/>
        <v>0226-011320|DP PRACA DO O|Boa noite, loja com infiltração. Solicitamos o reparo a pedido de Ludmila Leonardo.</v>
      </c>
    </row>
    <row r="11" spans="1:30">
      <c r="A11" s="5" t="s">
        <v>546</v>
      </c>
      <c r="B11" s="5" t="s">
        <v>578</v>
      </c>
      <c r="C11" s="5" t="s">
        <v>579</v>
      </c>
      <c r="D11" s="5" t="s">
        <v>580</v>
      </c>
      <c r="E11" s="5" t="s">
        <v>42</v>
      </c>
      <c r="F11" s="6">
        <v>33356.92</v>
      </c>
      <c r="G11" s="5" t="s">
        <v>26</v>
      </c>
      <c r="H11" s="5" t="s">
        <v>43</v>
      </c>
      <c r="I11" s="5" t="s">
        <v>563</v>
      </c>
      <c r="J11" s="5" t="s">
        <v>549</v>
      </c>
      <c r="K11" s="5" t="s">
        <v>550</v>
      </c>
      <c r="L11" s="5" t="s">
        <v>558</v>
      </c>
      <c r="M11" s="5" t="s">
        <v>559</v>
      </c>
      <c r="N11" s="7">
        <v>0.1</v>
      </c>
      <c r="O11" s="8">
        <v>46213</v>
      </c>
      <c r="P11" s="8">
        <v>46226</v>
      </c>
      <c r="Q11" s="9" cm="1">
        <f t="array" ref="Q11">IF(B11="","",IFERROR(INDEX('[1]REMARCACOES DPSP'!$G$5:$G$504,_xlfn.AGGREGATE(14,6,(ROW('[1]REMARCACOES DPSP'!$M$5:$M$504)-ROW('[1]REMARCACOES DPSP'!$M$5)+1)/('[1]REMARCACOES DPSP'!$M$5:$M$504=$AD11),1)),$O11))</f>
        <v>0</v>
      </c>
      <c r="R11" s="9" cm="1">
        <f t="array" ref="R11">IF(B11="","",IFERROR(INDEX('[1]REMARCACOES DPSP'!$H$5:$H$504,_xlfn.AGGREGATE(14,6,(ROW('[1]REMARCACOES DPSP'!$M$5:$M$504)-ROW('[1]REMARCACOES DPSP'!$M$5)+1)/('[1]REMARCACOES DPSP'!$M$5:$M$504=$AD11),1)),$P11))</f>
        <v>0</v>
      </c>
      <c r="S11" s="8"/>
      <c r="T11" s="8"/>
      <c r="U11" s="10">
        <f>IF(B11="","",COUNTIF('[1]REMARCACOES DPSP'!$M$5:$M$504,$AD11))</f>
        <v>2</v>
      </c>
      <c r="V11" s="11" t="str">
        <f ca="1">IF(U11=0,"",IFERROR(_xludf.XLOOKUP($AD11,'[1]REMARCACOES DPSP'!$M$5:$M$504,'[1]REMARCACOES DPSP'!$A$5:$A$504,"",0,-1),""))</f>
        <v/>
      </c>
      <c r="W11" s="10" t="str">
        <f ca="1">IF(U11=0,"",IFERROR(_xludf.XLOOKUP($AD11,'[1]REMARCACOES DPSP'!$M$5:$M$504,'[1]REMARCACOES DPSP'!$J$5:$J$504,"",0,-1),""))</f>
        <v/>
      </c>
      <c r="X11" s="5" t="s">
        <v>581</v>
      </c>
      <c r="Y11" s="5" t="s">
        <v>582</v>
      </c>
      <c r="Z11" s="8"/>
      <c r="AA11" s="12" t="s">
        <v>583</v>
      </c>
      <c r="AB11" s="8">
        <v>46261</v>
      </c>
      <c r="AC11" s="8"/>
      <c r="AD11" s="13" t="str">
        <f t="shared" si="0"/>
        <v>0526-013772|DP NILOPOLIS 4|Caminho Cliente - Pintura fachada e benfeitorias externas </v>
      </c>
    </row>
    <row r="12" spans="1:30">
      <c r="A12" s="5" t="s">
        <v>546</v>
      </c>
      <c r="B12" s="5" t="s">
        <v>584</v>
      </c>
      <c r="C12" s="5" t="s">
        <v>585</v>
      </c>
      <c r="D12" s="5" t="s">
        <v>580</v>
      </c>
      <c r="E12" s="5" t="s">
        <v>42</v>
      </c>
      <c r="F12" s="6">
        <v>35399.800000000003</v>
      </c>
      <c r="G12" s="5" t="s">
        <v>26</v>
      </c>
      <c r="H12" s="5" t="s">
        <v>43</v>
      </c>
      <c r="I12" s="5" t="s">
        <v>576</v>
      </c>
      <c r="J12" s="5" t="s">
        <v>549</v>
      </c>
      <c r="K12" s="5" t="s">
        <v>550</v>
      </c>
      <c r="L12" s="5" t="s">
        <v>551</v>
      </c>
      <c r="M12" s="5" t="s">
        <v>556</v>
      </c>
      <c r="N12" s="7">
        <v>0.5</v>
      </c>
      <c r="O12" s="8">
        <v>46227</v>
      </c>
      <c r="P12" s="8">
        <v>46242</v>
      </c>
      <c r="Q12" s="9" cm="1">
        <f t="array" ref="Q12">IF(B12="","",IFERROR(INDEX('[1]REMARCACOES DPSP'!$G$5:$G$504,_xlfn.AGGREGATE(14,6,(ROW('[1]REMARCACOES DPSP'!$M$5:$M$504)-ROW('[1]REMARCACOES DPSP'!$M$5)+1)/('[1]REMARCACOES DPSP'!$M$5:$M$504=$AD12),1)),$O12))</f>
        <v>46247</v>
      </c>
      <c r="R12" s="9" cm="1">
        <f t="array" ref="R12">IF(B12="","",IFERROR(INDEX('[1]REMARCACOES DPSP'!$H$5:$H$504,_xlfn.AGGREGATE(14,6,(ROW('[1]REMARCACOES DPSP'!$M$5:$M$504)-ROW('[1]REMARCACOES DPSP'!$M$5)+1)/('[1]REMARCACOES DPSP'!$M$5:$M$504=$AD12),1)),$P12))</f>
        <v>46265</v>
      </c>
      <c r="S12" s="8"/>
      <c r="T12" s="8"/>
      <c r="U12" s="10">
        <f>IF(B12="","",COUNTIF('[1]REMARCACOES DPSP'!$M$5:$M$504,$AD12))</f>
        <v>2</v>
      </c>
      <c r="V12" s="11" t="str">
        <f ca="1">IF(U12=0,"",IFERROR(_xludf.XLOOKUP($AD12,'[1]REMARCACOES DPSP'!$M$5:$M$504,'[1]REMARCACOES DPSP'!$A$5:$A$504,"",0,-1),""))</f>
        <v/>
      </c>
      <c r="W12" s="10" t="str">
        <f ca="1">IF(U12=0,"",IFERROR(_xludf.XLOOKUP($AD12,'[1]REMARCACOES DPSP'!$M$5:$M$504,'[1]REMARCACOES DPSP'!$J$5:$J$504,"",0,-1),""))</f>
        <v/>
      </c>
      <c r="X12" s="5" t="s">
        <v>586</v>
      </c>
      <c r="Y12" s="5" t="s">
        <v>564</v>
      </c>
      <c r="Z12" s="8">
        <v>46252</v>
      </c>
      <c r="AA12" s="12"/>
      <c r="AB12" s="8"/>
      <c r="AC12" s="8"/>
      <c r="AD12" s="13" t="str">
        <f t="shared" si="0"/>
        <v>0526-013724|DP NILOPOLIS 5|Caminho Cliente - Pintura fachada e benfeitorias externas </v>
      </c>
    </row>
    <row r="13" spans="1:30">
      <c r="A13" s="5" t="s">
        <v>546</v>
      </c>
      <c r="B13" s="5" t="s">
        <v>131</v>
      </c>
      <c r="C13" s="5" t="s">
        <v>132</v>
      </c>
      <c r="D13" s="5" t="s">
        <v>133</v>
      </c>
      <c r="E13" s="5" t="s">
        <v>30</v>
      </c>
      <c r="F13" s="6">
        <v>6738.1</v>
      </c>
      <c r="G13" s="5" t="s">
        <v>31</v>
      </c>
      <c r="H13" s="5" t="s">
        <v>16</v>
      </c>
      <c r="I13" s="5" t="s">
        <v>562</v>
      </c>
      <c r="J13" s="5" t="s">
        <v>549</v>
      </c>
      <c r="K13" s="5" t="s">
        <v>550</v>
      </c>
      <c r="L13" s="5" t="s">
        <v>558</v>
      </c>
      <c r="M13" s="5" t="s">
        <v>559</v>
      </c>
      <c r="N13" s="7">
        <v>0</v>
      </c>
      <c r="O13" s="8">
        <v>46216</v>
      </c>
      <c r="P13" s="8">
        <v>46218</v>
      </c>
      <c r="Q13" s="9">
        <f ca="1">IF(B13="","",IFERROR(_xludf.XLOOKUP($AD13,'[1]REMARCACOES DPSP'!$M$5:$M$504,'[1]REMARCACOES DPSP'!$G$5:$G$504,$O13,0,-1),$O13))</f>
        <v>46216</v>
      </c>
      <c r="R13" s="9">
        <f ca="1">IF(B13="","",IFERROR(_xludf.XLOOKUP($AD13,'[1]REMARCACOES DPSP'!$M$5:$M$504,'[1]REMARCACOES DPSP'!$H$5:$H$504,$P13,0,-1),$P13))</f>
        <v>46218</v>
      </c>
      <c r="S13" s="8"/>
      <c r="T13" s="8"/>
      <c r="U13" s="10">
        <f>IF(B13="","",COUNTIF('[1]REMARCACOES DPSP'!$M$5:$M$504,$AD13))</f>
        <v>2</v>
      </c>
      <c r="V13" s="11" t="str">
        <f ca="1">IF(U13=0,"",IFERROR(_xludf.XLOOKUP($AD13,'[1]REMARCACOES DPSP'!$M$5:$M$504,'[1]REMARCACOES DPSP'!$A$5:$A$504,"",0,-1),""))</f>
        <v/>
      </c>
      <c r="W13" s="10" t="str">
        <f ca="1">IF(U13=0,"",IFERROR(_xludf.XLOOKUP($AD13,'[1]REMARCACOES DPSP'!$M$5:$M$504,'[1]REMARCACOES DPSP'!$J$5:$J$504,"",0,-1),""))</f>
        <v/>
      </c>
      <c r="X13" s="5" t="s">
        <v>587</v>
      </c>
      <c r="Y13" s="5" t="s">
        <v>16</v>
      </c>
      <c r="Z13" s="8"/>
      <c r="AA13" s="12"/>
      <c r="AB13" s="8"/>
      <c r="AC13" s="8"/>
      <c r="AD13" s="13" t="str">
        <f t="shared" si="0"/>
        <v>0226-013174|DP COPACABANA 8|Solicito reparo de vazamento na área de vendas, vazamento do teto para parede, solicito com urgência, medicamentos sendo danificados pelo mesmo.</v>
      </c>
    </row>
    <row r="14" spans="1:30">
      <c r="A14" s="5" t="s">
        <v>546</v>
      </c>
      <c r="B14" s="5" t="s">
        <v>209</v>
      </c>
      <c r="C14" s="5" t="s">
        <v>90</v>
      </c>
      <c r="D14" s="5" t="s">
        <v>210</v>
      </c>
      <c r="E14" s="5" t="s">
        <v>30</v>
      </c>
      <c r="F14" s="6">
        <v>2924.98</v>
      </c>
      <c r="G14" s="5" t="s">
        <v>16</v>
      </c>
      <c r="H14" s="5" t="s">
        <v>16</v>
      </c>
      <c r="I14" s="5" t="s">
        <v>588</v>
      </c>
      <c r="J14" s="5" t="s">
        <v>549</v>
      </c>
      <c r="K14" s="5" t="s">
        <v>550</v>
      </c>
      <c r="L14" s="5" t="s">
        <v>558</v>
      </c>
      <c r="M14" s="5" t="s">
        <v>589</v>
      </c>
      <c r="N14" s="7">
        <v>0</v>
      </c>
      <c r="O14" s="8">
        <v>46230</v>
      </c>
      <c r="P14" s="8">
        <v>46234</v>
      </c>
      <c r="Q14" s="9">
        <f ca="1">IF(B14="","",IFERROR(_xludf.XLOOKUP($AD14,'[1]REMARCACOES DPSP'!$M$5:$M$504,'[1]REMARCACOES DPSP'!$G$5:$G$504,$O14,0,-1),$O14))</f>
        <v>46230</v>
      </c>
      <c r="R14" s="9">
        <f ca="1">IF(B14="","",IFERROR(_xludf.XLOOKUP($AD14,'[1]REMARCACOES DPSP'!$M$5:$M$504,'[1]REMARCACOES DPSP'!$H$5:$H$504,$P14,0,-1),$P14))</f>
        <v>46234</v>
      </c>
      <c r="S14" s="8"/>
      <c r="T14" s="8"/>
      <c r="U14" s="10" t="e">
        <f>IF(B14="","",COUNTIF('[1]REMARCACOES DPSP'!$M$5:$M$504,$AD14))</f>
        <v>#VALUE!</v>
      </c>
      <c r="V14" s="11" t="e">
        <f>IF(U14=0,"",IFERROR(_xludf.XLOOKUP($AD14,'[1]REMARCACOES DPSP'!$M$5:$M$504,'[1]REMARCACOES DPSP'!$A$5:$A$504,"",0,-1),""))</f>
        <v>#VALUE!</v>
      </c>
      <c r="W14" s="10" t="e">
        <f>IF(U14=0,"",IFERROR(_xludf.XLOOKUP($AD14,'[1]REMARCACOES DPSP'!$M$5:$M$504,'[1]REMARCACOES DPSP'!$J$5:$J$504,"",0,-1),""))</f>
        <v>#VALUE!</v>
      </c>
      <c r="X14" s="5" t="s">
        <v>590</v>
      </c>
      <c r="Y14" s="5" t="s">
        <v>16</v>
      </c>
      <c r="Z14" s="8"/>
      <c r="AA14" s="12"/>
      <c r="AB14" s="8"/>
      <c r="AC14" s="8"/>
      <c r="AD14" s="13" t="str">
        <f t="shared" si="0"/>
        <v>0626-014071|DP MAGE 1|solicito suporte para limpeza e vedação para fossa que fica localizada no salão de vendas, cheiro muito forte so ameniza com ar condicionado ligado.
necessário fazer no horario noturno para amenizar impacto com clientes devido ao cheiro.</v>
      </c>
    </row>
    <row r="15" spans="1:30">
      <c r="A15" s="5" t="s">
        <v>546</v>
      </c>
      <c r="B15" s="5" t="s">
        <v>271</v>
      </c>
      <c r="C15" s="5" t="s">
        <v>28</v>
      </c>
      <c r="D15" s="5" t="s">
        <v>272</v>
      </c>
      <c r="E15" s="5" t="s">
        <v>42</v>
      </c>
      <c r="F15" s="6">
        <v>1886.4</v>
      </c>
      <c r="G15" s="5" t="s">
        <v>31</v>
      </c>
      <c r="H15" s="5" t="s">
        <v>16</v>
      </c>
      <c r="I15" s="5" t="s">
        <v>562</v>
      </c>
      <c r="J15" s="5" t="s">
        <v>549</v>
      </c>
      <c r="K15" s="5" t="s">
        <v>550</v>
      </c>
      <c r="L15" s="5" t="s">
        <v>591</v>
      </c>
      <c r="M15" s="5" t="s">
        <v>556</v>
      </c>
      <c r="N15" s="7"/>
      <c r="O15" s="8">
        <v>46246</v>
      </c>
      <c r="P15" s="8">
        <v>46248</v>
      </c>
      <c r="Q15" s="9">
        <f ca="1">IF(B15="","",IFERROR(_xludf.XLOOKUP($AD15,'[1]REMARCACOES DPSP'!$M$5:$M$504,'[1]REMARCACOES DPSP'!$G$5:$G$504,$O15,0,-1),$O15))</f>
        <v>46246</v>
      </c>
      <c r="R15" s="9">
        <f ca="1">IF(B15="","",IFERROR(_xludf.XLOOKUP($AD15,'[1]REMARCACOES DPSP'!$M$5:$M$504,'[1]REMARCACOES DPSP'!$H$5:$H$504,$P15,0,-1),$P15))</f>
        <v>46248</v>
      </c>
      <c r="S15" s="8"/>
      <c r="T15" s="8"/>
      <c r="U15" s="10">
        <f>IF(B15="","",COUNTIF('[1]REMARCACOES DPSP'!$M$5:$M$504,$AD15))</f>
        <v>0</v>
      </c>
      <c r="V15" s="11" t="str">
        <f>IF(U15=0,"",IFERROR(_xludf.XLOOKUP($AD15,'[1]REMARCACOES DPSP'!$M$5:$M$504,'[1]REMARCACOES DPSP'!$A$5:$A$504,"",0,-1),""))</f>
        <v/>
      </c>
      <c r="W15" s="10" t="str">
        <f>IF(U15=0,"",IFERROR(_xludf.XLOOKUP($AD15,'[1]REMARCACOES DPSP'!$M$5:$M$504,'[1]REMARCACOES DPSP'!$J$5:$J$504,"",0,-1),""))</f>
        <v/>
      </c>
      <c r="X15" s="5" t="s">
        <v>592</v>
      </c>
      <c r="Y15" s="5" t="s">
        <v>16</v>
      </c>
      <c r="Z15" s="8"/>
      <c r="AA15" s="12"/>
      <c r="AB15" s="8"/>
      <c r="AC15" s="8"/>
      <c r="AD15" s="13" t="str">
        <f t="shared" si="0"/>
        <v>0426-009327|DP COPACABANA 6|PORTAIS DA LOJA COM PROBLEMA NÃO FECHAM OU ABREM COM DEFEITO</v>
      </c>
    </row>
    <row r="16" spans="1:30">
      <c r="A16" s="5" t="s">
        <v>546</v>
      </c>
      <c r="B16" s="5" t="s">
        <v>156</v>
      </c>
      <c r="C16" s="5" t="s">
        <v>157</v>
      </c>
      <c r="D16" s="5" t="s">
        <v>158</v>
      </c>
      <c r="E16" s="5" t="s">
        <v>30</v>
      </c>
      <c r="F16" s="6">
        <v>4791.2</v>
      </c>
      <c r="G16" s="5" t="s">
        <v>31</v>
      </c>
      <c r="H16" s="5" t="s">
        <v>16</v>
      </c>
      <c r="I16" s="5" t="s">
        <v>562</v>
      </c>
      <c r="J16" s="5" t="s">
        <v>549</v>
      </c>
      <c r="K16" s="5" t="s">
        <v>550</v>
      </c>
      <c r="L16" s="5" t="s">
        <v>591</v>
      </c>
      <c r="M16" s="5" t="s">
        <v>556</v>
      </c>
      <c r="N16" s="7"/>
      <c r="O16" s="8">
        <v>46237</v>
      </c>
      <c r="P16" s="8">
        <v>46241</v>
      </c>
      <c r="Q16" s="9">
        <f ca="1">IF(B16="","",IFERROR(_xludf.XLOOKUP($AD16,'[1]REMARCACOES DPSP'!$M$5:$M$504,'[1]REMARCACOES DPSP'!$G$5:$G$504,$O16,0,-1),$O16))</f>
        <v>46237</v>
      </c>
      <c r="R16" s="9">
        <f ca="1">IF(B16="","",IFERROR(_xludf.XLOOKUP($AD16,'[1]REMARCACOES DPSP'!$M$5:$M$504,'[1]REMARCACOES DPSP'!$H$5:$H$504,$P16,0,-1),$P16))</f>
        <v>46241</v>
      </c>
      <c r="S16" s="8"/>
      <c r="T16" s="8"/>
      <c r="U16" s="10">
        <f>IF(B16="","",COUNTIF('[1]REMARCACOES DPSP'!$M$5:$M$504,$AD16))</f>
        <v>0</v>
      </c>
      <c r="V16" s="11" t="str">
        <f>IF(U16=0,"",IFERROR(_xludf.XLOOKUP($AD16,'[1]REMARCACOES DPSP'!$M$5:$M$504,'[1]REMARCACOES DPSP'!$A$5:$A$504,"",0,-1),""))</f>
        <v/>
      </c>
      <c r="W16" s="10" t="str">
        <f>IF(U16=0,"",IFERROR(_xludf.XLOOKUP($AD16,'[1]REMARCACOES DPSP'!$M$5:$M$504,'[1]REMARCACOES DPSP'!$J$5:$J$504,"",0,-1),""))</f>
        <v/>
      </c>
      <c r="X16" s="5" t="s">
        <v>592</v>
      </c>
      <c r="Y16" s="5" t="s">
        <v>16</v>
      </c>
      <c r="Z16" s="8"/>
      <c r="AA16" s="12"/>
      <c r="AB16" s="8"/>
      <c r="AC16" s="8"/>
      <c r="AD16" s="13" t="str">
        <f t="shared" si="0"/>
        <v>0526-019295|DP BARRA DA TIJUCA 5|Solicito desentupimento do esgoto e caixas de gordura, água retornando pra loja</v>
      </c>
    </row>
    <row r="17" spans="1:30">
      <c r="A17" s="5" t="s">
        <v>593</v>
      </c>
      <c r="B17" s="5" t="s">
        <v>461</v>
      </c>
      <c r="C17" s="5" t="s">
        <v>462</v>
      </c>
      <c r="D17" s="5" t="s">
        <v>463</v>
      </c>
      <c r="E17" s="5" t="s">
        <v>42</v>
      </c>
      <c r="F17" s="6"/>
      <c r="G17" s="5" t="s">
        <v>16</v>
      </c>
      <c r="H17" s="5" t="s">
        <v>43</v>
      </c>
      <c r="I17" s="5" t="s">
        <v>594</v>
      </c>
      <c r="J17" s="5" t="s">
        <v>549</v>
      </c>
      <c r="K17" s="5" t="s">
        <v>550</v>
      </c>
      <c r="L17" s="5" t="s">
        <v>551</v>
      </c>
      <c r="M17" s="5" t="s">
        <v>556</v>
      </c>
      <c r="N17" s="7">
        <v>95</v>
      </c>
      <c r="O17" s="8">
        <v>46251</v>
      </c>
      <c r="P17" s="8">
        <v>46258</v>
      </c>
      <c r="Q17" s="9" cm="1">
        <f t="array" ref="Q17">IF(B17="","",IFERROR(INDEX('[1]REMARCACOES DPSP'!$G$5:$G$504,_xlfn.AGGREGATE(14,6,(ROW('[1]REMARCACOES DPSP'!$M$5:$M$504)-ROW('[1]REMARCACOES DPSP'!$M$5)+1)/('[1]REMARCACOES DPSP'!$M$5:$M$504=$AD17),1)),$O17))</f>
        <v>46251</v>
      </c>
      <c r="R17" s="9" cm="1">
        <f t="array" ref="R17">IF(B17="","",IFERROR(INDEX('[1]REMARCACOES DPSP'!$H$5:$H$504,_xlfn.AGGREGATE(14,6,(ROW('[1]REMARCACOES DPSP'!$M$5:$M$504)-ROW('[1]REMARCACOES DPSP'!$M$5)+1)/('[1]REMARCACOES DPSP'!$M$5:$M$504=$AD17),1)),$P17))</f>
        <v>46258</v>
      </c>
      <c r="S17" s="8"/>
      <c r="T17" s="8"/>
      <c r="U17" s="10">
        <f>IF(B17="","",COUNTIF('[1]REMARCACOES DPSP'!$M$5:$M$504,$AD17))</f>
        <v>0</v>
      </c>
      <c r="V17" s="11" t="str">
        <f>IF(U17=0,"",IFERROR(_xludf.XLOOKUP($AD17,'[1]REMARCACOES DPSP'!$M$5:$M$504,'[1]REMARCACOES DPSP'!$A$5:$A$504,"",0,-1),""))</f>
        <v/>
      </c>
      <c r="W17" s="10" t="str">
        <f>IF(U17=0,"",IFERROR(_xludf.XLOOKUP($AD17,'[1]REMARCACOES DPSP'!$M$5:$M$504,'[1]REMARCACOES DPSP'!$J$5:$J$504,"",0,-1),""))</f>
        <v/>
      </c>
      <c r="X17" s="5"/>
      <c r="Y17" s="5"/>
      <c r="Z17" s="8"/>
      <c r="AA17" s="12"/>
      <c r="AB17" s="8"/>
      <c r="AC17" s="8"/>
      <c r="AD17" s="13" t="str">
        <f t="shared" si="0"/>
        <v>0826-004428|DP PETROPOLIS 5|Mão de obra para pintura da fachada</v>
      </c>
    </row>
    <row r="18" spans="1:30">
      <c r="A18" s="5" t="s">
        <v>593</v>
      </c>
      <c r="B18" s="5" t="s">
        <v>464</v>
      </c>
      <c r="C18" s="5" t="s">
        <v>465</v>
      </c>
      <c r="D18" s="5" t="s">
        <v>463</v>
      </c>
      <c r="E18" s="5" t="s">
        <v>42</v>
      </c>
      <c r="F18" s="6"/>
      <c r="G18" s="5" t="s">
        <v>16</v>
      </c>
      <c r="H18" s="5" t="s">
        <v>43</v>
      </c>
      <c r="I18" s="5" t="s">
        <v>563</v>
      </c>
      <c r="J18" s="5" t="s">
        <v>549</v>
      </c>
      <c r="K18" s="5" t="s">
        <v>550</v>
      </c>
      <c r="L18" s="5" t="s">
        <v>551</v>
      </c>
      <c r="M18" s="5" t="s">
        <v>556</v>
      </c>
      <c r="N18" s="7">
        <v>1</v>
      </c>
      <c r="O18" s="8">
        <v>46251</v>
      </c>
      <c r="P18" s="8">
        <v>46258</v>
      </c>
      <c r="Q18" s="9" cm="1">
        <f t="array" ref="Q18">IF(B18="","",IFERROR(INDEX('[1]REMARCACOES DPSP'!$G$5:$G$504,_xlfn.AGGREGATE(14,6,(ROW('[1]REMARCACOES DPSP'!$M$5:$M$504)-ROW('[1]REMARCACOES DPSP'!$M$5)+1)/('[1]REMARCACOES DPSP'!$M$5:$M$504=$AD18),1)),$O18))</f>
        <v>46251</v>
      </c>
      <c r="R18" s="9" cm="1">
        <f t="array" ref="R18">IF(B18="","",IFERROR(INDEX('[1]REMARCACOES DPSP'!$H$5:$H$504,_xlfn.AGGREGATE(14,6,(ROW('[1]REMARCACOES DPSP'!$M$5:$M$504)-ROW('[1]REMARCACOES DPSP'!$M$5)+1)/('[1]REMARCACOES DPSP'!$M$5:$M$504=$AD18),1)),$P18))</f>
        <v>46258</v>
      </c>
      <c r="S18" s="8"/>
      <c r="T18" s="8"/>
      <c r="U18" s="10">
        <f>IF(B18="","",COUNTIF('[1]REMARCACOES DPSP'!$M$5:$M$504,$AD18))</f>
        <v>0</v>
      </c>
      <c r="V18" s="11" t="str">
        <f>IF(U18=0,"",IFERROR(_xludf.XLOOKUP($AD18,'[1]REMARCACOES DPSP'!$M$5:$M$504,'[1]REMARCACOES DPSP'!$A$5:$A$504,"",0,-1),""))</f>
        <v/>
      </c>
      <c r="W18" s="10" t="str">
        <f>IF(U18=0,"",IFERROR(_xludf.XLOOKUP($AD18,'[1]REMARCACOES DPSP'!$M$5:$M$504,'[1]REMARCACOES DPSP'!$J$5:$J$504,"",0,-1),""))</f>
        <v/>
      </c>
      <c r="X18" s="5"/>
      <c r="Y18" s="5"/>
      <c r="Z18" s="8"/>
      <c r="AA18" s="12"/>
      <c r="AB18" s="8"/>
      <c r="AC18" s="8"/>
      <c r="AD18" s="13" t="str">
        <f t="shared" si="0"/>
        <v>0826-004429|DP PETROPOLIS 6|Mão de obra para pintura da fachada</v>
      </c>
    </row>
    <row r="19" spans="1:30">
      <c r="A19" s="5" t="s">
        <v>593</v>
      </c>
      <c r="B19" s="5" t="s">
        <v>441</v>
      </c>
      <c r="C19" s="5" t="s">
        <v>442</v>
      </c>
      <c r="D19" s="5" t="s">
        <v>443</v>
      </c>
      <c r="E19" s="5" t="s">
        <v>42</v>
      </c>
      <c r="F19" s="6"/>
      <c r="G19" s="5" t="s">
        <v>16</v>
      </c>
      <c r="H19" s="5" t="s">
        <v>43</v>
      </c>
      <c r="I19" s="5" t="s">
        <v>595</v>
      </c>
      <c r="J19" s="5" t="s">
        <v>549</v>
      </c>
      <c r="K19" s="5" t="s">
        <v>550</v>
      </c>
      <c r="L19" s="5" t="s">
        <v>551</v>
      </c>
      <c r="M19" s="5" t="s">
        <v>556</v>
      </c>
      <c r="N19" s="7">
        <v>0.9</v>
      </c>
      <c r="O19" s="8">
        <v>46251</v>
      </c>
      <c r="P19" s="8">
        <v>46258</v>
      </c>
      <c r="Q19" s="9" cm="1">
        <f t="array" ref="Q19">IF(B19="","",IFERROR(INDEX('[1]REMARCACOES DPSP'!$G$5:$G$504,_xlfn.AGGREGATE(14,6,(ROW('[1]REMARCACOES DPSP'!$M$5:$M$504)-ROW('[1]REMARCACOES DPSP'!$M$5)+1)/('[1]REMARCACOES DPSP'!$M$5:$M$504=$AD19),1)),$O19))</f>
        <v>46251</v>
      </c>
      <c r="R19" s="9" cm="1">
        <f t="array" ref="R19">IF(B19="","",IFERROR(INDEX('[1]REMARCACOES DPSP'!$H$5:$H$504,_xlfn.AGGREGATE(14,6,(ROW('[1]REMARCACOES DPSP'!$M$5:$M$504)-ROW('[1]REMARCACOES DPSP'!$M$5)+1)/('[1]REMARCACOES DPSP'!$M$5:$M$504=$AD19),1)),$P19))</f>
        <v>46258</v>
      </c>
      <c r="S19" s="8"/>
      <c r="T19" s="8"/>
      <c r="U19" s="10">
        <f>IF(B19="","",COUNTIF('[1]REMARCACOES DPSP'!$M$5:$M$504,$AD19))</f>
        <v>0</v>
      </c>
      <c r="V19" s="11" t="str">
        <f>IF(U19=0,"",IFERROR(_xludf.XLOOKUP($AD19,'[1]REMARCACOES DPSP'!$M$5:$M$504,'[1]REMARCACOES DPSP'!$A$5:$A$504,"",0,-1),""))</f>
        <v/>
      </c>
      <c r="W19" s="10" t="str">
        <f>IF(U19=0,"",IFERROR(_xludf.XLOOKUP($AD19,'[1]REMARCACOES DPSP'!$M$5:$M$504,'[1]REMARCACOES DPSP'!$J$5:$J$504,"",0,-1),""))</f>
        <v/>
      </c>
      <c r="X19" s="5"/>
      <c r="Y19" s="5"/>
      <c r="Z19" s="8"/>
      <c r="AA19" s="12"/>
      <c r="AB19" s="8"/>
      <c r="AC19" s="8"/>
      <c r="AD19" s="13" t="str">
        <f t="shared" ref="AD19:AD24" si="1">IF(OR(B19="",C19="",D19=""),"",B19&amp;"|"&amp;C19&amp;"|"&amp;D19)</f>
        <v>0826-007431|DP PETROPOLIS 4|Solicitado pela GR Ludmila para pintura da retaguarda, pois receberemos visita do Presidente da companhia DPSP</v>
      </c>
    </row>
    <row r="20" spans="1:30">
      <c r="A20" s="5" t="s">
        <v>546</v>
      </c>
      <c r="B20" s="5" t="s">
        <v>211</v>
      </c>
      <c r="C20" s="5" t="s">
        <v>192</v>
      </c>
      <c r="D20" s="5" t="s">
        <v>212</v>
      </c>
      <c r="E20" s="5" t="s">
        <v>114</v>
      </c>
      <c r="F20" s="6">
        <v>2922.24</v>
      </c>
      <c r="G20" s="5" t="s">
        <v>16</v>
      </c>
      <c r="H20" s="5" t="s">
        <v>16</v>
      </c>
      <c r="I20" s="5" t="s">
        <v>557</v>
      </c>
      <c r="J20" s="5" t="s">
        <v>549</v>
      </c>
      <c r="K20" s="5" t="s">
        <v>550</v>
      </c>
      <c r="L20" s="5" t="s">
        <v>591</v>
      </c>
      <c r="M20" s="5" t="s">
        <v>556</v>
      </c>
      <c r="N20" s="7"/>
      <c r="O20" s="8"/>
      <c r="P20" s="8"/>
      <c r="Q20" s="9">
        <f ca="1">IF(B20="","",IFERROR(_xludf.XLOOKUP($AD20,'[1]REMARCACOES DPSP'!$M$5:$M$504,'[1]REMARCACOES DPSP'!$G$5:$G$504,$O20,0,-1),$O20))</f>
        <v>0</v>
      </c>
      <c r="R20" s="9">
        <f ca="1">IF(B20="","",IFERROR(_xludf.XLOOKUP($AD20,'[1]REMARCACOES DPSP'!$M$5:$M$504,'[1]REMARCACOES DPSP'!$H$5:$H$504,$P20,0,-1),$P20))</f>
        <v>0</v>
      </c>
      <c r="S20" s="8"/>
      <c r="T20" s="8"/>
      <c r="U20" s="10">
        <f>IF(B20="","",COUNTIF('[1]REMARCACOES DPSP'!$M$5:$M$504,$AD20))</f>
        <v>0</v>
      </c>
      <c r="V20" s="11" t="str">
        <f>IF(U20=0,"",IFERROR(_xludf.XLOOKUP($AD20,'[1]REMARCACOES DPSP'!$M$5:$M$504,'[1]REMARCACOES DPSP'!$A$5:$A$504,"",0,-1),""))</f>
        <v/>
      </c>
      <c r="W20" s="10" t="str">
        <f>IF(U20=0,"",IFERROR(_xludf.XLOOKUP($AD20,'[1]REMARCACOES DPSP'!$M$5:$M$504,'[1]REMARCACOES DPSP'!$J$5:$J$504,"",0,-1),""))</f>
        <v/>
      </c>
      <c r="X20" s="5" t="s">
        <v>592</v>
      </c>
      <c r="Y20" s="5" t="s">
        <v>16</v>
      </c>
      <c r="Z20" s="8"/>
      <c r="AA20" s="12"/>
      <c r="AB20" s="8"/>
      <c r="AC20" s="8"/>
      <c r="AD20" s="13" t="str">
        <f t="shared" si="1"/>
        <v>0626-008727|DP ITABORAI|Substituição das tela milimétricas da área infeior, grade da copa/área externa, exigência da fiscalização da vigilância sanitária</v>
      </c>
    </row>
    <row r="21" spans="1:30">
      <c r="A21" s="5" t="s">
        <v>546</v>
      </c>
      <c r="B21" s="5" t="s">
        <v>191</v>
      </c>
      <c r="C21" s="5" t="s">
        <v>192</v>
      </c>
      <c r="D21" s="5" t="s">
        <v>193</v>
      </c>
      <c r="E21" s="5" t="s">
        <v>42</v>
      </c>
      <c r="F21" s="6">
        <v>3922.64</v>
      </c>
      <c r="G21" s="5" t="s">
        <v>16</v>
      </c>
      <c r="H21" s="5" t="s">
        <v>16</v>
      </c>
      <c r="I21" s="5" t="s">
        <v>557</v>
      </c>
      <c r="J21" s="5" t="s">
        <v>549</v>
      </c>
      <c r="K21" s="5" t="s">
        <v>550</v>
      </c>
      <c r="L21" s="5" t="s">
        <v>591</v>
      </c>
      <c r="M21" s="5" t="s">
        <v>556</v>
      </c>
      <c r="N21" s="7"/>
      <c r="O21" s="8"/>
      <c r="P21" s="8"/>
      <c r="Q21" s="9">
        <f ca="1">IF(B21="","",IFERROR(_xludf.XLOOKUP($AD21,'[1]REMARCACOES DPSP'!$M$5:$M$504,'[1]REMARCACOES DPSP'!$G$5:$G$504,$O21,0,-1),$O21))</f>
        <v>0</v>
      </c>
      <c r="R21" s="9">
        <f ca="1">IF(B21="","",IFERROR(_xludf.XLOOKUP($AD21,'[1]REMARCACOES DPSP'!$M$5:$M$504,'[1]REMARCACOES DPSP'!$H$5:$H$504,$P21,0,-1),$P21))</f>
        <v>0</v>
      </c>
      <c r="S21" s="8"/>
      <c r="T21" s="8"/>
      <c r="U21" s="10">
        <f>IF(B21="","",COUNTIF('[1]REMARCACOES DPSP'!$M$5:$M$504,$AD21))</f>
        <v>0</v>
      </c>
      <c r="V21" s="11" t="str">
        <f>IF(U21=0,"",IFERROR(_xludf.XLOOKUP($AD21,'[1]REMARCACOES DPSP'!$M$5:$M$504,'[1]REMARCACOES DPSP'!$A$5:$A$504,"",0,-1),""))</f>
        <v/>
      </c>
      <c r="W21" s="10" t="str">
        <f>IF(U21=0,"",IFERROR(_xludf.XLOOKUP($AD21,'[1]REMARCACOES DPSP'!$M$5:$M$504,'[1]REMARCACOES DPSP'!$J$5:$J$504,"",0,-1),""))</f>
        <v/>
      </c>
      <c r="X21" s="5" t="s">
        <v>592</v>
      </c>
      <c r="Y21" s="5" t="s">
        <v>16</v>
      </c>
      <c r="Z21" s="8"/>
      <c r="AA21" s="12"/>
      <c r="AB21" s="8"/>
      <c r="AC21" s="8"/>
      <c r="AD21" s="13" t="str">
        <f t="shared" si="1"/>
        <v>0626-008725|DP ITABORAI|Reparo da parede do vestiário feminino, com posterior pintura, exigência da fiscalização da vigilância sanitária</v>
      </c>
    </row>
    <row r="22" spans="1:30">
      <c r="A22" s="5" t="s">
        <v>546</v>
      </c>
      <c r="B22" s="5" t="s">
        <v>82</v>
      </c>
      <c r="C22" s="5" t="s">
        <v>83</v>
      </c>
      <c r="D22" s="5" t="s">
        <v>84</v>
      </c>
      <c r="E22" s="5" t="s">
        <v>42</v>
      </c>
      <c r="F22" s="6">
        <v>17702.919999999998</v>
      </c>
      <c r="G22" s="5" t="s">
        <v>26</v>
      </c>
      <c r="H22" s="5" t="s">
        <v>43</v>
      </c>
      <c r="I22" s="5" t="s">
        <v>555</v>
      </c>
      <c r="J22" s="5" t="s">
        <v>573</v>
      </c>
      <c r="K22" s="5" t="s">
        <v>550</v>
      </c>
      <c r="L22" s="5" t="s">
        <v>591</v>
      </c>
      <c r="M22" s="5" t="s">
        <v>556</v>
      </c>
      <c r="N22" s="7"/>
      <c r="O22" s="8"/>
      <c r="P22" s="8"/>
      <c r="Q22" s="9">
        <f ca="1">IF(B22="","",IFERROR(_xludf.XLOOKUP($AD22,'[1]REMARCACOES DPSP'!$M$5:$M$504,'[1]REMARCACOES DPSP'!$G$5:$G$504,$O22,0,-1),$O22))</f>
        <v>0</v>
      </c>
      <c r="R22" s="9">
        <f ca="1">IF(B22="","",IFERROR(_xludf.XLOOKUP($AD22,'[1]REMARCACOES DPSP'!$M$5:$M$504,'[1]REMARCACOES DPSP'!$H$5:$H$504,$P22,0,-1),$P22))</f>
        <v>0</v>
      </c>
      <c r="S22" s="8"/>
      <c r="T22" s="8"/>
      <c r="U22" s="10" t="e">
        <f>IF(B22="","",COUNTIF('[1]REMARCACOES DPSP'!$M$5:$M$504,$AD22))</f>
        <v>#VALUE!</v>
      </c>
      <c r="V22" s="11" t="e">
        <f>IF(U22=0,"",IFERROR(_xludf.XLOOKUP($AD22,'[1]REMARCACOES DPSP'!$M$5:$M$504,'[1]REMARCACOES DPSP'!$A$5:$A$504,"",0,-1),""))</f>
        <v>#VALUE!</v>
      </c>
      <c r="W22" s="10" t="e">
        <f>IF(U22=0,"",IFERROR(_xludf.XLOOKUP($AD22,'[1]REMARCACOES DPSP'!$M$5:$M$504,'[1]REMARCACOES DPSP'!$J$5:$J$504,"",0,-1),""))</f>
        <v>#VALUE!</v>
      </c>
      <c r="X22" s="5"/>
      <c r="Y22" s="5"/>
      <c r="Z22" s="8"/>
      <c r="AA22" s="12"/>
      <c r="AB22" s="8"/>
      <c r="AC22" s="8"/>
      <c r="AD22" s="13" t="str">
        <f t="shared" si="1"/>
        <v>0126-018429|DP RECREIO 7|Temos água minando das paredes nos corredores na retaguarda, no estoque de fraldas principalmente, peço urgência pois estamos realocandos as fraldas por conta das avarias causadas pela água, porém a retaguarda é pequena, não temos espaço</v>
      </c>
    </row>
    <row r="23" spans="1:30">
      <c r="A23" s="5" t="s">
        <v>546</v>
      </c>
      <c r="B23" s="5" t="s">
        <v>149</v>
      </c>
      <c r="C23" s="5" t="s">
        <v>150</v>
      </c>
      <c r="D23" s="5" t="s">
        <v>151</v>
      </c>
      <c r="E23" s="5" t="s">
        <v>42</v>
      </c>
      <c r="F23" s="6">
        <v>5070.5200000000004</v>
      </c>
      <c r="G23" s="5" t="s">
        <v>26</v>
      </c>
      <c r="H23" s="5" t="s">
        <v>16</v>
      </c>
      <c r="I23" s="5" t="s">
        <v>557</v>
      </c>
      <c r="J23" s="5" t="s">
        <v>549</v>
      </c>
      <c r="K23" s="5" t="s">
        <v>550</v>
      </c>
      <c r="L23" s="5" t="s">
        <v>591</v>
      </c>
      <c r="M23" s="5" t="s">
        <v>556</v>
      </c>
      <c r="N23" s="7"/>
      <c r="O23" s="8"/>
      <c r="P23" s="8"/>
      <c r="Q23" s="9">
        <f ca="1">IF(B23="","",IFERROR(_xludf.XLOOKUP($AD23,'[1]REMARCACOES DPSP'!$M$5:$M$504,'[1]REMARCACOES DPSP'!$G$5:$G$504,$O23,0,-1),$O23))</f>
        <v>0</v>
      </c>
      <c r="R23" s="9">
        <f ca="1">IF(B23="","",IFERROR(_xludf.XLOOKUP($AD23,'[1]REMARCACOES DPSP'!$M$5:$M$504,'[1]REMARCACOES DPSP'!$H$5:$H$504,$P23,0,-1),$P23))</f>
        <v>0</v>
      </c>
      <c r="S23" s="8"/>
      <c r="T23" s="8"/>
      <c r="U23" s="10">
        <f>IF(B23="","",COUNTIF('[1]REMARCACOES DPSP'!$M$5:$M$504,$AD23))</f>
        <v>0</v>
      </c>
      <c r="V23" s="11" t="str">
        <f>IF(U23=0,"",IFERROR(_xludf.XLOOKUP($AD23,'[1]REMARCACOES DPSP'!$M$5:$M$504,'[1]REMARCACOES DPSP'!$A$5:$A$504,"",0,-1),""))</f>
        <v/>
      </c>
      <c r="W23" s="10" t="str">
        <f>IF(U23=0,"",IFERROR(_xludf.XLOOKUP($AD23,'[1]REMARCACOES DPSP'!$M$5:$M$504,'[1]REMARCACOES DPSP'!$J$5:$J$504,"",0,-1),""))</f>
        <v/>
      </c>
      <c r="X23" s="5" t="s">
        <v>592</v>
      </c>
      <c r="Y23" s="5" t="s">
        <v>16</v>
      </c>
      <c r="Z23" s="8"/>
      <c r="AA23" s="12"/>
      <c r="AB23" s="8"/>
      <c r="AC23" s="8"/>
      <c r="AD23" s="13" t="str">
        <f t="shared" si="1"/>
        <v>0626-014568|DP GILKA MACHADO|descaracterizacao de fachada - encerramento de loja</v>
      </c>
    </row>
    <row r="24" spans="1:30">
      <c r="A24" s="5"/>
      <c r="B24" s="14"/>
      <c r="C24" s="14"/>
      <c r="D24" s="14"/>
      <c r="E24" s="14"/>
      <c r="F24" s="15"/>
      <c r="G24" s="14"/>
      <c r="H24" s="14"/>
      <c r="I24" s="14"/>
      <c r="J24" s="14"/>
      <c r="K24" s="14"/>
      <c r="L24" s="14"/>
      <c r="M24" s="14"/>
      <c r="N24" s="16"/>
      <c r="O24" s="17"/>
      <c r="P24" s="17"/>
      <c r="Q24" s="18" t="str">
        <f>IF(B24="","",IFERROR(_xludf.XLOOKUP($AD24,'[1]REMARCACOES DPSP'!$M$5:$M$504,'[1]REMARCACOES DPSP'!$G$5:$G$504,$O24,0,-1),$O24))</f>
        <v/>
      </c>
      <c r="R24" s="18" t="str">
        <f>IF(B24="","",IFERROR(_xludf.XLOOKUP($AD24,'[1]REMARCACOES DPSP'!$M$5:$M$504,'[1]REMARCACOES DPSP'!$H$5:$H$504,$P24,0,-1),$P24))</f>
        <v/>
      </c>
      <c r="S24" s="17"/>
      <c r="T24" s="17"/>
      <c r="U24" s="19" t="str">
        <f>IF(B24="","",COUNTIF('[1]REMARCACOES DPSP'!$M$5:$M$504,$AD24))</f>
        <v/>
      </c>
      <c r="V24" s="20" t="str">
        <f ca="1">IF(U24=0,"",IFERROR(_xludf.XLOOKUP($AD24,'[1]REMARCACOES DPSP'!$M$5:$M$504,'[1]REMARCACOES DPSP'!$A$5:$A$504,"",0,-1),""))</f>
        <v/>
      </c>
      <c r="W24" s="19" t="str">
        <f ca="1">IF(U24=0,"",IFERROR(_xludf.XLOOKUP($AD24,'[1]REMARCACOES DPSP'!$M$5:$M$504,'[1]REMARCACOES DPSP'!$J$5:$J$504,"",0,-1),""))</f>
        <v/>
      </c>
      <c r="X24" s="14"/>
      <c r="Y24" s="14"/>
      <c r="Z24" s="17"/>
      <c r="AA24" s="21"/>
      <c r="AB24" s="17"/>
      <c r="AC24" s="17"/>
      <c r="AD24" s="22" t="str">
        <f t="shared" si="1"/>
        <v/>
      </c>
    </row>
  </sheetData>
  <autoFilter ref="A4:AD24" xr:uid="{84B52108-BF97-4E44-B55E-E2684070156D}"/>
  <mergeCells count="8">
    <mergeCell ref="A1:AD1"/>
    <mergeCell ref="A3:F3"/>
    <mergeCell ref="G3:I3"/>
    <mergeCell ref="J3:N3"/>
    <mergeCell ref="O3:T3"/>
    <mergeCell ref="U3:W3"/>
    <mergeCell ref="X3:Z3"/>
    <mergeCell ref="AA3:AC3"/>
  </mergeCells>
  <conditionalFormatting sqref="A5:A24">
    <cfRule type="containsText" dxfId="10" priority="2" operator="containsText" text="Urgente"/>
    <cfRule type="containsText" dxfId="9" priority="3" operator="containsText" text="Alta"/>
    <cfRule type="containsText" dxfId="8" priority="4" operator="containsText" text="Normal"/>
    <cfRule type="containsText" dxfId="7" priority="5" operator="containsText" text="Baixa"/>
  </conditionalFormatting>
  <conditionalFormatting sqref="B1:B24">
    <cfRule type="duplicateValues" dxfId="6" priority="350"/>
  </conditionalFormatting>
  <conditionalFormatting sqref="K5:K24">
    <cfRule type="containsText" dxfId="5" priority="6" operator="containsText" text="Faturado"/>
    <cfRule type="containsText" dxfId="4" priority="7" operator="containsText" text="Pendente"/>
  </conditionalFormatting>
  <conditionalFormatting sqref="M5:M24">
    <cfRule type="expression" dxfId="3" priority="8">
      <formula>AND($M5&lt;&gt;"",$M5&lt;&gt;"Sem bloqueio")</formula>
    </cfRule>
  </conditionalFormatting>
  <conditionalFormatting sqref="N5:N24">
    <cfRule type="dataBar" priority="9">
      <dataBar>
        <cfvo type="num" val="0"/>
        <cfvo type="num" val="1"/>
        <color rgb="FF5B9BD5"/>
      </dataBar>
    </cfRule>
    <cfRule type="dataBar" priority="13">
      <dataBar>
        <cfvo type="num" val="0"/>
        <cfvo type="num" val="1"/>
        <color rgb="FF5B9BD5"/>
      </dataBar>
      <extLst>
        <ext xmlns:x14="http://schemas.microsoft.com/office/spreadsheetml/2009/9/main" uri="{B025F937-C7B1-47D3-B67F-A62EFF666E3E}">
          <x14:id>{179EA393-B403-47AF-87D3-68B3409D61B9}</x14:id>
        </ext>
      </extLst>
    </cfRule>
  </conditionalFormatting>
  <conditionalFormatting sqref="R5:R24">
    <cfRule type="expression" dxfId="2" priority="10">
      <formula>AND($R5&lt;&gt;"",$R5&lt;TODAY(),$L5&lt;&gt;"Concluído",$L5&lt;&gt;"Cancelado")</formula>
    </cfRule>
  </conditionalFormatting>
  <conditionalFormatting sqref="U5:U24">
    <cfRule type="cellIs" dxfId="1" priority="11" operator="greaterThanOrEqual">
      <formula>3</formula>
    </cfRule>
    <cfRule type="cellIs" dxfId="0" priority="12" operator="equal">
      <formula>2</formula>
    </cfRule>
  </conditionalFormatting>
  <dataValidations count="1">
    <dataValidation type="decimal" sqref="N5:N24" xr:uid="{F7447827-74A9-4583-B438-4D2F3D54463B}">
      <formula1>0</formula1>
      <formula2>1</formula2>
    </dataValidation>
  </dataValidations>
  <pageMargins left="0.511811024" right="0.511811024" top="0.78740157499999996" bottom="0.78740157499999996" header="0.31496062000000002" footer="0.31496062000000002"/>
  <extLst>
    <ext xmlns:x14="http://schemas.microsoft.com/office/spreadsheetml/2009/9/main" uri="{78C0D931-6437-407d-A8EE-F0AAD7539E65}">
      <x14:conditionalFormattings>
        <x14:conditionalFormatting xmlns:xm="http://schemas.microsoft.com/office/excel/2006/main">
          <x14:cfRule type="dataBar" id="{179EA393-B403-47AF-87D3-68B3409D61B9}">
            <x14:dataBar>
              <x14:cfvo type="num">
                <xm:f>0</xm:f>
              </x14:cfvo>
              <x14:cfvo type="num">
                <xm:f>1</xm:f>
              </x14:cfvo>
              <x14:negativeFillColor auto="1"/>
              <x14:axisColor auto="1"/>
            </x14:dataBar>
          </x14:cfRule>
          <xm:sqref>N5:N24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2AE84-4E79-470F-BDAB-77D12F6648CF}">
  <dimension ref="A1:K190"/>
  <sheetViews>
    <sheetView showGridLines="0" zoomScale="70" zoomScaleNormal="70" workbookViewId="0">
      <selection activeCell="G1" sqref="G1:G1048576"/>
    </sheetView>
  </sheetViews>
  <sheetFormatPr defaultColWidth="8.77734375" defaultRowHeight="14.4"/>
  <cols>
    <col min="1" max="1" width="16.6640625" style="1" customWidth="1"/>
    <col min="2" max="2" width="24.77734375" style="1" customWidth="1"/>
    <col min="3" max="3" width="18.109375" customWidth="1"/>
    <col min="4" max="4" width="20.21875" bestFit="1" customWidth="1"/>
    <col min="5" max="5" width="19.44140625" bestFit="1" customWidth="1"/>
    <col min="6" max="6" width="15.77734375" bestFit="1" customWidth="1"/>
    <col min="7" max="7" width="28.88671875" bestFit="1" customWidth="1"/>
    <col min="8" max="8" width="19.5546875" bestFit="1" customWidth="1"/>
    <col min="9" max="9" width="23.21875" bestFit="1" customWidth="1"/>
    <col min="10" max="10" width="13.109375" bestFit="1" customWidth="1"/>
    <col min="11" max="11" width="6.5546875" bestFit="1" customWidth="1"/>
  </cols>
  <sheetData>
    <row r="1" spans="1:11" ht="21">
      <c r="A1" s="34" t="s">
        <v>0</v>
      </c>
      <c r="B1" s="34"/>
      <c r="C1" s="34"/>
      <c r="D1" s="34"/>
      <c r="E1" s="28" t="s">
        <v>21</v>
      </c>
      <c r="F1" s="34"/>
      <c r="G1" s="34"/>
      <c r="H1" s="34"/>
      <c r="I1" s="34"/>
      <c r="J1" s="34"/>
      <c r="K1" s="34"/>
    </row>
    <row r="2" spans="1:11">
      <c r="A2" s="38"/>
      <c r="B2" s="38"/>
      <c r="C2" s="38"/>
      <c r="D2" s="38"/>
      <c r="E2" s="38"/>
      <c r="F2" s="38"/>
      <c r="G2" s="38"/>
      <c r="H2" s="38"/>
      <c r="I2" s="38"/>
      <c r="J2" s="38"/>
      <c r="K2" s="38"/>
    </row>
    <row r="3" spans="1:11" s="23" customFormat="1">
      <c r="A3" s="25" t="s">
        <v>1</v>
      </c>
      <c r="B3" s="24" t="s">
        <v>2</v>
      </c>
      <c r="C3" s="24" t="s">
        <v>3</v>
      </c>
      <c r="D3" s="24" t="s">
        <v>4</v>
      </c>
      <c r="E3" s="24" t="s">
        <v>5</v>
      </c>
      <c r="F3" s="24" t="s">
        <v>6</v>
      </c>
      <c r="G3" s="24" t="s">
        <v>7</v>
      </c>
      <c r="H3" s="24" t="s">
        <v>8</v>
      </c>
      <c r="I3" s="24" t="s">
        <v>9</v>
      </c>
      <c r="J3" s="24" t="s">
        <v>10</v>
      </c>
      <c r="K3" s="24" t="s">
        <v>11</v>
      </c>
    </row>
    <row r="4" spans="1:11">
      <c r="A4" s="30" t="s">
        <v>12</v>
      </c>
      <c r="B4" s="30" t="s">
        <v>13</v>
      </c>
      <c r="C4" s="30" t="s">
        <v>14</v>
      </c>
      <c r="D4" s="30" t="s">
        <v>15</v>
      </c>
      <c r="E4" s="31">
        <v>68134.899999999994</v>
      </c>
      <c r="F4" s="30" t="s">
        <v>16</v>
      </c>
      <c r="G4" s="30" t="s">
        <v>18</v>
      </c>
      <c r="H4" s="30" t="s">
        <v>19</v>
      </c>
      <c r="I4" s="30" t="s">
        <v>20</v>
      </c>
      <c r="J4" s="32"/>
      <c r="K4" s="33" t="s">
        <v>21</v>
      </c>
    </row>
    <row r="5" spans="1:11">
      <c r="A5" s="30" t="s">
        <v>22</v>
      </c>
      <c r="B5" s="30" t="s">
        <v>23</v>
      </c>
      <c r="C5" s="30" t="s">
        <v>24</v>
      </c>
      <c r="D5" s="30" t="s">
        <v>25</v>
      </c>
      <c r="E5" s="31">
        <v>62591.31</v>
      </c>
      <c r="F5" s="30" t="s">
        <v>26</v>
      </c>
      <c r="G5" s="30" t="s">
        <v>18</v>
      </c>
      <c r="H5" s="30" t="s">
        <v>19</v>
      </c>
      <c r="I5" s="30" t="s">
        <v>20</v>
      </c>
      <c r="J5" s="35">
        <v>46164</v>
      </c>
      <c r="K5" s="33">
        <v>95</v>
      </c>
    </row>
    <row r="6" spans="1:11">
      <c r="A6" s="30" t="s">
        <v>27</v>
      </c>
      <c r="B6" s="30" t="s">
        <v>28</v>
      </c>
      <c r="C6" s="30" t="s">
        <v>29</v>
      </c>
      <c r="D6" s="30" t="s">
        <v>30</v>
      </c>
      <c r="E6" s="31">
        <v>44532.15</v>
      </c>
      <c r="F6" s="30" t="s">
        <v>31</v>
      </c>
      <c r="G6" s="30" t="s">
        <v>32</v>
      </c>
      <c r="H6" s="30" t="s">
        <v>19</v>
      </c>
      <c r="I6" s="30" t="s">
        <v>33</v>
      </c>
      <c r="J6" s="36">
        <v>46229</v>
      </c>
      <c r="K6" s="33">
        <v>30</v>
      </c>
    </row>
    <row r="7" spans="1:11">
      <c r="A7" s="30" t="s">
        <v>34</v>
      </c>
      <c r="B7" s="30" t="s">
        <v>35</v>
      </c>
      <c r="C7" s="30" t="s">
        <v>36</v>
      </c>
      <c r="D7" s="30" t="s">
        <v>37</v>
      </c>
      <c r="E7" s="31">
        <v>35706.120000000003</v>
      </c>
      <c r="F7" s="30" t="s">
        <v>31</v>
      </c>
      <c r="G7" s="30" t="s">
        <v>18</v>
      </c>
      <c r="H7" s="30" t="s">
        <v>38</v>
      </c>
      <c r="I7" s="30" t="s">
        <v>20</v>
      </c>
      <c r="J7" s="35">
        <v>46159</v>
      </c>
      <c r="K7" s="33">
        <v>100</v>
      </c>
    </row>
    <row r="8" spans="1:11">
      <c r="A8" s="30" t="s">
        <v>39</v>
      </c>
      <c r="B8" s="30" t="s">
        <v>40</v>
      </c>
      <c r="C8" s="30" t="s">
        <v>41</v>
      </c>
      <c r="D8" s="30" t="s">
        <v>42</v>
      </c>
      <c r="E8" s="31">
        <v>35619.910000000003</v>
      </c>
      <c r="F8" s="30" t="s">
        <v>26</v>
      </c>
      <c r="G8" s="30" t="s">
        <v>18</v>
      </c>
      <c r="H8" s="30" t="s">
        <v>19</v>
      </c>
      <c r="I8" s="30" t="s">
        <v>20</v>
      </c>
      <c r="J8" s="35">
        <v>46159</v>
      </c>
      <c r="K8" s="33">
        <v>100</v>
      </c>
    </row>
    <row r="9" spans="1:11">
      <c r="A9" s="30" t="s">
        <v>44</v>
      </c>
      <c r="B9" s="30" t="s">
        <v>45</v>
      </c>
      <c r="C9" s="30" t="s">
        <v>46</v>
      </c>
      <c r="D9" s="30" t="s">
        <v>42</v>
      </c>
      <c r="E9" s="31">
        <v>34578.199999999997</v>
      </c>
      <c r="F9" s="30" t="s">
        <v>31</v>
      </c>
      <c r="G9" s="30" t="s">
        <v>47</v>
      </c>
      <c r="H9" s="30" t="s">
        <v>19</v>
      </c>
      <c r="I9" s="30" t="s">
        <v>20</v>
      </c>
      <c r="J9" s="35">
        <v>46240</v>
      </c>
      <c r="K9" s="33">
        <v>19</v>
      </c>
    </row>
    <row r="10" spans="1:11">
      <c r="A10" s="30" t="s">
        <v>48</v>
      </c>
      <c r="B10" s="30" t="s">
        <v>49</v>
      </c>
      <c r="C10" s="30" t="s">
        <v>50</v>
      </c>
      <c r="D10" s="30" t="s">
        <v>42</v>
      </c>
      <c r="E10" s="31">
        <v>32045.55</v>
      </c>
      <c r="F10" s="30" t="s">
        <v>26</v>
      </c>
      <c r="G10" s="30" t="s">
        <v>47</v>
      </c>
      <c r="H10" s="30" t="s">
        <v>38</v>
      </c>
      <c r="I10" s="30" t="s">
        <v>20</v>
      </c>
      <c r="J10" s="35">
        <v>46181</v>
      </c>
      <c r="K10" s="33">
        <v>78</v>
      </c>
    </row>
    <row r="11" spans="1:11">
      <c r="A11" s="30" t="s">
        <v>51</v>
      </c>
      <c r="B11" s="30" t="s">
        <v>52</v>
      </c>
      <c r="C11" s="30" t="s">
        <v>53</v>
      </c>
      <c r="D11" s="30" t="s">
        <v>42</v>
      </c>
      <c r="E11" s="31">
        <v>31527.8</v>
      </c>
      <c r="F11" s="30" t="s">
        <v>26</v>
      </c>
      <c r="G11" s="30" t="s">
        <v>54</v>
      </c>
      <c r="H11" s="30" t="s">
        <v>38</v>
      </c>
      <c r="I11" s="30" t="s">
        <v>55</v>
      </c>
      <c r="J11" s="35">
        <v>46178</v>
      </c>
      <c r="K11" s="33">
        <v>81</v>
      </c>
    </row>
    <row r="12" spans="1:11">
      <c r="A12" s="30" t="s">
        <v>56</v>
      </c>
      <c r="B12" s="30" t="s">
        <v>57</v>
      </c>
      <c r="C12" s="30" t="s">
        <v>58</v>
      </c>
      <c r="D12" s="30" t="s">
        <v>42</v>
      </c>
      <c r="E12" s="31">
        <v>30056.94</v>
      </c>
      <c r="F12" s="30" t="s">
        <v>31</v>
      </c>
      <c r="G12" s="30" t="s">
        <v>32</v>
      </c>
      <c r="H12" s="30" t="s">
        <v>19</v>
      </c>
      <c r="I12" s="30" t="s">
        <v>33</v>
      </c>
      <c r="J12" s="36">
        <v>46238</v>
      </c>
      <c r="K12" s="33">
        <v>21</v>
      </c>
    </row>
    <row r="13" spans="1:11">
      <c r="A13" s="30" t="s">
        <v>59</v>
      </c>
      <c r="B13" s="30" t="s">
        <v>60</v>
      </c>
      <c r="C13" s="30" t="s">
        <v>50</v>
      </c>
      <c r="D13" s="30" t="s">
        <v>42</v>
      </c>
      <c r="E13" s="31">
        <v>29795.5</v>
      </c>
      <c r="F13" s="30" t="s">
        <v>26</v>
      </c>
      <c r="G13" s="30" t="s">
        <v>54</v>
      </c>
      <c r="H13" s="30" t="s">
        <v>61</v>
      </c>
      <c r="I13" s="30" t="s">
        <v>55</v>
      </c>
      <c r="J13" s="35">
        <v>46181</v>
      </c>
      <c r="K13" s="33">
        <v>78</v>
      </c>
    </row>
    <row r="14" spans="1:11">
      <c r="A14" s="30" t="s">
        <v>62</v>
      </c>
      <c r="B14" s="30" t="s">
        <v>63</v>
      </c>
      <c r="C14" s="30" t="s">
        <v>46</v>
      </c>
      <c r="D14" s="30" t="s">
        <v>42</v>
      </c>
      <c r="E14" s="31">
        <v>29711.599999999999</v>
      </c>
      <c r="F14" s="30" t="s">
        <v>31</v>
      </c>
      <c r="G14" s="30" t="s">
        <v>47</v>
      </c>
      <c r="H14" s="30" t="s">
        <v>38</v>
      </c>
      <c r="I14" s="30" t="s">
        <v>20</v>
      </c>
      <c r="J14" s="35">
        <v>46219</v>
      </c>
      <c r="K14" s="33">
        <v>40</v>
      </c>
    </row>
    <row r="15" spans="1:11">
      <c r="A15" s="30" t="s">
        <v>64</v>
      </c>
      <c r="B15" s="30" t="s">
        <v>65</v>
      </c>
      <c r="C15" s="30" t="s">
        <v>66</v>
      </c>
      <c r="D15" s="30" t="s">
        <v>67</v>
      </c>
      <c r="E15" s="31">
        <v>29091.1</v>
      </c>
      <c r="F15" s="30" t="s">
        <v>31</v>
      </c>
      <c r="G15" s="30" t="s">
        <v>32</v>
      </c>
      <c r="H15" s="30" t="s">
        <v>19</v>
      </c>
      <c r="I15" s="30" t="s">
        <v>33</v>
      </c>
      <c r="J15" s="35">
        <v>46153</v>
      </c>
      <c r="K15" s="33">
        <v>106</v>
      </c>
    </row>
    <row r="16" spans="1:11">
      <c r="A16" s="30" t="s">
        <v>68</v>
      </c>
      <c r="B16" s="30" t="s">
        <v>69</v>
      </c>
      <c r="C16" s="30" t="s">
        <v>70</v>
      </c>
      <c r="D16" s="30" t="s">
        <v>37</v>
      </c>
      <c r="E16" s="31">
        <v>28520.46</v>
      </c>
      <c r="F16" s="30" t="s">
        <v>31</v>
      </c>
      <c r="G16" s="30" t="s">
        <v>18</v>
      </c>
      <c r="H16" s="30" t="s">
        <v>38</v>
      </c>
      <c r="I16" s="30" t="s">
        <v>20</v>
      </c>
      <c r="J16" s="35">
        <v>46142</v>
      </c>
      <c r="K16" s="33">
        <v>117</v>
      </c>
    </row>
    <row r="17" spans="1:11">
      <c r="A17" s="30" t="s">
        <v>71</v>
      </c>
      <c r="B17" s="30" t="s">
        <v>72</v>
      </c>
      <c r="C17" s="30" t="s">
        <v>50</v>
      </c>
      <c r="D17" s="30" t="s">
        <v>42</v>
      </c>
      <c r="E17" s="31">
        <v>28050.15</v>
      </c>
      <c r="F17" s="30" t="s">
        <v>26</v>
      </c>
      <c r="G17" s="30" t="s">
        <v>54</v>
      </c>
      <c r="H17" s="30" t="s">
        <v>61</v>
      </c>
      <c r="I17" s="30" t="s">
        <v>55</v>
      </c>
      <c r="J17" s="35">
        <v>46181</v>
      </c>
      <c r="K17" s="33">
        <v>78</v>
      </c>
    </row>
    <row r="18" spans="1:11">
      <c r="A18" s="30" t="s">
        <v>73</v>
      </c>
      <c r="B18" s="30" t="s">
        <v>74</v>
      </c>
      <c r="C18" s="30" t="s">
        <v>75</v>
      </c>
      <c r="D18" s="30" t="s">
        <v>15</v>
      </c>
      <c r="E18" s="31">
        <v>25523.03</v>
      </c>
      <c r="F18" s="30" t="s">
        <v>31</v>
      </c>
      <c r="G18" s="30" t="s">
        <v>18</v>
      </c>
      <c r="H18" s="30" t="s">
        <v>19</v>
      </c>
      <c r="I18" s="30" t="s">
        <v>20</v>
      </c>
      <c r="J18" s="32"/>
      <c r="K18" s="33" t="s">
        <v>21</v>
      </c>
    </row>
    <row r="19" spans="1:11">
      <c r="A19" s="30" t="s">
        <v>76</v>
      </c>
      <c r="B19" s="30" t="s">
        <v>77</v>
      </c>
      <c r="C19" s="30" t="s">
        <v>78</v>
      </c>
      <c r="D19" s="30" t="s">
        <v>37</v>
      </c>
      <c r="E19" s="31">
        <v>18919.37</v>
      </c>
      <c r="F19" s="30" t="s">
        <v>31</v>
      </c>
      <c r="G19" s="30" t="s">
        <v>18</v>
      </c>
      <c r="H19" s="30" t="s">
        <v>38</v>
      </c>
      <c r="I19" s="30" t="s">
        <v>20</v>
      </c>
      <c r="J19" s="35">
        <v>46082</v>
      </c>
      <c r="K19" s="33">
        <v>177</v>
      </c>
    </row>
    <row r="20" spans="1:11">
      <c r="A20" s="30" t="s">
        <v>79</v>
      </c>
      <c r="B20" s="30" t="s">
        <v>80</v>
      </c>
      <c r="C20" s="30" t="s">
        <v>81</v>
      </c>
      <c r="D20" s="30" t="s">
        <v>42</v>
      </c>
      <c r="E20" s="31">
        <v>17982.599999999999</v>
      </c>
      <c r="F20" s="30" t="s">
        <v>16</v>
      </c>
      <c r="G20" s="30" t="s">
        <v>18</v>
      </c>
      <c r="H20" s="30" t="s">
        <v>19</v>
      </c>
      <c r="I20" s="30" t="s">
        <v>20</v>
      </c>
      <c r="J20" s="32"/>
      <c r="K20" s="33" t="s">
        <v>21</v>
      </c>
    </row>
    <row r="21" spans="1:11">
      <c r="A21" s="30" t="s">
        <v>82</v>
      </c>
      <c r="B21" s="30" t="s">
        <v>83</v>
      </c>
      <c r="C21" s="30" t="s">
        <v>84</v>
      </c>
      <c r="D21" s="30" t="s">
        <v>42</v>
      </c>
      <c r="E21" s="31">
        <v>17702.919999999998</v>
      </c>
      <c r="F21" s="30" t="s">
        <v>26</v>
      </c>
      <c r="G21" s="30" t="s">
        <v>18</v>
      </c>
      <c r="H21" s="30" t="s">
        <v>38</v>
      </c>
      <c r="I21" s="30" t="s">
        <v>55</v>
      </c>
      <c r="J21" s="36">
        <v>46159</v>
      </c>
      <c r="K21" s="33">
        <v>100</v>
      </c>
    </row>
    <row r="22" spans="1:11">
      <c r="A22" s="30" t="s">
        <v>85</v>
      </c>
      <c r="B22" s="30" t="s">
        <v>86</v>
      </c>
      <c r="C22" s="30" t="s">
        <v>87</v>
      </c>
      <c r="D22" s="30" t="s">
        <v>42</v>
      </c>
      <c r="E22" s="31">
        <v>15700</v>
      </c>
      <c r="F22" s="30" t="s">
        <v>16</v>
      </c>
      <c r="G22" s="30" t="s">
        <v>32</v>
      </c>
      <c r="H22" s="30" t="s">
        <v>19</v>
      </c>
      <c r="I22" s="30" t="s">
        <v>88</v>
      </c>
      <c r="J22" s="36">
        <v>46155</v>
      </c>
      <c r="K22" s="33">
        <v>104</v>
      </c>
    </row>
    <row r="23" spans="1:11">
      <c r="A23" s="30" t="s">
        <v>89</v>
      </c>
      <c r="B23" s="30" t="s">
        <v>90</v>
      </c>
      <c r="C23" s="30" t="s">
        <v>87</v>
      </c>
      <c r="D23" s="30" t="s">
        <v>42</v>
      </c>
      <c r="E23" s="31">
        <v>14300</v>
      </c>
      <c r="F23" s="30" t="s">
        <v>16</v>
      </c>
      <c r="G23" s="30" t="s">
        <v>32</v>
      </c>
      <c r="H23" s="30" t="s">
        <v>19</v>
      </c>
      <c r="I23" s="30" t="s">
        <v>88</v>
      </c>
      <c r="J23" s="36">
        <v>46155</v>
      </c>
      <c r="K23" s="33">
        <v>104</v>
      </c>
    </row>
    <row r="24" spans="1:11">
      <c r="A24" s="30" t="s">
        <v>91</v>
      </c>
      <c r="B24" s="30" t="s">
        <v>92</v>
      </c>
      <c r="C24" s="30" t="s">
        <v>66</v>
      </c>
      <c r="D24" s="30" t="s">
        <v>25</v>
      </c>
      <c r="E24" s="31">
        <v>13561.1</v>
      </c>
      <c r="F24" s="30" t="s">
        <v>31</v>
      </c>
      <c r="G24" s="30" t="s">
        <v>18</v>
      </c>
      <c r="H24" s="30" t="s">
        <v>19</v>
      </c>
      <c r="I24" s="30" t="s">
        <v>20</v>
      </c>
      <c r="J24" s="35">
        <v>46153</v>
      </c>
      <c r="K24" s="33">
        <v>106</v>
      </c>
    </row>
    <row r="25" spans="1:11">
      <c r="A25" s="30" t="s">
        <v>93</v>
      </c>
      <c r="B25" s="30" t="s">
        <v>94</v>
      </c>
      <c r="C25" s="30" t="s">
        <v>95</v>
      </c>
      <c r="D25" s="30" t="s">
        <v>37</v>
      </c>
      <c r="E25" s="31">
        <v>13436.9</v>
      </c>
      <c r="F25" s="30" t="s">
        <v>31</v>
      </c>
      <c r="G25" s="30" t="s">
        <v>96</v>
      </c>
      <c r="H25" s="30" t="s">
        <v>19</v>
      </c>
      <c r="I25" s="30" t="s">
        <v>55</v>
      </c>
      <c r="J25" s="35">
        <v>46246</v>
      </c>
      <c r="K25" s="33">
        <v>13</v>
      </c>
    </row>
    <row r="26" spans="1:11">
      <c r="A26" s="30" t="s">
        <v>97</v>
      </c>
      <c r="B26" s="30" t="s">
        <v>98</v>
      </c>
      <c r="C26" s="30" t="s">
        <v>99</v>
      </c>
      <c r="D26" s="30" t="s">
        <v>15</v>
      </c>
      <c r="E26" s="31">
        <v>12065.39</v>
      </c>
      <c r="F26" s="30" t="s">
        <v>16</v>
      </c>
      <c r="G26" s="30" t="s">
        <v>47</v>
      </c>
      <c r="H26" s="30" t="s">
        <v>19</v>
      </c>
      <c r="I26" s="30" t="s">
        <v>20</v>
      </c>
      <c r="J26" s="35">
        <v>46150</v>
      </c>
      <c r="K26" s="33">
        <v>109</v>
      </c>
    </row>
    <row r="27" spans="1:11">
      <c r="A27" s="30" t="s">
        <v>100</v>
      </c>
      <c r="B27" s="30" t="s">
        <v>101</v>
      </c>
      <c r="C27" s="30" t="s">
        <v>102</v>
      </c>
      <c r="D27" s="30" t="s">
        <v>67</v>
      </c>
      <c r="E27" s="31">
        <v>11641.39</v>
      </c>
      <c r="F27" s="30" t="s">
        <v>26</v>
      </c>
      <c r="G27" s="30" t="s">
        <v>47</v>
      </c>
      <c r="H27" s="30" t="s">
        <v>19</v>
      </c>
      <c r="I27" s="30" t="s">
        <v>20</v>
      </c>
      <c r="J27" s="36">
        <v>46157</v>
      </c>
      <c r="K27" s="33">
        <v>102</v>
      </c>
    </row>
    <row r="28" spans="1:11">
      <c r="A28" s="30" t="s">
        <v>103</v>
      </c>
      <c r="B28" s="30" t="s">
        <v>104</v>
      </c>
      <c r="C28" s="30" t="s">
        <v>105</v>
      </c>
      <c r="D28" s="30" t="s">
        <v>106</v>
      </c>
      <c r="E28" s="31">
        <v>8975.81</v>
      </c>
      <c r="F28" s="30" t="s">
        <v>31</v>
      </c>
      <c r="G28" s="30" t="s">
        <v>47</v>
      </c>
      <c r="H28" s="30" t="s">
        <v>19</v>
      </c>
      <c r="I28" s="30" t="s">
        <v>20</v>
      </c>
      <c r="J28" s="35">
        <v>46001</v>
      </c>
      <c r="K28" s="33">
        <v>258</v>
      </c>
    </row>
    <row r="29" spans="1:11">
      <c r="A29" s="30" t="s">
        <v>107</v>
      </c>
      <c r="B29" s="30" t="s">
        <v>108</v>
      </c>
      <c r="C29" s="30" t="s">
        <v>105</v>
      </c>
      <c r="D29" s="30" t="s">
        <v>106</v>
      </c>
      <c r="E29" s="31">
        <v>8710.81</v>
      </c>
      <c r="F29" s="30" t="s">
        <v>31</v>
      </c>
      <c r="G29" s="30" t="s">
        <v>47</v>
      </c>
      <c r="H29" s="30" t="s">
        <v>19</v>
      </c>
      <c r="I29" s="30" t="s">
        <v>20</v>
      </c>
      <c r="J29" s="35">
        <v>46001</v>
      </c>
      <c r="K29" s="33">
        <v>258</v>
      </c>
    </row>
    <row r="30" spans="1:11">
      <c r="A30" s="30" t="s">
        <v>109</v>
      </c>
      <c r="B30" s="30" t="s">
        <v>110</v>
      </c>
      <c r="C30" s="30" t="s">
        <v>111</v>
      </c>
      <c r="D30" s="30" t="s">
        <v>30</v>
      </c>
      <c r="E30" s="31">
        <v>8600</v>
      </c>
      <c r="F30" s="30" t="s">
        <v>31</v>
      </c>
      <c r="G30" s="30" t="s">
        <v>96</v>
      </c>
      <c r="H30" s="30" t="s">
        <v>19</v>
      </c>
      <c r="I30" s="30" t="s">
        <v>55</v>
      </c>
      <c r="J30" s="35">
        <v>46144</v>
      </c>
      <c r="K30" s="33">
        <v>115</v>
      </c>
    </row>
    <row r="31" spans="1:11">
      <c r="A31" s="30" t="s">
        <v>112</v>
      </c>
      <c r="B31" s="30" t="s">
        <v>57</v>
      </c>
      <c r="C31" s="30" t="s">
        <v>113</v>
      </c>
      <c r="D31" s="30" t="s">
        <v>114</v>
      </c>
      <c r="E31" s="31">
        <v>8586.1</v>
      </c>
      <c r="F31" s="30" t="s">
        <v>31</v>
      </c>
      <c r="G31" s="30" t="s">
        <v>96</v>
      </c>
      <c r="H31" s="30" t="s">
        <v>38</v>
      </c>
      <c r="I31" s="30" t="s">
        <v>55</v>
      </c>
      <c r="J31" s="35">
        <v>46238</v>
      </c>
      <c r="K31" s="33">
        <v>21</v>
      </c>
    </row>
    <row r="32" spans="1:11">
      <c r="A32" s="30" t="s">
        <v>115</v>
      </c>
      <c r="B32" s="30" t="s">
        <v>83</v>
      </c>
      <c r="C32" s="30" t="s">
        <v>116</v>
      </c>
      <c r="D32" s="30" t="s">
        <v>114</v>
      </c>
      <c r="E32" s="31">
        <v>8175.26</v>
      </c>
      <c r="F32" s="30" t="s">
        <v>26</v>
      </c>
      <c r="G32" s="30" t="s">
        <v>18</v>
      </c>
      <c r="H32" s="30" t="s">
        <v>19</v>
      </c>
      <c r="I32" s="30" t="s">
        <v>20</v>
      </c>
      <c r="J32" s="32"/>
      <c r="K32" s="33" t="s">
        <v>21</v>
      </c>
    </row>
    <row r="33" spans="1:11">
      <c r="A33" s="30" t="s">
        <v>117</v>
      </c>
      <c r="B33" s="30" t="s">
        <v>118</v>
      </c>
      <c r="C33" s="30" t="s">
        <v>119</v>
      </c>
      <c r="D33" s="30" t="s">
        <v>42</v>
      </c>
      <c r="E33" s="31">
        <v>8101</v>
      </c>
      <c r="F33" s="30" t="s">
        <v>31</v>
      </c>
      <c r="G33" s="30" t="s">
        <v>47</v>
      </c>
      <c r="H33" s="30" t="s">
        <v>19</v>
      </c>
      <c r="I33" s="30" t="s">
        <v>20</v>
      </c>
      <c r="J33" s="35">
        <v>46038</v>
      </c>
      <c r="K33" s="33">
        <v>221</v>
      </c>
    </row>
    <row r="34" spans="1:11">
      <c r="A34" s="30" t="s">
        <v>120</v>
      </c>
      <c r="B34" s="30" t="s">
        <v>121</v>
      </c>
      <c r="C34" s="30" t="s">
        <v>122</v>
      </c>
      <c r="D34" s="30" t="s">
        <v>114</v>
      </c>
      <c r="E34" s="31">
        <v>7893.2</v>
      </c>
      <c r="F34" s="30" t="s">
        <v>16</v>
      </c>
      <c r="G34" s="30" t="s">
        <v>32</v>
      </c>
      <c r="H34" s="30" t="s">
        <v>19</v>
      </c>
      <c r="I34" s="30" t="s">
        <v>88</v>
      </c>
      <c r="J34" s="35">
        <v>46088</v>
      </c>
      <c r="K34" s="33">
        <v>171</v>
      </c>
    </row>
    <row r="35" spans="1:11">
      <c r="A35" s="30" t="s">
        <v>123</v>
      </c>
      <c r="B35" s="30" t="s">
        <v>74</v>
      </c>
      <c r="C35" s="30" t="s">
        <v>124</v>
      </c>
      <c r="D35" s="30" t="s">
        <v>15</v>
      </c>
      <c r="E35" s="31">
        <v>7495.93</v>
      </c>
      <c r="F35" s="30" t="s">
        <v>31</v>
      </c>
      <c r="G35" s="30" t="s">
        <v>47</v>
      </c>
      <c r="H35" s="30" t="s">
        <v>19</v>
      </c>
      <c r="I35" s="30" t="s">
        <v>20</v>
      </c>
      <c r="J35" s="35">
        <v>46195</v>
      </c>
      <c r="K35" s="33">
        <v>64</v>
      </c>
    </row>
    <row r="36" spans="1:11">
      <c r="A36" s="30" t="s">
        <v>125</v>
      </c>
      <c r="B36" s="30" t="s">
        <v>126</v>
      </c>
      <c r="C36" s="30" t="s">
        <v>127</v>
      </c>
      <c r="D36" s="30" t="s">
        <v>42</v>
      </c>
      <c r="E36" s="31">
        <v>6879.4</v>
      </c>
      <c r="F36" s="30" t="s">
        <v>31</v>
      </c>
      <c r="G36" s="30" t="s">
        <v>47</v>
      </c>
      <c r="H36" s="30" t="s">
        <v>19</v>
      </c>
      <c r="I36" s="30" t="s">
        <v>20</v>
      </c>
      <c r="J36" s="35">
        <v>46147</v>
      </c>
      <c r="K36" s="33">
        <v>112</v>
      </c>
    </row>
    <row r="37" spans="1:11">
      <c r="A37" s="30" t="s">
        <v>128</v>
      </c>
      <c r="B37" s="30" t="s">
        <v>129</v>
      </c>
      <c r="C37" s="30" t="s">
        <v>130</v>
      </c>
      <c r="D37" s="30" t="s">
        <v>15</v>
      </c>
      <c r="E37" s="31">
        <v>6796.09</v>
      </c>
      <c r="F37" s="30" t="s">
        <v>31</v>
      </c>
      <c r="G37" s="30" t="s">
        <v>47</v>
      </c>
      <c r="H37" s="30" t="s">
        <v>19</v>
      </c>
      <c r="I37" s="30" t="s">
        <v>20</v>
      </c>
      <c r="J37" s="35">
        <v>46195</v>
      </c>
      <c r="K37" s="33">
        <v>64</v>
      </c>
    </row>
    <row r="38" spans="1:11">
      <c r="A38" s="30" t="s">
        <v>131</v>
      </c>
      <c r="B38" s="30" t="s">
        <v>132</v>
      </c>
      <c r="C38" s="30" t="s">
        <v>133</v>
      </c>
      <c r="D38" s="30" t="s">
        <v>30</v>
      </c>
      <c r="E38" s="31">
        <v>6738.1</v>
      </c>
      <c r="F38" s="30" t="s">
        <v>31</v>
      </c>
      <c r="G38" s="30" t="s">
        <v>54</v>
      </c>
      <c r="H38" s="30" t="s">
        <v>38</v>
      </c>
      <c r="I38" s="30" t="s">
        <v>55</v>
      </c>
      <c r="J38" s="35">
        <v>46142</v>
      </c>
      <c r="K38" s="33">
        <v>117</v>
      </c>
    </row>
    <row r="39" spans="1:11">
      <c r="A39" s="30" t="s">
        <v>134</v>
      </c>
      <c r="B39" s="30" t="s">
        <v>135</v>
      </c>
      <c r="C39" s="30" t="s">
        <v>136</v>
      </c>
      <c r="D39" s="30" t="s">
        <v>42</v>
      </c>
      <c r="E39" s="31">
        <v>6289</v>
      </c>
      <c r="F39" s="30" t="s">
        <v>31</v>
      </c>
      <c r="G39" s="30" t="s">
        <v>47</v>
      </c>
      <c r="H39" s="30" t="s">
        <v>19</v>
      </c>
      <c r="I39" s="30" t="s">
        <v>20</v>
      </c>
      <c r="J39" s="35">
        <v>46147</v>
      </c>
      <c r="K39" s="33">
        <v>112</v>
      </c>
    </row>
    <row r="40" spans="1:11">
      <c r="A40" s="30" t="s">
        <v>137</v>
      </c>
      <c r="B40" s="30" t="s">
        <v>138</v>
      </c>
      <c r="C40" s="30" t="s">
        <v>139</v>
      </c>
      <c r="D40" s="30" t="s">
        <v>140</v>
      </c>
      <c r="E40" s="31">
        <v>5760</v>
      </c>
      <c r="F40" s="30" t="s">
        <v>31</v>
      </c>
      <c r="G40" s="30" t="s">
        <v>96</v>
      </c>
      <c r="H40" s="30" t="s">
        <v>19</v>
      </c>
      <c r="I40" s="30" t="s">
        <v>55</v>
      </c>
      <c r="J40" s="36">
        <v>46245</v>
      </c>
      <c r="K40" s="33">
        <v>14</v>
      </c>
    </row>
    <row r="41" spans="1:11">
      <c r="A41" s="30" t="s">
        <v>141</v>
      </c>
      <c r="B41" s="30" t="s">
        <v>142</v>
      </c>
      <c r="C41" s="30" t="s">
        <v>143</v>
      </c>
      <c r="D41" s="30" t="s">
        <v>42</v>
      </c>
      <c r="E41" s="31">
        <v>5687.72</v>
      </c>
      <c r="F41" s="30" t="s">
        <v>16</v>
      </c>
      <c r="G41" s="30" t="s">
        <v>32</v>
      </c>
      <c r="H41" s="30" t="s">
        <v>19</v>
      </c>
      <c r="I41" s="30" t="s">
        <v>33</v>
      </c>
      <c r="J41" s="35">
        <v>46072</v>
      </c>
      <c r="K41" s="33">
        <v>187</v>
      </c>
    </row>
    <row r="42" spans="1:11">
      <c r="A42" s="30" t="s">
        <v>144</v>
      </c>
      <c r="B42" s="30" t="s">
        <v>145</v>
      </c>
      <c r="C42" s="30" t="s">
        <v>146</v>
      </c>
      <c r="D42" s="30" t="s">
        <v>67</v>
      </c>
      <c r="E42" s="31">
        <v>5434.03</v>
      </c>
      <c r="F42" s="30" t="s">
        <v>26</v>
      </c>
      <c r="G42" s="30" t="s">
        <v>18</v>
      </c>
      <c r="H42" s="30" t="s">
        <v>38</v>
      </c>
      <c r="I42" s="30" t="s">
        <v>20</v>
      </c>
      <c r="J42" s="35">
        <v>46199</v>
      </c>
      <c r="K42" s="33">
        <v>60</v>
      </c>
    </row>
    <row r="43" spans="1:11">
      <c r="A43" s="30" t="s">
        <v>147</v>
      </c>
      <c r="B43" s="30" t="s">
        <v>148</v>
      </c>
      <c r="C43" s="30" t="s">
        <v>37</v>
      </c>
      <c r="D43" s="30" t="s">
        <v>37</v>
      </c>
      <c r="E43" s="31">
        <v>5175.08</v>
      </c>
      <c r="F43" s="30" t="s">
        <v>26</v>
      </c>
      <c r="G43" s="30" t="s">
        <v>47</v>
      </c>
      <c r="H43" s="30" t="s">
        <v>19</v>
      </c>
      <c r="I43" s="30" t="s">
        <v>20</v>
      </c>
      <c r="J43" s="35">
        <v>46122</v>
      </c>
      <c r="K43" s="33">
        <v>137</v>
      </c>
    </row>
    <row r="44" spans="1:11">
      <c r="A44" s="30" t="s">
        <v>149</v>
      </c>
      <c r="B44" s="30" t="s">
        <v>150</v>
      </c>
      <c r="C44" s="30" t="s">
        <v>151</v>
      </c>
      <c r="D44" s="30" t="s">
        <v>42</v>
      </c>
      <c r="E44" s="31">
        <v>5070.5200000000004</v>
      </c>
      <c r="F44" s="30" t="s">
        <v>26</v>
      </c>
      <c r="G44" s="30" t="s">
        <v>54</v>
      </c>
      <c r="H44" s="30" t="s">
        <v>61</v>
      </c>
      <c r="I44" s="30" t="s">
        <v>33</v>
      </c>
      <c r="J44" s="36">
        <v>46248</v>
      </c>
      <c r="K44" s="33">
        <v>11</v>
      </c>
    </row>
    <row r="45" spans="1:11">
      <c r="A45" s="30" t="s">
        <v>152</v>
      </c>
      <c r="B45" s="30" t="s">
        <v>153</v>
      </c>
      <c r="C45" s="30" t="s">
        <v>154</v>
      </c>
      <c r="D45" s="30" t="s">
        <v>155</v>
      </c>
      <c r="E45" s="31">
        <v>5008</v>
      </c>
      <c r="F45" s="30" t="s">
        <v>31</v>
      </c>
      <c r="G45" s="30" t="s">
        <v>96</v>
      </c>
      <c r="H45" s="30" t="s">
        <v>19</v>
      </c>
      <c r="I45" s="30" t="s">
        <v>55</v>
      </c>
      <c r="J45" s="35">
        <v>46240</v>
      </c>
      <c r="K45" s="33">
        <v>19</v>
      </c>
    </row>
    <row r="46" spans="1:11">
      <c r="A46" s="30" t="s">
        <v>156</v>
      </c>
      <c r="B46" s="30" t="s">
        <v>157</v>
      </c>
      <c r="C46" s="30" t="s">
        <v>158</v>
      </c>
      <c r="D46" s="30" t="s">
        <v>30</v>
      </c>
      <c r="E46" s="31">
        <v>4791.2</v>
      </c>
      <c r="F46" s="30" t="s">
        <v>31</v>
      </c>
      <c r="G46" s="30" t="s">
        <v>32</v>
      </c>
      <c r="H46" s="30" t="s">
        <v>19</v>
      </c>
      <c r="I46" s="30" t="s">
        <v>33</v>
      </c>
      <c r="J46" s="36">
        <v>46201</v>
      </c>
      <c r="K46" s="33">
        <v>58</v>
      </c>
    </row>
    <row r="47" spans="1:11">
      <c r="A47" s="30" t="s">
        <v>159</v>
      </c>
      <c r="B47" s="30" t="s">
        <v>160</v>
      </c>
      <c r="C47" s="30" t="s">
        <v>161</v>
      </c>
      <c r="D47" s="30" t="s">
        <v>114</v>
      </c>
      <c r="E47" s="31">
        <v>4716.0600000000004</v>
      </c>
      <c r="F47" s="30" t="s">
        <v>31</v>
      </c>
      <c r="G47" s="30" t="s">
        <v>32</v>
      </c>
      <c r="H47" s="30" t="s">
        <v>19</v>
      </c>
      <c r="I47" s="30" t="s">
        <v>33</v>
      </c>
      <c r="J47" s="36">
        <v>46246</v>
      </c>
      <c r="K47" s="33">
        <v>13</v>
      </c>
    </row>
    <row r="48" spans="1:11">
      <c r="A48" s="30" t="s">
        <v>162</v>
      </c>
      <c r="B48" s="30" t="s">
        <v>163</v>
      </c>
      <c r="C48" s="30" t="s">
        <v>164</v>
      </c>
      <c r="D48" s="30" t="s">
        <v>114</v>
      </c>
      <c r="E48" s="31">
        <v>4552.43</v>
      </c>
      <c r="F48" s="30" t="s">
        <v>16</v>
      </c>
      <c r="G48" s="30" t="s">
        <v>32</v>
      </c>
      <c r="H48" s="30" t="s">
        <v>19</v>
      </c>
      <c r="I48" s="30" t="s">
        <v>88</v>
      </c>
      <c r="J48" s="35">
        <v>46076</v>
      </c>
      <c r="K48" s="33">
        <v>183</v>
      </c>
    </row>
    <row r="49" spans="1:11">
      <c r="A49" s="30" t="s">
        <v>165</v>
      </c>
      <c r="B49" s="30" t="s">
        <v>60</v>
      </c>
      <c r="C49" s="30" t="s">
        <v>166</v>
      </c>
      <c r="D49" s="30" t="s">
        <v>30</v>
      </c>
      <c r="E49" s="31">
        <v>4503.8900000000003</v>
      </c>
      <c r="F49" s="30" t="s">
        <v>26</v>
      </c>
      <c r="G49" s="30" t="s">
        <v>47</v>
      </c>
      <c r="H49" s="30" t="s">
        <v>19</v>
      </c>
      <c r="I49" s="30" t="s">
        <v>20</v>
      </c>
      <c r="J49" s="35">
        <v>46242</v>
      </c>
      <c r="K49" s="33">
        <v>17</v>
      </c>
    </row>
    <row r="50" spans="1:11">
      <c r="A50" s="30" t="s">
        <v>167</v>
      </c>
      <c r="B50" s="30" t="s">
        <v>157</v>
      </c>
      <c r="C50" s="30" t="s">
        <v>168</v>
      </c>
      <c r="D50" s="30" t="s">
        <v>30</v>
      </c>
      <c r="E50" s="31">
        <v>4417.4799999999996</v>
      </c>
      <c r="F50" s="30" t="s">
        <v>31</v>
      </c>
      <c r="G50" s="30" t="s">
        <v>18</v>
      </c>
      <c r="H50" s="30" t="s">
        <v>19</v>
      </c>
      <c r="I50" s="30" t="s">
        <v>20</v>
      </c>
      <c r="J50" s="32"/>
      <c r="K50" s="33" t="s">
        <v>21</v>
      </c>
    </row>
    <row r="51" spans="1:11">
      <c r="A51" s="30" t="s">
        <v>169</v>
      </c>
      <c r="B51" s="30" t="s">
        <v>170</v>
      </c>
      <c r="C51" s="30" t="s">
        <v>171</v>
      </c>
      <c r="D51" s="30" t="s">
        <v>155</v>
      </c>
      <c r="E51" s="31">
        <v>4077</v>
      </c>
      <c r="F51" s="30" t="s">
        <v>172</v>
      </c>
      <c r="G51" s="30" t="s">
        <v>47</v>
      </c>
      <c r="H51" s="30" t="s">
        <v>19</v>
      </c>
      <c r="I51" s="30" t="s">
        <v>20</v>
      </c>
      <c r="J51" s="36">
        <v>46244</v>
      </c>
      <c r="K51" s="33">
        <v>15</v>
      </c>
    </row>
    <row r="52" spans="1:11">
      <c r="A52" s="30" t="s">
        <v>173</v>
      </c>
      <c r="B52" s="30" t="s">
        <v>174</v>
      </c>
      <c r="C52" s="30" t="s">
        <v>171</v>
      </c>
      <c r="D52" s="30" t="s">
        <v>175</v>
      </c>
      <c r="E52" s="31">
        <v>4077</v>
      </c>
      <c r="F52" s="30" t="s">
        <v>172</v>
      </c>
      <c r="G52" s="30" t="s">
        <v>47</v>
      </c>
      <c r="H52" s="30" t="s">
        <v>19</v>
      </c>
      <c r="I52" s="30" t="s">
        <v>20</v>
      </c>
      <c r="J52" s="36">
        <v>46244</v>
      </c>
      <c r="K52" s="33">
        <v>15</v>
      </c>
    </row>
    <row r="53" spans="1:11">
      <c r="A53" s="30" t="s">
        <v>176</v>
      </c>
      <c r="B53" s="30" t="s">
        <v>177</v>
      </c>
      <c r="C53" s="30" t="s">
        <v>171</v>
      </c>
      <c r="D53" s="30" t="s">
        <v>175</v>
      </c>
      <c r="E53" s="31">
        <v>4077</v>
      </c>
      <c r="F53" s="30" t="s">
        <v>172</v>
      </c>
      <c r="G53" s="30" t="s">
        <v>47</v>
      </c>
      <c r="H53" s="30" t="s">
        <v>19</v>
      </c>
      <c r="I53" s="30" t="s">
        <v>20</v>
      </c>
      <c r="J53" s="36">
        <v>46244</v>
      </c>
      <c r="K53" s="33">
        <v>15</v>
      </c>
    </row>
    <row r="54" spans="1:11">
      <c r="A54" s="30" t="s">
        <v>178</v>
      </c>
      <c r="B54" s="30" t="s">
        <v>179</v>
      </c>
      <c r="C54" s="30" t="s">
        <v>171</v>
      </c>
      <c r="D54" s="30" t="s">
        <v>175</v>
      </c>
      <c r="E54" s="31">
        <v>4077</v>
      </c>
      <c r="F54" s="30" t="s">
        <v>16</v>
      </c>
      <c r="G54" s="30" t="s">
        <v>47</v>
      </c>
      <c r="H54" s="30" t="s">
        <v>19</v>
      </c>
      <c r="I54" s="30" t="s">
        <v>20</v>
      </c>
      <c r="J54" s="36">
        <v>46244</v>
      </c>
      <c r="K54" s="33">
        <v>15</v>
      </c>
    </row>
    <row r="55" spans="1:11">
      <c r="A55" s="30" t="s">
        <v>180</v>
      </c>
      <c r="B55" s="30" t="s">
        <v>40</v>
      </c>
      <c r="C55" s="30" t="s">
        <v>181</v>
      </c>
      <c r="D55" s="30" t="s">
        <v>30</v>
      </c>
      <c r="E55" s="31">
        <v>4000</v>
      </c>
      <c r="F55" s="30" t="s">
        <v>26</v>
      </c>
      <c r="G55" s="30" t="s">
        <v>96</v>
      </c>
      <c r="H55" s="30" t="s">
        <v>19</v>
      </c>
      <c r="I55" s="30" t="s">
        <v>20</v>
      </c>
      <c r="J55" s="35">
        <v>46167</v>
      </c>
      <c r="K55" s="33">
        <v>92</v>
      </c>
    </row>
    <row r="56" spans="1:11">
      <c r="A56" s="30" t="s">
        <v>182</v>
      </c>
      <c r="B56" s="30" t="s">
        <v>40</v>
      </c>
      <c r="C56" s="30" t="s">
        <v>183</v>
      </c>
      <c r="D56" s="30" t="s">
        <v>30</v>
      </c>
      <c r="E56" s="31">
        <v>4000</v>
      </c>
      <c r="F56" s="30" t="s">
        <v>26</v>
      </c>
      <c r="G56" s="30" t="s">
        <v>47</v>
      </c>
      <c r="H56" s="30" t="s">
        <v>19</v>
      </c>
      <c r="I56" s="30" t="s">
        <v>20</v>
      </c>
      <c r="J56" s="35">
        <v>46242</v>
      </c>
      <c r="K56" s="33">
        <v>17</v>
      </c>
    </row>
    <row r="57" spans="1:11">
      <c r="A57" s="30" t="s">
        <v>184</v>
      </c>
      <c r="B57" s="30" t="s">
        <v>40</v>
      </c>
      <c r="C57" s="30" t="s">
        <v>185</v>
      </c>
      <c r="D57" s="30" t="s">
        <v>30</v>
      </c>
      <c r="E57" s="31">
        <v>4000</v>
      </c>
      <c r="F57" s="30" t="s">
        <v>26</v>
      </c>
      <c r="G57" s="30" t="s">
        <v>47</v>
      </c>
      <c r="H57" s="30" t="s">
        <v>19</v>
      </c>
      <c r="I57" s="30" t="s">
        <v>20</v>
      </c>
      <c r="J57" s="35">
        <v>46242</v>
      </c>
      <c r="K57" s="33">
        <v>17</v>
      </c>
    </row>
    <row r="58" spans="1:11">
      <c r="A58" s="30" t="s">
        <v>186</v>
      </c>
      <c r="B58" s="30" t="s">
        <v>40</v>
      </c>
      <c r="C58" s="30" t="s">
        <v>187</v>
      </c>
      <c r="D58" s="30" t="s">
        <v>30</v>
      </c>
      <c r="E58" s="31">
        <v>4000</v>
      </c>
      <c r="F58" s="30" t="s">
        <v>26</v>
      </c>
      <c r="G58" s="30" t="s">
        <v>96</v>
      </c>
      <c r="H58" s="30" t="s">
        <v>19</v>
      </c>
      <c r="I58" s="30" t="s">
        <v>20</v>
      </c>
      <c r="J58" s="35">
        <v>46242</v>
      </c>
      <c r="K58" s="33">
        <v>17</v>
      </c>
    </row>
    <row r="59" spans="1:11">
      <c r="A59" s="30" t="s">
        <v>188</v>
      </c>
      <c r="B59" s="30" t="s">
        <v>129</v>
      </c>
      <c r="C59" s="30" t="s">
        <v>189</v>
      </c>
      <c r="D59" s="30" t="s">
        <v>190</v>
      </c>
      <c r="E59" s="31">
        <v>3991.49</v>
      </c>
      <c r="F59" s="30" t="s">
        <v>31</v>
      </c>
      <c r="G59" s="30" t="s">
        <v>47</v>
      </c>
      <c r="H59" s="30" t="s">
        <v>19</v>
      </c>
      <c r="I59" s="30" t="s">
        <v>20</v>
      </c>
      <c r="J59" s="35">
        <v>46066</v>
      </c>
      <c r="K59" s="33">
        <v>193</v>
      </c>
    </row>
    <row r="60" spans="1:11">
      <c r="A60" s="30" t="s">
        <v>191</v>
      </c>
      <c r="B60" s="30" t="s">
        <v>192</v>
      </c>
      <c r="C60" s="30" t="s">
        <v>193</v>
      </c>
      <c r="D60" s="30" t="s">
        <v>42</v>
      </c>
      <c r="E60" s="31">
        <v>3922.64</v>
      </c>
      <c r="F60" s="30" t="s">
        <v>16</v>
      </c>
      <c r="G60" s="30" t="s">
        <v>54</v>
      </c>
      <c r="H60" s="30" t="s">
        <v>61</v>
      </c>
      <c r="I60" s="30" t="s">
        <v>55</v>
      </c>
      <c r="J60" s="35">
        <v>46246</v>
      </c>
      <c r="K60" s="33">
        <v>13</v>
      </c>
    </row>
    <row r="61" spans="1:11">
      <c r="A61" s="30" t="s">
        <v>194</v>
      </c>
      <c r="B61" s="30" t="s">
        <v>195</v>
      </c>
      <c r="C61" s="30" t="s">
        <v>196</v>
      </c>
      <c r="D61" s="30" t="s">
        <v>42</v>
      </c>
      <c r="E61" s="31">
        <v>3911.99</v>
      </c>
      <c r="F61" s="30" t="s">
        <v>31</v>
      </c>
      <c r="G61" s="30" t="s">
        <v>47</v>
      </c>
      <c r="H61" s="30" t="s">
        <v>19</v>
      </c>
      <c r="I61" s="30" t="s">
        <v>20</v>
      </c>
      <c r="J61" s="35">
        <v>46078</v>
      </c>
      <c r="K61" s="33">
        <v>181</v>
      </c>
    </row>
    <row r="62" spans="1:11">
      <c r="A62" s="30" t="s">
        <v>197</v>
      </c>
      <c r="B62" s="30" t="s">
        <v>198</v>
      </c>
      <c r="C62" s="30" t="s">
        <v>199</v>
      </c>
      <c r="D62" s="30" t="s">
        <v>190</v>
      </c>
      <c r="E62" s="31">
        <v>3240.55</v>
      </c>
      <c r="F62" s="30" t="s">
        <v>31</v>
      </c>
      <c r="G62" s="30" t="s">
        <v>96</v>
      </c>
      <c r="H62" s="30" t="s">
        <v>19</v>
      </c>
      <c r="I62" s="30" t="s">
        <v>55</v>
      </c>
      <c r="J62" s="35">
        <v>46221</v>
      </c>
      <c r="K62" s="33">
        <v>38</v>
      </c>
    </row>
    <row r="63" spans="1:11">
      <c r="A63" s="30" t="s">
        <v>200</v>
      </c>
      <c r="B63" s="30" t="s">
        <v>201</v>
      </c>
      <c r="C63" s="30" t="s">
        <v>202</v>
      </c>
      <c r="D63" s="30" t="s">
        <v>30</v>
      </c>
      <c r="E63" s="31">
        <v>3220</v>
      </c>
      <c r="F63" s="30" t="s">
        <v>16</v>
      </c>
      <c r="G63" s="30" t="s">
        <v>96</v>
      </c>
      <c r="H63" s="30" t="s">
        <v>19</v>
      </c>
      <c r="I63" s="30" t="s">
        <v>55</v>
      </c>
      <c r="J63" s="35">
        <v>46157</v>
      </c>
      <c r="K63" s="33">
        <v>102</v>
      </c>
    </row>
    <row r="64" spans="1:11">
      <c r="A64" s="30" t="s">
        <v>203</v>
      </c>
      <c r="B64" s="30" t="s">
        <v>204</v>
      </c>
      <c r="C64" s="30" t="s">
        <v>205</v>
      </c>
      <c r="D64" s="30" t="s">
        <v>30</v>
      </c>
      <c r="E64" s="31">
        <v>3137.54</v>
      </c>
      <c r="F64" s="30" t="s">
        <v>31</v>
      </c>
      <c r="G64" s="30" t="s">
        <v>47</v>
      </c>
      <c r="H64" s="30" t="s">
        <v>19</v>
      </c>
      <c r="I64" s="30" t="s">
        <v>20</v>
      </c>
      <c r="J64" s="35">
        <v>46226</v>
      </c>
      <c r="K64" s="33">
        <v>33</v>
      </c>
    </row>
    <row r="65" spans="1:11">
      <c r="A65" s="30" t="s">
        <v>206</v>
      </c>
      <c r="B65" s="30" t="s">
        <v>207</v>
      </c>
      <c r="C65" s="30" t="s">
        <v>208</v>
      </c>
      <c r="D65" s="30" t="s">
        <v>42</v>
      </c>
      <c r="E65" s="31">
        <v>3089.67</v>
      </c>
      <c r="F65" s="30" t="s">
        <v>31</v>
      </c>
      <c r="G65" s="30" t="s">
        <v>96</v>
      </c>
      <c r="H65" s="30" t="s">
        <v>19</v>
      </c>
      <c r="I65" s="30" t="s">
        <v>55</v>
      </c>
      <c r="J65" s="35">
        <v>46240</v>
      </c>
      <c r="K65" s="33">
        <v>19</v>
      </c>
    </row>
    <row r="66" spans="1:11">
      <c r="A66" s="30" t="s">
        <v>209</v>
      </c>
      <c r="B66" s="30" t="s">
        <v>90</v>
      </c>
      <c r="C66" s="30" t="s">
        <v>210</v>
      </c>
      <c r="D66" s="30" t="s">
        <v>30</v>
      </c>
      <c r="E66" s="31">
        <v>2924.98</v>
      </c>
      <c r="F66" s="30" t="s">
        <v>16</v>
      </c>
      <c r="G66" s="30" t="s">
        <v>47</v>
      </c>
      <c r="H66" s="30" t="s">
        <v>19</v>
      </c>
      <c r="I66" s="30" t="s">
        <v>20</v>
      </c>
      <c r="J66" s="35">
        <v>46217</v>
      </c>
      <c r="K66" s="33">
        <v>42</v>
      </c>
    </row>
    <row r="67" spans="1:11">
      <c r="A67" s="30" t="s">
        <v>211</v>
      </c>
      <c r="B67" s="30" t="s">
        <v>192</v>
      </c>
      <c r="C67" s="30" t="s">
        <v>212</v>
      </c>
      <c r="D67" s="30" t="s">
        <v>114</v>
      </c>
      <c r="E67" s="31">
        <v>2922.24</v>
      </c>
      <c r="F67" s="30" t="s">
        <v>16</v>
      </c>
      <c r="G67" s="30" t="s">
        <v>54</v>
      </c>
      <c r="H67" s="30" t="s">
        <v>61</v>
      </c>
      <c r="I67" s="30" t="s">
        <v>55</v>
      </c>
      <c r="J67" s="35">
        <v>46246</v>
      </c>
      <c r="K67" s="33">
        <v>13</v>
      </c>
    </row>
    <row r="68" spans="1:11">
      <c r="A68" s="30" t="s">
        <v>213</v>
      </c>
      <c r="B68" s="30" t="s">
        <v>214</v>
      </c>
      <c r="C68" s="30" t="s">
        <v>215</v>
      </c>
      <c r="D68" s="30" t="s">
        <v>42</v>
      </c>
      <c r="E68" s="31">
        <v>2891.5</v>
      </c>
      <c r="F68" s="30" t="s">
        <v>31</v>
      </c>
      <c r="G68" s="30" t="s">
        <v>96</v>
      </c>
      <c r="H68" s="30" t="s">
        <v>19</v>
      </c>
      <c r="I68" s="30" t="s">
        <v>55</v>
      </c>
      <c r="J68" s="35">
        <v>46240</v>
      </c>
      <c r="K68" s="33">
        <v>19</v>
      </c>
    </row>
    <row r="69" spans="1:11">
      <c r="A69" s="30" t="s">
        <v>216</v>
      </c>
      <c r="B69" s="30" t="s">
        <v>217</v>
      </c>
      <c r="C69" s="30" t="s">
        <v>218</v>
      </c>
      <c r="D69" s="30" t="s">
        <v>42</v>
      </c>
      <c r="E69" s="31">
        <v>2874.54</v>
      </c>
      <c r="F69" s="30" t="s">
        <v>26</v>
      </c>
      <c r="G69" s="30" t="s">
        <v>96</v>
      </c>
      <c r="H69" s="30" t="s">
        <v>19</v>
      </c>
      <c r="I69" s="30" t="s">
        <v>55</v>
      </c>
      <c r="J69" s="35">
        <v>46251</v>
      </c>
      <c r="K69" s="33">
        <v>8</v>
      </c>
    </row>
    <row r="70" spans="1:11">
      <c r="A70" s="30" t="s">
        <v>219</v>
      </c>
      <c r="B70" s="30" t="s">
        <v>220</v>
      </c>
      <c r="C70" s="30" t="s">
        <v>221</v>
      </c>
      <c r="D70" s="30" t="s">
        <v>222</v>
      </c>
      <c r="E70" s="31">
        <v>2871.6</v>
      </c>
      <c r="F70" s="30" t="s">
        <v>31</v>
      </c>
      <c r="G70" s="30" t="s">
        <v>18</v>
      </c>
      <c r="H70" s="30" t="s">
        <v>19</v>
      </c>
      <c r="I70" s="30" t="s">
        <v>20</v>
      </c>
      <c r="J70" s="32"/>
      <c r="K70" s="33" t="s">
        <v>21</v>
      </c>
    </row>
    <row r="71" spans="1:11">
      <c r="A71" s="30" t="s">
        <v>223</v>
      </c>
      <c r="B71" s="30" t="s">
        <v>72</v>
      </c>
      <c r="C71" s="30" t="s">
        <v>224</v>
      </c>
      <c r="D71" s="30" t="s">
        <v>67</v>
      </c>
      <c r="E71" s="31">
        <v>2645</v>
      </c>
      <c r="F71" s="30" t="s">
        <v>26</v>
      </c>
      <c r="G71" s="30" t="s">
        <v>18</v>
      </c>
      <c r="H71" s="30" t="s">
        <v>19</v>
      </c>
      <c r="I71" s="30" t="s">
        <v>20</v>
      </c>
      <c r="J71" s="32"/>
      <c r="K71" s="33" t="s">
        <v>21</v>
      </c>
    </row>
    <row r="72" spans="1:11">
      <c r="A72" s="30" t="s">
        <v>225</v>
      </c>
      <c r="B72" s="30" t="s">
        <v>72</v>
      </c>
      <c r="C72" s="30" t="s">
        <v>226</v>
      </c>
      <c r="D72" s="30" t="s">
        <v>67</v>
      </c>
      <c r="E72" s="31">
        <v>2645</v>
      </c>
      <c r="F72" s="30" t="s">
        <v>26</v>
      </c>
      <c r="G72" s="30" t="s">
        <v>32</v>
      </c>
      <c r="H72" s="30" t="s">
        <v>19</v>
      </c>
      <c r="I72" s="30" t="s">
        <v>33</v>
      </c>
      <c r="J72" s="36">
        <v>46233</v>
      </c>
      <c r="K72" s="33">
        <v>26</v>
      </c>
    </row>
    <row r="73" spans="1:11">
      <c r="A73" s="30" t="s">
        <v>227</v>
      </c>
      <c r="B73" s="30" t="s">
        <v>228</v>
      </c>
      <c r="C73" s="30" t="s">
        <v>229</v>
      </c>
      <c r="D73" s="30" t="s">
        <v>67</v>
      </c>
      <c r="E73" s="31">
        <v>2645</v>
      </c>
      <c r="F73" s="30" t="s">
        <v>26</v>
      </c>
      <c r="G73" s="30" t="s">
        <v>32</v>
      </c>
      <c r="H73" s="30" t="s">
        <v>19</v>
      </c>
      <c r="I73" s="30" t="s">
        <v>33</v>
      </c>
      <c r="J73" s="36">
        <v>46219</v>
      </c>
      <c r="K73" s="33">
        <v>40</v>
      </c>
    </row>
    <row r="74" spans="1:11">
      <c r="A74" s="30" t="s">
        <v>230</v>
      </c>
      <c r="B74" s="30" t="s">
        <v>231</v>
      </c>
      <c r="C74" s="30" t="s">
        <v>232</v>
      </c>
      <c r="D74" s="30" t="s">
        <v>42</v>
      </c>
      <c r="E74" s="31">
        <v>2319</v>
      </c>
      <c r="F74" s="30" t="s">
        <v>16</v>
      </c>
      <c r="G74" s="30" t="s">
        <v>18</v>
      </c>
      <c r="H74" s="30" t="s">
        <v>19</v>
      </c>
      <c r="I74" s="30" t="s">
        <v>20</v>
      </c>
      <c r="J74" s="32"/>
      <c r="K74" s="33" t="s">
        <v>21</v>
      </c>
    </row>
    <row r="75" spans="1:11">
      <c r="A75" s="30" t="s">
        <v>233</v>
      </c>
      <c r="B75" s="30" t="s">
        <v>234</v>
      </c>
      <c r="C75" s="30" t="s">
        <v>235</v>
      </c>
      <c r="D75" s="30" t="s">
        <v>42</v>
      </c>
      <c r="E75" s="31">
        <v>2301.5</v>
      </c>
      <c r="F75" s="30" t="s">
        <v>31</v>
      </c>
      <c r="G75" s="30" t="s">
        <v>96</v>
      </c>
      <c r="H75" s="30" t="s">
        <v>19</v>
      </c>
      <c r="I75" s="30" t="s">
        <v>55</v>
      </c>
      <c r="J75" s="36">
        <v>46226</v>
      </c>
      <c r="K75" s="33">
        <v>33</v>
      </c>
    </row>
    <row r="76" spans="1:11">
      <c r="A76" s="30" t="s">
        <v>236</v>
      </c>
      <c r="B76" s="30" t="s">
        <v>145</v>
      </c>
      <c r="C76" s="30" t="s">
        <v>237</v>
      </c>
      <c r="D76" s="30" t="s">
        <v>42</v>
      </c>
      <c r="E76" s="31">
        <v>2105.62</v>
      </c>
      <c r="F76" s="30" t="s">
        <v>26</v>
      </c>
      <c r="G76" s="30" t="s">
        <v>47</v>
      </c>
      <c r="H76" s="30" t="s">
        <v>19</v>
      </c>
      <c r="I76" s="30" t="s">
        <v>20</v>
      </c>
      <c r="J76" s="35">
        <v>46185</v>
      </c>
      <c r="K76" s="33">
        <v>74</v>
      </c>
    </row>
    <row r="77" spans="1:11">
      <c r="A77" s="30" t="s">
        <v>238</v>
      </c>
      <c r="B77" s="30" t="s">
        <v>239</v>
      </c>
      <c r="C77" s="30" t="s">
        <v>240</v>
      </c>
      <c r="D77" s="30" t="s">
        <v>30</v>
      </c>
      <c r="E77" s="31">
        <v>2079</v>
      </c>
      <c r="F77" s="30" t="s">
        <v>31</v>
      </c>
      <c r="G77" s="30" t="s">
        <v>18</v>
      </c>
      <c r="H77" s="30" t="s">
        <v>19</v>
      </c>
      <c r="I77" s="30" t="s">
        <v>20</v>
      </c>
      <c r="J77" s="35">
        <v>46106</v>
      </c>
      <c r="K77" s="33">
        <v>153</v>
      </c>
    </row>
    <row r="78" spans="1:11">
      <c r="A78" s="30" t="s">
        <v>241</v>
      </c>
      <c r="B78" s="30" t="s">
        <v>83</v>
      </c>
      <c r="C78" s="30" t="s">
        <v>242</v>
      </c>
      <c r="D78" s="30" t="s">
        <v>30</v>
      </c>
      <c r="E78" s="31">
        <v>2000</v>
      </c>
      <c r="F78" s="30" t="s">
        <v>26</v>
      </c>
      <c r="G78" s="30" t="s">
        <v>96</v>
      </c>
      <c r="H78" s="30" t="s">
        <v>19</v>
      </c>
      <c r="I78" s="30" t="s">
        <v>20</v>
      </c>
      <c r="J78" s="35">
        <v>46242</v>
      </c>
      <c r="K78" s="33">
        <v>17</v>
      </c>
    </row>
    <row r="79" spans="1:11">
      <c r="A79" s="30" t="s">
        <v>243</v>
      </c>
      <c r="B79" s="30" t="s">
        <v>72</v>
      </c>
      <c r="C79" s="30" t="s">
        <v>244</v>
      </c>
      <c r="D79" s="30" t="s">
        <v>30</v>
      </c>
      <c r="E79" s="31">
        <v>2000</v>
      </c>
      <c r="F79" s="30" t="s">
        <v>26</v>
      </c>
      <c r="G79" s="30" t="s">
        <v>96</v>
      </c>
      <c r="H79" s="30" t="s">
        <v>19</v>
      </c>
      <c r="I79" s="30" t="s">
        <v>55</v>
      </c>
      <c r="J79" s="35">
        <v>46242</v>
      </c>
      <c r="K79" s="33">
        <v>17</v>
      </c>
    </row>
    <row r="80" spans="1:11">
      <c r="A80" s="30" t="s">
        <v>245</v>
      </c>
      <c r="B80" s="30" t="s">
        <v>72</v>
      </c>
      <c r="C80" s="30" t="s">
        <v>246</v>
      </c>
      <c r="D80" s="30" t="s">
        <v>30</v>
      </c>
      <c r="E80" s="31">
        <v>2000</v>
      </c>
      <c r="F80" s="30" t="s">
        <v>26</v>
      </c>
      <c r="G80" s="30" t="s">
        <v>96</v>
      </c>
      <c r="H80" s="30" t="s">
        <v>19</v>
      </c>
      <c r="I80" s="30" t="s">
        <v>55</v>
      </c>
      <c r="J80" s="35">
        <v>46242</v>
      </c>
      <c r="K80" s="33">
        <v>17</v>
      </c>
    </row>
    <row r="81" spans="1:11">
      <c r="A81" s="30" t="s">
        <v>247</v>
      </c>
      <c r="B81" s="30" t="s">
        <v>60</v>
      </c>
      <c r="C81" s="30" t="s">
        <v>248</v>
      </c>
      <c r="D81" s="30" t="s">
        <v>30</v>
      </c>
      <c r="E81" s="31">
        <v>2000</v>
      </c>
      <c r="F81" s="30" t="s">
        <v>26</v>
      </c>
      <c r="G81" s="30" t="s">
        <v>47</v>
      </c>
      <c r="H81" s="30" t="s">
        <v>19</v>
      </c>
      <c r="I81" s="30" t="s">
        <v>20</v>
      </c>
      <c r="J81" s="35">
        <v>46251</v>
      </c>
      <c r="K81" s="33">
        <v>8</v>
      </c>
    </row>
    <row r="82" spans="1:11">
      <c r="A82" s="30" t="s">
        <v>249</v>
      </c>
      <c r="B82" s="30" t="s">
        <v>83</v>
      </c>
      <c r="C82" s="30" t="s">
        <v>248</v>
      </c>
      <c r="D82" s="30" t="s">
        <v>30</v>
      </c>
      <c r="E82" s="31">
        <v>2000</v>
      </c>
      <c r="F82" s="30" t="s">
        <v>26</v>
      </c>
      <c r="G82" s="30" t="s">
        <v>96</v>
      </c>
      <c r="H82" s="30" t="s">
        <v>19</v>
      </c>
      <c r="I82" s="30" t="s">
        <v>20</v>
      </c>
      <c r="J82" s="35">
        <v>46251</v>
      </c>
      <c r="K82" s="33">
        <v>8</v>
      </c>
    </row>
    <row r="83" spans="1:11">
      <c r="A83" s="30" t="s">
        <v>250</v>
      </c>
      <c r="B83" s="30" t="s">
        <v>251</v>
      </c>
      <c r="C83" s="30" t="s">
        <v>248</v>
      </c>
      <c r="D83" s="30" t="s">
        <v>30</v>
      </c>
      <c r="E83" s="31">
        <v>2000</v>
      </c>
      <c r="F83" s="30" t="s">
        <v>26</v>
      </c>
      <c r="G83" s="30" t="s">
        <v>96</v>
      </c>
      <c r="H83" s="30" t="s">
        <v>19</v>
      </c>
      <c r="I83" s="30" t="s">
        <v>55</v>
      </c>
      <c r="J83" s="35">
        <v>46251</v>
      </c>
      <c r="K83" s="33">
        <v>8</v>
      </c>
    </row>
    <row r="84" spans="1:11">
      <c r="A84" s="30" t="s">
        <v>252</v>
      </c>
      <c r="B84" s="30" t="s">
        <v>253</v>
      </c>
      <c r="C84" s="30" t="s">
        <v>254</v>
      </c>
      <c r="D84" s="30" t="s">
        <v>30</v>
      </c>
      <c r="E84" s="31">
        <v>2000</v>
      </c>
      <c r="F84" s="30" t="s">
        <v>16</v>
      </c>
      <c r="G84" s="30" t="s">
        <v>96</v>
      </c>
      <c r="H84" s="30" t="s">
        <v>19</v>
      </c>
      <c r="I84" s="30" t="s">
        <v>55</v>
      </c>
      <c r="J84" s="35">
        <v>46240</v>
      </c>
      <c r="K84" s="33">
        <v>19</v>
      </c>
    </row>
    <row r="85" spans="1:11">
      <c r="A85" s="30" t="s">
        <v>255</v>
      </c>
      <c r="B85" s="30" t="s">
        <v>256</v>
      </c>
      <c r="C85" s="30" t="s">
        <v>257</v>
      </c>
      <c r="D85" s="30" t="s">
        <v>30</v>
      </c>
      <c r="E85" s="31">
        <v>2000</v>
      </c>
      <c r="F85" s="30" t="s">
        <v>16</v>
      </c>
      <c r="G85" s="30" t="s">
        <v>32</v>
      </c>
      <c r="H85" s="30" t="s">
        <v>19</v>
      </c>
      <c r="I85" s="30" t="s">
        <v>33</v>
      </c>
      <c r="J85" s="36">
        <v>46248</v>
      </c>
      <c r="K85" s="33">
        <v>11</v>
      </c>
    </row>
    <row r="86" spans="1:11">
      <c r="A86" s="30" t="s">
        <v>258</v>
      </c>
      <c r="B86" s="30" t="s">
        <v>256</v>
      </c>
      <c r="C86" s="30" t="s">
        <v>259</v>
      </c>
      <c r="D86" s="30" t="s">
        <v>30</v>
      </c>
      <c r="E86" s="31">
        <v>2000</v>
      </c>
      <c r="F86" s="30" t="s">
        <v>16</v>
      </c>
      <c r="G86" s="30" t="s">
        <v>32</v>
      </c>
      <c r="H86" s="30" t="s">
        <v>19</v>
      </c>
      <c r="I86" s="30" t="s">
        <v>33</v>
      </c>
      <c r="J86" s="36">
        <v>46249</v>
      </c>
      <c r="K86" s="33">
        <v>10</v>
      </c>
    </row>
    <row r="87" spans="1:11">
      <c r="A87" s="30" t="s">
        <v>260</v>
      </c>
      <c r="B87" s="30" t="s">
        <v>40</v>
      </c>
      <c r="C87" s="30" t="s">
        <v>261</v>
      </c>
      <c r="D87" s="30" t="s">
        <v>42</v>
      </c>
      <c r="E87" s="31">
        <v>1973</v>
      </c>
      <c r="F87" s="30" t="s">
        <v>26</v>
      </c>
      <c r="G87" s="30" t="s">
        <v>47</v>
      </c>
      <c r="H87" s="30" t="s">
        <v>19</v>
      </c>
      <c r="I87" s="30" t="s">
        <v>20</v>
      </c>
      <c r="J87" s="35">
        <v>46242</v>
      </c>
      <c r="K87" s="33">
        <v>17</v>
      </c>
    </row>
    <row r="88" spans="1:11">
      <c r="A88" s="30" t="s">
        <v>262</v>
      </c>
      <c r="B88" s="30" t="s">
        <v>263</v>
      </c>
      <c r="C88" s="30" t="s">
        <v>264</v>
      </c>
      <c r="D88" s="30" t="s">
        <v>37</v>
      </c>
      <c r="E88" s="31">
        <v>1961.4</v>
      </c>
      <c r="F88" s="30" t="s">
        <v>31</v>
      </c>
      <c r="G88" s="30" t="s">
        <v>47</v>
      </c>
      <c r="H88" s="30" t="s">
        <v>19</v>
      </c>
      <c r="I88" s="30" t="s">
        <v>20</v>
      </c>
      <c r="J88" s="35">
        <v>46051</v>
      </c>
      <c r="K88" s="33">
        <v>208</v>
      </c>
    </row>
    <row r="89" spans="1:11">
      <c r="A89" s="30" t="s">
        <v>265</v>
      </c>
      <c r="B89" s="30" t="s">
        <v>234</v>
      </c>
      <c r="C89" s="30" t="s">
        <v>266</v>
      </c>
      <c r="D89" s="30" t="s">
        <v>42</v>
      </c>
      <c r="E89" s="31">
        <v>1957</v>
      </c>
      <c r="F89" s="30" t="s">
        <v>31</v>
      </c>
      <c r="G89" s="30" t="s">
        <v>96</v>
      </c>
      <c r="H89" s="30" t="s">
        <v>19</v>
      </c>
      <c r="I89" s="30" t="s">
        <v>55</v>
      </c>
      <c r="J89" s="35">
        <v>46240</v>
      </c>
      <c r="K89" s="33">
        <v>19</v>
      </c>
    </row>
    <row r="90" spans="1:11">
      <c r="A90" s="30" t="s">
        <v>267</v>
      </c>
      <c r="B90" s="30" t="s">
        <v>268</v>
      </c>
      <c r="C90" s="30" t="s">
        <v>269</v>
      </c>
      <c r="D90" s="30" t="s">
        <v>222</v>
      </c>
      <c r="E90" s="31">
        <v>1941</v>
      </c>
      <c r="F90" s="30" t="s">
        <v>16</v>
      </c>
      <c r="G90" s="30" t="s">
        <v>32</v>
      </c>
      <c r="H90" s="30" t="s">
        <v>19</v>
      </c>
      <c r="I90" s="30" t="s">
        <v>270</v>
      </c>
      <c r="J90" s="36">
        <v>46237</v>
      </c>
      <c r="K90" s="33">
        <v>22</v>
      </c>
    </row>
    <row r="91" spans="1:11">
      <c r="A91" s="30" t="s">
        <v>271</v>
      </c>
      <c r="B91" s="30" t="s">
        <v>28</v>
      </c>
      <c r="C91" s="30" t="s">
        <v>272</v>
      </c>
      <c r="D91" s="30" t="s">
        <v>42</v>
      </c>
      <c r="E91" s="31">
        <v>1886.4</v>
      </c>
      <c r="F91" s="30" t="s">
        <v>31</v>
      </c>
      <c r="G91" s="30" t="s">
        <v>54</v>
      </c>
      <c r="H91" s="30" t="s">
        <v>61</v>
      </c>
      <c r="I91" s="30" t="s">
        <v>55</v>
      </c>
      <c r="J91" s="35">
        <v>46226</v>
      </c>
      <c r="K91" s="33">
        <v>33</v>
      </c>
    </row>
    <row r="92" spans="1:11">
      <c r="A92" s="30" t="s">
        <v>273</v>
      </c>
      <c r="B92" s="30" t="s">
        <v>214</v>
      </c>
      <c r="C92" s="30" t="s">
        <v>274</v>
      </c>
      <c r="D92" s="30" t="s">
        <v>67</v>
      </c>
      <c r="E92" s="31">
        <v>1800</v>
      </c>
      <c r="F92" s="30" t="s">
        <v>31</v>
      </c>
      <c r="G92" s="30" t="s">
        <v>96</v>
      </c>
      <c r="H92" s="30" t="s">
        <v>19</v>
      </c>
      <c r="I92" s="30" t="s">
        <v>55</v>
      </c>
      <c r="J92" s="35">
        <v>46240</v>
      </c>
      <c r="K92" s="33">
        <v>19</v>
      </c>
    </row>
    <row r="93" spans="1:11">
      <c r="A93" s="30" t="s">
        <v>275</v>
      </c>
      <c r="B93" s="30" t="s">
        <v>198</v>
      </c>
      <c r="C93" s="30" t="s">
        <v>276</v>
      </c>
      <c r="D93" s="30" t="s">
        <v>30</v>
      </c>
      <c r="E93" s="31">
        <v>1797.42</v>
      </c>
      <c r="F93" s="30" t="s">
        <v>31</v>
      </c>
      <c r="G93" s="30" t="s">
        <v>96</v>
      </c>
      <c r="H93" s="30" t="s">
        <v>19</v>
      </c>
      <c r="I93" s="30" t="s">
        <v>55</v>
      </c>
      <c r="J93" s="36">
        <v>46129</v>
      </c>
      <c r="K93" s="33">
        <v>130</v>
      </c>
    </row>
    <row r="94" spans="1:11">
      <c r="A94" s="30" t="s">
        <v>277</v>
      </c>
      <c r="B94" s="30" t="s">
        <v>214</v>
      </c>
      <c r="C94" s="30" t="s">
        <v>278</v>
      </c>
      <c r="D94" s="30" t="s">
        <v>140</v>
      </c>
      <c r="E94" s="31">
        <v>1754.2</v>
      </c>
      <c r="F94" s="30" t="s">
        <v>31</v>
      </c>
      <c r="G94" s="30" t="s">
        <v>96</v>
      </c>
      <c r="H94" s="30" t="s">
        <v>19</v>
      </c>
      <c r="I94" s="30" t="s">
        <v>55</v>
      </c>
      <c r="J94" s="35">
        <v>46240</v>
      </c>
      <c r="K94" s="33">
        <v>19</v>
      </c>
    </row>
    <row r="95" spans="1:11">
      <c r="A95" s="30" t="s">
        <v>279</v>
      </c>
      <c r="B95" s="30" t="s">
        <v>280</v>
      </c>
      <c r="C95" s="30" t="s">
        <v>281</v>
      </c>
      <c r="D95" s="30" t="s">
        <v>30</v>
      </c>
      <c r="E95" s="31">
        <v>1625</v>
      </c>
      <c r="F95" s="30" t="s">
        <v>31</v>
      </c>
      <c r="G95" s="30" t="s">
        <v>47</v>
      </c>
      <c r="H95" s="30" t="s">
        <v>19</v>
      </c>
      <c r="I95" s="30" t="s">
        <v>20</v>
      </c>
      <c r="J95" s="35">
        <v>46240</v>
      </c>
      <c r="K95" s="33">
        <v>19</v>
      </c>
    </row>
    <row r="96" spans="1:11">
      <c r="A96" s="30" t="s">
        <v>282</v>
      </c>
      <c r="B96" s="30" t="s">
        <v>204</v>
      </c>
      <c r="C96" s="30" t="s">
        <v>283</v>
      </c>
      <c r="D96" s="30" t="s">
        <v>222</v>
      </c>
      <c r="E96" s="31">
        <v>1599.18</v>
      </c>
      <c r="F96" s="30" t="s">
        <v>31</v>
      </c>
      <c r="G96" s="30" t="s">
        <v>96</v>
      </c>
      <c r="H96" s="30" t="s">
        <v>19</v>
      </c>
      <c r="I96" s="30" t="s">
        <v>55</v>
      </c>
      <c r="J96" s="35">
        <v>46240</v>
      </c>
      <c r="K96" s="33">
        <v>19</v>
      </c>
    </row>
    <row r="97" spans="1:11">
      <c r="A97" s="30" t="s">
        <v>284</v>
      </c>
      <c r="B97" s="30" t="s">
        <v>220</v>
      </c>
      <c r="C97" s="30" t="s">
        <v>285</v>
      </c>
      <c r="D97" s="30" t="s">
        <v>222</v>
      </c>
      <c r="E97" s="31">
        <v>1581.27</v>
      </c>
      <c r="F97" s="30" t="s">
        <v>31</v>
      </c>
      <c r="G97" s="30" t="s">
        <v>18</v>
      </c>
      <c r="H97" s="30" t="s">
        <v>19</v>
      </c>
      <c r="I97" s="30" t="s">
        <v>20</v>
      </c>
      <c r="J97" s="32"/>
      <c r="K97" s="33" t="s">
        <v>21</v>
      </c>
    </row>
    <row r="98" spans="1:11">
      <c r="A98" s="30" t="s">
        <v>286</v>
      </c>
      <c r="B98" s="30" t="s">
        <v>287</v>
      </c>
      <c r="C98" s="30" t="s">
        <v>288</v>
      </c>
      <c r="D98" s="30" t="s">
        <v>42</v>
      </c>
      <c r="E98" s="31">
        <v>1578.6</v>
      </c>
      <c r="F98" s="30" t="s">
        <v>31</v>
      </c>
      <c r="G98" s="30" t="s">
        <v>96</v>
      </c>
      <c r="H98" s="30" t="s">
        <v>19</v>
      </c>
      <c r="I98" s="30" t="s">
        <v>55</v>
      </c>
      <c r="J98" s="35">
        <v>46240</v>
      </c>
      <c r="K98" s="33">
        <v>19</v>
      </c>
    </row>
    <row r="99" spans="1:11">
      <c r="A99" s="30" t="s">
        <v>289</v>
      </c>
      <c r="B99" s="30" t="s">
        <v>290</v>
      </c>
      <c r="C99" s="30" t="s">
        <v>291</v>
      </c>
      <c r="D99" s="30" t="s">
        <v>42</v>
      </c>
      <c r="E99" s="31">
        <v>1568.93</v>
      </c>
      <c r="F99" s="30" t="s">
        <v>172</v>
      </c>
      <c r="G99" s="30" t="s">
        <v>47</v>
      </c>
      <c r="H99" s="30" t="s">
        <v>19</v>
      </c>
      <c r="I99" s="30" t="s">
        <v>20</v>
      </c>
      <c r="J99" s="35">
        <v>46218</v>
      </c>
      <c r="K99" s="33">
        <v>41</v>
      </c>
    </row>
    <row r="100" spans="1:11">
      <c r="A100" s="30" t="s">
        <v>292</v>
      </c>
      <c r="B100" s="30" t="s">
        <v>126</v>
      </c>
      <c r="C100" s="30" t="s">
        <v>293</v>
      </c>
      <c r="D100" s="30" t="s">
        <v>42</v>
      </c>
      <c r="E100" s="31">
        <v>1524</v>
      </c>
      <c r="F100" s="30" t="s">
        <v>31</v>
      </c>
      <c r="G100" s="30" t="s">
        <v>47</v>
      </c>
      <c r="H100" s="30" t="s">
        <v>19</v>
      </c>
      <c r="I100" s="30" t="s">
        <v>20</v>
      </c>
      <c r="J100" s="35">
        <v>46240</v>
      </c>
      <c r="K100" s="33">
        <v>19</v>
      </c>
    </row>
    <row r="101" spans="1:11">
      <c r="A101" s="30" t="s">
        <v>294</v>
      </c>
      <c r="B101" s="30" t="s">
        <v>295</v>
      </c>
      <c r="C101" s="30" t="s">
        <v>296</v>
      </c>
      <c r="D101" s="30" t="s">
        <v>42</v>
      </c>
      <c r="E101" s="31">
        <v>1519.42</v>
      </c>
      <c r="F101" s="30" t="s">
        <v>31</v>
      </c>
      <c r="G101" s="30" t="s">
        <v>47</v>
      </c>
      <c r="H101" s="30" t="s">
        <v>19</v>
      </c>
      <c r="I101" s="30" t="s">
        <v>20</v>
      </c>
      <c r="J101" s="35">
        <v>46147</v>
      </c>
      <c r="K101" s="33">
        <v>112</v>
      </c>
    </row>
    <row r="102" spans="1:11">
      <c r="A102" s="30" t="s">
        <v>297</v>
      </c>
      <c r="B102" s="30" t="s">
        <v>298</v>
      </c>
      <c r="C102" s="30" t="s">
        <v>299</v>
      </c>
      <c r="D102" s="30" t="s">
        <v>155</v>
      </c>
      <c r="E102" s="31">
        <v>1450</v>
      </c>
      <c r="F102" s="30" t="s">
        <v>26</v>
      </c>
      <c r="G102" s="30" t="s">
        <v>96</v>
      </c>
      <c r="H102" s="30" t="s">
        <v>19</v>
      </c>
      <c r="I102" s="30" t="s">
        <v>55</v>
      </c>
      <c r="J102" s="36">
        <v>46247</v>
      </c>
      <c r="K102" s="33">
        <v>12</v>
      </c>
    </row>
    <row r="103" spans="1:11">
      <c r="A103" s="30" t="s">
        <v>300</v>
      </c>
      <c r="B103" s="30" t="s">
        <v>145</v>
      </c>
      <c r="C103" s="30" t="s">
        <v>301</v>
      </c>
      <c r="D103" s="30" t="s">
        <v>42</v>
      </c>
      <c r="E103" s="31">
        <v>1389.34</v>
      </c>
      <c r="F103" s="30" t="s">
        <v>26</v>
      </c>
      <c r="G103" s="30" t="s">
        <v>96</v>
      </c>
      <c r="H103" s="30" t="s">
        <v>19</v>
      </c>
      <c r="I103" s="30" t="s">
        <v>55</v>
      </c>
      <c r="J103" s="35">
        <v>46251</v>
      </c>
      <c r="K103" s="33">
        <v>8</v>
      </c>
    </row>
    <row r="104" spans="1:11">
      <c r="A104" s="30" t="s">
        <v>302</v>
      </c>
      <c r="B104" s="30" t="s">
        <v>303</v>
      </c>
      <c r="C104" s="30" t="s">
        <v>304</v>
      </c>
      <c r="D104" s="30" t="s">
        <v>30</v>
      </c>
      <c r="E104" s="31">
        <v>1380.2</v>
      </c>
      <c r="F104" s="30" t="s">
        <v>31</v>
      </c>
      <c r="G104" s="30" t="s">
        <v>18</v>
      </c>
      <c r="H104" s="30" t="s">
        <v>19</v>
      </c>
      <c r="I104" s="30" t="s">
        <v>20</v>
      </c>
      <c r="J104" s="35">
        <v>46223</v>
      </c>
      <c r="K104" s="33">
        <v>36</v>
      </c>
    </row>
    <row r="105" spans="1:11">
      <c r="A105" s="30" t="s">
        <v>305</v>
      </c>
      <c r="B105" s="30" t="s">
        <v>145</v>
      </c>
      <c r="C105" s="30" t="s">
        <v>306</v>
      </c>
      <c r="D105" s="30" t="s">
        <v>42</v>
      </c>
      <c r="E105" s="31">
        <v>1306.3499999999999</v>
      </c>
      <c r="F105" s="30" t="s">
        <v>26</v>
      </c>
      <c r="G105" s="30" t="s">
        <v>47</v>
      </c>
      <c r="H105" s="30" t="s">
        <v>19</v>
      </c>
      <c r="I105" s="30" t="s">
        <v>20</v>
      </c>
      <c r="J105" s="35">
        <v>46186</v>
      </c>
      <c r="K105" s="33">
        <v>73</v>
      </c>
    </row>
    <row r="106" spans="1:11">
      <c r="A106" s="30" t="s">
        <v>307</v>
      </c>
      <c r="B106" s="30" t="s">
        <v>214</v>
      </c>
      <c r="C106" s="30" t="s">
        <v>308</v>
      </c>
      <c r="D106" s="30" t="s">
        <v>42</v>
      </c>
      <c r="E106" s="31">
        <v>1302.5999999999999</v>
      </c>
      <c r="F106" s="30" t="s">
        <v>31</v>
      </c>
      <c r="G106" s="30" t="s">
        <v>96</v>
      </c>
      <c r="H106" s="30" t="s">
        <v>19</v>
      </c>
      <c r="I106" s="30" t="s">
        <v>55</v>
      </c>
      <c r="J106" s="35">
        <v>46240</v>
      </c>
      <c r="K106" s="33">
        <v>19</v>
      </c>
    </row>
    <row r="107" spans="1:11">
      <c r="A107" s="30" t="s">
        <v>309</v>
      </c>
      <c r="B107" s="30" t="s">
        <v>310</v>
      </c>
      <c r="C107" s="30" t="s">
        <v>311</v>
      </c>
      <c r="D107" s="30" t="s">
        <v>114</v>
      </c>
      <c r="E107" s="31">
        <v>1300.6600000000001</v>
      </c>
      <c r="F107" s="30" t="s">
        <v>31</v>
      </c>
      <c r="G107" s="30" t="s">
        <v>312</v>
      </c>
      <c r="H107" s="30" t="s">
        <v>19</v>
      </c>
      <c r="I107" s="30" t="s">
        <v>33</v>
      </c>
      <c r="J107" s="36">
        <v>46174</v>
      </c>
      <c r="K107" s="33">
        <v>85</v>
      </c>
    </row>
    <row r="108" spans="1:11">
      <c r="A108" s="30" t="s">
        <v>313</v>
      </c>
      <c r="B108" s="30" t="s">
        <v>231</v>
      </c>
      <c r="C108" s="30" t="s">
        <v>314</v>
      </c>
      <c r="D108" s="30" t="s">
        <v>222</v>
      </c>
      <c r="E108" s="31">
        <v>1294.18</v>
      </c>
      <c r="F108" s="30" t="s">
        <v>16</v>
      </c>
      <c r="G108" s="30" t="s">
        <v>47</v>
      </c>
      <c r="H108" s="30" t="s">
        <v>19</v>
      </c>
      <c r="I108" s="30" t="s">
        <v>20</v>
      </c>
      <c r="J108" s="35">
        <v>46240</v>
      </c>
      <c r="K108" s="33">
        <v>19</v>
      </c>
    </row>
    <row r="109" spans="1:11">
      <c r="A109" s="30" t="s">
        <v>315</v>
      </c>
      <c r="B109" s="30" t="s">
        <v>316</v>
      </c>
      <c r="C109" s="30" t="s">
        <v>317</v>
      </c>
      <c r="D109" s="30" t="s">
        <v>318</v>
      </c>
      <c r="E109" s="31">
        <v>1278.6199999999999</v>
      </c>
      <c r="F109" s="30" t="s">
        <v>172</v>
      </c>
      <c r="G109" s="30" t="s">
        <v>47</v>
      </c>
      <c r="H109" s="30" t="s">
        <v>19</v>
      </c>
      <c r="I109" s="30" t="s">
        <v>20</v>
      </c>
      <c r="J109" s="35">
        <v>46064</v>
      </c>
      <c r="K109" s="33">
        <v>195</v>
      </c>
    </row>
    <row r="110" spans="1:11">
      <c r="A110" s="30" t="s">
        <v>319</v>
      </c>
      <c r="B110" s="30" t="s">
        <v>204</v>
      </c>
      <c r="C110" s="30" t="s">
        <v>320</v>
      </c>
      <c r="D110" s="30" t="s">
        <v>67</v>
      </c>
      <c r="E110" s="31">
        <v>1080</v>
      </c>
      <c r="F110" s="30" t="s">
        <v>31</v>
      </c>
      <c r="G110" s="30" t="s">
        <v>18</v>
      </c>
      <c r="H110" s="30" t="s">
        <v>19</v>
      </c>
      <c r="I110" s="30" t="s">
        <v>20</v>
      </c>
      <c r="J110" s="35">
        <v>46218</v>
      </c>
      <c r="K110" s="33">
        <v>41</v>
      </c>
    </row>
    <row r="111" spans="1:11">
      <c r="A111" s="30" t="s">
        <v>321</v>
      </c>
      <c r="B111" s="30" t="s">
        <v>145</v>
      </c>
      <c r="C111" s="30" t="s">
        <v>322</v>
      </c>
      <c r="D111" s="30" t="s">
        <v>42</v>
      </c>
      <c r="E111" s="31">
        <v>998.4</v>
      </c>
      <c r="F111" s="30" t="s">
        <v>26</v>
      </c>
      <c r="G111" s="30" t="s">
        <v>47</v>
      </c>
      <c r="H111" s="30" t="s">
        <v>19</v>
      </c>
      <c r="I111" s="30" t="s">
        <v>20</v>
      </c>
      <c r="J111" s="35">
        <v>46242</v>
      </c>
      <c r="K111" s="33">
        <v>17</v>
      </c>
    </row>
    <row r="112" spans="1:11">
      <c r="A112" s="30" t="s">
        <v>323</v>
      </c>
      <c r="B112" s="30" t="s">
        <v>324</v>
      </c>
      <c r="C112" s="30" t="s">
        <v>325</v>
      </c>
      <c r="D112" s="30" t="s">
        <v>140</v>
      </c>
      <c r="E112" s="31">
        <v>960</v>
      </c>
      <c r="F112" s="30" t="s">
        <v>16</v>
      </c>
      <c r="G112" s="30" t="s">
        <v>47</v>
      </c>
      <c r="H112" s="30" t="s">
        <v>19</v>
      </c>
      <c r="I112" s="30" t="s">
        <v>20</v>
      </c>
      <c r="J112" s="35">
        <v>46217</v>
      </c>
      <c r="K112" s="33">
        <v>42</v>
      </c>
    </row>
    <row r="113" spans="1:11">
      <c r="A113" s="30" t="s">
        <v>326</v>
      </c>
      <c r="B113" s="30" t="s">
        <v>310</v>
      </c>
      <c r="C113" s="30" t="s">
        <v>327</v>
      </c>
      <c r="D113" s="30" t="s">
        <v>42</v>
      </c>
      <c r="E113" s="31">
        <v>960</v>
      </c>
      <c r="F113" s="30" t="s">
        <v>31</v>
      </c>
      <c r="G113" s="30" t="s">
        <v>18</v>
      </c>
      <c r="H113" s="30" t="s">
        <v>19</v>
      </c>
      <c r="I113" s="30" t="s">
        <v>20</v>
      </c>
      <c r="J113" s="32"/>
      <c r="K113" s="33" t="s">
        <v>21</v>
      </c>
    </row>
    <row r="114" spans="1:11">
      <c r="A114" s="30" t="s">
        <v>328</v>
      </c>
      <c r="B114" s="30" t="s">
        <v>303</v>
      </c>
      <c r="C114" s="30" t="s">
        <v>329</v>
      </c>
      <c r="D114" s="30" t="s">
        <v>140</v>
      </c>
      <c r="E114" s="31">
        <v>960</v>
      </c>
      <c r="F114" s="30" t="s">
        <v>31</v>
      </c>
      <c r="G114" s="30" t="s">
        <v>47</v>
      </c>
      <c r="H114" s="30" t="s">
        <v>19</v>
      </c>
      <c r="I114" s="30" t="s">
        <v>20</v>
      </c>
      <c r="J114" s="35">
        <v>46230</v>
      </c>
      <c r="K114" s="33">
        <v>29</v>
      </c>
    </row>
    <row r="115" spans="1:11">
      <c r="A115" s="30" t="s">
        <v>330</v>
      </c>
      <c r="B115" s="30" t="s">
        <v>92</v>
      </c>
      <c r="C115" s="30" t="s">
        <v>331</v>
      </c>
      <c r="D115" s="30" t="s">
        <v>140</v>
      </c>
      <c r="E115" s="31">
        <v>960</v>
      </c>
      <c r="F115" s="30" t="s">
        <v>31</v>
      </c>
      <c r="G115" s="30" t="s">
        <v>96</v>
      </c>
      <c r="H115" s="30" t="s">
        <v>19</v>
      </c>
      <c r="I115" s="30" t="s">
        <v>55</v>
      </c>
      <c r="J115" s="35">
        <v>46240</v>
      </c>
      <c r="K115" s="33">
        <v>19</v>
      </c>
    </row>
    <row r="116" spans="1:11">
      <c r="A116" s="30" t="s">
        <v>332</v>
      </c>
      <c r="B116" s="30" t="s">
        <v>333</v>
      </c>
      <c r="C116" s="30" t="s">
        <v>334</v>
      </c>
      <c r="D116" s="30" t="s">
        <v>140</v>
      </c>
      <c r="E116" s="31">
        <v>960</v>
      </c>
      <c r="F116" s="30" t="s">
        <v>31</v>
      </c>
      <c r="G116" s="30" t="s">
        <v>96</v>
      </c>
      <c r="H116" s="30" t="s">
        <v>19</v>
      </c>
      <c r="I116" s="30" t="s">
        <v>55</v>
      </c>
      <c r="J116" s="35">
        <v>46241</v>
      </c>
      <c r="K116" s="33">
        <v>18</v>
      </c>
    </row>
    <row r="117" spans="1:11">
      <c r="A117" s="30" t="s">
        <v>335</v>
      </c>
      <c r="B117" s="30" t="s">
        <v>336</v>
      </c>
      <c r="C117" s="30" t="s">
        <v>337</v>
      </c>
      <c r="D117" s="30" t="s">
        <v>140</v>
      </c>
      <c r="E117" s="31">
        <v>960</v>
      </c>
      <c r="F117" s="30" t="s">
        <v>31</v>
      </c>
      <c r="G117" s="30" t="s">
        <v>32</v>
      </c>
      <c r="H117" s="30" t="s">
        <v>19</v>
      </c>
      <c r="I117" s="30" t="s">
        <v>33</v>
      </c>
      <c r="J117" s="36">
        <v>46240</v>
      </c>
      <c r="K117" s="33">
        <v>19</v>
      </c>
    </row>
    <row r="118" spans="1:11">
      <c r="A118" s="30" t="s">
        <v>338</v>
      </c>
      <c r="B118" s="30" t="s">
        <v>339</v>
      </c>
      <c r="C118" s="30" t="s">
        <v>340</v>
      </c>
      <c r="D118" s="30" t="s">
        <v>155</v>
      </c>
      <c r="E118" s="31">
        <v>900</v>
      </c>
      <c r="F118" s="30" t="s">
        <v>31</v>
      </c>
      <c r="G118" s="30" t="s">
        <v>96</v>
      </c>
      <c r="H118" s="30" t="s">
        <v>19</v>
      </c>
      <c r="I118" s="30" t="s">
        <v>55</v>
      </c>
      <c r="J118" s="35">
        <v>46240</v>
      </c>
      <c r="K118" s="33">
        <v>19</v>
      </c>
    </row>
    <row r="119" spans="1:11">
      <c r="A119" s="30" t="s">
        <v>341</v>
      </c>
      <c r="B119" s="30" t="s">
        <v>214</v>
      </c>
      <c r="C119" s="30" t="s">
        <v>342</v>
      </c>
      <c r="D119" s="30" t="s">
        <v>222</v>
      </c>
      <c r="E119" s="31">
        <v>871.47</v>
      </c>
      <c r="F119" s="30" t="s">
        <v>31</v>
      </c>
      <c r="G119" s="30" t="s">
        <v>96</v>
      </c>
      <c r="H119" s="30" t="s">
        <v>19</v>
      </c>
      <c r="I119" s="30" t="s">
        <v>55</v>
      </c>
      <c r="J119" s="35">
        <v>46240</v>
      </c>
      <c r="K119" s="33">
        <v>19</v>
      </c>
    </row>
    <row r="120" spans="1:11">
      <c r="A120" s="30" t="s">
        <v>343</v>
      </c>
      <c r="B120" s="30" t="s">
        <v>344</v>
      </c>
      <c r="C120" s="30" t="s">
        <v>345</v>
      </c>
      <c r="D120" s="30" t="s">
        <v>155</v>
      </c>
      <c r="E120" s="31">
        <v>864.5</v>
      </c>
      <c r="F120" s="30" t="s">
        <v>172</v>
      </c>
      <c r="G120" s="30" t="s">
        <v>47</v>
      </c>
      <c r="H120" s="30" t="s">
        <v>19</v>
      </c>
      <c r="I120" s="30" t="s">
        <v>20</v>
      </c>
      <c r="J120" s="36">
        <v>46244</v>
      </c>
      <c r="K120" s="33">
        <v>15</v>
      </c>
    </row>
    <row r="121" spans="1:11">
      <c r="A121" s="30" t="s">
        <v>346</v>
      </c>
      <c r="B121" s="30" t="s">
        <v>174</v>
      </c>
      <c r="C121" s="30" t="s">
        <v>347</v>
      </c>
      <c r="D121" s="30" t="s">
        <v>155</v>
      </c>
      <c r="E121" s="31">
        <v>864.5</v>
      </c>
      <c r="F121" s="30" t="s">
        <v>172</v>
      </c>
      <c r="G121" s="30" t="s">
        <v>47</v>
      </c>
      <c r="H121" s="30" t="s">
        <v>19</v>
      </c>
      <c r="I121" s="30" t="s">
        <v>20</v>
      </c>
      <c r="J121" s="36">
        <v>46244</v>
      </c>
      <c r="K121" s="33">
        <v>15</v>
      </c>
    </row>
    <row r="122" spans="1:11">
      <c r="A122" s="30" t="s">
        <v>348</v>
      </c>
      <c r="B122" s="30" t="s">
        <v>177</v>
      </c>
      <c r="C122" s="30" t="s">
        <v>349</v>
      </c>
      <c r="D122" s="30" t="s">
        <v>155</v>
      </c>
      <c r="E122" s="31">
        <v>864.5</v>
      </c>
      <c r="F122" s="30" t="s">
        <v>172</v>
      </c>
      <c r="G122" s="30" t="s">
        <v>47</v>
      </c>
      <c r="H122" s="30" t="s">
        <v>19</v>
      </c>
      <c r="I122" s="30" t="s">
        <v>20</v>
      </c>
      <c r="J122" s="36">
        <v>46244</v>
      </c>
      <c r="K122" s="33">
        <v>15</v>
      </c>
    </row>
    <row r="123" spans="1:11">
      <c r="A123" s="30" t="s">
        <v>350</v>
      </c>
      <c r="B123" s="30" t="s">
        <v>179</v>
      </c>
      <c r="C123" s="30" t="s">
        <v>351</v>
      </c>
      <c r="D123" s="30" t="s">
        <v>155</v>
      </c>
      <c r="E123" s="31">
        <v>864.5</v>
      </c>
      <c r="F123" s="30" t="s">
        <v>16</v>
      </c>
      <c r="G123" s="30" t="s">
        <v>47</v>
      </c>
      <c r="H123" s="30" t="s">
        <v>19</v>
      </c>
      <c r="I123" s="30" t="s">
        <v>20</v>
      </c>
      <c r="J123" s="36">
        <v>46244</v>
      </c>
      <c r="K123" s="33">
        <v>15</v>
      </c>
    </row>
    <row r="124" spans="1:11">
      <c r="A124" s="30" t="s">
        <v>352</v>
      </c>
      <c r="B124" s="30" t="s">
        <v>353</v>
      </c>
      <c r="C124" s="30" t="s">
        <v>354</v>
      </c>
      <c r="D124" s="30" t="s">
        <v>175</v>
      </c>
      <c r="E124" s="31">
        <v>835.78</v>
      </c>
      <c r="F124" s="30" t="s">
        <v>31</v>
      </c>
      <c r="G124" s="30" t="s">
        <v>47</v>
      </c>
      <c r="H124" s="30" t="s">
        <v>19</v>
      </c>
      <c r="I124" s="30" t="s">
        <v>20</v>
      </c>
      <c r="J124" s="35">
        <v>46218</v>
      </c>
      <c r="K124" s="33">
        <v>41</v>
      </c>
    </row>
    <row r="125" spans="1:11">
      <c r="A125" s="30" t="s">
        <v>355</v>
      </c>
      <c r="B125" s="30" t="s">
        <v>228</v>
      </c>
      <c r="C125" s="30" t="s">
        <v>356</v>
      </c>
      <c r="D125" s="30" t="s">
        <v>175</v>
      </c>
      <c r="E125" s="31">
        <v>800</v>
      </c>
      <c r="F125" s="30" t="s">
        <v>26</v>
      </c>
      <c r="G125" s="30" t="s">
        <v>96</v>
      </c>
      <c r="H125" s="30" t="s">
        <v>19</v>
      </c>
      <c r="I125" s="30" t="s">
        <v>55</v>
      </c>
      <c r="J125" s="35">
        <v>46219</v>
      </c>
      <c r="K125" s="33">
        <v>40</v>
      </c>
    </row>
    <row r="126" spans="1:11">
      <c r="A126" s="30" t="s">
        <v>357</v>
      </c>
      <c r="B126" s="30" t="s">
        <v>110</v>
      </c>
      <c r="C126" s="30" t="s">
        <v>358</v>
      </c>
      <c r="D126" s="30" t="s">
        <v>222</v>
      </c>
      <c r="E126" s="31">
        <v>786.06</v>
      </c>
      <c r="F126" s="30" t="s">
        <v>31</v>
      </c>
      <c r="G126" s="30" t="s">
        <v>47</v>
      </c>
      <c r="H126" s="30" t="s">
        <v>19</v>
      </c>
      <c r="I126" s="30" t="s">
        <v>20</v>
      </c>
      <c r="J126" s="35">
        <v>46127</v>
      </c>
      <c r="K126" s="33">
        <v>132</v>
      </c>
    </row>
    <row r="127" spans="1:11">
      <c r="A127" s="30" t="s">
        <v>359</v>
      </c>
      <c r="B127" s="30" t="s">
        <v>126</v>
      </c>
      <c r="C127" s="30" t="s">
        <v>360</v>
      </c>
      <c r="D127" s="30" t="s">
        <v>42</v>
      </c>
      <c r="E127" s="31">
        <v>759.5</v>
      </c>
      <c r="F127" s="30" t="s">
        <v>31</v>
      </c>
      <c r="G127" s="30" t="s">
        <v>18</v>
      </c>
      <c r="H127" s="30" t="s">
        <v>19</v>
      </c>
      <c r="I127" s="30" t="s">
        <v>20</v>
      </c>
      <c r="J127" s="35">
        <v>46218</v>
      </c>
      <c r="K127" s="33">
        <v>41</v>
      </c>
    </row>
    <row r="128" spans="1:11">
      <c r="A128" s="30" t="s">
        <v>361</v>
      </c>
      <c r="B128" s="30" t="s">
        <v>362</v>
      </c>
      <c r="C128" s="30" t="s">
        <v>363</v>
      </c>
      <c r="D128" s="30" t="s">
        <v>42</v>
      </c>
      <c r="E128" s="31">
        <v>759.5</v>
      </c>
      <c r="F128" s="30" t="s">
        <v>31</v>
      </c>
      <c r="G128" s="30" t="s">
        <v>96</v>
      </c>
      <c r="H128" s="30" t="s">
        <v>19</v>
      </c>
      <c r="I128" s="30" t="s">
        <v>55</v>
      </c>
      <c r="J128" s="35">
        <v>46241</v>
      </c>
      <c r="K128" s="33">
        <v>18</v>
      </c>
    </row>
    <row r="129" spans="1:11">
      <c r="A129" s="30" t="s">
        <v>364</v>
      </c>
      <c r="B129" s="30" t="s">
        <v>214</v>
      </c>
      <c r="C129" s="30" t="s">
        <v>365</v>
      </c>
      <c r="D129" s="30" t="s">
        <v>42</v>
      </c>
      <c r="E129" s="31">
        <v>648.79999999999995</v>
      </c>
      <c r="F129" s="30" t="s">
        <v>31</v>
      </c>
      <c r="G129" s="30" t="s">
        <v>96</v>
      </c>
      <c r="H129" s="30" t="s">
        <v>19</v>
      </c>
      <c r="I129" s="30" t="s">
        <v>55</v>
      </c>
      <c r="J129" s="35">
        <v>46240</v>
      </c>
      <c r="K129" s="33">
        <v>19</v>
      </c>
    </row>
    <row r="130" spans="1:11">
      <c r="A130" s="30" t="s">
        <v>366</v>
      </c>
      <c r="B130" s="30" t="s">
        <v>367</v>
      </c>
      <c r="C130" s="30" t="s">
        <v>368</v>
      </c>
      <c r="D130" s="30" t="s">
        <v>42</v>
      </c>
      <c r="E130" s="31">
        <v>644.46</v>
      </c>
      <c r="F130" s="30" t="s">
        <v>16</v>
      </c>
      <c r="G130" s="30" t="s">
        <v>96</v>
      </c>
      <c r="H130" s="30" t="s">
        <v>19</v>
      </c>
      <c r="I130" s="30" t="s">
        <v>55</v>
      </c>
      <c r="J130" s="35">
        <v>46245</v>
      </c>
      <c r="K130" s="33">
        <v>14</v>
      </c>
    </row>
    <row r="131" spans="1:11">
      <c r="A131" s="30" t="s">
        <v>369</v>
      </c>
      <c r="B131" s="30" t="s">
        <v>370</v>
      </c>
      <c r="C131" s="30" t="s">
        <v>371</v>
      </c>
      <c r="D131" s="30" t="s">
        <v>222</v>
      </c>
      <c r="E131" s="31">
        <v>619.41999999999996</v>
      </c>
      <c r="F131" s="30" t="s">
        <v>31</v>
      </c>
      <c r="G131" s="30" t="s">
        <v>32</v>
      </c>
      <c r="H131" s="30" t="s">
        <v>19</v>
      </c>
      <c r="I131" s="30" t="s">
        <v>33</v>
      </c>
      <c r="J131" s="36">
        <v>46103</v>
      </c>
      <c r="K131" s="33">
        <v>156</v>
      </c>
    </row>
    <row r="132" spans="1:11">
      <c r="A132" s="30" t="s">
        <v>372</v>
      </c>
      <c r="B132" s="30" t="s">
        <v>333</v>
      </c>
      <c r="C132" s="30" t="s">
        <v>373</v>
      </c>
      <c r="D132" s="30" t="s">
        <v>114</v>
      </c>
      <c r="E132" s="31">
        <v>526.98</v>
      </c>
      <c r="F132" s="30" t="s">
        <v>31</v>
      </c>
      <c r="G132" s="30" t="s">
        <v>312</v>
      </c>
      <c r="H132" s="30" t="s">
        <v>19</v>
      </c>
      <c r="I132" s="30" t="s">
        <v>33</v>
      </c>
      <c r="J132" s="35">
        <v>46090</v>
      </c>
      <c r="K132" s="33">
        <v>169</v>
      </c>
    </row>
    <row r="133" spans="1:11">
      <c r="A133" s="30" t="s">
        <v>374</v>
      </c>
      <c r="B133" s="30" t="s">
        <v>52</v>
      </c>
      <c r="C133" s="30" t="s">
        <v>375</v>
      </c>
      <c r="D133" s="30" t="s">
        <v>42</v>
      </c>
      <c r="E133" s="31">
        <v>500.63</v>
      </c>
      <c r="F133" s="30" t="s">
        <v>26</v>
      </c>
      <c r="G133" s="30" t="s">
        <v>96</v>
      </c>
      <c r="H133" s="30" t="s">
        <v>19</v>
      </c>
      <c r="I133" s="30" t="s">
        <v>55</v>
      </c>
      <c r="J133" s="35">
        <v>46178</v>
      </c>
      <c r="K133" s="33">
        <v>81</v>
      </c>
    </row>
    <row r="134" spans="1:11">
      <c r="A134" s="30" t="s">
        <v>376</v>
      </c>
      <c r="B134" s="30" t="s">
        <v>60</v>
      </c>
      <c r="C134" s="30" t="s">
        <v>377</v>
      </c>
      <c r="D134" s="30" t="s">
        <v>155</v>
      </c>
      <c r="E134" s="31">
        <v>500</v>
      </c>
      <c r="F134" s="30" t="s">
        <v>26</v>
      </c>
      <c r="G134" s="30" t="s">
        <v>47</v>
      </c>
      <c r="H134" s="30" t="s">
        <v>19</v>
      </c>
      <c r="I134" s="30" t="s">
        <v>20</v>
      </c>
      <c r="J134" s="35">
        <v>46242</v>
      </c>
      <c r="K134" s="33">
        <v>17</v>
      </c>
    </row>
    <row r="135" spans="1:11">
      <c r="A135" s="30" t="s">
        <v>378</v>
      </c>
      <c r="B135" s="30" t="s">
        <v>353</v>
      </c>
      <c r="C135" s="30" t="s">
        <v>379</v>
      </c>
      <c r="D135" s="30" t="s">
        <v>155</v>
      </c>
      <c r="E135" s="31">
        <v>500</v>
      </c>
      <c r="F135" s="30" t="s">
        <v>31</v>
      </c>
      <c r="G135" s="30" t="s">
        <v>47</v>
      </c>
      <c r="H135" s="30" t="s">
        <v>19</v>
      </c>
      <c r="I135" s="30" t="s">
        <v>20</v>
      </c>
      <c r="J135" s="35">
        <v>46218</v>
      </c>
      <c r="K135" s="33">
        <v>41</v>
      </c>
    </row>
    <row r="136" spans="1:11">
      <c r="A136" s="30" t="s">
        <v>380</v>
      </c>
      <c r="B136" s="30" t="s">
        <v>126</v>
      </c>
      <c r="C136" s="30" t="s">
        <v>381</v>
      </c>
      <c r="D136" s="30" t="s">
        <v>175</v>
      </c>
      <c r="E136" s="31">
        <v>500</v>
      </c>
      <c r="F136" s="30" t="s">
        <v>31</v>
      </c>
      <c r="G136" s="30" t="s">
        <v>18</v>
      </c>
      <c r="H136" s="30" t="s">
        <v>19</v>
      </c>
      <c r="I136" s="30" t="s">
        <v>20</v>
      </c>
      <c r="J136" s="35">
        <v>46218</v>
      </c>
      <c r="K136" s="33">
        <v>41</v>
      </c>
    </row>
    <row r="137" spans="1:11">
      <c r="A137" s="30" t="s">
        <v>382</v>
      </c>
      <c r="B137" s="30" t="s">
        <v>40</v>
      </c>
      <c r="C137" s="30" t="s">
        <v>383</v>
      </c>
      <c r="D137" s="30" t="s">
        <v>155</v>
      </c>
      <c r="E137" s="31">
        <v>500</v>
      </c>
      <c r="F137" s="30" t="s">
        <v>26</v>
      </c>
      <c r="G137" s="30" t="s">
        <v>96</v>
      </c>
      <c r="H137" s="30" t="s">
        <v>19</v>
      </c>
      <c r="I137" s="30" t="s">
        <v>55</v>
      </c>
      <c r="J137" s="36">
        <v>46247</v>
      </c>
      <c r="K137" s="33">
        <v>12</v>
      </c>
    </row>
    <row r="138" spans="1:11">
      <c r="A138" s="30" t="s">
        <v>384</v>
      </c>
      <c r="B138" s="30" t="s">
        <v>385</v>
      </c>
      <c r="C138" s="30" t="s">
        <v>386</v>
      </c>
      <c r="D138" s="30" t="s">
        <v>114</v>
      </c>
      <c r="E138" s="31">
        <v>400</v>
      </c>
      <c r="F138" s="30" t="s">
        <v>31</v>
      </c>
      <c r="G138" s="30" t="s">
        <v>96</v>
      </c>
      <c r="H138" s="30" t="s">
        <v>19</v>
      </c>
      <c r="I138" s="30" t="s">
        <v>55</v>
      </c>
      <c r="J138" s="35">
        <v>46241</v>
      </c>
      <c r="K138" s="33">
        <v>18</v>
      </c>
    </row>
    <row r="139" spans="1:11">
      <c r="A139" s="30" t="s">
        <v>387</v>
      </c>
      <c r="B139" s="30" t="s">
        <v>388</v>
      </c>
      <c r="C139" s="30" t="s">
        <v>389</v>
      </c>
      <c r="D139" s="30" t="s">
        <v>114</v>
      </c>
      <c r="E139" s="31">
        <v>375.66</v>
      </c>
      <c r="F139" s="30" t="s">
        <v>31</v>
      </c>
      <c r="G139" s="30" t="s">
        <v>18</v>
      </c>
      <c r="H139" s="30" t="s">
        <v>19</v>
      </c>
      <c r="I139" s="30" t="s">
        <v>20</v>
      </c>
      <c r="J139" s="35">
        <v>46219</v>
      </c>
      <c r="K139" s="33">
        <v>40</v>
      </c>
    </row>
    <row r="140" spans="1:11">
      <c r="A140" s="30" t="s">
        <v>390</v>
      </c>
      <c r="B140" s="30" t="s">
        <v>391</v>
      </c>
      <c r="C140" s="30" t="s">
        <v>392</v>
      </c>
      <c r="D140" s="30" t="s">
        <v>114</v>
      </c>
      <c r="E140" s="31">
        <v>351.32</v>
      </c>
      <c r="F140" s="30" t="s">
        <v>16</v>
      </c>
      <c r="G140" s="30" t="s">
        <v>312</v>
      </c>
      <c r="H140" s="30" t="s">
        <v>19</v>
      </c>
      <c r="I140" s="30" t="s">
        <v>33</v>
      </c>
      <c r="J140" s="35">
        <v>46090</v>
      </c>
      <c r="K140" s="33">
        <v>169</v>
      </c>
    </row>
    <row r="141" spans="1:11">
      <c r="A141" s="30" t="s">
        <v>393</v>
      </c>
      <c r="B141" s="30" t="s">
        <v>394</v>
      </c>
      <c r="C141" s="30" t="s">
        <v>395</v>
      </c>
      <c r="D141" s="30" t="s">
        <v>114</v>
      </c>
      <c r="E141" s="31">
        <v>351.32</v>
      </c>
      <c r="F141" s="30" t="s">
        <v>31</v>
      </c>
      <c r="G141" s="30" t="s">
        <v>312</v>
      </c>
      <c r="H141" s="30" t="s">
        <v>19</v>
      </c>
      <c r="I141" s="30" t="s">
        <v>33</v>
      </c>
      <c r="J141" s="35">
        <v>46085</v>
      </c>
      <c r="K141" s="33">
        <v>174</v>
      </c>
    </row>
    <row r="142" spans="1:11">
      <c r="A142" s="30" t="s">
        <v>396</v>
      </c>
      <c r="B142" s="30" t="s">
        <v>132</v>
      </c>
      <c r="C142" s="30" t="s">
        <v>397</v>
      </c>
      <c r="D142" s="30" t="s">
        <v>114</v>
      </c>
      <c r="E142" s="31">
        <v>351.32</v>
      </c>
      <c r="F142" s="30" t="s">
        <v>31</v>
      </c>
      <c r="G142" s="30" t="s">
        <v>312</v>
      </c>
      <c r="H142" s="30" t="s">
        <v>19</v>
      </c>
      <c r="I142" s="30" t="s">
        <v>33</v>
      </c>
      <c r="J142" s="35">
        <v>46139</v>
      </c>
      <c r="K142" s="33">
        <v>120</v>
      </c>
    </row>
    <row r="143" spans="1:11">
      <c r="A143" s="30" t="s">
        <v>398</v>
      </c>
      <c r="B143" s="30" t="s">
        <v>110</v>
      </c>
      <c r="C143" s="30" t="s">
        <v>399</v>
      </c>
      <c r="D143" s="30" t="s">
        <v>114</v>
      </c>
      <c r="E143" s="31">
        <v>325.66000000000003</v>
      </c>
      <c r="F143" s="30" t="s">
        <v>31</v>
      </c>
      <c r="G143" s="30" t="s">
        <v>312</v>
      </c>
      <c r="H143" s="30" t="s">
        <v>19</v>
      </c>
      <c r="I143" s="30" t="s">
        <v>33</v>
      </c>
      <c r="J143" s="36">
        <v>46164</v>
      </c>
      <c r="K143" s="33">
        <v>95</v>
      </c>
    </row>
    <row r="144" spans="1:11">
      <c r="A144" s="30" t="s">
        <v>400</v>
      </c>
      <c r="B144" s="30" t="s">
        <v>401</v>
      </c>
      <c r="C144" s="30" t="s">
        <v>402</v>
      </c>
      <c r="D144" s="30" t="s">
        <v>114</v>
      </c>
      <c r="E144" s="31">
        <v>325.66000000000003</v>
      </c>
      <c r="F144" s="30" t="s">
        <v>31</v>
      </c>
      <c r="G144" s="30" t="s">
        <v>312</v>
      </c>
      <c r="H144" s="30" t="s">
        <v>19</v>
      </c>
      <c r="I144" s="30" t="s">
        <v>33</v>
      </c>
      <c r="J144" s="36">
        <v>46166</v>
      </c>
      <c r="K144" s="33">
        <v>93</v>
      </c>
    </row>
    <row r="145" spans="1:11">
      <c r="A145" s="30" t="s">
        <v>403</v>
      </c>
      <c r="B145" s="30" t="s">
        <v>83</v>
      </c>
      <c r="C145" s="30" t="s">
        <v>404</v>
      </c>
      <c r="D145" s="30" t="s">
        <v>42</v>
      </c>
      <c r="E145" s="31">
        <v>256.23</v>
      </c>
      <c r="F145" s="30" t="s">
        <v>26</v>
      </c>
      <c r="G145" s="30" t="s">
        <v>47</v>
      </c>
      <c r="H145" s="30" t="s">
        <v>19</v>
      </c>
      <c r="I145" s="30" t="s">
        <v>20</v>
      </c>
      <c r="J145" s="35">
        <v>46251</v>
      </c>
      <c r="K145" s="33">
        <v>8</v>
      </c>
    </row>
    <row r="146" spans="1:11">
      <c r="A146" s="30" t="s">
        <v>405</v>
      </c>
      <c r="B146" s="30" t="s">
        <v>406</v>
      </c>
      <c r="C146" s="30" t="s">
        <v>407</v>
      </c>
      <c r="D146" s="30" t="s">
        <v>114</v>
      </c>
      <c r="E146" s="31">
        <v>175.66</v>
      </c>
      <c r="F146" s="30" t="s">
        <v>16</v>
      </c>
      <c r="G146" s="30" t="s">
        <v>312</v>
      </c>
      <c r="H146" s="30" t="s">
        <v>19</v>
      </c>
      <c r="I146" s="30" t="s">
        <v>33</v>
      </c>
      <c r="J146" s="35">
        <v>46079</v>
      </c>
      <c r="K146" s="33">
        <v>180</v>
      </c>
    </row>
    <row r="147" spans="1:11">
      <c r="A147" s="30" t="s">
        <v>408</v>
      </c>
      <c r="B147" s="30" t="s">
        <v>406</v>
      </c>
      <c r="C147" s="30" t="s">
        <v>409</v>
      </c>
      <c r="D147" s="30" t="s">
        <v>114</v>
      </c>
      <c r="E147" s="31">
        <v>175.66</v>
      </c>
      <c r="F147" s="30" t="s">
        <v>16</v>
      </c>
      <c r="G147" s="30" t="s">
        <v>312</v>
      </c>
      <c r="H147" s="30" t="s">
        <v>19</v>
      </c>
      <c r="I147" s="30" t="s">
        <v>33</v>
      </c>
      <c r="J147" s="35">
        <v>46108</v>
      </c>
      <c r="K147" s="33">
        <v>151</v>
      </c>
    </row>
    <row r="148" spans="1:11">
      <c r="A148" s="30" t="s">
        <v>410</v>
      </c>
      <c r="B148" s="30" t="s">
        <v>411</v>
      </c>
      <c r="C148" s="30" t="s">
        <v>412</v>
      </c>
      <c r="D148" s="30" t="s">
        <v>114</v>
      </c>
      <c r="E148" s="31">
        <v>175.66</v>
      </c>
      <c r="F148" s="30" t="s">
        <v>26</v>
      </c>
      <c r="G148" s="30" t="s">
        <v>312</v>
      </c>
      <c r="H148" s="30" t="s">
        <v>19</v>
      </c>
      <c r="I148" s="30" t="s">
        <v>33</v>
      </c>
      <c r="J148" s="35">
        <v>46139</v>
      </c>
      <c r="K148" s="33">
        <v>120</v>
      </c>
    </row>
    <row r="149" spans="1:11">
      <c r="A149" s="30" t="s">
        <v>413</v>
      </c>
      <c r="B149" s="30" t="s">
        <v>406</v>
      </c>
      <c r="C149" s="30" t="s">
        <v>414</v>
      </c>
      <c r="D149" s="30" t="s">
        <v>114</v>
      </c>
      <c r="E149" s="31">
        <v>175.66</v>
      </c>
      <c r="F149" s="30" t="s">
        <v>16</v>
      </c>
      <c r="G149" s="30" t="s">
        <v>312</v>
      </c>
      <c r="H149" s="30" t="s">
        <v>19</v>
      </c>
      <c r="I149" s="30" t="s">
        <v>33</v>
      </c>
      <c r="J149" s="35">
        <v>46154</v>
      </c>
      <c r="K149" s="33">
        <v>105</v>
      </c>
    </row>
    <row r="150" spans="1:11">
      <c r="A150" s="30" t="s">
        <v>415</v>
      </c>
      <c r="B150" s="30" t="s">
        <v>416</v>
      </c>
      <c r="C150" s="30" t="s">
        <v>417</v>
      </c>
      <c r="D150" s="30" t="s">
        <v>114</v>
      </c>
      <c r="E150" s="31">
        <v>175.66</v>
      </c>
      <c r="F150" s="30" t="s">
        <v>16</v>
      </c>
      <c r="G150" s="30" t="s">
        <v>312</v>
      </c>
      <c r="H150" s="30" t="s">
        <v>19</v>
      </c>
      <c r="I150" s="30" t="s">
        <v>33</v>
      </c>
      <c r="J150" s="35">
        <v>46154</v>
      </c>
      <c r="K150" s="33">
        <v>105</v>
      </c>
    </row>
    <row r="151" spans="1:11">
      <c r="A151" s="30" t="s">
        <v>418</v>
      </c>
      <c r="B151" s="30" t="s">
        <v>419</v>
      </c>
      <c r="C151" s="30" t="s">
        <v>420</v>
      </c>
      <c r="D151" s="30" t="s">
        <v>114</v>
      </c>
      <c r="E151" s="31">
        <v>175.66</v>
      </c>
      <c r="F151" s="30" t="s">
        <v>16</v>
      </c>
      <c r="G151" s="30" t="s">
        <v>312</v>
      </c>
      <c r="H151" s="30" t="s">
        <v>19</v>
      </c>
      <c r="I151" s="30" t="s">
        <v>33</v>
      </c>
      <c r="J151" s="36">
        <v>46155</v>
      </c>
      <c r="K151" s="33">
        <v>104</v>
      </c>
    </row>
    <row r="152" spans="1:11">
      <c r="A152" s="30" t="s">
        <v>421</v>
      </c>
      <c r="B152" s="30" t="s">
        <v>422</v>
      </c>
      <c r="C152" s="30" t="s">
        <v>423</v>
      </c>
      <c r="D152" s="30" t="s">
        <v>114</v>
      </c>
      <c r="E152" s="31">
        <v>175.66</v>
      </c>
      <c r="F152" s="30" t="s">
        <v>16</v>
      </c>
      <c r="G152" s="30" t="s">
        <v>312</v>
      </c>
      <c r="H152" s="30" t="s">
        <v>19</v>
      </c>
      <c r="I152" s="30" t="s">
        <v>33</v>
      </c>
      <c r="J152" s="36">
        <v>46171</v>
      </c>
      <c r="K152" s="33">
        <v>88</v>
      </c>
    </row>
    <row r="153" spans="1:11">
      <c r="A153" s="30" t="s">
        <v>424</v>
      </c>
      <c r="B153" s="30" t="s">
        <v>145</v>
      </c>
      <c r="C153" s="30" t="s">
        <v>425</v>
      </c>
      <c r="D153" s="30" t="s">
        <v>114</v>
      </c>
      <c r="E153" s="31">
        <v>175.66</v>
      </c>
      <c r="F153" s="30" t="s">
        <v>26</v>
      </c>
      <c r="G153" s="30" t="s">
        <v>312</v>
      </c>
      <c r="H153" s="30" t="s">
        <v>19</v>
      </c>
      <c r="I153" s="30" t="s">
        <v>33</v>
      </c>
      <c r="J153" s="36">
        <v>46203</v>
      </c>
      <c r="K153" s="33">
        <v>56</v>
      </c>
    </row>
    <row r="154" spans="1:11">
      <c r="A154" s="30" t="s">
        <v>426</v>
      </c>
      <c r="B154" s="30" t="s">
        <v>132</v>
      </c>
      <c r="C154" s="30" t="s">
        <v>427</v>
      </c>
      <c r="D154" s="30" t="s">
        <v>114</v>
      </c>
      <c r="E154" s="31">
        <v>175.66</v>
      </c>
      <c r="F154" s="30" t="s">
        <v>31</v>
      </c>
      <c r="G154" s="30" t="s">
        <v>312</v>
      </c>
      <c r="H154" s="30" t="s">
        <v>19</v>
      </c>
      <c r="I154" s="30" t="s">
        <v>33</v>
      </c>
      <c r="J154" s="36">
        <v>46173</v>
      </c>
      <c r="K154" s="33">
        <v>86</v>
      </c>
    </row>
    <row r="155" spans="1:11">
      <c r="A155" s="30" t="s">
        <v>428</v>
      </c>
      <c r="B155" s="30" t="s">
        <v>429</v>
      </c>
      <c r="C155" s="30" t="s">
        <v>430</v>
      </c>
      <c r="D155" s="30" t="s">
        <v>114</v>
      </c>
      <c r="E155" s="31">
        <v>175.66</v>
      </c>
      <c r="F155" s="30" t="s">
        <v>31</v>
      </c>
      <c r="G155" s="30" t="s">
        <v>312</v>
      </c>
      <c r="H155" s="30" t="s">
        <v>19</v>
      </c>
      <c r="I155" s="30" t="s">
        <v>33</v>
      </c>
      <c r="J155" s="36">
        <v>46201</v>
      </c>
      <c r="K155" s="33">
        <v>58</v>
      </c>
    </row>
    <row r="156" spans="1:11">
      <c r="A156" s="30" t="s">
        <v>431</v>
      </c>
      <c r="B156" s="30" t="s">
        <v>432</v>
      </c>
      <c r="C156" s="30" t="s">
        <v>433</v>
      </c>
      <c r="D156" s="30" t="s">
        <v>114</v>
      </c>
      <c r="E156" s="31">
        <v>175.66</v>
      </c>
      <c r="F156" s="30" t="s">
        <v>31</v>
      </c>
      <c r="G156" s="30" t="s">
        <v>312</v>
      </c>
      <c r="H156" s="30" t="s">
        <v>19</v>
      </c>
      <c r="I156" s="30" t="s">
        <v>33</v>
      </c>
      <c r="J156" s="36">
        <v>46201</v>
      </c>
      <c r="K156" s="33">
        <v>58</v>
      </c>
    </row>
    <row r="157" spans="1:11">
      <c r="A157" s="30" t="s">
        <v>434</v>
      </c>
      <c r="B157" s="30" t="s">
        <v>145</v>
      </c>
      <c r="C157" s="30" t="s">
        <v>435</v>
      </c>
      <c r="D157" s="30" t="s">
        <v>114</v>
      </c>
      <c r="E157" s="31">
        <v>165.89</v>
      </c>
      <c r="F157" s="30" t="s">
        <v>26</v>
      </c>
      <c r="G157" s="30" t="s">
        <v>312</v>
      </c>
      <c r="H157" s="30" t="s">
        <v>19</v>
      </c>
      <c r="I157" s="30" t="s">
        <v>33</v>
      </c>
      <c r="J157" s="35">
        <v>46065</v>
      </c>
      <c r="K157" s="33">
        <v>194</v>
      </c>
    </row>
    <row r="158" spans="1:11">
      <c r="A158" s="30" t="s">
        <v>436</v>
      </c>
      <c r="B158" s="30" t="s">
        <v>60</v>
      </c>
      <c r="C158" s="30" t="s">
        <v>437</v>
      </c>
      <c r="D158" s="30" t="s">
        <v>30</v>
      </c>
      <c r="E158" s="31"/>
      <c r="F158" s="30" t="s">
        <v>26</v>
      </c>
      <c r="G158" s="30" t="s">
        <v>32</v>
      </c>
      <c r="H158" s="30" t="s">
        <v>19</v>
      </c>
      <c r="I158" s="30" t="s">
        <v>88</v>
      </c>
      <c r="J158" s="36">
        <v>46248</v>
      </c>
      <c r="K158" s="33">
        <v>11</v>
      </c>
    </row>
    <row r="159" spans="1:11">
      <c r="A159" s="30" t="s">
        <v>438</v>
      </c>
      <c r="B159" s="30" t="s">
        <v>439</v>
      </c>
      <c r="C159" s="30" t="s">
        <v>440</v>
      </c>
      <c r="D159" s="30" t="s">
        <v>30</v>
      </c>
      <c r="E159" s="31"/>
      <c r="F159" s="30" t="s">
        <v>16</v>
      </c>
      <c r="G159" s="30" t="s">
        <v>96</v>
      </c>
      <c r="H159" s="30" t="s">
        <v>19</v>
      </c>
      <c r="I159" s="30" t="s">
        <v>88</v>
      </c>
      <c r="J159" s="36">
        <v>46244</v>
      </c>
      <c r="K159" s="33">
        <v>15</v>
      </c>
    </row>
    <row r="160" spans="1:11">
      <c r="A160" s="30" t="s">
        <v>441</v>
      </c>
      <c r="B160" s="30" t="s">
        <v>442</v>
      </c>
      <c r="C160" s="30" t="s">
        <v>443</v>
      </c>
      <c r="D160" s="30" t="s">
        <v>42</v>
      </c>
      <c r="E160" s="31"/>
      <c r="F160" s="30" t="s">
        <v>16</v>
      </c>
      <c r="G160" s="30" t="s">
        <v>54</v>
      </c>
      <c r="H160" s="30" t="s">
        <v>19</v>
      </c>
      <c r="I160" s="30" t="s">
        <v>88</v>
      </c>
      <c r="J160" s="36">
        <v>46248</v>
      </c>
      <c r="K160" s="33">
        <v>11</v>
      </c>
    </row>
    <row r="161" spans="1:11">
      <c r="A161" s="30" t="s">
        <v>444</v>
      </c>
      <c r="B161" s="30" t="s">
        <v>40</v>
      </c>
      <c r="C161" s="30" t="s">
        <v>445</v>
      </c>
      <c r="D161" s="30" t="s">
        <v>30</v>
      </c>
      <c r="E161" s="31">
        <v>4000</v>
      </c>
      <c r="F161" s="30" t="s">
        <v>26</v>
      </c>
      <c r="G161" s="30" t="s">
        <v>96</v>
      </c>
      <c r="H161" s="30" t="s">
        <v>19</v>
      </c>
      <c r="I161" s="30" t="s">
        <v>55</v>
      </c>
      <c r="J161" s="36">
        <v>46248</v>
      </c>
      <c r="K161" s="33">
        <v>11</v>
      </c>
    </row>
    <row r="162" spans="1:11">
      <c r="A162" s="30" t="s">
        <v>446</v>
      </c>
      <c r="B162" s="30" t="s">
        <v>439</v>
      </c>
      <c r="C162" s="30" t="s">
        <v>447</v>
      </c>
      <c r="D162" s="30" t="s">
        <v>30</v>
      </c>
      <c r="E162" s="31">
        <v>2000</v>
      </c>
      <c r="F162" s="30" t="s">
        <v>16</v>
      </c>
      <c r="G162" s="30" t="s">
        <v>32</v>
      </c>
      <c r="H162" s="30" t="s">
        <v>19</v>
      </c>
      <c r="I162" s="30" t="s">
        <v>88</v>
      </c>
      <c r="J162" s="36">
        <v>46248</v>
      </c>
      <c r="K162" s="33">
        <v>11</v>
      </c>
    </row>
    <row r="163" spans="1:11">
      <c r="A163" s="30" t="s">
        <v>448</v>
      </c>
      <c r="B163" s="30" t="s">
        <v>157</v>
      </c>
      <c r="C163" s="30" t="s">
        <v>449</v>
      </c>
      <c r="D163" s="30" t="s">
        <v>30</v>
      </c>
      <c r="E163" s="31"/>
      <c r="F163" s="30" t="s">
        <v>31</v>
      </c>
      <c r="G163" s="30" t="s">
        <v>32</v>
      </c>
      <c r="H163" s="30" t="s">
        <v>19</v>
      </c>
      <c r="I163" s="30" t="s">
        <v>88</v>
      </c>
      <c r="J163" s="36">
        <v>46248</v>
      </c>
      <c r="K163" s="33">
        <v>11</v>
      </c>
    </row>
    <row r="164" spans="1:11">
      <c r="A164" s="30" t="s">
        <v>450</v>
      </c>
      <c r="B164" s="30" t="s">
        <v>157</v>
      </c>
      <c r="C164" s="30" t="s">
        <v>449</v>
      </c>
      <c r="D164" s="30" t="s">
        <v>30</v>
      </c>
      <c r="E164" s="31"/>
      <c r="F164" s="30" t="s">
        <v>31</v>
      </c>
      <c r="G164" s="30" t="s">
        <v>32</v>
      </c>
      <c r="H164" s="30" t="s">
        <v>19</v>
      </c>
      <c r="I164" s="30" t="s">
        <v>88</v>
      </c>
      <c r="J164" s="36">
        <v>46248</v>
      </c>
      <c r="K164" s="33">
        <v>11</v>
      </c>
    </row>
    <row r="165" spans="1:11">
      <c r="A165" s="30" t="s">
        <v>451</v>
      </c>
      <c r="B165" s="30" t="s">
        <v>298</v>
      </c>
      <c r="C165" s="30" t="s">
        <v>452</v>
      </c>
      <c r="D165" s="30" t="s">
        <v>30</v>
      </c>
      <c r="E165" s="31"/>
      <c r="F165" s="30" t="s">
        <v>26</v>
      </c>
      <c r="G165" s="30" t="s">
        <v>32</v>
      </c>
      <c r="H165" s="30" t="s">
        <v>19</v>
      </c>
      <c r="I165" s="30" t="s">
        <v>88</v>
      </c>
      <c r="J165" s="36">
        <v>46248</v>
      </c>
      <c r="K165" s="33">
        <v>11</v>
      </c>
    </row>
    <row r="166" spans="1:11">
      <c r="A166" s="30" t="s">
        <v>453</v>
      </c>
      <c r="B166" s="30" t="s">
        <v>83</v>
      </c>
      <c r="C166" s="30" t="s">
        <v>454</v>
      </c>
      <c r="D166" s="30" t="s">
        <v>30</v>
      </c>
      <c r="E166" s="31">
        <v>2000</v>
      </c>
      <c r="F166" s="30" t="s">
        <v>26</v>
      </c>
      <c r="G166" s="30" t="s">
        <v>96</v>
      </c>
      <c r="H166" s="30" t="s">
        <v>19</v>
      </c>
      <c r="I166" s="30" t="s">
        <v>55</v>
      </c>
      <c r="J166" s="32">
        <v>46251</v>
      </c>
      <c r="K166" s="33">
        <v>8</v>
      </c>
    </row>
    <row r="167" spans="1:11">
      <c r="A167" s="30" t="s">
        <v>455</v>
      </c>
      <c r="B167" s="30" t="s">
        <v>150</v>
      </c>
      <c r="C167" s="30" t="s">
        <v>456</v>
      </c>
      <c r="D167" s="30" t="s">
        <v>42</v>
      </c>
      <c r="E167" s="31">
        <v>845.7</v>
      </c>
      <c r="F167" s="30" t="s">
        <v>26</v>
      </c>
      <c r="G167" s="30" t="s">
        <v>32</v>
      </c>
      <c r="H167" s="30" t="s">
        <v>19</v>
      </c>
      <c r="I167" s="30" t="s">
        <v>33</v>
      </c>
      <c r="J167" s="36">
        <v>46248</v>
      </c>
      <c r="K167" s="33">
        <v>11</v>
      </c>
    </row>
    <row r="168" spans="1:11">
      <c r="A168" s="30" t="s">
        <v>457</v>
      </c>
      <c r="B168" s="30" t="s">
        <v>458</v>
      </c>
      <c r="C168" s="30" t="s">
        <v>459</v>
      </c>
      <c r="D168" s="30" t="s">
        <v>42</v>
      </c>
      <c r="E168" s="31"/>
      <c r="F168" s="30" t="s">
        <v>16</v>
      </c>
      <c r="G168" s="30" t="s">
        <v>460</v>
      </c>
      <c r="H168" s="30" t="s">
        <v>38</v>
      </c>
      <c r="I168" s="30" t="s">
        <v>88</v>
      </c>
      <c r="J168" s="36">
        <v>46251</v>
      </c>
      <c r="K168" s="33">
        <v>8</v>
      </c>
    </row>
    <row r="169" spans="1:11">
      <c r="A169" s="30" t="s">
        <v>461</v>
      </c>
      <c r="B169" s="30" t="s">
        <v>462</v>
      </c>
      <c r="C169" s="30" t="s">
        <v>463</v>
      </c>
      <c r="D169" s="30" t="s">
        <v>42</v>
      </c>
      <c r="E169" s="31"/>
      <c r="F169" s="30" t="s">
        <v>16</v>
      </c>
      <c r="G169" s="30" t="s">
        <v>460</v>
      </c>
      <c r="H169" s="30" t="s">
        <v>38</v>
      </c>
      <c r="I169" s="30" t="s">
        <v>88</v>
      </c>
      <c r="J169" s="36">
        <v>46251</v>
      </c>
      <c r="K169" s="33">
        <v>8</v>
      </c>
    </row>
    <row r="170" spans="1:11">
      <c r="A170" s="30" t="s">
        <v>464</v>
      </c>
      <c r="B170" s="30" t="s">
        <v>465</v>
      </c>
      <c r="C170" s="30" t="s">
        <v>463</v>
      </c>
      <c r="D170" s="30" t="s">
        <v>42</v>
      </c>
      <c r="E170" s="31"/>
      <c r="F170" s="30" t="s">
        <v>16</v>
      </c>
      <c r="G170" s="30" t="s">
        <v>460</v>
      </c>
      <c r="H170" s="30" t="s">
        <v>38</v>
      </c>
      <c r="I170" s="30" t="s">
        <v>88</v>
      </c>
      <c r="J170" s="36">
        <v>46251</v>
      </c>
      <c r="K170" s="33">
        <v>8</v>
      </c>
    </row>
    <row r="171" spans="1:11">
      <c r="A171" s="30">
        <v>1142</v>
      </c>
      <c r="B171" s="37"/>
      <c r="C171" s="30" t="s">
        <v>466</v>
      </c>
      <c r="D171" s="30" t="s">
        <v>30</v>
      </c>
      <c r="E171" s="31"/>
      <c r="F171" s="37"/>
      <c r="G171" s="30" t="s">
        <v>32</v>
      </c>
      <c r="H171" s="30" t="s">
        <v>19</v>
      </c>
      <c r="I171" s="30" t="s">
        <v>88</v>
      </c>
      <c r="J171" s="32">
        <v>46212</v>
      </c>
      <c r="K171" s="33">
        <v>47</v>
      </c>
    </row>
    <row r="172" spans="1:11">
      <c r="A172" s="30">
        <v>17769</v>
      </c>
      <c r="B172" s="37"/>
      <c r="C172" s="30" t="s">
        <v>467</v>
      </c>
      <c r="D172" s="30" t="s">
        <v>30</v>
      </c>
      <c r="E172" s="31"/>
      <c r="F172" s="37"/>
      <c r="G172" s="30" t="s">
        <v>32</v>
      </c>
      <c r="H172" s="30" t="s">
        <v>19</v>
      </c>
      <c r="I172" s="30" t="s">
        <v>88</v>
      </c>
      <c r="J172" s="32">
        <v>46231</v>
      </c>
      <c r="K172" s="33">
        <v>28</v>
      </c>
    </row>
    <row r="173" spans="1:11">
      <c r="A173" s="30" t="s">
        <v>450</v>
      </c>
      <c r="B173" s="30" t="s">
        <v>468</v>
      </c>
      <c r="C173" s="30" t="s">
        <v>469</v>
      </c>
      <c r="D173" s="37"/>
      <c r="E173" s="31"/>
      <c r="F173" s="30" t="s">
        <v>16</v>
      </c>
      <c r="G173" s="30" t="s">
        <v>312</v>
      </c>
      <c r="H173" s="30" t="s">
        <v>19</v>
      </c>
      <c r="I173" s="37"/>
      <c r="J173" s="32">
        <v>46256</v>
      </c>
      <c r="K173" s="33">
        <v>3</v>
      </c>
    </row>
    <row r="174" spans="1:11">
      <c r="A174" s="30" t="s">
        <v>450</v>
      </c>
      <c r="B174" s="30" t="s">
        <v>470</v>
      </c>
      <c r="C174" s="30" t="s">
        <v>471</v>
      </c>
      <c r="D174" s="37"/>
      <c r="E174" s="31"/>
      <c r="F174" s="30" t="s">
        <v>31</v>
      </c>
      <c r="G174" s="30" t="s">
        <v>312</v>
      </c>
      <c r="H174" s="30" t="s">
        <v>19</v>
      </c>
      <c r="I174" s="37"/>
      <c r="J174" s="32">
        <v>46257</v>
      </c>
      <c r="K174" s="33">
        <v>2</v>
      </c>
    </row>
    <row r="175" spans="1:11">
      <c r="A175" s="30" t="s">
        <v>472</v>
      </c>
      <c r="B175" s="40" t="s">
        <v>121</v>
      </c>
      <c r="C175" s="39" t="s">
        <v>473</v>
      </c>
      <c r="D175" s="30" t="s">
        <v>222</v>
      </c>
      <c r="E175" s="31" t="s">
        <v>474</v>
      </c>
      <c r="F175" s="30" t="s">
        <v>16</v>
      </c>
      <c r="G175" s="30" t="s">
        <v>32</v>
      </c>
      <c r="H175" s="30" t="s">
        <v>19</v>
      </c>
      <c r="I175" s="30" t="s">
        <v>33</v>
      </c>
      <c r="J175" s="32">
        <v>46239</v>
      </c>
      <c r="K175" s="33">
        <v>20</v>
      </c>
    </row>
    <row r="176" spans="1:11">
      <c r="A176" s="30" t="s">
        <v>475</v>
      </c>
      <c r="B176" s="30" t="s">
        <v>324</v>
      </c>
      <c r="C176" s="30" t="s">
        <v>476</v>
      </c>
      <c r="D176" s="30" t="s">
        <v>222</v>
      </c>
      <c r="E176" s="31">
        <v>1726.48</v>
      </c>
      <c r="F176" s="30" t="s">
        <v>16</v>
      </c>
      <c r="G176" s="30" t="s">
        <v>32</v>
      </c>
      <c r="H176" s="30" t="s">
        <v>19</v>
      </c>
      <c r="I176" s="30" t="s">
        <v>33</v>
      </c>
      <c r="J176" s="32">
        <v>46238</v>
      </c>
      <c r="K176" s="33">
        <v>21</v>
      </c>
    </row>
    <row r="177" spans="1:11">
      <c r="A177" s="30" t="s">
        <v>477</v>
      </c>
      <c r="B177" s="39" t="s">
        <v>83</v>
      </c>
      <c r="C177" s="39" t="s">
        <v>478</v>
      </c>
      <c r="D177" s="30" t="s">
        <v>140</v>
      </c>
      <c r="E177" s="31">
        <v>1959.86</v>
      </c>
      <c r="F177" s="30" t="s">
        <v>26</v>
      </c>
      <c r="G177" s="30" t="s">
        <v>54</v>
      </c>
      <c r="H177" s="30" t="s">
        <v>61</v>
      </c>
      <c r="I177" s="30" t="s">
        <v>33</v>
      </c>
      <c r="J177" s="32">
        <v>46251</v>
      </c>
      <c r="K177" s="33">
        <v>8</v>
      </c>
    </row>
    <row r="178" spans="1:11">
      <c r="A178" s="30" t="s">
        <v>479</v>
      </c>
      <c r="B178" s="40" t="s">
        <v>480</v>
      </c>
      <c r="C178" s="39" t="s">
        <v>481</v>
      </c>
      <c r="D178" s="30" t="s">
        <v>222</v>
      </c>
      <c r="E178" s="31">
        <v>1663.4</v>
      </c>
      <c r="F178" s="30" t="s">
        <v>16</v>
      </c>
      <c r="G178" s="30" t="s">
        <v>32</v>
      </c>
      <c r="H178" s="30" t="s">
        <v>19</v>
      </c>
      <c r="I178" s="30" t="s">
        <v>33</v>
      </c>
      <c r="J178" s="32">
        <v>46233</v>
      </c>
      <c r="K178" s="33">
        <v>26</v>
      </c>
    </row>
    <row r="179" spans="1:11">
      <c r="A179" s="30" t="s">
        <v>482</v>
      </c>
      <c r="B179" s="39" t="s">
        <v>483</v>
      </c>
      <c r="C179" s="39" t="s">
        <v>484</v>
      </c>
      <c r="D179" s="30" t="s">
        <v>114</v>
      </c>
      <c r="E179" s="31">
        <v>570.91</v>
      </c>
      <c r="F179" s="30" t="s">
        <v>31</v>
      </c>
      <c r="G179" s="30" t="s">
        <v>32</v>
      </c>
      <c r="H179" s="30" t="s">
        <v>19</v>
      </c>
      <c r="I179" s="30" t="s">
        <v>33</v>
      </c>
      <c r="J179" s="32">
        <v>46248</v>
      </c>
      <c r="K179" s="33">
        <v>11</v>
      </c>
    </row>
    <row r="180" spans="1:11">
      <c r="A180" s="30" t="s">
        <v>485</v>
      </c>
      <c r="B180" s="39" t="s">
        <v>486</v>
      </c>
      <c r="C180" s="39" t="s">
        <v>487</v>
      </c>
      <c r="D180" s="30" t="s">
        <v>114</v>
      </c>
      <c r="E180" s="31">
        <v>653.79999999999995</v>
      </c>
      <c r="F180" s="30" t="s">
        <v>26</v>
      </c>
      <c r="G180" s="30" t="s">
        <v>460</v>
      </c>
      <c r="H180" s="30" t="s">
        <v>61</v>
      </c>
      <c r="I180" s="30" t="s">
        <v>33</v>
      </c>
      <c r="J180" s="32">
        <v>46247</v>
      </c>
      <c r="K180" s="33">
        <v>12</v>
      </c>
    </row>
    <row r="181" spans="1:11">
      <c r="A181" s="30" t="s">
        <v>488</v>
      </c>
      <c r="B181" s="40" t="s">
        <v>489</v>
      </c>
      <c r="C181" s="39" t="s">
        <v>490</v>
      </c>
      <c r="D181" s="30" t="s">
        <v>222</v>
      </c>
      <c r="E181" s="31">
        <v>1422.8</v>
      </c>
      <c r="F181" s="30" t="s">
        <v>16</v>
      </c>
      <c r="G181" s="30" t="s">
        <v>32</v>
      </c>
      <c r="H181" s="30" t="s">
        <v>19</v>
      </c>
      <c r="I181" s="30" t="s">
        <v>33</v>
      </c>
      <c r="J181" s="32">
        <v>46235</v>
      </c>
      <c r="K181" s="33">
        <v>24</v>
      </c>
    </row>
    <row r="182" spans="1:11">
      <c r="A182" s="30" t="s">
        <v>491</v>
      </c>
      <c r="B182" s="39" t="s">
        <v>492</v>
      </c>
      <c r="C182" s="39" t="s">
        <v>493</v>
      </c>
      <c r="D182" s="30" t="s">
        <v>222</v>
      </c>
      <c r="E182" s="31">
        <v>1648.8</v>
      </c>
      <c r="F182" s="30" t="s">
        <v>31</v>
      </c>
      <c r="G182" s="30" t="s">
        <v>460</v>
      </c>
      <c r="H182" s="30" t="s">
        <v>61</v>
      </c>
      <c r="I182" s="30" t="s">
        <v>33</v>
      </c>
      <c r="J182" s="32">
        <v>46235</v>
      </c>
      <c r="K182" s="33">
        <v>24</v>
      </c>
    </row>
    <row r="183" spans="1:11">
      <c r="A183" s="30" t="s">
        <v>494</v>
      </c>
      <c r="B183" s="39" t="s">
        <v>195</v>
      </c>
      <c r="C183" s="39" t="s">
        <v>495</v>
      </c>
      <c r="D183" s="30" t="s">
        <v>222</v>
      </c>
      <c r="E183" s="31">
        <v>1648.8</v>
      </c>
      <c r="F183" s="30" t="s">
        <v>31</v>
      </c>
      <c r="G183" s="30" t="s">
        <v>460</v>
      </c>
      <c r="H183" s="30" t="s">
        <v>61</v>
      </c>
      <c r="I183" s="30" t="s">
        <v>33</v>
      </c>
      <c r="J183" s="32">
        <v>46247</v>
      </c>
      <c r="K183" s="33">
        <v>12</v>
      </c>
    </row>
    <row r="184" spans="1:11">
      <c r="A184" s="30" t="s">
        <v>496</v>
      </c>
      <c r="B184" s="39" t="s">
        <v>497</v>
      </c>
      <c r="C184" s="39" t="s">
        <v>498</v>
      </c>
      <c r="D184" s="30" t="s">
        <v>222</v>
      </c>
      <c r="E184" s="31">
        <v>1648.8</v>
      </c>
      <c r="F184" s="30" t="s">
        <v>31</v>
      </c>
      <c r="G184" s="30" t="s">
        <v>460</v>
      </c>
      <c r="H184" s="30" t="s">
        <v>61</v>
      </c>
      <c r="I184" s="30" t="s">
        <v>33</v>
      </c>
      <c r="J184" s="32">
        <v>46238</v>
      </c>
      <c r="K184" s="33">
        <v>21</v>
      </c>
    </row>
    <row r="185" spans="1:11">
      <c r="A185" s="30" t="s">
        <v>499</v>
      </c>
      <c r="B185" s="39" t="s">
        <v>422</v>
      </c>
      <c r="C185" s="39" t="s">
        <v>500</v>
      </c>
      <c r="D185" s="30" t="s">
        <v>222</v>
      </c>
      <c r="E185" s="31">
        <v>1648.8</v>
      </c>
      <c r="F185" s="30" t="s">
        <v>16</v>
      </c>
      <c r="G185" s="30" t="s">
        <v>460</v>
      </c>
      <c r="H185" s="30" t="s">
        <v>61</v>
      </c>
      <c r="I185" s="30" t="s">
        <v>33</v>
      </c>
      <c r="J185" s="32">
        <v>46237</v>
      </c>
      <c r="K185" s="33">
        <v>22</v>
      </c>
    </row>
    <row r="186" spans="1:11">
      <c r="A186" s="30" t="s">
        <v>501</v>
      </c>
      <c r="B186" s="40" t="s">
        <v>462</v>
      </c>
      <c r="C186" s="39" t="s">
        <v>502</v>
      </c>
      <c r="D186" s="30" t="s">
        <v>222</v>
      </c>
      <c r="E186" s="31">
        <v>1663.4</v>
      </c>
      <c r="F186" s="30" t="s">
        <v>16</v>
      </c>
      <c r="G186" s="30" t="s">
        <v>32</v>
      </c>
      <c r="H186" s="30" t="s">
        <v>19</v>
      </c>
      <c r="I186" s="30" t="s">
        <v>33</v>
      </c>
      <c r="J186" s="32">
        <v>46233</v>
      </c>
      <c r="K186" s="33">
        <v>26</v>
      </c>
    </row>
    <row r="187" spans="1:11">
      <c r="A187" s="39" t="s">
        <v>503</v>
      </c>
      <c r="B187" s="30" t="s">
        <v>157</v>
      </c>
      <c r="C187" s="30" t="s">
        <v>504</v>
      </c>
      <c r="D187" s="30" t="s">
        <v>42</v>
      </c>
      <c r="E187" s="31"/>
      <c r="F187" s="30" t="s">
        <v>31</v>
      </c>
      <c r="G187" s="30" t="s">
        <v>460</v>
      </c>
      <c r="H187" s="30" t="s">
        <v>61</v>
      </c>
      <c r="I187" s="30" t="s">
        <v>88</v>
      </c>
      <c r="J187" s="32">
        <v>46255</v>
      </c>
      <c r="K187" s="33">
        <v>4</v>
      </c>
    </row>
    <row r="188" spans="1:11">
      <c r="A188" s="30" t="s">
        <v>450</v>
      </c>
      <c r="B188" s="30" t="s">
        <v>505</v>
      </c>
      <c r="C188" s="30" t="s">
        <v>506</v>
      </c>
      <c r="D188" s="30"/>
      <c r="E188" s="31"/>
      <c r="F188" s="30" t="s">
        <v>31</v>
      </c>
      <c r="G188" s="30" t="s">
        <v>312</v>
      </c>
      <c r="H188" s="30" t="s">
        <v>19</v>
      </c>
      <c r="I188" s="30"/>
      <c r="J188" s="32">
        <v>46257</v>
      </c>
      <c r="K188" s="33">
        <v>2</v>
      </c>
    </row>
    <row r="189" spans="1:11">
      <c r="A189" s="30" t="s">
        <v>596</v>
      </c>
      <c r="B189" s="30" t="s">
        <v>486</v>
      </c>
      <c r="C189" s="37"/>
      <c r="D189" s="37"/>
      <c r="E189" s="31"/>
      <c r="F189" s="30" t="s">
        <v>26</v>
      </c>
      <c r="G189" s="30" t="s">
        <v>54</v>
      </c>
      <c r="H189" s="30" t="s">
        <v>61</v>
      </c>
      <c r="I189" s="30" t="s">
        <v>88</v>
      </c>
      <c r="J189" s="32"/>
      <c r="K189" s="33" t="s">
        <v>21</v>
      </c>
    </row>
    <row r="190" spans="1:11">
      <c r="A190" s="30" t="s">
        <v>597</v>
      </c>
      <c r="B190" s="30" t="s">
        <v>598</v>
      </c>
      <c r="C190" s="37"/>
      <c r="D190" s="37"/>
      <c r="E190" s="31"/>
      <c r="F190" s="30" t="s">
        <v>16</v>
      </c>
      <c r="G190" s="30" t="s">
        <v>54</v>
      </c>
      <c r="H190" s="30" t="s">
        <v>61</v>
      </c>
      <c r="I190" s="30" t="s">
        <v>33</v>
      </c>
      <c r="J190" s="32"/>
      <c r="K190" s="33" t="s">
        <v>21</v>
      </c>
    </row>
  </sheetData>
  <autoFilter ref="A3:H189" xr:uid="{5B42AE84-4E79-470F-BDAB-77D12F6648CF}"/>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Planejamento DPSP</vt:lpstr>
      <vt:lpstr>Pipeline DPSP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Costa</dc:creator>
  <cp:lastModifiedBy>José Guilherme Oliveira</cp:lastModifiedBy>
  <dcterms:created xsi:type="dcterms:W3CDTF">2026-08-25T13:04:46Z</dcterms:created>
  <dcterms:modified xsi:type="dcterms:W3CDTF">2026-08-26T11:46:46Z</dcterms:modified>
</cp:coreProperties>
</file>