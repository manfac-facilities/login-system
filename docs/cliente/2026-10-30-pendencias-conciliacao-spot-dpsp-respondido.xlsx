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8_{BFB05F9B-D834-4639-AA57-98412BCEA9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o" sheetId="1" r:id="rId1"/>
    <sheet name="Validar com o time" sheetId="2" r:id="rId2"/>
    <sheet name="Pendente Financeir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E7" i="1" s="1"/>
  <c r="D6" i="1"/>
  <c r="C6" i="1"/>
  <c r="E6" i="1" s="1"/>
  <c r="D5" i="1"/>
  <c r="D8" i="1" s="1"/>
  <c r="C5" i="1"/>
  <c r="C8" i="1" l="1"/>
  <c r="E5" i="1"/>
  <c r="E8" i="1" s="1"/>
</calcChain>
</file>

<file path=xl/sharedStrings.xml><?xml version="1.0" encoding="utf-8"?>
<sst xmlns="http://schemas.openxmlformats.org/spreadsheetml/2006/main" count="242" uniqueCount="175">
  <si>
    <t>Pendências da conciliação SPOT DPSP × hub — 27/10/2026</t>
  </si>
  <si>
    <t>Feito depois do retorno do time de 25 e 26/10. As colunas amarelas de cada aba são as que precisam ser preenchidas; o resumo conta sozinho.</t>
  </si>
  <si>
    <t>Aba</t>
  </si>
  <si>
    <t>Com quem</t>
  </si>
  <si>
    <t>Itens</t>
  </si>
  <si>
    <t>Respondidos</t>
  </si>
  <si>
    <t>Faltam</t>
  </si>
  <si>
    <t>Validar com o time</t>
  </si>
  <si>
    <t>Time (analistas / PCM)</t>
  </si>
  <si>
    <t>Pendente Financeiro</t>
  </si>
  <si>
    <t>Financeiro</t>
  </si>
  <si>
    <t>Decisões do José</t>
  </si>
  <si>
    <t>José</t>
  </si>
  <si>
    <t>Total</t>
  </si>
  <si>
    <t>Depois que tudo estiver respondido: rodar uma última conferência hub × planilha × desk para encerrar a planilha paralela.</t>
  </si>
  <si>
    <t>Validar com o time — conciliação SPOT DPSP</t>
  </si>
  <si>
    <t>Preencha só as colunas amarelas. Exemplo de resposta: "Mesma obra, a 1201 pode sair — loja certa é BARRA DA TIJUCA 4".</t>
  </si>
  <si>
    <t>#</t>
  </si>
  <si>
    <t>OS</t>
  </si>
  <si>
    <t>Loja</t>
  </si>
  <si>
    <t>Valor no hub (R$)</t>
  </si>
  <si>
    <t>Situação no hub</t>
  </si>
  <si>
    <t>Divergência / pergunta</t>
  </si>
  <si>
    <t>O que acontece conforme a resposta</t>
  </si>
  <si>
    <t>Resposta</t>
  </si>
  <si>
    <t>Respondido por / data</t>
  </si>
  <si>
    <t>0226-005730</t>
  </si>
  <si>
    <t>DP BARRA DE SAO JOAO</t>
  </si>
  <si>
    <t>Pendente faturamento</t>
  </si>
  <si>
    <t>O time disse que é duplicada do chamado 0926-014271. Mas o serviço e o valor são diferentes: reforma do telhado (R$ 35.706,12) x pintura da fachada (R$ 32.272,77). Confirmar que é a mesma obra.</t>
  </si>
  <si>
    <t>Se for duplicada: a 0226-005730 sai do hub e não é faturada. Se não for: continua em Pendente faturamento e precisa faturar.</t>
  </si>
  <si>
    <t>1201</t>
  </si>
  <si>
    <t>DP BARRA DA TIJUCA 10</t>
  </si>
  <si>
    <t>Levantamento</t>
  </si>
  <si>
    <t>Mesma descrição ("troca da fechadura, chave quebrada") e mesmo valor da 0926-010530 (DP BARRA DA TIJUCA 4), que entra no script em Pendente faturamento. É a mesma obra? Qual loja está certa?</t>
  </si>
  <si>
    <t>Se for a mesma: a 1201 sai do hub. Se não for: preciso do nº de OS certo da 1201.</t>
  </si>
  <si>
    <t>0826-008943</t>
  </si>
  <si>
    <t>DP ARARUAMA 2</t>
  </si>
  <si>
    <t>Executado - pend. aprovação OS</t>
  </si>
  <si>
    <t>Valor certo: R$ 1.948,16 (hub) ou R$ 1.185,64 (planilha)? A duplicata 609 está com o valor da planilha.</t>
  </si>
  <si>
    <t>Corrijo o valor da 0826-008943 se for o da planilha; depois a duplicata 609 sai.</t>
  </si>
  <si>
    <t>0926-019857</t>
  </si>
  <si>
    <t>DP LEBLON 3</t>
  </si>
  <si>
    <t>Valor certo: R$ 2.100,00 (hub, parece valor padrão de estimativa) ou R$ 731,98 (planilha)? A duplicata 772 está com o valor da planilha.</t>
  </si>
  <si>
    <t>Corrijo o valor da 0926-019857 se for o da planilha; depois a duplicata 772 sai.</t>
  </si>
  <si>
    <t>652</t>
  </si>
  <si>
    <t>DP MACAE 1</t>
  </si>
  <si>
    <t>Pendente faturamento (executada em 19/10)</t>
  </si>
  <si>
    <t>O time escreveu "OS cancelada", mas no hub ela foi executada e está em Pendente faturamento. Não achei obra equivalente no hub nem na planilha. Foi cancelada mesmo ou só está sem o nº da OS?</t>
  </si>
  <si>
    <t>Se cancelada: sai do hub. Se executada: preciso do nº da OS para corrigir e faturar.</t>
  </si>
  <si>
    <t>1026-008703</t>
  </si>
  <si>
    <t>DP ALCANTARA 3</t>
  </si>
  <si>
    <t>Cancelada (volta a Executado pelo script)</t>
  </si>
  <si>
    <t>Está sem valor no hub. Qual o valor da obra?</t>
  </si>
  <si>
    <t>Preencho o valor.</t>
  </si>
  <si>
    <t>0726-018233</t>
  </si>
  <si>
    <t>DP ALCANTARA 4</t>
  </si>
  <si>
    <t>Executado (vai a Pendente faturamento pelo script)</t>
  </si>
  <si>
    <t>Valor no hub R$ 2.017,48 x planilha R$ 964,44. Qual vale?</t>
  </si>
  <si>
    <t>Corrijo o valor se for o da planilha.</t>
  </si>
  <si>
    <t>0726-017988</t>
  </si>
  <si>
    <t>DP BARRA DA TIJUCA 3</t>
  </si>
  <si>
    <t>Levantamento (vai a Executado pelo script)</t>
  </si>
  <si>
    <t>Valor no hub R$ 1.105,47 x planilha R$ 2.014,54. Qual vale?</t>
  </si>
  <si>
    <t>0726-017515</t>
  </si>
  <si>
    <t>DP ITANHANGA</t>
  </si>
  <si>
    <t>Valor no hub R$ 1.139,96 x planilha R$ 1.904,48. Qual vale?</t>
  </si>
  <si>
    <t>0726-018381</t>
  </si>
  <si>
    <t>DP NITEROI 9</t>
  </si>
  <si>
    <t>Valor no hub R$ 1.489,94 x planilha R$ 1.562,54. Qual vale?</t>
  </si>
  <si>
    <t>1026-007537</t>
  </si>
  <si>
    <t>DP FREGUESIA 2</t>
  </si>
  <si>
    <t>Analista: LEANDRO (preenchido pelo Matheus no hub) ou AMANDA (planilha)?</t>
  </si>
  <si>
    <t>Corrijo o analista se for AMANDA.</t>
  </si>
  <si>
    <t>0826-008233</t>
  </si>
  <si>
    <t>DP PIRATININGA</t>
  </si>
  <si>
    <t>Cancelada</t>
  </si>
  <si>
    <t>Cancelada no hub, mas o chamado continuava vivo no desk (Aguardando Aprovação). Já pediram o cancelamento ou a recusa no desk?</t>
  </si>
  <si>
    <t>Nada no hub. Só confirmar que não ficou pendência com o cliente.</t>
  </si>
  <si>
    <t>0826-008374</t>
  </si>
  <si>
    <t>DP RECREIO 7</t>
  </si>
  <si>
    <t>Mesma situação: cancelada no hub, viva no desk. Já pediram o cancelamento no desk?</t>
  </si>
  <si>
    <t>Nada no hub. Só confirmar.</t>
  </si>
  <si>
    <t>0826-010867</t>
  </si>
  <si>
    <t>DP CAMPOS 5</t>
  </si>
  <si>
    <t>0726-018976</t>
  </si>
  <si>
    <t>DP ARARUAMA 3</t>
  </si>
  <si>
    <t>Cancelada no hub como duplicada, mas no desk o orçamento está aprovado. Já pediram o cancelamento no desk?</t>
  </si>
  <si>
    <t>Pendente com o Financeiro — conciliação SPOT DPSP</t>
  </si>
  <si>
    <t>Preencha só as colunas amarelas. Exemplo de resposta: "NF 1502, folhas 1000699001/1000699002".</t>
  </si>
  <si>
    <t>Valor (R$)</t>
  </si>
  <si>
    <t>Pedido</t>
  </si>
  <si>
    <t>O que já se sabe</t>
  </si>
  <si>
    <t>O que falta</t>
  </si>
  <si>
    <t>0226-014989</t>
  </si>
  <si>
    <t>DP BAIRRO DE FATIMA</t>
  </si>
  <si>
    <t>4500721679</t>
  </si>
  <si>
    <t>Folhas 1000687052/1000687053 (planilha de importação do Omie). No hub está em "Em andamento".</t>
  </si>
  <si>
    <t>Nº da NFS-e</t>
  </si>
  <si>
    <t>0326-015760</t>
  </si>
  <si>
    <t>DP ROCINHA</t>
  </si>
  <si>
    <t>4500742675</t>
  </si>
  <si>
    <t>—</t>
  </si>
  <si>
    <t>0326-018507</t>
  </si>
  <si>
    <t>DP LEBLON 6</t>
  </si>
  <si>
    <t>4500739555</t>
  </si>
  <si>
    <t>0126-018429</t>
  </si>
  <si>
    <t>4500727837</t>
  </si>
  <si>
    <t>No hub está em "Fechar OS".</t>
  </si>
  <si>
    <t>0326-018578</t>
  </si>
  <si>
    <t>DP IPANEMA 8</t>
  </si>
  <si>
    <t>4500739557</t>
  </si>
  <si>
    <t>0526-016210</t>
  </si>
  <si>
    <t>DP RIO BRANCO 2</t>
  </si>
  <si>
    <t>4500742679</t>
  </si>
  <si>
    <t>0626-014071</t>
  </si>
  <si>
    <t>DP MAGE 1</t>
  </si>
  <si>
    <t>4500742670</t>
  </si>
  <si>
    <t>0726-009429</t>
  </si>
  <si>
    <t>DP COPACABANA BARATA RIBEIRO</t>
  </si>
  <si>
    <t>4500743457</t>
  </si>
  <si>
    <t>0526-008721</t>
  </si>
  <si>
    <t>DP RECREIO 1</t>
  </si>
  <si>
    <t>4500752900</t>
  </si>
  <si>
    <t>O pedido tem 2 notas: NF 1456 (R$ 54.485,06) e NF 1457 (R$ 13.724,10).</t>
  </si>
  <si>
    <t>Em qual das duas notas está (folhas)</t>
  </si>
  <si>
    <t>0626-004570</t>
  </si>
  <si>
    <t>DP CATETE 5</t>
  </si>
  <si>
    <t>NF 1456 ou 1457.</t>
  </si>
  <si>
    <t>0726-012456</t>
  </si>
  <si>
    <t>DP JARDIM BOTANICO</t>
  </si>
  <si>
    <t>0726-013342</t>
  </si>
  <si>
    <t>0726-017769</t>
  </si>
  <si>
    <t>0726-019109</t>
  </si>
  <si>
    <t>DP RECREIO 4</t>
  </si>
  <si>
    <t>0626-010287</t>
  </si>
  <si>
    <t>?</t>
  </si>
  <si>
    <t>Planilha diz FATURADO. OS corrigida pelo script (era "DP CATETE 5 - PINTURA HUB").</t>
  </si>
  <si>
    <t>Pedido e nº da NFS-e</t>
  </si>
  <si>
    <t>0726-018372</t>
  </si>
  <si>
    <t>DP RECREIO 10</t>
  </si>
  <si>
    <t>Planilha diz FATURADO. OS corrigida pelo script (era "DP RECREIO 10 - FORRO VENTANIA").</t>
  </si>
  <si>
    <t>0826-006643 e 0826-011293</t>
  </si>
  <si>
    <t>DP TIJUCA 8 / DP PADRE MIGUEL</t>
  </si>
  <si>
    <t>4500758861</t>
  </si>
  <si>
    <t>O script marca as duas como faturadas com a NF 1493. No módulo Financeiro a NF 1493 está ligada só à 0726-015006.</t>
  </si>
  <si>
    <t>Ligar as duas à NF 1493 no módulo Financeiro</t>
  </si>
  <si>
    <t>0426-012516</t>
  </si>
  <si>
    <t>DP MACAE 2</t>
  </si>
  <si>
    <t>4500728137</t>
  </si>
  <si>
    <t>NF 735 (R$ 140.771,09) já emitida. Obra no hub: R$ 156.412,32. Fica em Pendente faturamento.</t>
  </si>
  <si>
    <t>Emitir a NF dos R$ 15.641,23 restantes</t>
  </si>
  <si>
    <t>0626-010405</t>
  </si>
  <si>
    <t>DP SHOPPING BARRA SHOPPING</t>
  </si>
  <si>
    <t>4500742677</t>
  </si>
  <si>
    <t>NF 1321 emitida em 20/08, recusada pela DPSP por divergência no pedido.</t>
  </si>
  <si>
    <t>Cobrança: resolver a recusa (reemitir?)</t>
  </si>
  <si>
    <t>0126-021642</t>
  </si>
  <si>
    <t>4500727838</t>
  </si>
  <si>
    <t>NF 921 emitida em 10/07, paga a menos (R$ 6.968,64).</t>
  </si>
  <si>
    <t>Cobrança: diferença de R$ 6.968,64</t>
  </si>
  <si>
    <t>Não é duplicidade, os serviços são destintos o chamado numero 0226-005730 já esta faturado no dia 20/08 com o pedido 4500716175 folha 10 - 1000687050 folha 20 1000687051</t>
  </si>
  <si>
    <t>Gabriel - 28/10</t>
  </si>
  <si>
    <t>OS 1201 NO HUB É REFERENTE A INSTALAÇÃO DE GELADEIRA QUE VAMOS SEGUIR NO CHAMADO NUMERO 1026-007519,  O CHAMADO NUMERO 0926-010530 SEGUE COMO PEDENTE FATURAMENTO</t>
  </si>
  <si>
    <t>VAMOS SEGUIR COM O CHAMADO NUMERO 0826-008943 EXCLUIR O CHAMADO 609 E O VALOR APROVADO r$ 1.185,64</t>
  </si>
  <si>
    <t>VAMOS SEGUIR COM O CHAMADO NUMERO 0926-019857 EXCLUIR O CHAMADO 722 E O VALOR APROVADO r$ 1.185,64</t>
  </si>
  <si>
    <t>VAMOS SEGUIR COM O CHAMADO NUMERO 0826-008943 EXCLUIR O CHAMADO 609 E O VALOR APROVADO r$ 731,98</t>
  </si>
  <si>
    <t>Serviço executado - aprovar os valor do serviço R$ 724,38</t>
  </si>
  <si>
    <t>serviço executado pendente faturamento valor correto  R$ 964,44</t>
  </si>
  <si>
    <t>executado aprovar os valor 722,45</t>
  </si>
  <si>
    <t>Serviços executado e aprovado no desk (fechar os ) valor aprovado 1.192,12</t>
  </si>
  <si>
    <t>serviço executado e aprovado no desk(fechar os) valor aprovado  1.026,96</t>
  </si>
  <si>
    <t>executado aprovar os valor 609,45</t>
  </si>
  <si>
    <t xml:space="preserve">SERVIÇO NÃO EXECUTADO, EXCLUIR DO HUB </t>
  </si>
  <si>
    <t>Serviços executado e aprovado no desk (fechar os ) valor aprovado 1.354,08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</si>
</sst>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205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workbookViewId="0"/>
  </sheetViews>
  <sheetFormatPr defaultRowHeight="14.4" x14ac:dyDescent="0.3"/>
  <cols>
    <col min="1" max="2" width="24" customWidth="1"/>
    <col min="3" max="3" width="8" customWidth="1"/>
    <col min="4" max="4" width="13" customWidth="1"/>
    <col min="5" max="5" width="8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4" t="s">
        <v>8</v>
      </c>
      <c r="C5" s="4">
        <f>COUNTA('Validar com o time'!B5:B19)</f>
        <v>15</v>
      </c>
      <c r="D5" s="4">
        <f>COUNTA('Validar com o time'!H5:H19)</f>
        <v>15</v>
      </c>
      <c r="E5" s="4">
        <f>C5-D5</f>
        <v>0</v>
      </c>
    </row>
    <row r="6" spans="1:5" x14ac:dyDescent="0.3">
      <c r="A6" s="4" t="s">
        <v>9</v>
      </c>
      <c r="B6" s="4" t="s">
        <v>10</v>
      </c>
      <c r="C6" s="4">
        <f>COUNTA('Pendente Financeiro'!B5:B24)</f>
        <v>20</v>
      </c>
      <c r="D6" s="4">
        <f>COUNTA('Pendente Financeiro'!H5:H24)</f>
        <v>0</v>
      </c>
      <c r="E6" s="4">
        <f>C6-D6</f>
        <v>20</v>
      </c>
    </row>
    <row r="7" spans="1:5" x14ac:dyDescent="0.3">
      <c r="A7" s="4" t="s">
        <v>11</v>
      </c>
      <c r="B7" s="4" t="s">
        <v>12</v>
      </c>
      <c r="C7" s="4">
        <f>COUNTA(#REF!)</f>
        <v>1</v>
      </c>
      <c r="D7" s="4">
        <f>COUNTA(#REF!)</f>
        <v>1</v>
      </c>
      <c r="E7" s="4">
        <f>C7-D7</f>
        <v>0</v>
      </c>
    </row>
    <row r="8" spans="1:5" x14ac:dyDescent="0.3">
      <c r="A8" s="5" t="s">
        <v>13</v>
      </c>
      <c r="C8" s="6">
        <f>SUM(C5:C7)</f>
        <v>36</v>
      </c>
      <c r="D8" s="6">
        <f>SUM(D5:D7)</f>
        <v>16</v>
      </c>
      <c r="E8" s="6">
        <f>SUM(E5:E7)</f>
        <v>20</v>
      </c>
    </row>
    <row r="10" spans="1:5" x14ac:dyDescent="0.3">
      <c r="A10" s="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tabSelected="1" workbookViewId="0">
      <pane xSplit="2" ySplit="4" topLeftCell="E5" activePane="bottomRight" state="frozen"/>
      <selection pane="topRight"/>
      <selection pane="bottomLeft"/>
      <selection pane="bottomRight" activeCell="I5" sqref="I5:I19"/>
    </sheetView>
  </sheetViews>
  <sheetFormatPr defaultRowHeight="14.4" x14ac:dyDescent="0.3"/>
  <cols>
    <col min="1" max="1" width="4" customWidth="1"/>
    <col min="2" max="2" width="13" customWidth="1"/>
    <col min="3" max="3" width="26" customWidth="1"/>
    <col min="4" max="4" width="14" customWidth="1"/>
    <col min="5" max="5" width="26" customWidth="1"/>
    <col min="6" max="6" width="60" customWidth="1"/>
    <col min="7" max="7" width="42" customWidth="1"/>
    <col min="8" max="8" width="40" customWidth="1"/>
    <col min="9" max="9" width="18" customWidth="1"/>
  </cols>
  <sheetData>
    <row r="1" spans="1:9" ht="17.399999999999999" x14ac:dyDescent="0.3">
      <c r="A1" s="1" t="s">
        <v>15</v>
      </c>
    </row>
    <row r="2" spans="1:9" x14ac:dyDescent="0.3">
      <c r="A2" s="2" t="s">
        <v>16</v>
      </c>
    </row>
    <row r="4" spans="1:9" ht="26.4" x14ac:dyDescent="0.3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</row>
    <row r="5" spans="1:9" ht="66" x14ac:dyDescent="0.3">
      <c r="A5" s="9">
        <v>1</v>
      </c>
      <c r="B5" s="9" t="s">
        <v>26</v>
      </c>
      <c r="C5" s="9" t="s">
        <v>27</v>
      </c>
      <c r="D5" s="10">
        <v>35706.120000000003</v>
      </c>
      <c r="E5" s="9" t="s">
        <v>28</v>
      </c>
      <c r="F5" s="9" t="s">
        <v>29</v>
      </c>
      <c r="G5" s="9" t="s">
        <v>30</v>
      </c>
      <c r="H5" s="11" t="s">
        <v>161</v>
      </c>
      <c r="I5" s="11" t="s">
        <v>162</v>
      </c>
    </row>
    <row r="6" spans="1:9" ht="66" x14ac:dyDescent="0.3">
      <c r="A6" s="9">
        <v>2</v>
      </c>
      <c r="B6" s="9" t="s">
        <v>31</v>
      </c>
      <c r="C6" s="9" t="s">
        <v>32</v>
      </c>
      <c r="D6" s="10">
        <v>570</v>
      </c>
      <c r="E6" s="9" t="s">
        <v>33</v>
      </c>
      <c r="F6" s="9" t="s">
        <v>34</v>
      </c>
      <c r="G6" s="9" t="s">
        <v>35</v>
      </c>
      <c r="H6" s="11" t="s">
        <v>163</v>
      </c>
      <c r="I6" s="11" t="s">
        <v>162</v>
      </c>
    </row>
    <row r="7" spans="1:9" ht="39.6" x14ac:dyDescent="0.3">
      <c r="A7" s="9">
        <v>3</v>
      </c>
      <c r="B7" s="9" t="s">
        <v>36</v>
      </c>
      <c r="C7" s="9" t="s">
        <v>37</v>
      </c>
      <c r="D7" s="10">
        <v>1948.16</v>
      </c>
      <c r="E7" s="9" t="s">
        <v>38</v>
      </c>
      <c r="F7" s="9" t="s">
        <v>39</v>
      </c>
      <c r="G7" s="9" t="s">
        <v>40</v>
      </c>
      <c r="H7" s="11" t="s">
        <v>164</v>
      </c>
      <c r="I7" s="11" t="s">
        <v>162</v>
      </c>
    </row>
    <row r="8" spans="1:9" ht="39.6" x14ac:dyDescent="0.3">
      <c r="A8" s="9">
        <v>4</v>
      </c>
      <c r="B8" s="9" t="s">
        <v>41</v>
      </c>
      <c r="C8" s="9" t="s">
        <v>42</v>
      </c>
      <c r="D8" s="10">
        <v>2100</v>
      </c>
      <c r="E8" s="9" t="s">
        <v>38</v>
      </c>
      <c r="F8" s="9" t="s">
        <v>43</v>
      </c>
      <c r="G8" s="9" t="s">
        <v>44</v>
      </c>
      <c r="H8" s="11" t="s">
        <v>165</v>
      </c>
      <c r="I8" s="11" t="s">
        <v>162</v>
      </c>
    </row>
    <row r="9" spans="1:9" ht="39.6" x14ac:dyDescent="0.3">
      <c r="A9" s="9">
        <v>5</v>
      </c>
      <c r="B9" s="9" t="s">
        <v>45</v>
      </c>
      <c r="C9" s="9" t="s">
        <v>46</v>
      </c>
      <c r="D9" s="10">
        <v>1187.96</v>
      </c>
      <c r="E9" s="9" t="s">
        <v>47</v>
      </c>
      <c r="F9" s="9" t="s">
        <v>48</v>
      </c>
      <c r="G9" s="9" t="s">
        <v>49</v>
      </c>
      <c r="H9" s="11" t="s">
        <v>166</v>
      </c>
      <c r="I9" s="11" t="s">
        <v>162</v>
      </c>
    </row>
    <row r="10" spans="1:9" ht="26.4" x14ac:dyDescent="0.3">
      <c r="A10" s="9">
        <v>6</v>
      </c>
      <c r="B10" s="9" t="s">
        <v>50</v>
      </c>
      <c r="C10" s="9" t="s">
        <v>51</v>
      </c>
      <c r="D10" s="10"/>
      <c r="E10" s="9" t="s">
        <v>52</v>
      </c>
      <c r="F10" s="9" t="s">
        <v>53</v>
      </c>
      <c r="G10" s="9" t="s">
        <v>54</v>
      </c>
      <c r="H10" s="11" t="s">
        <v>167</v>
      </c>
      <c r="I10" s="11" t="s">
        <v>162</v>
      </c>
    </row>
    <row r="11" spans="1:9" ht="26.4" x14ac:dyDescent="0.3">
      <c r="A11" s="9">
        <v>7</v>
      </c>
      <c r="B11" s="9" t="s">
        <v>55</v>
      </c>
      <c r="C11" s="9" t="s">
        <v>56</v>
      </c>
      <c r="D11" s="10">
        <v>2017.48</v>
      </c>
      <c r="E11" s="9" t="s">
        <v>57</v>
      </c>
      <c r="F11" s="9" t="s">
        <v>58</v>
      </c>
      <c r="G11" s="9" t="s">
        <v>59</v>
      </c>
      <c r="H11" s="11" t="s">
        <v>168</v>
      </c>
      <c r="I11" s="11" t="s">
        <v>162</v>
      </c>
    </row>
    <row r="12" spans="1:9" ht="26.4" x14ac:dyDescent="0.3">
      <c r="A12" s="9">
        <v>8</v>
      </c>
      <c r="B12" s="9" t="s">
        <v>60</v>
      </c>
      <c r="C12" s="9" t="s">
        <v>61</v>
      </c>
      <c r="D12" s="10">
        <v>1105.47</v>
      </c>
      <c r="E12" s="9" t="s">
        <v>62</v>
      </c>
      <c r="F12" s="9" t="s">
        <v>63</v>
      </c>
      <c r="G12" s="9" t="s">
        <v>59</v>
      </c>
      <c r="H12" s="11" t="s">
        <v>169</v>
      </c>
      <c r="I12" s="11" t="s">
        <v>162</v>
      </c>
    </row>
    <row r="13" spans="1:9" ht="26.4" x14ac:dyDescent="0.3">
      <c r="A13" s="9">
        <v>9</v>
      </c>
      <c r="B13" s="9" t="s">
        <v>64</v>
      </c>
      <c r="C13" s="9" t="s">
        <v>65</v>
      </c>
      <c r="D13" s="10">
        <v>1139.96</v>
      </c>
      <c r="E13" s="9" t="s">
        <v>62</v>
      </c>
      <c r="F13" s="9" t="s">
        <v>66</v>
      </c>
      <c r="G13" s="9" t="s">
        <v>59</v>
      </c>
      <c r="H13" s="12" t="s">
        <v>172</v>
      </c>
      <c r="I13" s="11" t="s">
        <v>162</v>
      </c>
    </row>
    <row r="14" spans="1:9" ht="26.4" x14ac:dyDescent="0.3">
      <c r="A14" s="9">
        <v>10</v>
      </c>
      <c r="B14" s="9" t="s">
        <v>67</v>
      </c>
      <c r="C14" s="9" t="s">
        <v>68</v>
      </c>
      <c r="D14" s="10">
        <v>1489.94</v>
      </c>
      <c r="E14" s="9" t="s">
        <v>62</v>
      </c>
      <c r="F14" s="9" t="s">
        <v>69</v>
      </c>
      <c r="G14" s="9" t="s">
        <v>59</v>
      </c>
      <c r="H14" s="12" t="s">
        <v>171</v>
      </c>
      <c r="I14" s="11" t="s">
        <v>162</v>
      </c>
    </row>
    <row r="15" spans="1:9" ht="26.4" x14ac:dyDescent="0.3">
      <c r="A15" s="9">
        <v>11</v>
      </c>
      <c r="B15" s="9" t="s">
        <v>70</v>
      </c>
      <c r="C15" s="9" t="s">
        <v>71</v>
      </c>
      <c r="D15" s="10">
        <v>1192.1199999999999</v>
      </c>
      <c r="E15" s="9" t="s">
        <v>62</v>
      </c>
      <c r="F15" s="9" t="s">
        <v>72</v>
      </c>
      <c r="G15" s="9" t="s">
        <v>73</v>
      </c>
      <c r="H15" s="12" t="s">
        <v>170</v>
      </c>
      <c r="I15" s="11" t="s">
        <v>162</v>
      </c>
    </row>
    <row r="16" spans="1:9" ht="39.6" x14ac:dyDescent="0.3">
      <c r="A16" s="9">
        <v>12</v>
      </c>
      <c r="B16" s="9" t="s">
        <v>74</v>
      </c>
      <c r="C16" s="9" t="s">
        <v>75</v>
      </c>
      <c r="D16" s="10">
        <v>1472.26</v>
      </c>
      <c r="E16" s="9" t="s">
        <v>76</v>
      </c>
      <c r="F16" s="9" t="s">
        <v>77</v>
      </c>
      <c r="G16" s="9" t="s">
        <v>78</v>
      </c>
      <c r="H16" s="12" t="s">
        <v>173</v>
      </c>
      <c r="I16" s="11" t="s">
        <v>162</v>
      </c>
    </row>
    <row r="17" spans="1:9" ht="26.4" x14ac:dyDescent="0.3">
      <c r="A17" s="9">
        <v>13</v>
      </c>
      <c r="B17" s="9" t="s">
        <v>79</v>
      </c>
      <c r="C17" s="9" t="s">
        <v>80</v>
      </c>
      <c r="D17" s="10">
        <v>1959.86</v>
      </c>
      <c r="E17" s="9" t="s">
        <v>76</v>
      </c>
      <c r="F17" s="9" t="s">
        <v>81</v>
      </c>
      <c r="G17" s="9" t="s">
        <v>82</v>
      </c>
      <c r="H17" s="12" t="s">
        <v>173</v>
      </c>
      <c r="I17" s="11" t="s">
        <v>162</v>
      </c>
    </row>
    <row r="18" spans="1:9" ht="26.4" x14ac:dyDescent="0.3">
      <c r="A18" s="9">
        <v>14</v>
      </c>
      <c r="B18" s="9" t="s">
        <v>83</v>
      </c>
      <c r="C18" s="9" t="s">
        <v>84</v>
      </c>
      <c r="D18" s="10">
        <v>805</v>
      </c>
      <c r="E18" s="9" t="s">
        <v>76</v>
      </c>
      <c r="F18" s="9" t="s">
        <v>81</v>
      </c>
      <c r="G18" s="9" t="s">
        <v>82</v>
      </c>
      <c r="H18" s="12" t="s">
        <v>173</v>
      </c>
      <c r="I18" s="11" t="s">
        <v>162</v>
      </c>
    </row>
    <row r="19" spans="1:9" ht="26.4" x14ac:dyDescent="0.3">
      <c r="A19" s="9">
        <v>15</v>
      </c>
      <c r="B19" s="9" t="s">
        <v>85</v>
      </c>
      <c r="C19" s="9" t="s">
        <v>86</v>
      </c>
      <c r="D19" s="10">
        <v>1354.08</v>
      </c>
      <c r="E19" s="9" t="s">
        <v>76</v>
      </c>
      <c r="F19" s="9" t="s">
        <v>87</v>
      </c>
      <c r="G19" s="9" t="s">
        <v>82</v>
      </c>
      <c r="H19" s="12" t="s">
        <v>174</v>
      </c>
      <c r="I19" s="11" t="s">
        <v>162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showGridLines="0" workbookViewId="0">
      <pane xSplit="2" ySplit="4" topLeftCell="C14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4" customWidth="1"/>
    <col min="2" max="2" width="16" customWidth="1"/>
    <col min="3" max="3" width="26" customWidth="1"/>
    <col min="4" max="4" width="13" customWidth="1"/>
    <col min="5" max="5" width="12" customWidth="1"/>
    <col min="6" max="6" width="55" customWidth="1"/>
    <col min="7" max="7" width="30" customWidth="1"/>
    <col min="8" max="8" width="40" customWidth="1"/>
    <col min="9" max="9" width="18" customWidth="1"/>
  </cols>
  <sheetData>
    <row r="1" spans="1:9" ht="17.399999999999999" x14ac:dyDescent="0.3">
      <c r="A1" s="1" t="s">
        <v>88</v>
      </c>
    </row>
    <row r="2" spans="1:9" x14ac:dyDescent="0.3">
      <c r="A2" s="2" t="s">
        <v>89</v>
      </c>
    </row>
    <row r="4" spans="1:9" ht="26.4" x14ac:dyDescent="0.3">
      <c r="A4" s="8" t="s">
        <v>17</v>
      </c>
      <c r="B4" s="8" t="s">
        <v>18</v>
      </c>
      <c r="C4" s="8" t="s">
        <v>19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24</v>
      </c>
      <c r="I4" s="8" t="s">
        <v>25</v>
      </c>
    </row>
    <row r="5" spans="1:9" ht="26.4" x14ac:dyDescent="0.3">
      <c r="A5" s="9">
        <v>1</v>
      </c>
      <c r="B5" s="9" t="s">
        <v>94</v>
      </c>
      <c r="C5" s="9" t="s">
        <v>95</v>
      </c>
      <c r="D5" s="10">
        <v>28520.46</v>
      </c>
      <c r="E5" s="9" t="s">
        <v>96</v>
      </c>
      <c r="F5" s="9" t="s">
        <v>97</v>
      </c>
      <c r="G5" s="9" t="s">
        <v>98</v>
      </c>
      <c r="H5" s="11"/>
      <c r="I5" s="11"/>
    </row>
    <row r="6" spans="1:9" x14ac:dyDescent="0.3">
      <c r="A6" s="9">
        <v>2</v>
      </c>
      <c r="B6" s="9" t="s">
        <v>99</v>
      </c>
      <c r="C6" s="9" t="s">
        <v>100</v>
      </c>
      <c r="D6" s="10">
        <v>835.78</v>
      </c>
      <c r="E6" s="9" t="s">
        <v>101</v>
      </c>
      <c r="F6" s="9" t="s">
        <v>102</v>
      </c>
      <c r="G6" s="9" t="s">
        <v>98</v>
      </c>
      <c r="H6" s="11"/>
      <c r="I6" s="11"/>
    </row>
    <row r="7" spans="1:9" x14ac:dyDescent="0.3">
      <c r="A7" s="9">
        <v>3</v>
      </c>
      <c r="B7" s="9" t="s">
        <v>103</v>
      </c>
      <c r="C7" s="9" t="s">
        <v>104</v>
      </c>
      <c r="D7" s="10">
        <v>2079</v>
      </c>
      <c r="E7" s="9" t="s">
        <v>105</v>
      </c>
      <c r="F7" s="9" t="s">
        <v>102</v>
      </c>
      <c r="G7" s="9" t="s">
        <v>98</v>
      </c>
      <c r="H7" s="11"/>
      <c r="I7" s="11"/>
    </row>
    <row r="8" spans="1:9" x14ac:dyDescent="0.3">
      <c r="A8" s="9">
        <v>4</v>
      </c>
      <c r="B8" s="9" t="s">
        <v>106</v>
      </c>
      <c r="C8" s="9" t="s">
        <v>80</v>
      </c>
      <c r="D8" s="10">
        <v>17702.919999999998</v>
      </c>
      <c r="E8" s="9" t="s">
        <v>107</v>
      </c>
      <c r="F8" s="9" t="s">
        <v>108</v>
      </c>
      <c r="G8" s="9" t="s">
        <v>98</v>
      </c>
      <c r="H8" s="11"/>
      <c r="I8" s="11"/>
    </row>
    <row r="9" spans="1:9" x14ac:dyDescent="0.3">
      <c r="A9" s="9">
        <v>5</v>
      </c>
      <c r="B9" s="9" t="s">
        <v>109</v>
      </c>
      <c r="C9" s="9" t="s">
        <v>110</v>
      </c>
      <c r="D9" s="10">
        <v>13561.1</v>
      </c>
      <c r="E9" s="9" t="s">
        <v>111</v>
      </c>
      <c r="F9" s="9" t="s">
        <v>102</v>
      </c>
      <c r="G9" s="9" t="s">
        <v>98</v>
      </c>
      <c r="H9" s="11"/>
      <c r="I9" s="11"/>
    </row>
    <row r="10" spans="1:9" x14ac:dyDescent="0.3">
      <c r="A10" s="9">
        <v>6</v>
      </c>
      <c r="B10" s="9" t="s">
        <v>112</v>
      </c>
      <c r="C10" s="9" t="s">
        <v>113</v>
      </c>
      <c r="D10" s="10">
        <v>960</v>
      </c>
      <c r="E10" s="9" t="s">
        <v>114</v>
      </c>
      <c r="F10" s="9" t="s">
        <v>102</v>
      </c>
      <c r="G10" s="9" t="s">
        <v>98</v>
      </c>
      <c r="H10" s="11"/>
      <c r="I10" s="11"/>
    </row>
    <row r="11" spans="1:9" x14ac:dyDescent="0.3">
      <c r="A11" s="9">
        <v>7</v>
      </c>
      <c r="B11" s="9" t="s">
        <v>115</v>
      </c>
      <c r="C11" s="9" t="s">
        <v>116</v>
      </c>
      <c r="D11" s="10">
        <v>2924.98</v>
      </c>
      <c r="E11" s="9" t="s">
        <v>117</v>
      </c>
      <c r="F11" s="9" t="s">
        <v>102</v>
      </c>
      <c r="G11" s="9" t="s">
        <v>98</v>
      </c>
      <c r="H11" s="11"/>
      <c r="I11" s="11"/>
    </row>
    <row r="12" spans="1:9" ht="26.4" x14ac:dyDescent="0.3">
      <c r="A12" s="9">
        <v>8</v>
      </c>
      <c r="B12" s="9" t="s">
        <v>118</v>
      </c>
      <c r="C12" s="9" t="s">
        <v>119</v>
      </c>
      <c r="D12" s="10">
        <v>1380.2</v>
      </c>
      <c r="E12" s="9" t="s">
        <v>120</v>
      </c>
      <c r="F12" s="9" t="s">
        <v>102</v>
      </c>
      <c r="G12" s="9" t="s">
        <v>98</v>
      </c>
      <c r="H12" s="11"/>
      <c r="I12" s="11"/>
    </row>
    <row r="13" spans="1:9" ht="26.4" x14ac:dyDescent="0.3">
      <c r="A13" s="9">
        <v>9</v>
      </c>
      <c r="B13" s="9" t="s">
        <v>121</v>
      </c>
      <c r="C13" s="9" t="s">
        <v>122</v>
      </c>
      <c r="D13" s="10">
        <v>1034.98</v>
      </c>
      <c r="E13" s="9" t="s">
        <v>123</v>
      </c>
      <c r="F13" s="9" t="s">
        <v>124</v>
      </c>
      <c r="G13" s="9" t="s">
        <v>125</v>
      </c>
      <c r="H13" s="11"/>
      <c r="I13" s="11"/>
    </row>
    <row r="14" spans="1:9" ht="26.4" x14ac:dyDescent="0.3">
      <c r="A14" s="9">
        <v>10</v>
      </c>
      <c r="B14" s="9" t="s">
        <v>126</v>
      </c>
      <c r="C14" s="9" t="s">
        <v>127</v>
      </c>
      <c r="D14" s="10">
        <v>1478.96</v>
      </c>
      <c r="E14" s="9" t="s">
        <v>123</v>
      </c>
      <c r="F14" s="9" t="s">
        <v>128</v>
      </c>
      <c r="G14" s="9" t="s">
        <v>125</v>
      </c>
      <c r="H14" s="11"/>
      <c r="I14" s="11"/>
    </row>
    <row r="15" spans="1:9" ht="26.4" x14ac:dyDescent="0.3">
      <c r="A15" s="9">
        <v>11</v>
      </c>
      <c r="B15" s="9" t="s">
        <v>129</v>
      </c>
      <c r="C15" s="9" t="s">
        <v>130</v>
      </c>
      <c r="D15" s="10">
        <v>1957</v>
      </c>
      <c r="E15" s="9" t="s">
        <v>123</v>
      </c>
      <c r="F15" s="9" t="s">
        <v>128</v>
      </c>
      <c r="G15" s="9" t="s">
        <v>125</v>
      </c>
      <c r="H15" s="11"/>
      <c r="I15" s="11"/>
    </row>
    <row r="16" spans="1:9" ht="26.4" x14ac:dyDescent="0.3">
      <c r="A16" s="9">
        <v>12</v>
      </c>
      <c r="B16" s="9" t="s">
        <v>131</v>
      </c>
      <c r="C16" s="9" t="s">
        <v>127</v>
      </c>
      <c r="D16" s="10">
        <v>871.47</v>
      </c>
      <c r="E16" s="9" t="s">
        <v>123</v>
      </c>
      <c r="F16" s="9" t="s">
        <v>128</v>
      </c>
      <c r="G16" s="9" t="s">
        <v>125</v>
      </c>
      <c r="H16" s="11"/>
      <c r="I16" s="11"/>
    </row>
    <row r="17" spans="1:9" ht="26.4" x14ac:dyDescent="0.3">
      <c r="A17" s="9">
        <v>13</v>
      </c>
      <c r="B17" s="9" t="s">
        <v>132</v>
      </c>
      <c r="C17" s="9" t="s">
        <v>80</v>
      </c>
      <c r="D17" s="10">
        <v>2000</v>
      </c>
      <c r="E17" s="9" t="s">
        <v>123</v>
      </c>
      <c r="F17" s="9" t="s">
        <v>128</v>
      </c>
      <c r="G17" s="9" t="s">
        <v>125</v>
      </c>
      <c r="H17" s="11"/>
      <c r="I17" s="11"/>
    </row>
    <row r="18" spans="1:9" ht="26.4" x14ac:dyDescent="0.3">
      <c r="A18" s="9">
        <v>14</v>
      </c>
      <c r="B18" s="9" t="s">
        <v>133</v>
      </c>
      <c r="C18" s="9" t="s">
        <v>134</v>
      </c>
      <c r="D18" s="10">
        <v>2000</v>
      </c>
      <c r="E18" s="9" t="s">
        <v>123</v>
      </c>
      <c r="F18" s="9" t="s">
        <v>128</v>
      </c>
      <c r="G18" s="9" t="s">
        <v>125</v>
      </c>
      <c r="H18" s="11"/>
      <c r="I18" s="11"/>
    </row>
    <row r="19" spans="1:9" ht="26.4" x14ac:dyDescent="0.3">
      <c r="A19" s="9">
        <v>15</v>
      </c>
      <c r="B19" s="9" t="s">
        <v>135</v>
      </c>
      <c r="C19" s="9" t="s">
        <v>127</v>
      </c>
      <c r="D19" s="10">
        <v>1302.5999999999999</v>
      </c>
      <c r="E19" s="9" t="s">
        <v>136</v>
      </c>
      <c r="F19" s="9" t="s">
        <v>137</v>
      </c>
      <c r="G19" s="9" t="s">
        <v>138</v>
      </c>
      <c r="H19" s="11"/>
      <c r="I19" s="11"/>
    </row>
    <row r="20" spans="1:9" ht="26.4" x14ac:dyDescent="0.3">
      <c r="A20" s="9">
        <v>16</v>
      </c>
      <c r="B20" s="9" t="s">
        <v>139</v>
      </c>
      <c r="C20" s="9" t="s">
        <v>140</v>
      </c>
      <c r="D20" s="10">
        <v>2874.54</v>
      </c>
      <c r="E20" s="9" t="s">
        <v>136</v>
      </c>
      <c r="F20" s="9" t="s">
        <v>141</v>
      </c>
      <c r="G20" s="9" t="s">
        <v>138</v>
      </c>
      <c r="H20" s="11"/>
      <c r="I20" s="11"/>
    </row>
    <row r="21" spans="1:9" ht="26.4" x14ac:dyDescent="0.3">
      <c r="A21" s="9">
        <v>17</v>
      </c>
      <c r="B21" s="9" t="s">
        <v>142</v>
      </c>
      <c r="C21" s="9" t="s">
        <v>143</v>
      </c>
      <c r="D21" s="10">
        <v>4361.8599999999997</v>
      </c>
      <c r="E21" s="9" t="s">
        <v>144</v>
      </c>
      <c r="F21" s="9" t="s">
        <v>145</v>
      </c>
      <c r="G21" s="9" t="s">
        <v>146</v>
      </c>
      <c r="H21" s="11"/>
      <c r="I21" s="11"/>
    </row>
    <row r="22" spans="1:9" ht="26.4" x14ac:dyDescent="0.3">
      <c r="A22" s="9">
        <v>18</v>
      </c>
      <c r="B22" s="9" t="s">
        <v>147</v>
      </c>
      <c r="C22" s="9" t="s">
        <v>148</v>
      </c>
      <c r="D22" s="10">
        <v>15641.23</v>
      </c>
      <c r="E22" s="9" t="s">
        <v>149</v>
      </c>
      <c r="F22" s="9" t="s">
        <v>150</v>
      </c>
      <c r="G22" s="9" t="s">
        <v>151</v>
      </c>
      <c r="H22" s="11"/>
      <c r="I22" s="11"/>
    </row>
    <row r="23" spans="1:9" ht="26.4" x14ac:dyDescent="0.3">
      <c r="A23" s="9">
        <v>19</v>
      </c>
      <c r="B23" s="9" t="s">
        <v>152</v>
      </c>
      <c r="C23" s="9" t="s">
        <v>153</v>
      </c>
      <c r="D23" s="10">
        <v>500</v>
      </c>
      <c r="E23" s="9" t="s">
        <v>154</v>
      </c>
      <c r="F23" s="9" t="s">
        <v>155</v>
      </c>
      <c r="G23" s="9" t="s">
        <v>156</v>
      </c>
      <c r="H23" s="11"/>
      <c r="I23" s="11"/>
    </row>
    <row r="24" spans="1:9" ht="26.4" x14ac:dyDescent="0.3">
      <c r="A24" s="9">
        <v>20</v>
      </c>
      <c r="B24" s="9" t="s">
        <v>157</v>
      </c>
      <c r="C24" s="9" t="s">
        <v>80</v>
      </c>
      <c r="D24" s="10">
        <v>30453.94</v>
      </c>
      <c r="E24" s="9" t="s">
        <v>158</v>
      </c>
      <c r="F24" s="9" t="s">
        <v>159</v>
      </c>
      <c r="G24" s="9" t="s">
        <v>160</v>
      </c>
      <c r="H24" s="11"/>
      <c r="I2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Validar com o time</vt:lpstr>
      <vt:lpstr>Pendente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2026-10-27T18:39:22Z</dcterms:created>
  <dcterms:modified xsi:type="dcterms:W3CDTF">2026-10-28T18:02:34Z</dcterms:modified>
</cp:coreProperties>
</file>